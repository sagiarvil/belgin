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528346b9f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O" sheetId="1" r:id="R49b1af1ed4294f93"/>
    <x:sheet xmlns:r="http://schemas.openxmlformats.org/officeDocument/2006/relationships" name="BASLANGIC" sheetId="2" r:id="R7edc542b84db4630"/>
    <x:sheet xmlns:r="http://schemas.openxmlformats.org/officeDocument/2006/relationships" name="KASA_BANKA" sheetId="3" r:id="Rdbcba75109134c40"/>
    <x:sheet xmlns:r="http://schemas.openxmlformats.org/officeDocument/2006/relationships" name="TAHSILATLAR" sheetId="4" r:id="R17f23cc96eb54727"/>
    <x:sheet xmlns:r="http://schemas.openxmlformats.org/officeDocument/2006/relationships" name="ODEMELER" sheetId="5" r:id="R5d55c4f07b8e4c41"/>
    <x:sheet xmlns:r="http://schemas.openxmlformats.org/officeDocument/2006/relationships" name="KURLAR" sheetId="6" r:id="R16a7456c778e46be"/>
    <x:sheet xmlns:r="http://schemas.openxmlformats.org/officeDocument/2006/relationships" name="SISTEM" sheetId="7" r:id="Rf43aaa191349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 &quot;₺&quot;;[Red](#,##0.00 &quot;₺&quot;);-"/>
    <x:numFmt numFmtId="202" formatCode="0.0000"/>
    <x:numFmt numFmtId="203" formatCode="#,##0.00;[Red](#,##0.00);-"/>
  </x:numFmts>
  <x:fonts count="20">
    <x:font>
      <x:sz val="11"/>
      <x:name val="Carlito"/>
    </x:font>
    <x:font>
      <x:sz val="10"/>
      <x:color rgb="FF0F172A"/>
      <x:name val="Segoe UI"/>
    </x:font>
    <x:font>
      <x:b/>
      <x:sz val="12"/>
      <x:color rgb="FFC6A15B"/>
      <x:name val="Segoe UI"/>
    </x:font>
    <x:font>
      <x:b/>
      <x:sz val="14"/>
      <x:color rgb="FFFFFFFF"/>
      <x:name val="Segoe UI"/>
    </x:font>
    <x:font>
      <x:sz val="10"/>
      <x:color rgb="FFC3D6EA"/>
      <x:name val="Segoe UI"/>
    </x:font>
    <x:font>
      <x:sz val="10"/>
      <x:color rgb="FF64748B"/>
      <x:name val="Segoe UI"/>
    </x:font>
    <x:font>
      <x:b/>
      <x:sz val="10"/>
      <x:color rgb="FF2563EB"/>
      <x:name val="Segoe UI"/>
    </x:font>
    <x:font>
      <x:b/>
      <x:sz val="10"/>
      <x:color rgb="FF17324D"/>
      <x:name val="Segoe UI"/>
    </x:font>
    <x:font>
      <x:b/>
      <x:sz val="12"/>
      <x:color rgb="FF17324D"/>
      <x:name val="Segoe UI"/>
    </x:font>
    <x:font>
      <x:b/>
      <x:sz val="10"/>
      <x:color rgb="FFFFFFFF"/>
      <x:name val="Segoe UI"/>
    </x:font>
    <x:font>
      <x:sz val="10"/>
      <x:color rgb="FF0000FF"/>
      <x:name val="Segoe UI"/>
    </x:font>
    <x:font>
      <x:sz val="10"/>
      <x:color rgb="FF000000"/>
      <x:name val="Segoe UI"/>
    </x:font>
    <x:font>
      <x:b/>
      <x:sz val="18"/>
      <x:color rgb="FF17324D"/>
      <x:name val="Segoe UI"/>
    </x:font>
    <x:font>
      <x:sz val="11"/>
      <x:color rgb="FF0F172A"/>
      <x:name val="Segoe UI"/>
    </x:font>
    <x:font>
      <x:b/>
      <x:sz val="11"/>
      <x:color rgb="FF2563EB"/>
      <x:name val="Segoe UI"/>
    </x:font>
    <x:font>
      <x:b/>
      <x:sz val="10"/>
      <x:color rgb="FF3F4A5A"/>
      <x:name val="Segoe UI"/>
    </x:font>
    <x:font>
      <x:b/>
      <x:sz val="10"/>
      <x:color rgb="FF64748B"/>
      <x:name val="Segoe UI"/>
    </x:font>
    <x:font>
      <x:b/>
      <x:sz val="16"/>
      <x:color rgb="FF0F172A"/>
      <x:name val="Segoe UI"/>
    </x:font>
    <x:font>
      <x:b/>
      <x:sz val="10"/>
      <x:color rgb="FFC3D6EA"/>
      <x:name val="Segoe UI"/>
    </x:font>
    <x:font>
      <x:b/>
      <x:sz val="10"/>
      <x:color rgb="FFC6A15B"/>
      <x:name val="Segoe UI"/>
    </x:font>
  </x:fonts>
  <x:fills count="11">
    <x:fill>
      <x:patternFill patternType="none"/>
    </x:fill>
    <x:fill>
      <x:patternFill patternType="gray125"/>
    </x:fill>
    <x:fill>
      <x:patternFill patternType="solid">
        <x:fgColor rgb="FFF4F6F9"/>
      </x:patternFill>
    </x:fill>
    <x:fill>
      <x:patternFill patternType="solid">
        <x:fgColor rgb="FF0F2942"/>
      </x:patternFill>
    </x:fill>
    <x:fill>
      <x:patternFill patternType="solid">
        <x:fgColor rgb="FF17324D"/>
      </x:patternFill>
    </x:fill>
    <x:fill>
      <x:patternFill patternType="solid">
        <x:fgColor rgb="FFF3E7CE"/>
      </x:patternFill>
    </x:fill>
    <x:fill>
      <x:patternFill patternType="solid">
        <x:fgColor rgb="FFFFFFFF"/>
      </x:patternFill>
    </x:fill>
    <x:fill>
      <x:patternFill patternType="solid">
        <x:fgColor rgb="FFFFFBEB"/>
      </x:patternFill>
    </x:fill>
    <x:fill>
      <x:patternFill patternType="solid">
        <x:fgColor rgb="FFE8F0FA"/>
      </x:patternFill>
    </x:fill>
    <x:fill>
      <x:patternFill patternType="solid">
        <x:fgColor rgb="FFFBECEC"/>
      </x:patternFill>
    </x:fill>
    <x:fill>
      <x:patternFill patternType="solid">
        <x:fgColor rgb="FF3F4A5A"/>
      </x:patternFill>
    </x:fill>
  </x:fills>
  <x:borders count="46">
    <x:border/>
    <x:border/>
    <x:border>
      <x:bottom style="thin">
        <x:color rgb="FFC6A15B"/>
      </x:bottom>
    </x:border>
    <x:border>
      <x:bottom style="thin">
        <x:color rgb="FFC6A15B"/>
      </x:bottom>
    </x:border>
    <x:border>
      <x:bottom style="medium">
        <x:color rgb="FFC6A15B"/>
      </x:bottom>
    </x:border>
    <x:border>
      <x:bottom style="medium">
        <x:color rgb="FFC6A15B"/>
      </x:bottom>
    </x:border>
    <x:border>
      <x:bottom style="hair">
        <x:color rgb="FFE2E8F0"/>
      </x:bottom>
    </x:border>
    <x:border>
      <x:bottom style="hair">
        <x:color rgb="FFE2E8F0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E2E8F0"/>
      </x:left>
      <x:top style="medium">
        <x:color rgb="FF0F6E56"/>
      </x:top>
    </x:border>
    <x:border>
      <x:top style="medium">
        <x:color rgb="FF0F6E56"/>
      </x:top>
    </x:border>
    <x:border>
      <x:right style="thin">
        <x:color rgb="FFE2E8F0"/>
      </x:right>
      <x:top style="medium">
        <x:color rgb="FF0F6E56"/>
      </x:top>
    </x:border>
    <x:border>
      <x:left style="thin">
        <x:color rgb="FFE2E8F0"/>
      </x:left>
      <x:top style="medium">
        <x:color rgb="FF0F6E56"/>
      </x:top>
    </x:border>
    <x:border>
      <x:top style="medium">
        <x:color rgb="FF0F6E56"/>
      </x:top>
    </x:border>
    <x:border>
      <x:right style="thin">
        <x:color rgb="FFE2E8F0"/>
      </x:right>
      <x:top style="medium">
        <x:color rgb="FF0F6E56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medium">
        <x:color rgb="FF2563EB"/>
      </x:top>
    </x:border>
    <x:border>
      <x:top style="medium">
        <x:color rgb="FF2563EB"/>
      </x:top>
    </x:border>
    <x:border>
      <x:right style="thin">
        <x:color rgb="FFE2E8F0"/>
      </x:right>
      <x:top style="medium">
        <x:color rgb="FF2563EB"/>
      </x:top>
    </x:border>
    <x:border>
      <x:left style="thin">
        <x:color rgb="FFE2E8F0"/>
      </x:left>
      <x:top style="medium">
        <x:color rgb="FF2563EB"/>
      </x:top>
    </x:border>
    <x:border>
      <x:top style="medium">
        <x:color rgb="FF2563EB"/>
      </x:top>
    </x:border>
    <x:border>
      <x:right style="thin">
        <x:color rgb="FFE2E8F0"/>
      </x:right>
      <x:top style="medium">
        <x:color rgb="FF2563EB"/>
      </x:top>
    </x:border>
    <x:border>
      <x:left style="thin">
        <x:color rgb="FFE2E8F0"/>
      </x:left>
      <x:top style="medium">
        <x:color rgb="FFA32D2D"/>
      </x:top>
    </x:border>
    <x:border>
      <x:top style="medium">
        <x:color rgb="FFA32D2D"/>
      </x:top>
    </x:border>
    <x:border>
      <x:right style="thin">
        <x:color rgb="FFE2E8F0"/>
      </x:right>
      <x:top style="medium">
        <x:color rgb="FFA32D2D"/>
      </x:top>
    </x:border>
    <x:border>
      <x:left style="thin">
        <x:color rgb="FFE2E8F0"/>
      </x:left>
      <x:top style="medium">
        <x:color rgb="FFA32D2D"/>
      </x:top>
    </x:border>
    <x:border>
      <x:top style="medium">
        <x:color rgb="FFA32D2D"/>
      </x:top>
    </x:border>
    <x:border>
      <x:right style="thin">
        <x:color rgb="FFE2E8F0"/>
      </x:right>
      <x:top style="medium">
        <x:color rgb="FFA32D2D"/>
      </x:top>
    </x:border>
    <x:border>
      <x:left style="thin">
        <x:color rgb="FFE2E8F0"/>
      </x:left>
      <x:top style="medium">
        <x:color rgb="FF17324D"/>
      </x:top>
    </x:border>
    <x:border>
      <x:top style="medium">
        <x:color rgb="FF17324D"/>
      </x:top>
    </x:border>
    <x:border>
      <x:right style="thin">
        <x:color rgb="FFE2E8F0"/>
      </x:right>
      <x:top style="medium">
        <x:color rgb="FF17324D"/>
      </x:top>
    </x:border>
    <x:border>
      <x:left style="thin">
        <x:color rgb="FFE2E8F0"/>
      </x:left>
      <x:top style="medium">
        <x:color rgb="FF17324D"/>
      </x:top>
    </x:border>
    <x:border>
      <x:top style="medium">
        <x:color rgb="FF17324D"/>
      </x:top>
    </x:border>
    <x:border>
      <x:right style="thin">
        <x:color rgb="FFE2E8F0"/>
      </x:right>
      <x:top style="medium">
        <x:color rgb="FF17324D"/>
      </x:top>
    </x:border>
    <x:border>
      <x:bottom style="hair">
        <x:color rgb="FF29445E"/>
      </x:bottom>
    </x:border>
    <x:border>
      <x:bottom style="hair">
        <x:color rgb="FF29445E"/>
      </x:bottom>
    </x:border>
  </x:borders>
  <x:cellStyleXfs count="1">
    <x:xf numFmtId="0" fontId="0" fillId="0" borderId="0"/>
  </x:cellStyleXfs>
  <x:cellXfs count="2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5" fillId="5" borderId="0" xfId="0" applyNumberFormat="1" applyFont="1" applyFill="1" applyBorder="1"/>
    <x:xf numFmtId="0" fontId="7" fillId="5" borderId="0" xfId="0" applyNumberFormat="1" applyFont="1" applyFill="1" applyBorder="1"/>
    <x:xf numFmtId="0" fontId="5" fillId="5" borderId="1" xfId="0" applyNumberFormat="1" applyFont="1" applyFill="1" applyBorder="1"/>
    <x:xf numFmtId="0" fontId="7" fillId="5" borderId="1" xfId="0" applyNumberFormat="1" applyFont="1" applyFill="1" applyBorder="1"/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4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5" xfId="0" applyNumberFormat="1" applyFont="1" applyFill="1" applyBorder="1"/>
    <x:xf numFmtId="0" fontId="8" fillId="6" borderId="5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1" fillId="6" borderId="0" xfId="0" applyNumberFormat="1" applyFont="1" applyFill="1" applyBorder="1"/>
    <x:xf numFmtId="0" fontId="11" fillId="6" borderId="1" xfId="0" applyNumberFormat="1" applyFont="1" applyFill="1" applyBorder="1"/>
    <x:xf numFmtId="0" fontId="11" fillId="6" borderId="6" xfId="0" applyNumberFormat="1" applyFont="1" applyFill="1" applyBorder="1"/>
    <x:xf numFmtId="0" fontId="11" fillId="6" borderId="7" xfId="0" applyNumberFormat="1" applyFont="1" applyFill="1" applyBorder="1"/>
    <x:xf numFmtId="200" fontId="11" fillId="6" borderId="6" xfId="0" applyNumberFormat="1" applyFont="1" applyFill="1" applyBorder="1"/>
    <x:xf numFmtId="200" fontId="11" fillId="6" borderId="7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9" fillId="4" borderId="2" xfId="0" applyNumberFormat="1" applyFont="1" applyFill="1" applyBorder="1"/>
    <x:xf numFmtId="0" fontId="9" fillId="4" borderId="2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horizont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/>
    <x:xf numFmtId="0" fontId="9" fillId="4" borderId="3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horizont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201" fontId="11" fillId="6" borderId="0" xfId="0" applyNumberFormat="1" applyFont="1" applyFill="1" applyBorder="1"/>
    <x:xf numFmtId="201" fontId="11" fillId="6" borderId="6" xfId="0" applyNumberFormat="1" applyFont="1" applyFill="1" applyBorder="1"/>
    <x:xf numFmtId="201" fontId="11" fillId="6" borderId="1" xfId="0" applyNumberFormat="1" applyFont="1" applyFill="1" applyBorder="1"/>
    <x:xf numFmtId="201" fontId="11" fillId="6" borderId="7" xfId="0" applyNumberFormat="1" applyFont="1" applyFill="1" applyBorder="1"/>
    <x:xf numFmtId="0" fontId="5" fillId="7" borderId="0" xfId="0" applyNumberFormat="1" applyFont="1" applyFill="1" applyBorder="1"/>
    <x:xf numFmtId="0" fontId="7" fillId="7" borderId="0" xfId="0" applyNumberFormat="1" applyFont="1" applyFill="1" applyBorder="1"/>
    <x:xf numFmtId="0" fontId="5" fillId="7" borderId="1" xfId="0" applyNumberFormat="1" applyFont="1" applyFill="1" applyBorder="1"/>
    <x:xf numFmtId="0" fontId="7" fillId="7" borderId="1" xfId="0" applyNumberFormat="1" applyFont="1" applyFill="1" applyBorder="1"/>
    <x:xf numFmtId="202" fontId="10" fillId="7" borderId="0" xfId="0" applyNumberFormat="1" applyFont="1" applyFill="1" applyBorder="1"/>
    <x:xf numFmtId="202" fontId="10" fillId="7" borderId="6" xfId="0" applyNumberFormat="1" applyFont="1" applyFill="1" applyBorder="1"/>
    <x:xf numFmtId="202" fontId="10" fillId="7" borderId="1" xfId="0" applyNumberFormat="1" applyFont="1" applyFill="1" applyBorder="1"/>
    <x:xf numFmtId="202" fontId="10" fillId="7" borderId="7" xfId="0" applyNumberFormat="1" applyFont="1" applyFill="1" applyBorder="1"/>
    <x:xf numFmtId="0" fontId="1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8" xfId="0" applyNumberFormat="1" applyFont="1" applyFill="1" applyBorder="1"/>
    <x:xf numFmtId="0" fontId="1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9" xfId="0" applyNumberFormat="1" applyFont="1" applyFill="1" applyBorder="1"/>
    <x:xf numFmtId="201" fontId="8" fillId="8" borderId="8" xfId="0" applyNumberFormat="1" applyFont="1" applyFill="1" applyBorder="1"/>
    <x:xf numFmtId="201" fontId="8" fillId="8" borderId="9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3" fontId="10" fillId="7" borderId="0" xfId="0" applyNumberFormat="1" applyFont="1" applyFill="1" applyBorder="1"/>
    <x:xf numFmtId="203" fontId="11" fillId="6" borderId="0" xfId="0" applyNumberFormat="1" applyFont="1" applyFill="1" applyBorder="1"/>
    <x:xf numFmtId="203" fontId="10" fillId="7" borderId="6" xfId="0" applyNumberFormat="1" applyFont="1" applyFill="1" applyBorder="1"/>
    <x:xf numFmtId="203" fontId="11" fillId="6" borderId="6" xfId="0" applyNumberFormat="1" applyFont="1" applyFill="1" applyBorder="1"/>
    <x:xf numFmtId="203" fontId="10" fillId="7" borderId="1" xfId="0" applyNumberFormat="1" applyFont="1" applyFill="1" applyBorder="1"/>
    <x:xf numFmtId="203" fontId="11" fillId="6" borderId="1" xfId="0" applyNumberFormat="1" applyFont="1" applyFill="1" applyBorder="1"/>
    <x:xf numFmtId="203" fontId="10" fillId="7" borderId="7" xfId="0" applyNumberFormat="1" applyFont="1" applyFill="1" applyBorder="1"/>
    <x:xf numFmtId="203" fontId="11" fillId="6" borderId="7" xfId="0" applyNumberFormat="1" applyFont="1" applyFill="1" applyBorder="1"/>
    <x:xf numFmtId="202" fontId="11" fillId="6" borderId="0" xfId="0" applyNumberFormat="1" applyFont="1" applyFill="1" applyBorder="1"/>
    <x:xf numFmtId="202" fontId="11" fillId="6" borderId="6" xfId="0" applyNumberFormat="1" applyFont="1" applyFill="1" applyBorder="1"/>
    <x:xf numFmtId="202" fontId="11" fillId="6" borderId="1" xfId="0" applyNumberFormat="1" applyFont="1" applyFill="1" applyBorder="1"/>
    <x:xf numFmtId="202" fontId="11" fillId="6" borderId="7" xfId="0" applyNumberFormat="1" applyFont="1" applyFill="1" applyBorder="1"/>
    <x:xf numFmtId="201" fontId="8" fillId="8" borderId="0" xfId="0" applyNumberFormat="1" applyFont="1" applyFill="1" applyBorder="1"/>
    <x:xf numFmtId="201" fontId="8" fillId="8" borderId="1" xfId="0" applyNumberFormat="1" applyFont="1" applyFill="1" applyBorder="1"/>
    <x:xf numFmtId="0" fontId="10" fillId="6" borderId="6" xfId="0" applyNumberFormat="1" applyFont="1" applyFill="1" applyBorder="1"/>
    <x:xf numFmtId="0" fontId="10" fillId="6" borderId="7" xfId="0" applyNumberFormat="1" applyFont="1" applyFill="1" applyBorder="1"/>
    <x:xf numFmtId="0" fontId="11" fillId="7" borderId="0" xfId="0" applyNumberFormat="1" applyFont="1" applyFill="1" applyBorder="1"/>
    <x:xf numFmtId="0" fontId="11" fillId="7" borderId="6" xfId="0" applyNumberFormat="1" applyFont="1" applyFill="1" applyBorder="1"/>
    <x:xf numFmtId="0" fontId="11" fillId="7" borderId="1" xfId="0" applyNumberFormat="1" applyFont="1" applyFill="1" applyBorder="1"/>
    <x:xf numFmtId="0" fontId="11" fillId="7" borderId="7" xfId="0" applyNumberFormat="1" applyFont="1" applyFill="1" applyBorder="1"/>
    <x:xf numFmtId="200" fontId="10" fillId="7" borderId="0" xfId="0" applyNumberFormat="1" applyFont="1" applyFill="1" applyBorder="1"/>
    <x:xf numFmtId="200" fontId="10" fillId="7" borderId="6" xfId="0" applyNumberFormat="1" applyFont="1" applyFill="1" applyBorder="1"/>
    <x:xf numFmtId="200" fontId="10" fillId="7" borderId="1" xfId="0" applyNumberFormat="1" applyFont="1" applyFill="1" applyBorder="1"/>
    <x:xf numFmtId="200" fontId="10" fillId="7" borderId="7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vertical="center"/>
    </x:xf>
    <x:xf numFmtId="0" fontId="12" fillId="6" borderId="1" xfId="0" applyNumberFormat="1" applyFont="1" applyFill="1" applyBorder="1"/>
    <x:xf numFmtId="0" fontId="12" fillId="6" borderId="1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/>
    <x:xf numFmtId="0" fontId="13" fillId="6" borderId="1" xfId="0" applyNumberFormat="1" applyFont="1" applyFill="1" applyBorder="1" applyAlignment="1">
      <x:alignment wrapText="1"/>
    </x:xf>
    <x:xf numFmtId="0" fontId="13" fillId="6" borderId="1" xfId="0" applyNumberFormat="1" applyFont="1" applyFill="1" applyBorder="1" applyAlignment="1">
      <x:alignment vertical="center" wrapText="1"/>
    </x:xf>
    <x:xf numFmtId="0" fontId="1" fillId="6" borderId="6" xfId="0" applyNumberFormat="1" applyFont="1" applyFill="1" applyBorder="1"/>
    <x:xf numFmtId="0" fontId="1" fillId="6" borderId="7" xfId="0" applyNumberFormat="1" applyFont="1" applyFill="1" applyBorder="1"/>
    <x:xf numFmtId="0" fontId="14" fillId="6" borderId="0" xfId="0" applyNumberFormat="1" applyFont="1" applyFill="1" applyBorder="1"/>
    <x:xf numFmtId="0" fontId="14" fillId="6" borderId="6" xfId="0" applyNumberFormat="1" applyFont="1" applyFill="1" applyBorder="1"/>
    <x:xf numFmtId="0" fontId="14" fillId="6" borderId="1" xfId="0" applyNumberFormat="1" applyFont="1" applyFill="1" applyBorder="1"/>
    <x:xf numFmtId="0" fontId="14" fillId="6" borderId="7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3" xfId="0" applyNumberFormat="1" applyFont="1" applyFill="1" applyBorder="1"/>
    <x:xf numFmtId="0" fontId="3" fillId="10" borderId="3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/>
    <x:xf numFmtId="0" fontId="15" fillId="6" borderId="0" xfId="0" applyNumberFormat="1" applyFont="1" applyFill="1" applyBorder="1"/>
    <x:xf numFmtId="0" fontId="15" fillId="6" borderId="2" xfId="0" applyNumberFormat="1" applyFont="1" applyFill="1" applyBorder="1"/>
    <x:xf numFmtId="0" fontId="5" fillId="6" borderId="1" xfId="0" applyNumberFormat="1" applyFont="1" applyFill="1" applyBorder="1"/>
    <x:xf numFmtId="0" fontId="15" fillId="6" borderId="1" xfId="0" applyNumberFormat="1" applyFont="1" applyFill="1" applyBorder="1"/>
    <x:xf numFmtId="0" fontId="15" fillId="6" borderId="3" xfId="0" applyNumberFormat="1" applyFont="1" applyFill="1" applyBorder="1"/>
    <x:xf numFmtId="0" fontId="16" fillId="6" borderId="0" xfId="0" applyNumberFormat="1" applyFont="1" applyFill="1" applyBorder="1"/>
    <x:xf numFmtId="0" fontId="16" fillId="6" borderId="10" xfId="0" applyNumberFormat="1" applyFont="1" applyFill="1" applyBorder="1"/>
    <x:xf numFmtId="0" fontId="16" fillId="6" borderId="11" xfId="0" applyNumberFormat="1" applyFont="1" applyFill="1" applyBorder="1"/>
    <x:xf numFmtId="0" fontId="16" fillId="6" borderId="12" xfId="0" applyNumberFormat="1" applyFont="1" applyFill="1" applyBorder="1"/>
    <x:xf numFmtId="0" fontId="16" fillId="6" borderId="1" xfId="0" applyNumberFormat="1" applyFont="1" applyFill="1" applyBorder="1"/>
    <x:xf numFmtId="0" fontId="16" fillId="6" borderId="13" xfId="0" applyNumberFormat="1" applyFont="1" applyFill="1" applyBorder="1"/>
    <x:xf numFmtId="0" fontId="16" fillId="6" borderId="14" xfId="0" applyNumberFormat="1" applyFont="1" applyFill="1" applyBorder="1"/>
    <x:xf numFmtId="0" fontId="16" fillId="6" borderId="15" xfId="0" applyNumberFormat="1" applyFont="1" applyFill="1" applyBorder="1"/>
    <x:xf numFmtId="0" fontId="17" fillId="6" borderId="0" xfId="0" applyNumberFormat="1" applyFont="1" applyFill="1" applyBorder="1"/>
    <x:xf numFmtId="0" fontId="17" fillId="6" borderId="16" xfId="0" applyNumberFormat="1" applyFont="1" applyFill="1" applyBorder="1"/>
    <x:xf numFmtId="0" fontId="17" fillId="6" borderId="17" xfId="0" applyNumberFormat="1" applyFont="1" applyFill="1" applyBorder="1"/>
    <x:xf numFmtId="0" fontId="17" fillId="6" borderId="18" xfId="0" applyNumberFormat="1" applyFont="1" applyFill="1" applyBorder="1"/>
    <x:xf numFmtId="0" fontId="17" fillId="6" borderId="19" xfId="0" applyNumberFormat="1" applyFont="1" applyFill="1" applyBorder="1"/>
    <x:xf numFmtId="0" fontId="17" fillId="6" borderId="20" xfId="0" applyNumberFormat="1" applyFont="1" applyFill="1" applyBorder="1"/>
    <x:xf numFmtId="201" fontId="17" fillId="6" borderId="16" xfId="0" applyNumberFormat="1" applyFont="1" applyFill="1" applyBorder="1"/>
    <x:xf numFmtId="201" fontId="17" fillId="6" borderId="0" xfId="0" applyNumberFormat="1" applyFont="1" applyFill="1" applyBorder="1"/>
    <x:xf numFmtId="201" fontId="17" fillId="6" borderId="17" xfId="0" applyNumberFormat="1" applyFont="1" applyFill="1" applyBorder="1"/>
    <x:xf numFmtId="201" fontId="17" fillId="6" borderId="18" xfId="0" applyNumberFormat="1" applyFont="1" applyFill="1" applyBorder="1"/>
    <x:xf numFmtId="201" fontId="17" fillId="6" borderId="19" xfId="0" applyNumberFormat="1" applyFont="1" applyFill="1" applyBorder="1"/>
    <x:xf numFmtId="201" fontId="17" fillId="6" borderId="20" xfId="0" applyNumberFormat="1" applyFont="1" applyFill="1" applyBorder="1"/>
    <x:xf numFmtId="201" fontId="17" fillId="6" borderId="16" xfId="0" applyNumberFormat="1" applyFont="1" applyFill="1" applyBorder="1" applyAlignment="1">
      <x:alignment vertical="center"/>
    </x:xf>
    <x:xf numFmtId="201" fontId="17" fillId="6" borderId="0" xfId="0" applyNumberFormat="1" applyFont="1" applyFill="1" applyBorder="1" applyAlignment="1">
      <x:alignment vertical="center"/>
    </x:xf>
    <x:xf numFmtId="201" fontId="17" fillId="6" borderId="17" xfId="0" applyNumberFormat="1" applyFont="1" applyFill="1" applyBorder="1" applyAlignment="1">
      <x:alignment vertical="center"/>
    </x:xf>
    <x:xf numFmtId="201" fontId="17" fillId="6" borderId="18" xfId="0" applyNumberFormat="1" applyFont="1" applyFill="1" applyBorder="1" applyAlignment="1">
      <x:alignment vertical="center"/>
    </x:xf>
    <x:xf numFmtId="201" fontId="17" fillId="6" borderId="19" xfId="0" applyNumberFormat="1" applyFont="1" applyFill="1" applyBorder="1" applyAlignment="1">
      <x:alignment vertical="center"/>
    </x:xf>
    <x:xf numFmtId="201" fontId="17" fillId="6" borderId="20" xfId="0" applyNumberFormat="1" applyFont="1" applyFill="1" applyBorder="1" applyAlignment="1">
      <x:alignment vertical="center"/>
    </x:xf>
    <x:xf numFmtId="0" fontId="17" fillId="6" borderId="1" xfId="0" applyNumberFormat="1" applyFont="1" applyFill="1" applyBorder="1"/>
    <x:xf numFmtId="0" fontId="17" fillId="6" borderId="21" xfId="0" applyNumberFormat="1" applyFont="1" applyFill="1" applyBorder="1"/>
    <x:xf numFmtId="0" fontId="17" fillId="6" borderId="22" xfId="0" applyNumberFormat="1" applyFont="1" applyFill="1" applyBorder="1"/>
    <x:xf numFmtId="0" fontId="17" fillId="6" borderId="23" xfId="0" applyNumberFormat="1" applyFont="1" applyFill="1" applyBorder="1"/>
    <x:xf numFmtId="0" fontId="17" fillId="6" borderId="24" xfId="0" applyNumberFormat="1" applyFont="1" applyFill="1" applyBorder="1"/>
    <x:xf numFmtId="0" fontId="17" fillId="6" borderId="25" xfId="0" applyNumberFormat="1" applyFont="1" applyFill="1" applyBorder="1"/>
    <x:xf numFmtId="201" fontId="17" fillId="6" borderId="21" xfId="0" applyNumberFormat="1" applyFont="1" applyFill="1" applyBorder="1"/>
    <x:xf numFmtId="201" fontId="17" fillId="6" borderId="1" xfId="0" applyNumberFormat="1" applyFont="1" applyFill="1" applyBorder="1"/>
    <x:xf numFmtId="201" fontId="17" fillId="6" borderId="22" xfId="0" applyNumberFormat="1" applyFont="1" applyFill="1" applyBorder="1"/>
    <x:xf numFmtId="201" fontId="17" fillId="6" borderId="23" xfId="0" applyNumberFormat="1" applyFont="1" applyFill="1" applyBorder="1"/>
    <x:xf numFmtId="201" fontId="17" fillId="6" borderId="24" xfId="0" applyNumberFormat="1" applyFont="1" applyFill="1" applyBorder="1"/>
    <x:xf numFmtId="201" fontId="17" fillId="6" borderId="25" xfId="0" applyNumberFormat="1" applyFont="1" applyFill="1" applyBorder="1"/>
    <x:xf numFmtId="201" fontId="17" fillId="6" borderId="21" xfId="0" applyNumberFormat="1" applyFont="1" applyFill="1" applyBorder="1" applyAlignment="1">
      <x:alignment vertical="center"/>
    </x:xf>
    <x:xf numFmtId="201" fontId="17" fillId="6" borderId="1" xfId="0" applyNumberFormat="1" applyFont="1" applyFill="1" applyBorder="1" applyAlignment="1">
      <x:alignment vertical="center"/>
    </x:xf>
    <x:xf numFmtId="201" fontId="17" fillId="6" borderId="22" xfId="0" applyNumberFormat="1" applyFont="1" applyFill="1" applyBorder="1" applyAlignment="1">
      <x:alignment vertical="center"/>
    </x:xf>
    <x:xf numFmtId="201" fontId="17" fillId="6" borderId="23" xfId="0" applyNumberFormat="1" applyFont="1" applyFill="1" applyBorder="1" applyAlignment="1">
      <x:alignment vertical="center"/>
    </x:xf>
    <x:xf numFmtId="201" fontId="17" fillId="6" borderId="24" xfId="0" applyNumberFormat="1" applyFont="1" applyFill="1" applyBorder="1" applyAlignment="1">
      <x:alignment vertical="center"/>
    </x:xf>
    <x:xf numFmtId="201" fontId="17" fillId="6" borderId="25" xfId="0" applyNumberFormat="1" applyFont="1" applyFill="1" applyBorder="1" applyAlignment="1">
      <x:alignment vertical="center"/>
    </x:xf>
    <x:xf numFmtId="0" fontId="16" fillId="6" borderId="26" xfId="0" applyNumberFormat="1" applyFont="1" applyFill="1" applyBorder="1"/>
    <x:xf numFmtId="0" fontId="16" fillId="6" borderId="27" xfId="0" applyNumberFormat="1" applyFont="1" applyFill="1" applyBorder="1"/>
    <x:xf numFmtId="0" fontId="16" fillId="6" borderId="28" xfId="0" applyNumberFormat="1" applyFont="1" applyFill="1" applyBorder="1"/>
    <x:xf numFmtId="0" fontId="16" fillId="6" borderId="29" xfId="0" applyNumberFormat="1" applyFont="1" applyFill="1" applyBorder="1"/>
    <x:xf numFmtId="0" fontId="16" fillId="6" borderId="30" xfId="0" applyNumberFormat="1" applyFont="1" applyFill="1" applyBorder="1"/>
    <x:xf numFmtId="0" fontId="16" fillId="6" borderId="31" xfId="0" applyNumberFormat="1" applyFont="1" applyFill="1" applyBorder="1"/>
    <x:xf numFmtId="0" fontId="16" fillId="6" borderId="32" xfId="0" applyNumberFormat="1" applyFont="1" applyFill="1" applyBorder="1"/>
    <x:xf numFmtId="0" fontId="16" fillId="6" borderId="33" xfId="0" applyNumberFormat="1" applyFont="1" applyFill="1" applyBorder="1"/>
    <x:xf numFmtId="0" fontId="16" fillId="6" borderId="34" xfId="0" applyNumberFormat="1" applyFont="1" applyFill="1" applyBorder="1"/>
    <x:xf numFmtId="0" fontId="16" fillId="6" borderId="35" xfId="0" applyNumberFormat="1" applyFont="1" applyFill="1" applyBorder="1"/>
    <x:xf numFmtId="0" fontId="16" fillId="6" borderId="36" xfId="0" applyNumberFormat="1" applyFont="1" applyFill="1" applyBorder="1"/>
    <x:xf numFmtId="0" fontId="16" fillId="6" borderId="37" xfId="0" applyNumberFormat="1" applyFont="1" applyFill="1" applyBorder="1"/>
    <x:xf numFmtId="0" fontId="16" fillId="6" borderId="38" xfId="0" applyNumberFormat="1" applyFont="1" applyFill="1" applyBorder="1"/>
    <x:xf numFmtId="0" fontId="16" fillId="6" borderId="39" xfId="0" applyNumberFormat="1" applyFont="1" applyFill="1" applyBorder="1"/>
    <x:xf numFmtId="0" fontId="16" fillId="6" borderId="40" xfId="0" applyNumberFormat="1" applyFont="1" applyFill="1" applyBorder="1"/>
    <x:xf numFmtId="0" fontId="16" fillId="6" borderId="41" xfId="0" applyNumberFormat="1" applyFont="1" applyFill="1" applyBorder="1"/>
    <x:xf numFmtId="0" fontId="16" fillId="6" borderId="42" xfId="0" applyNumberFormat="1" applyFont="1" applyFill="1" applyBorder="1"/>
    <x:xf numFmtId="0" fontId="16" fillId="6" borderId="43" xfId="0" applyNumberFormat="1" applyFont="1" applyFill="1" applyBorder="1"/>
    <x:xf numFmtId="201" fontId="1" fillId="2" borderId="0" xfId="0" applyNumberFormat="1" applyFont="1" applyFill="1" applyBorder="1"/>
    <x:xf numFmtId="201" fontId="1" fillId="2" borderId="1" xfId="0" applyNumberFormat="1" applyFont="1" applyFill="1" applyBorder="1"/>
    <x:xf numFmtId="201" fontId="1" fillId="6" borderId="0" xfId="0" applyNumberFormat="1" applyFont="1" applyFill="1" applyBorder="1"/>
    <x:xf numFmtId="201" fontId="1" fillId="6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8" fillId="3" borderId="0" xfId="0" applyNumberFormat="1" applyFont="1" applyFill="1" applyBorder="1"/>
    <x:xf numFmtId="0" fontId="18" fillId="3" borderId="44" xfId="0" applyNumberFormat="1" applyFont="1" applyFill="1" applyBorder="1"/>
    <x:xf numFmtId="0" fontId="18" fillId="3" borderId="1" xfId="0" applyNumberFormat="1" applyFont="1" applyFill="1" applyBorder="1"/>
    <x:xf numFmtId="0" fontId="18" fillId="3" borderId="45" xfId="0" applyNumberFormat="1" applyFont="1" applyFill="1" applyBorder="1"/>
    <x:xf numFmtId="0" fontId="19" fillId="3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A32D2D"/>
      </x:font>
      <x:fill>
        <x:patternFill patternType="solid">
          <x:bgColor rgb="FFFBECEC"/>
        </x:patternFill>
      </x:fill>
    </x:dxf>
    <x:dxf>
      <x:font>
        <x:b/>
        <x:color rgb="FF0F6E56"/>
      </x:font>
      <x:fill>
        <x:patternFill patternType="solid">
          <x:bgColor rgb="FFE7F5EF"/>
        </x:patternFill>
      </x:fill>
    </x:dxf>
    <x:dxf>
      <x:fill>
        <x:patternFill patternType="solid">
          <x:bgColor rgb="FFFBECEC"/>
        </x:patternFill>
      </x:fill>
    </x:dxf>
    <x:dxf>
      <x:fill>
        <x:patternFill patternType="solid">
          <x:bgColor rgb="FFFDF3E3"/>
        </x:patternFill>
      </x:fill>
    </x:dxf>
    <x:dxf>
      <x:fill>
        <x:patternFill patternType="solid">
          <x:bgColor rgb="FFFBECEC"/>
        </x:patternFill>
      </x:fill>
    </x:dxf>
    <x:dxf>
      <x:font>
        <x:b/>
        <x:color rgb="FF854F0B"/>
      </x:font>
      <x:fill>
        <x:patternFill patternType="solid">
          <x:bgColor rgb="FFFDF3E3"/>
        </x:patternFill>
      </x:fill>
    </x:dxf>
    <x:dxf>
      <x:font>
        <x:b/>
        <x:color rgb="FF0F6E56"/>
      </x:font>
      <x:fill>
        <x:patternFill patternType="solid">
          <x:bgColor rgb="FFE7F5EF"/>
        </x:patternFill>
      </x:fill>
    </x:dxf>
    <x:dxf>
      <x:font>
        <x:b/>
        <x:color rgb="FFA32D2D"/>
      </x:font>
      <x:fill>
        <x:patternFill patternType="solid">
          <x:bgColor rgb="FFFBECEC"/>
        </x:patternFill>
      </x:fill>
    </x:dxf>
    <x:dxf>
      <x:font>
        <x:b/>
        <x:color rgb="FFA32D2D"/>
      </x:font>
      <x:fill>
        <x:patternFill patternType="solid">
          <x:bgColor rgb="FFFB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b592b2c904fd2" /><Relationship Type="http://schemas.openxmlformats.org/officeDocument/2006/relationships/theme" Target="/xl/theme/theme1.xml" Id="R15d4be36b8db49bb" /><Relationship Type="http://schemas.openxmlformats.org/officeDocument/2006/relationships/sharedStrings" Target="/xl/sharedStrings.xml" Id="Ra323a6fc54634552" /><Relationship Type="http://schemas.openxmlformats.org/officeDocument/2006/relationships/worksheet" Target="/xl/worksheets/sheet1.xml" Id="R49b1af1ed4294f93" /><Relationship Type="http://schemas.openxmlformats.org/officeDocument/2006/relationships/worksheet" Target="/xl/worksheets/sheet2.xml" Id="R7edc542b84db4630" /><Relationship Type="http://schemas.openxmlformats.org/officeDocument/2006/relationships/worksheet" Target="/xl/worksheets/sheet3.xml" Id="Rdbcba75109134c40" /><Relationship Type="http://schemas.openxmlformats.org/officeDocument/2006/relationships/worksheet" Target="/xl/worksheets/sheet4.xml" Id="R17f23cc96eb54727" /><Relationship Type="http://schemas.openxmlformats.org/officeDocument/2006/relationships/worksheet" Target="/xl/worksheets/sheet5.xml" Id="R5d55c4f07b8e4c41" /><Relationship Type="http://schemas.openxmlformats.org/officeDocument/2006/relationships/worksheet" Target="/xl/worksheets/sheet6.xml" Id="R16a7456c778e46be" /><Relationship Type="http://schemas.openxmlformats.org/officeDocument/2006/relationships/worksheet" Target="/xl/worksheets/sheet7.xml" Id="Rf43aaa19134943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99d871bb3544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30 Günlük Net Likidite Eğrisi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Net Pozisyon</c:v>
          </c:tx>
          <c:marker>
            <c:symbol val="none"/>
          </c:marker>
          <c:cat>
            <c:strRef>
              <c:f>'SISTEM'!$P$8:$P$38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'SISTEM'!$S$8:$S$38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16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99d871bb35449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KasaBanka" displayName="TblKasaBanka" ref="B6:J1006" headerRowCount="1" totalsRowCount="0" totalsRowShown="0">
  <x:tableColumns count="9">
    <x:tableColumn id="1" name="Hesap Adı"/>
    <x:tableColumn id="2" name="Tür"/>
    <x:tableColumn id="3" name="Para Birimi"/>
    <x:tableColumn id="4" name="Bakiye"/>
    <x:tableColumn id="5" name="Bloke / Rezerve"/>
    <x:tableColumn id="6" name="Kullanılabilir"/>
    <x:tableColumn id="7" name="Kur"/>
    <x:tableColumn id="8" name="TL Karşılığı"/>
    <x:tableColumn id="9" name="Kontro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Tahsilatlar" displayName="TblTahsilatlar" ref="B6:N1006" headerRowCount="1" totalsRowCount="0" totalsRowShown="0">
  <x:tableColumns count="13">
    <x:tableColumn id="1" name="Müşteri"/>
    <x:tableColumn id="2" name="Belge / Açıklama"/>
    <x:tableColumn id="3" name="Vade Tarihi"/>
    <x:tableColumn id="4" name="Beklenen Tahsil Tarihi"/>
    <x:tableColumn id="5" name="Tutar"/>
    <x:tableColumn id="6" name="PB"/>
    <x:tableColumn id="7" name="Tahsil Edilen"/>
    <x:tableColumn id="8" name="Kalan Tutar"/>
    <x:tableColumn id="9" name="Güven"/>
    <x:tableColumn id="10" name="Kur"/>
    <x:tableColumn id="11" name="Kalan TL"/>
    <x:tableColumn id="12" name="Durum"/>
    <x:tableColumn id="13" name="Likiditeye Dahil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Odemeler" displayName="TblOdemeler" ref="B6:N1006" headerRowCount="1" totalsRowCount="0" totalsRowShown="0">
  <x:tableColumns count="13">
    <x:tableColumn id="1" name="Alacaklı / Kalem"/>
    <x:tableColumn id="2" name="Belge / Açıklama"/>
    <x:tableColumn id="3" name="Vade Tarihi"/>
    <x:tableColumn id="4" name="Planlanan Ödeme Tarihi"/>
    <x:tableColumn id="5" name="Tutar"/>
    <x:tableColumn id="6" name="PB"/>
    <x:tableColumn id="7" name="Ödenen"/>
    <x:tableColumn id="8" name="Kalan Tutar"/>
    <x:tableColumn id="9" name="Öncelik"/>
    <x:tableColumn id="10" name="Kur"/>
    <x:tableColumn id="11" name="Kalan TL"/>
    <x:tableColumn id="12" name="Durum"/>
    <x:tableColumn id="13" name="Likiditeye Dahil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b67f418c4246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5cc54a6e93a40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58c1e3c103e41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c0e3d37420c46c4" /></Relationships>
</file>

<file path=xl/worksheets/sheet1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" hidden="0" customWidth="1"/>
  </x:cols>
  <x:sheetData>
    <x:row r="1" ht="28" customHeight="1">
      <x:c r="A1" s="9" t="str">
        <x:v>☰  ANA MENÜ</x:v>
      </x:c>
      <x:c r="B1" s="9"/>
      <x:c r="C1" s="139" t="str">
        <x:v>YÖNETİCİ ÖZETİ</x:v>
      </x:c>
      <x:c r="D1" s="139"/>
      <x:c r="E1" s="139"/>
      <x:c r="F1" s="139"/>
      <x:c r="G1" s="139"/>
      <x:c r="H1" s="139"/>
      <x:c r="I1" s="139"/>
      <x:c r="J1" s="139"/>
      <x:c r="K1" s="139"/>
      <x:c r="L1" s="139"/>
      <x:c r="M1" s="139"/>
      <x:c r="N1" s="139"/>
    </x:row>
    <x:row r="2" ht="28" customHeight="1">
      <x:c r="A2" s="23" t="str">
        <x:v>Bugünkü hazır nakit + 7 gün + 30 gün beklenen nakit akışı. Bu ekran rapordur; veri girişi yapılmaz.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9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8" t="e">
        <x:f>HYPERLINK("#PANO!A1","← PANO")</x:f>
        <x:v>HYPERLINK is not implemented. linkLocation=#PANO!A1, friendlyName=← PANO</x:v>
      </x:c>
      <x:c r="B4" s="26"/>
      <x:c r="C4" s="146" t="str">
        <x:v>RAPOR EKRANI — KAYIT GİRİLMEZ</x:v>
      </x:c>
      <x:c r="D4" s="146"/>
      <x:c r="E4" s="146"/>
      <x:c r="F4" s="146"/>
      <x:c r="G4" s="146"/>
      <x:c r="H4" s="146"/>
      <x:c r="I4" s="146"/>
      <x:c r="J4" s="146"/>
      <x:c r="K4" s="146" t="str"/>
      <x:c r="L4" s="146" t="str"/>
      <x:c r="M4" s="146" t="str"/>
      <x:c r="N4" s="146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</x:row>
    <x:row r="6">
      <x:c r="A6" s="4"/>
      <x:c r="B6" s="151" t="str">
        <x:v>HAZIR NAKİT</x:v>
      </x:c>
      <x:c r="C6" s="152"/>
      <x:c r="D6" s="153"/>
      <x:c r="E6" s="194" t="str">
        <x:v>7 GÜN TAHSİLAT</x:v>
      </x:c>
      <x:c r="F6" s="195"/>
      <x:c r="G6" s="196"/>
      <x:c r="H6" s="200" t="str">
        <x:v>7 GÜN NET</x:v>
      </x:c>
      <x:c r="I6" s="201"/>
      <x:c r="J6" s="202"/>
      <x:c r="K6" s="206" t="str">
        <x:v>30 GÜN NET</x:v>
      </x:c>
      <x:c r="L6" s="207"/>
      <x:c r="M6" s="208"/>
      <x:c r="N6" s="4"/>
    </x:row>
    <x:row r="7">
      <x:c r="A7" s="4"/>
      <x:c r="B7" s="170" t="n">
        <x:f>$H$19</x:f>
        <x:v>0</x:v>
      </x:c>
      <x:c r="C7" s="171"/>
      <x:c r="D7" s="172"/>
      <x:c r="E7" s="170" t="n">
        <x:f>$H$20</x:f>
        <x:v>0</x:v>
      </x:c>
      <x:c r="F7" s="171"/>
      <x:c r="G7" s="172"/>
      <x:c r="H7" s="170" t="n">
        <x:f>$H$22</x:f>
        <x:v>0</x:v>
      </x:c>
      <x:c r="I7" s="171"/>
      <x:c r="J7" s="172"/>
      <x:c r="K7" s="170" t="n">
        <x:f>$H$25</x:f>
        <x:v>0</x:v>
      </x:c>
      <x:c r="L7" s="171"/>
      <x:c r="M7" s="172"/>
      <x:c r="N7" s="4"/>
    </x:row>
    <x:row r="8">
      <x:c r="A8" s="4"/>
      <x:c r="B8" s="173"/>
      <x:c r="C8" s="174"/>
      <x:c r="D8" s="175"/>
      <x:c r="E8" s="173"/>
      <x:c r="F8" s="174"/>
      <x:c r="G8" s="175"/>
      <x:c r="H8" s="173"/>
      <x:c r="I8" s="174"/>
      <x:c r="J8" s="175"/>
      <x:c r="K8" s="173"/>
      <x:c r="L8" s="174"/>
      <x:c r="M8" s="175"/>
      <x:c r="N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</x:row>
    <x:row r="10">
      <x:c r="A10" s="4"/>
      <x:c r="B10" s="37" t="str">
        <x:v>NAKİT AKIŞI ÖZETİ</x:v>
      </x:c>
      <x:c r="C10" s="37"/>
      <x:c r="D10" s="37"/>
      <x:c r="E10" s="37"/>
      <x:c r="F10" s="37"/>
      <x:c r="G10" s="37" t="str">
        <x:v>KRİTİK UYARILAR</x:v>
      </x:c>
      <x:c r="H10" s="37"/>
      <x:c r="I10" s="37"/>
      <x:c r="J10" s="37"/>
      <x:c r="K10" s="37"/>
      <x:c r="L10" s="37"/>
      <x:c r="M10" s="37"/>
      <x:c r="N10" s="4"/>
    </x:row>
    <x:row r="11" ht="34" customHeight="1">
      <x:c r="A11" s="4"/>
      <x:c r="B11" s="63" t="str">
        <x:v>Ufuk</x:v>
      </x:c>
      <x:c r="C11" s="63" t="str">
        <x:v>Başlangıç Nakit</x:v>
      </x:c>
      <x:c r="D11" s="63" t="str">
        <x:v>Tahsilat</x:v>
      </x:c>
      <x:c r="E11" s="63" t="str">
        <x:v>Ödeme</x:v>
      </x:c>
      <x:c r="F11" s="4"/>
      <x:c r="G11" s="42" t="str">
        <x:v>Gösterge</x:v>
      </x:c>
      <x:c r="H11" s="42" t="str">
        <x:v>Değer</x:v>
      </x:c>
      <x:c r="I11" s="42" t="str">
        <x:v>Durum</x:v>
      </x:c>
      <x:c r="J11" s="4"/>
      <x:c r="K11" s="4"/>
      <x:c r="L11" s="4"/>
      <x:c r="M11" s="4"/>
      <x:c r="N11" s="4"/>
    </x:row>
    <x:row r="12">
      <x:c r="A12" s="4"/>
      <x:c r="B12" s="52" t="str">
        <x:v>Bugün</x:v>
      </x:c>
      <x:c r="C12" s="68" t="n">
        <x:f>$H$19</x:f>
        <x:v>0</x:v>
      </x:c>
      <x:c r="D12" s="68" t="n">
        <x:f>$H$23</x:f>
        <x:v>0</x:v>
      </x:c>
      <x:c r="E12" s="68" t="n">
        <x:f>$H$24</x:f>
        <x:v>0</x:v>
      </x:c>
      <x:c r="F12" s="4"/>
      <x:c r="G12" s="52" t="str">
        <x:v>Vadesi Geçmiş Tahsilat</x:v>
      </x:c>
      <x:c r="H12" s="52" t="n">
        <x:f>COUNTIFS(TAHSILATLAR!I7:I1006,"&gt;0",TAHSILATLAR!D7:D1006,"&lt;"&amp;SISTEM!C9)</x:f>
        <x:v>0</x:v>
      </x:c>
      <x:c r="I12" s="52" t="str">
        <x:f>IF(H12=0,"TEMİZ","DİKKAT")</x:f>
        <x:v>TEMİZ</x:v>
      </x:c>
      <x:c r="J12" s="4"/>
      <x:c r="K12" s="4"/>
      <x:c r="L12" s="4"/>
      <x:c r="M12" s="4"/>
      <x:c r="N12" s="4"/>
    </x:row>
    <x:row r="13">
      <x:c r="A13" s="4"/>
      <x:c r="B13" s="52" t="str">
        <x:v>7 Gün</x:v>
      </x:c>
      <x:c r="C13" s="68" t="n">
        <x:f>$H$19</x:f>
        <x:v>0</x:v>
      </x:c>
      <x:c r="D13" s="68" t="n">
        <x:f>$H$20</x:f>
        <x:v>0</x:v>
      </x:c>
      <x:c r="E13" s="68" t="n">
        <x:f>$H$21</x:f>
        <x:v>0</x:v>
      </x:c>
      <x:c r="F13" s="4"/>
      <x:c r="G13" s="52" t="str">
        <x:v>Vadesi Geçmiş Ödeme</x:v>
      </x:c>
      <x:c r="H13" s="52" t="n">
        <x:f>COUNTIFS(ODEMELER!I7:I1006,"&gt;0",ODEMELER!D7:D1006,"&lt;"&amp;SISTEM!C9)</x:f>
        <x:v>0</x:v>
      </x:c>
      <x:c r="I13" s="52" t="str">
        <x:f>IF(H13=0,"TEMİZ","DİKKAT")</x:f>
        <x:v>TEMİZ</x:v>
      </x:c>
      <x:c r="J13" s="4"/>
      <x:c r="K13" s="4"/>
      <x:c r="L13" s="4"/>
      <x:c r="M13" s="4"/>
      <x:c r="N13" s="4"/>
    </x:row>
    <x:row r="14">
      <x:c r="A14" s="4"/>
      <x:c r="B14" s="54" t="str">
        <x:v>30 Gün</x:v>
      </x:c>
      <x:c r="C14" s="69" t="n">
        <x:f>$H$19</x:f>
        <x:v>0</x:v>
      </x:c>
      <x:c r="D14" s="69" t="n">
        <x:f>$H$20+$H$26</x:f>
        <x:v>0</x:v>
      </x:c>
      <x:c r="E14" s="69" t="n">
        <x:f>$H$21+$H$27</x:f>
        <x:v>0</x:v>
      </x:c>
      <x:c r="F14" s="4"/>
      <x:c r="G14" s="52" t="str">
        <x:v>Riskli Tahsilat (30g)</x:v>
      </x:c>
      <x:c r="H14" s="68" t="n">
        <x:f>SUMIFS(TAHSILATLAR!L7:L1006,TAHSILATLAR!J7:J1006,"Riskli",TAHSILATLAR!E7:E1006,"&lt;="&amp;SISTEM!C9+30,TAHSILATLAR!I7:I1006,"&gt;0")</x:f>
        <x:v>0</x:v>
      </x:c>
      <x:c r="I14" s="52" t="str">
        <x:f>IF(H14=0,"TEMİZ","DİKKAT")</x:f>
        <x:v>TEMİZ</x:v>
      </x:c>
      <x:c r="J14" s="4"/>
      <x:c r="K14" s="4"/>
      <x:c r="L14" s="4"/>
      <x:c r="M14" s="4"/>
      <x:c r="N14" s="4"/>
    </x:row>
    <x:row r="15">
      <x:c r="A15" s="4"/>
      <x:c r="B15" s="4"/>
      <x:c r="C15" s="4"/>
      <x:c r="D15" s="4"/>
      <x:c r="E15" s="4"/>
      <x:c r="F15" s="4"/>
      <x:c r="G15" s="54" t="str">
        <x:v>Negatif Hesap Sayısı</x:v>
      </x:c>
      <x:c r="H15" s="54" t="n">
        <x:f>COUNTIF(KASA_BANKA!G7:G1006,"&lt;0")</x:f>
        <x:v>0</x:v>
      </x:c>
      <x:c r="I15" s="54" t="str">
        <x:f>IF(H15=0,"TEMİZ","DİKKAT")</x:f>
        <x:v>TEMİZ</x:v>
      </x:c>
      <x:c r="J15" s="4"/>
      <x:c r="K15" s="4"/>
      <x:c r="L15" s="4"/>
      <x:c r="M15" s="4"/>
      <x:c r="N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4"/>
      <x:c r="B18" s="4"/>
      <x:c r="C18" s="4"/>
      <x:c r="D18" s="4"/>
      <x:c r="E18" s="4"/>
      <x:c r="F18" s="4"/>
      <x:c r="G18" s="37" t="str">
        <x:v>HESAP MOTORU / MUTABAKAT</x:v>
      </x:c>
      <x:c r="H18" s="37"/>
      <x:c r="I18" s="37"/>
      <x:c r="J18" s="37"/>
      <x:c r="K18" s="37"/>
      <x:c r="L18" s="37"/>
      <x:c r="M18" s="37"/>
      <x:c r="N18" s="4"/>
    </x:row>
    <x:row r="19">
      <x:c r="A19" s="4"/>
      <x:c r="B19" s="4"/>
      <x:c r="C19" s="4"/>
      <x:c r="D19" s="4"/>
      <x:c r="E19" s="4"/>
      <x:c r="F19" s="4"/>
      <x:c r="G19" s="52" t="str">
        <x:v>Hazır Nakit</x:v>
      </x:c>
      <x:c r="H19" s="68" t="n">
        <x:f>SUM(KASA_BANKA!I7:I1006)</x:f>
        <x:v>0</x:v>
      </x:c>
      <x:c r="I19" s="4"/>
      <x:c r="J19" s="4"/>
      <x:c r="K19" s="4"/>
      <x:c r="L19" s="4"/>
      <x:c r="M19" s="4"/>
      <x:c r="N19" s="4"/>
    </x:row>
    <x:row r="20">
      <x:c r="A20" s="4"/>
      <x:c r="B20" s="4"/>
      <x:c r="C20" s="4"/>
      <x:c r="D20" s="4"/>
      <x:c r="E20" s="4"/>
      <x:c r="F20" s="4"/>
      <x:c r="G20" s="52" t="str">
        <x:v>7 Gün Tahsilat</x:v>
      </x:c>
      <x:c r="H20" s="68" t="n">
        <x:f>SUMIFS(TAHSILATLAR!L7:L1006,TAHSILATLAR!N7:N1006,"Evet",TAHSILATLAR!E7:E1006,"&gt;="&amp;SISTEM!C9,TAHSILATLAR!E7:E1006,"&lt;="&amp;SISTEM!C9+7)</x:f>
        <x:v>0</x:v>
      </x:c>
      <x:c r="I20" s="4"/>
      <x:c r="J20" s="4"/>
      <x:c r="K20" s="4"/>
      <x:c r="L20" s="4"/>
      <x:c r="M20" s="4"/>
      <x:c r="N20" s="4"/>
    </x:row>
    <x:row r="21">
      <x:c r="A21" s="4"/>
      <x:c r="B21" s="4"/>
      <x:c r="C21" s="4"/>
      <x:c r="D21" s="4"/>
      <x:c r="E21" s="4"/>
      <x:c r="F21" s="4"/>
      <x:c r="G21" s="52" t="str">
        <x:v>7 Gün Ödeme</x:v>
      </x:c>
      <x:c r="H21" s="68" t="n">
        <x:f>SUMIFS(ODEMELER!L7:L1006,ODEMELER!N7:N1006,"Evet",ODEMELER!E7:E1006,"&gt;="&amp;SISTEM!C9,ODEMELER!E7:E1006,"&lt;="&amp;SISTEM!C9+7)</x:f>
        <x:v>0</x:v>
      </x:c>
      <x:c r="I21" s="4"/>
      <x:c r="J21" s="4"/>
      <x:c r="K21" s="4"/>
      <x:c r="L21" s="4"/>
      <x:c r="M21" s="4"/>
      <x:c r="N21" s="4"/>
    </x:row>
    <x:row r="22">
      <x:c r="A22" s="4"/>
      <x:c r="B22" s="4"/>
      <x:c r="C22" s="4"/>
      <x:c r="D22" s="4"/>
      <x:c r="E22" s="4"/>
      <x:c r="F22" s="4"/>
      <x:c r="G22" s="52" t="str">
        <x:v>7 Gün Net</x:v>
      </x:c>
      <x:c r="H22" s="68" t="n">
        <x:f>H19+H20-H21</x:f>
        <x:v>0</x:v>
      </x:c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52" t="str">
        <x:v>Bugün Tahsilat</x:v>
      </x:c>
      <x:c r="H23" s="68" t="n">
        <x:f>SUMIFS(TAHSILATLAR!L7:L1006,TAHSILATLAR!N7:N1006,"Evet",TAHSILATLAR!E7:E1006,SISTEM!C9)</x:f>
        <x:v>0</x:v>
      </x:c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52" t="str">
        <x:v>Bugün Ödeme</x:v>
      </x:c>
      <x:c r="H24" s="68" t="n">
        <x:f>SUMIFS(ODEMELER!L7:L1006,ODEMELER!N7:N1006,"Evet",ODEMELER!E7:E1006,SISTEM!C9)</x:f>
        <x:v>0</x:v>
      </x:c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52" t="str">
        <x:v>30 Gün Net</x:v>
      </x:c>
      <x:c r="H25" s="68" t="n">
        <x:f>H19+SUMIFS(TAHSILATLAR!L7:L1006,TAHSILATLAR!N7:N1006,"Evet",TAHSILATLAR!E7:E1006,"&gt;="&amp;SISTEM!C9,TAHSILATLAR!E7:E1006,"&lt;="&amp;SISTEM!C9+30)-SUMIFS(ODEMELER!L7:L1006,ODEMELER!N7:N1006,"Evet",ODEMELER!E7:E1006,"&gt;="&amp;SISTEM!C9,ODEMELER!E7:E1006,"&lt;="&amp;SISTEM!C9+30)</x:f>
        <x:v>0</x:v>
      </x:c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52" t="str">
        <x:v>8-30 Gün Tahsilat</x:v>
      </x:c>
      <x:c r="H26" s="68" t="n">
        <x:f>SUMIFS(TAHSILATLAR!L7:L1006,TAHSILATLAR!N7:N1006,"Evet",TAHSILATLAR!E7:E1006,"&gt;"&amp;SISTEM!C9+7,TAHSILATLAR!E7:E1006,"&lt;="&amp;SISTEM!C9+30)</x:f>
        <x:v>0</x:v>
      </x:c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54" t="str">
        <x:v>8-30 Gün Ödeme</x:v>
      </x:c>
      <x:c r="H27" s="69" t="n">
        <x:f>SUMIFS(ODEMELER!L7:L1006,ODEMELER!N7:N1006,"Evet",ODEMELER!E7:E1006,"&gt;"&amp;SISTEM!C9+7,ODEMELER!E7:E1006,"&lt;="&amp;SISTEM!C9+30)</x:f>
        <x:v>0</x:v>
      </x:c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226" t="str">
        <x:v>MENÜ</x:v>
      </x:c>
      <x:c r="C32" s="222" t="str"/>
      <x:c r="D32" s="222" t="str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222" t="e">
        <x:f>HYPERLINK("#KASA_BANKA!A1","KASA BANKA")</x:f>
        <x:v>HYPERLINK is not implemented. linkLocation=#KASA_BANKA!A1, friendlyName=KASA BANKA</x:v>
      </x:c>
      <x:c r="C33" s="222" t="str"/>
      <x:c r="D33" s="222" t="str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222" t="e">
        <x:f>HYPERLINK("#TAHSILATLAR!A1","TAHSILATLAR")</x:f>
        <x:v>HYPERLINK is not implemented. linkLocation=#TAHSILATLAR!A1, friendlyName=TAHSILATLAR</x:v>
      </x:c>
      <x:c r="C34" s="222" t="str"/>
      <x:c r="D34" s="222" t="str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222" t="e">
        <x:f>HYPERLINK("#ODEMELER!A1","ODEMELER")</x:f>
        <x:v>HYPERLINK is not implemented. linkLocation=#ODEMELER!A1, friendlyName=ODEMELER</x:v>
      </x:c>
      <x:c r="C35" s="222" t="str"/>
      <x:c r="D35" s="222" t="str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222" t="e">
        <x:f>HYPERLINK("#KURLAR!A1","KURLAR")</x:f>
        <x:v>HYPERLINK is not implemented. linkLocation=#KURLAR!A1, friendlyName=KURLAR</x:v>
      </x:c>
      <x:c r="C36" s="222" t="str"/>
      <x:c r="D36" s="222" t="str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222" t="e">
        <x:f>HYPERLINK("#SISTEM!A1","SISTEM")</x:f>
        <x:v>HYPERLINK is not implemented. linkLocation=#SISTEM!A1, friendlyName=SISTEM</x:v>
      </x:c>
      <x:c r="C37" s="222" t="str"/>
      <x:c r="D37" s="222" t="str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223" t="e">
        <x:f>HYPERLINK("#BASLANGIC!A1","BASLANGIC")</x:f>
        <x:v>HYPERLINK is not implemented. linkLocation=#BASLANGIC!A1, friendlyName=BASLANGIC</x:v>
      </x:c>
      <x:c r="C38" s="223" t="str"/>
      <x:c r="D38" s="223" t="str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</x:row>
  </x:sheetData>
  <x:mergeCells>
    <x:mergeCell ref="A1:B1"/>
    <x:mergeCell ref="C1:N1"/>
    <x:mergeCell ref="A2:N2"/>
    <x:mergeCell ref="C4:N4"/>
    <x:mergeCell ref="B6:D6"/>
    <x:mergeCell ref="B7:D8"/>
    <x:mergeCell ref="E6:G6"/>
    <x:mergeCell ref="E7:G8"/>
    <x:mergeCell ref="H6:J6"/>
    <x:mergeCell ref="H7:J8"/>
    <x:mergeCell ref="K6:M6"/>
    <x:mergeCell ref="K7:M8"/>
    <x:mergeCell ref="B10:M10"/>
    <x:mergeCell ref="G10:M10"/>
    <x:mergeCell ref="G18:M18"/>
  </x:mergeCells>
  <x:conditionalFormatting sqref="I12:I15">
    <x:cfRule type="expression" dxfId="5" priority="1">
      <x:formula>I12="DİKKAT"</x:formula>
    </x:cfRule>
    <x:cfRule type="expression" dxfId="6" priority="2">
      <x:formula>I12="TEMİZ"</x:formula>
    </x:cfRule>
  </x:conditionalFormatting>
  <x:conditionalFormatting sqref="H7:J8">
    <x:cfRule type="expression" dxfId="7" priority="3">
      <x:formula>H7&lt;0</x:formula>
    </x:cfRule>
  </x:conditionalFormatting>
  <x:conditionalFormatting sqref="K7:M8">
    <x:cfRule type="expression" dxfId="8" priority="4">
      <x:formula>K7&lt;0</x:formula>
    </x:cfRule>
  </x:conditionalFormatting>
  <x:pageMargins left="0.7" right="0.7" top="0.75" bottom="0.75" header="0.3" footer="0.3"/>
  <x:drawing xmlns:r="http://schemas.openxmlformats.org/officeDocument/2006/relationships" r:id="R1eb67f418c42469b"/>
</x:worksheet>
</file>

<file path=xl/worksheets/sheet2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9" t="e">
        <x:f>HYPERLINK("#PANO!A1","☰  MENÜ")</x:f>
        <x:v>HYPERLINK is not implemented. linkLocation=#PANO!A1, friendlyName=☰  MENÜ</x:v>
      </x:c>
      <x:c r="B1" s="9"/>
      <x:c r="C1" s="17" t="str">
        <x:v>BAŞLANGIÇ / KULLANIM KILAVUZU</x:v>
      </x:c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8" customHeight="1">
      <x:c r="A2" s="23" t="str">
        <x:v>5 dakikada kurulum: kur girin, hesapları yazın, tahsilatları ve ödemeleri girin, PANO’ya dönün.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9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8" t="e">
        <x:f>HYPERLINK("#PANO!A1","← PANO")</x:f>
        <x:v>HYPERLINK is not implemented. linkLocation=#PANO!A1, friendlyName=← PANO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A5" s="4"/>
      <x:c r="B5" s="117" t="str">
        <x:v>GÜNLÜK KASA, BANKA VE LİKİDİTE ERP ŞABLONU</x:v>
      </x:c>
      <x:c r="C5" s="117"/>
      <x:c r="D5" s="117"/>
      <x:c r="E5" s="117"/>
      <x:c r="F5" s="117"/>
      <x:c r="G5" s="117"/>
      <x:c r="H5" s="117"/>
      <x:c r="I5" s="117"/>
      <x:c r="J5" s="117"/>
      <x:c r="K5" s="117"/>
      <x:c r="L5" s="117"/>
      <x:c r="M5" s="117"/>
      <x:c r="N5" s="117"/>
    </x:row>
    <x:row r="6">
      <x:c r="A6" s="4"/>
      <x:c r="B6" s="117"/>
      <x:c r="C6" s="117"/>
      <x:c r="D6" s="117"/>
      <x:c r="E6" s="117"/>
      <x:c r="F6" s="117"/>
      <x:c r="G6" s="117"/>
      <x:c r="H6" s="117"/>
      <x:c r="I6" s="117"/>
      <x:c r="J6" s="117"/>
      <x:c r="K6" s="117"/>
      <x:c r="L6" s="117"/>
      <x:c r="M6" s="117"/>
      <x:c r="N6" s="117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</x:row>
    <x:row r="8">
      <x:c r="A8" s="4"/>
      <x:c r="B8" s="37" t="str">
        <x:v>1. NE İŞE YARAR?</x:v>
      </x:c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</x:row>
    <x:row r="9">
      <x:c r="A9" s="4"/>
      <x:c r="B9" s="122" t="str">
        <x:v>Bugünkü kullanılabilir nakdi, 7 ve 30 gün içinde beklenen tahsilatları, yapılacak ödemeleri ve net likidite pozisyonunu tek ekranda gösterir. TL, USD ve EUR destekler. Veri girişi tamamen manueldir; harici bağlantı yoktur.</x:v>
      </x:c>
      <x:c r="C9" s="122"/>
      <x:c r="D9" s="122"/>
      <x:c r="E9" s="122"/>
      <x:c r="F9" s="122"/>
      <x:c r="G9" s="122"/>
      <x:c r="H9" s="122"/>
      <x:c r="I9" s="122"/>
      <x:c r="J9" s="122"/>
      <x:c r="K9" s="122"/>
      <x:c r="L9" s="122"/>
      <x:c r="M9" s="122"/>
      <x:c r="N9" s="122"/>
    </x:row>
    <x:row r="10">
      <x:c r="A10" s="4"/>
      <x:c r="B10" s="122"/>
      <x:c r="C10" s="122"/>
      <x:c r="D10" s="122"/>
      <x:c r="E10" s="122"/>
      <x:c r="F10" s="122"/>
      <x:c r="G10" s="122"/>
      <x:c r="H10" s="122"/>
      <x:c r="I10" s="122"/>
      <x:c r="J10" s="122"/>
      <x:c r="K10" s="122"/>
      <x:c r="L10" s="122"/>
      <x:c r="M10" s="122"/>
      <x:c r="N10" s="122"/>
    </x:row>
    <x:row r="11">
      <x:c r="A11" s="4"/>
      <x:c r="B11" s="122"/>
      <x:c r="C11" s="122"/>
      <x:c r="D11" s="122"/>
      <x:c r="E11" s="122"/>
      <x:c r="F11" s="122"/>
      <x:c r="G11" s="122"/>
      <x:c r="H11" s="122"/>
      <x:c r="I11" s="122"/>
      <x:c r="J11" s="122"/>
      <x:c r="K11" s="122"/>
      <x:c r="L11" s="122"/>
      <x:c r="M11" s="122"/>
      <x:c r="N11" s="122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</x:row>
    <x:row r="13">
      <x:c r="A13" s="4"/>
      <x:c r="B13" s="37" t="str">
        <x:v>2. KULLANIM SIRASI</x:v>
      </x:c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</x:row>
    <x:row r="14">
      <x:c r="A14" s="4"/>
      <x:c r="B14" s="128" t="str">
        <x:v>1</x:v>
      </x:c>
      <x:c r="C14" s="34" t="str">
        <x:v>KURLAR</x:v>
      </x:c>
      <x:c r="D14" s="34" t="str">
        <x:v>USD ve EUR kurlarını girin.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4"/>
      <x:c r="B15" s="128" t="str">
        <x:v>2</x:v>
      </x:c>
      <x:c r="C15" s="34" t="str">
        <x:v>KASA_BANKA</x:v>
      </x:c>
      <x:c r="D15" s="34" t="str">
        <x:v>Tüm kasa ve banka hesaplarını, para birimini ve bakiyelerini girin.</x:v>
      </x:c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>
      <x:c r="A16" s="4"/>
      <x:c r="B16" s="128" t="str">
        <x:v>3</x:v>
      </x:c>
      <x:c r="C16" s="34" t="str">
        <x:v>TAHSILATLAR</x:v>
      </x:c>
      <x:c r="D16" s="34" t="str">
        <x:v>Açık tahsilatları ve beklenen tahsil tarihini girin.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4"/>
      <x:c r="B17" s="128" t="str">
        <x:v>4</x:v>
      </x:c>
      <x:c r="C17" s="34" t="str">
        <x:v>ODEMELER</x:v>
      </x:c>
      <x:c r="D17" s="34" t="str">
        <x:v>Açık ödemeleri ve planlanan ödeme tarihini girin.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4"/>
      <x:c r="B18" s="128" t="str">
        <x:v>5</x:v>
      </x:c>
      <x:c r="C18" s="34" t="str">
        <x:v>PANO</x:v>
      </x:c>
      <x:c r="D18" s="34" t="str">
        <x:v>Bugün / 7 gün / 30 gün net pozisyonu okuyun.</x:v>
      </x:c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4"/>
      <x:c r="B19" s="129" t="str">
        <x:v>6</x:v>
      </x:c>
      <x:c r="C19" s="126" t="str">
        <x:v>SISTEM</x:v>
      </x:c>
      <x:c r="D19" s="126" t="str">
        <x:v>KALDI kontrolleri varsa düzeltin.</x:v>
      </x:c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4"/>
      <x:c r="B21" s="37" t="str">
        <x:v>3. RENK KILAVUZU</x:v>
      </x:c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</x:row>
    <x:row r="22">
      <x:c r="A22" s="4"/>
      <x:c r="B22" s="42" t="str">
        <x:v>Renk</x:v>
      </x:c>
      <x:c r="C22" s="42" t="str">
        <x:v>Anlam</x:v>
      </x:c>
      <x:c r="D22" s="42" t="str">
        <x:v>Kural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4" t="str">
        <x:v>SARI</x:v>
      </x:c>
      <x:c r="C23" s="4" t="str">
        <x:v>Kullanıcı girişi</x:v>
      </x:c>
      <x:c r="D23" s="4" t="str">
        <x:v>Yalnız bu alanlara veri yazın.</x:v>
      </x:c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34" t="str">
        <x:v>BEYAZ</x:v>
      </x:c>
      <x:c r="C24" s="4" t="str">
        <x:v>Otomatik hesap</x:v>
      </x:c>
      <x:c r="D24" s="4" t="str">
        <x:v>Formülleri değiştirmeyin.</x:v>
      </x:c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132" t="str">
        <x:v>KIRMIZI / TURUNCU</x:v>
      </x:c>
      <x:c r="C25" s="4" t="str">
        <x:v>Risk / gecikme</x:v>
      </x:c>
      <x:c r="D25" s="4" t="str">
        <x:v>İlgili kaydı kontrol edin.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37" t="str">
        <x:v>4. KRİTİK KURALLAR</x:v>
      </x:c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</x:row>
    <x:row r="28">
      <x:c r="A28" s="4"/>
      <x:c r="B28" s="134" t="str">
        <x:v>▪ Kur tarihini ve kurları rapor üretmeden önce güncelleyin.</x:v>
      </x:c>
      <x:c r="C28" s="134"/>
      <x:c r="D28" s="134"/>
      <x:c r="E28" s="134"/>
      <x:c r="F28" s="134"/>
      <x:c r="G28" s="134"/>
      <x:c r="H28" s="134"/>
      <x:c r="I28" s="134"/>
      <x:c r="J28" s="134"/>
      <x:c r="K28" s="134"/>
      <x:c r="L28" s="134"/>
      <x:c r="M28" s="134"/>
      <x:c r="N28" s="134"/>
    </x:row>
    <x:row r="29">
      <x:c r="A29" s="4"/>
      <x:c r="B29" s="134" t="str">
        <x:v>▪ Tahsilatlarda “Beklenen Tahsil Tarihi”, likidite hesabının tarihidir; yalnız vade tarihine güvenmeyin.</x:v>
      </x:c>
      <x:c r="C29" s="134"/>
      <x:c r="D29" s="134"/>
      <x:c r="E29" s="134"/>
      <x:c r="F29" s="134"/>
      <x:c r="G29" s="134"/>
      <x:c r="H29" s="134"/>
      <x:c r="I29" s="134"/>
      <x:c r="J29" s="134"/>
      <x:c r="K29" s="134"/>
      <x:c r="L29" s="134"/>
      <x:c r="M29" s="134"/>
      <x:c r="N29" s="134"/>
    </x:row>
    <x:row r="30">
      <x:c r="A30" s="4"/>
      <x:c r="B30" s="134" t="str">
        <x:v>▪ Riskli tahsilatlar ana net pozisyona dahil edilmez; ayrıca risk olarak izlenir.</x:v>
      </x:c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</x:row>
    <x:row r="31">
      <x:c r="A31" s="4"/>
      <x:c r="B31" s="134" t="str">
        <x:v>▪ Ödenmiş / tahsil edilmiş satırları silmeyin; durumunu kapatın. Böylece kayıt izi korunur.</x:v>
      </x:c>
      <x:c r="C31" s="134"/>
      <x:c r="D31" s="134"/>
      <x:c r="E31" s="134"/>
      <x:c r="F31" s="134"/>
      <x:c r="G31" s="134"/>
      <x:c r="H31" s="134"/>
      <x:c r="I31" s="134"/>
      <x:c r="J31" s="134"/>
      <x:c r="K31" s="134"/>
      <x:c r="L31" s="134"/>
      <x:c r="M31" s="134"/>
      <x:c r="N31" s="134"/>
    </x:row>
    <x:row r="32">
      <x:c r="A32" s="4"/>
      <x:c r="B32" s="134" t="str">
        <x:v>▪ Kasa/banka bloke tutarlarını ayrı girin; PANO yalnız kullanılabilir bakiyeyi sayar.</x:v>
      </x:c>
      <x:c r="C32" s="134"/>
      <x:c r="D32" s="134"/>
      <x:c r="E32" s="134"/>
      <x:c r="F32" s="134"/>
      <x:c r="G32" s="134"/>
      <x:c r="H32" s="134"/>
      <x:c r="I32" s="134"/>
      <x:c r="J32" s="134"/>
      <x:c r="K32" s="134"/>
      <x:c r="L32" s="134"/>
      <x:c r="M32" s="134"/>
      <x:c r="N32" s="134"/>
    </x:row>
    <x:row r="33">
      <x:c r="A33" s="4"/>
      <x:c r="B33" s="134" t="str">
        <x:v>▪ Negatif 7 günlük net pozisyon, kısa vadeli finansman açığıdır.</x:v>
      </x:c>
      <x:c r="C33" s="134"/>
      <x:c r="D33" s="134"/>
      <x:c r="E33" s="134"/>
      <x:c r="F33" s="134"/>
      <x:c r="G33" s="134"/>
      <x:c r="H33" s="134"/>
      <x:c r="I33" s="134"/>
      <x:c r="J33" s="134"/>
      <x:c r="K33" s="134"/>
      <x:c r="L33" s="134"/>
      <x:c r="M33" s="134"/>
      <x:c r="N33" s="134"/>
    </x:row>
    <x:row r="34">
      <x:c r="A34" s="4"/>
      <x:c r="B34" s="134" t="str">
        <x:v>▪ Formül hücrelerini değiştirmeyin; sarı hücre görmüyorsanız o alana veri girmeyin.</x:v>
      </x:c>
      <x:c r="C34" s="134"/>
      <x:c r="D34" s="134"/>
      <x:c r="E34" s="134"/>
      <x:c r="F34" s="134"/>
      <x:c r="G34" s="134"/>
      <x:c r="H34" s="134"/>
      <x:c r="I34" s="134"/>
      <x:c r="J34" s="134"/>
      <x:c r="K34" s="134"/>
      <x:c r="L34" s="134"/>
      <x:c r="M34" s="134"/>
      <x:c r="N34" s="13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</x:row>
  </x:sheetData>
  <x:mergeCells>
    <x:mergeCell ref="A1:B1"/>
    <x:mergeCell ref="C1:N1"/>
    <x:mergeCell ref="A2:N2"/>
    <x:mergeCell ref="B5:N6"/>
    <x:mergeCell ref="B8:N8"/>
    <x:mergeCell ref="B9:N11"/>
    <x:mergeCell ref="B13:N13"/>
    <x:mergeCell ref="B21:N21"/>
    <x:mergeCell ref="B27:N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26" hidden="0" customWidth="1"/>
    <x:col min="3" max="3" width="13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8" hidden="0" customWidth="1"/>
    <x:col min="10" max="10" width="17" hidden="0" customWidth="1"/>
  </x:cols>
  <x:sheetData>
    <x:row r="1" ht="28" customHeight="1">
      <x:c r="A1" s="9" t="e">
        <x:f>HYPERLINK("#PANO!A1","☰  MENÜ")</x:f>
        <x:v>HYPERLINK is not implemented. linkLocation=#PANO!A1, friendlyName=☰  MENÜ</x:v>
      </x:c>
      <x:c r="B1" s="9"/>
      <x:c r="C1" s="17" t="str">
        <x:v>KASA / BANKA POZİSYONU</x:v>
      </x:c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8" customHeight="1">
      <x:c r="A2" s="23" t="str">
        <x:v>Mevcut kasa ve banka bakiyeleri. Kullanılabilir bakiye ve TL karşılığı otomatik hesaplanır.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9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8" t="e">
        <x:f>HYPERLINK("#PANO!A1","← PANO")</x:f>
        <x:v>HYPERLINK is not implemented. linkLocation=#PANO!A1, friendlyName=← PANO</x:v>
      </x:c>
      <x:c r="B4" s="26"/>
      <x:c r="C4" s="73" t="str">
        <x:v>VERİ GİRİŞ EKRANI — SARI HÜCRELERİ DOLDURUN</x:v>
      </x:c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</x:row>
    <x:row r="5">
      <x:c r="A5" s="4"/>
      <x:c r="B5" s="82" t="str">
        <x:v>TOPLAM</x:v>
      </x:c>
      <x:c r="C5" s="82"/>
      <x:c r="D5" s="82"/>
      <x:c r="E5" s="82"/>
      <x:c r="F5" s="82"/>
      <x:c r="G5" s="82"/>
      <x:c r="H5" s="82"/>
      <x:c r="I5" s="86" t="n">
        <x:f>SUM(I7:I1006)</x:f>
        <x:v>0</x:v>
      </x:c>
      <x:c r="J5" s="82"/>
      <x:c r="K5" s="4"/>
      <x:c r="L5" s="4"/>
      <x:c r="M5" s="4"/>
      <x:c r="N5" s="4"/>
    </x:row>
    <x:row r="6" ht="34" customHeight="1">
      <x:c r="A6" s="4"/>
      <x:c r="B6" s="63" t="str">
        <x:v>Hesap Adı</x:v>
      </x:c>
      <x:c r="C6" s="63" t="str">
        <x:v>Tür</x:v>
      </x:c>
      <x:c r="D6" s="63" t="str">
        <x:v>Para Birimi</x:v>
      </x:c>
      <x:c r="E6" s="63" t="str">
        <x:v>Bakiye</x:v>
      </x:c>
      <x:c r="F6" s="63" t="str">
        <x:v>Bloke / Rezerve</x:v>
      </x:c>
      <x:c r="G6" s="63" t="str">
        <x:v>Kullanılabilir</x:v>
      </x:c>
      <x:c r="H6" s="63" t="str">
        <x:v>Kur</x:v>
      </x:c>
      <x:c r="I6" s="63" t="str">
        <x:v>TL Karşılığı</x:v>
      </x:c>
      <x:c r="J6" s="63" t="str">
        <x:v>Kontrol</x:v>
      </x:c>
      <x:c r="K6" s="4"/>
      <x:c r="L6" s="4"/>
      <x:c r="M6" s="4"/>
      <x:c r="N6" s="4"/>
    </x:row>
    <x:row r="7">
      <x:c r="A7" s="4"/>
      <x:c r="B7" s="46"/>
      <x:c r="C7" s="46"/>
      <x:c r="D7" s="46"/>
      <x:c r="E7" s="92"/>
      <x:c r="F7" s="92"/>
      <x:c r="G7" s="93" t="str">
        <x:f>IF(B7="","",E7-F7)</x:f>
      </x:c>
      <x:c r="H7" s="100" t="str">
        <x:f>IF(B7="","",IF(D7="TL",1,IF(D7="USD",KURLAR!$C$9,IF(D7="EUR",KURLAR!$C$10,0))))</x:f>
      </x:c>
      <x:c r="I7" s="68" t="str">
        <x:f>IF(B7="","",G7*H7)</x:f>
      </x:c>
      <x:c r="J7" s="52" t="str">
        <x:f>IF(B7="","",IF(G7&lt;0,"NEGATİF BAKİYE","UYGUN"))</x:f>
      </x:c>
      <x:c r="K7" s="4"/>
      <x:c r="L7" s="4"/>
      <x:c r="M7" s="4"/>
      <x:c r="N7" s="4"/>
    </x:row>
    <x:row r="8">
      <x:c r="A8" s="4"/>
      <x:c r="B8" s="46"/>
      <x:c r="C8" s="46"/>
      <x:c r="D8" s="46"/>
      <x:c r="E8" s="92"/>
      <x:c r="F8" s="92"/>
      <x:c r="G8" s="93" t="str">
        <x:f>IF(B8="","",E8-F8)</x:f>
      </x:c>
      <x:c r="H8" s="100" t="str">
        <x:f>IF(B8="","",IF(D8="TL",1,IF(D8="USD",KURLAR!$C$9,IF(D8="EUR",KURLAR!$C$10,0))))</x:f>
      </x:c>
      <x:c r="I8" s="68" t="str">
        <x:f>IF(B8="","",G8*H8)</x:f>
      </x:c>
      <x:c r="J8" s="52" t="str">
        <x:f>IF(B8="","",IF(G8&lt;0,"NEGATİF BAKİYE","UYGUN"))</x:f>
      </x:c>
      <x:c r="K8" s="4"/>
      <x:c r="L8" s="4"/>
      <x:c r="M8" s="4"/>
      <x:c r="N8" s="4"/>
    </x:row>
    <x:row r="9">
      <x:c r="A9" s="4"/>
      <x:c r="B9" s="46"/>
      <x:c r="C9" s="46"/>
      <x:c r="D9" s="46"/>
      <x:c r="E9" s="92"/>
      <x:c r="F9" s="92"/>
      <x:c r="G9" s="93" t="str">
        <x:f>IF(B9="","",E9-F9)</x:f>
      </x:c>
      <x:c r="H9" s="100" t="str">
        <x:f>IF(B9="","",IF(D9="TL",1,IF(D9="USD",KURLAR!$C$9,IF(D9="EUR",KURLAR!$C$10,0))))</x:f>
      </x:c>
      <x:c r="I9" s="68" t="str">
        <x:f>IF(B9="","",G9*H9)</x:f>
      </x:c>
      <x:c r="J9" s="52" t="str">
        <x:f>IF(B9="","",IF(G9&lt;0,"NEGATİF BAKİYE","UYGUN"))</x:f>
      </x:c>
      <x:c r="K9" s="4"/>
      <x:c r="L9" s="4"/>
      <x:c r="M9" s="4"/>
      <x:c r="N9" s="4"/>
    </x:row>
    <x:row r="10">
      <x:c r="A10" s="4"/>
      <x:c r="B10" s="46"/>
      <x:c r="C10" s="46"/>
      <x:c r="D10" s="46"/>
      <x:c r="E10" s="92"/>
      <x:c r="F10" s="92"/>
      <x:c r="G10" s="93" t="str">
        <x:f>IF(B10="","",E10-F10)</x:f>
      </x:c>
      <x:c r="H10" s="100" t="str">
        <x:f>IF(B10="","",IF(D10="TL",1,IF(D10="USD",KURLAR!$C$9,IF(D10="EUR",KURLAR!$C$10,0))))</x:f>
      </x:c>
      <x:c r="I10" s="68" t="str">
        <x:f>IF(B10="","",G10*H10)</x:f>
      </x:c>
      <x:c r="J10" s="52" t="str">
        <x:f>IF(B10="","",IF(G10&lt;0,"NEGATİF BAKİYE","UYGUN"))</x:f>
      </x:c>
      <x:c r="K10" s="4"/>
      <x:c r="L10" s="4"/>
      <x:c r="M10" s="4"/>
      <x:c r="N10" s="4"/>
    </x:row>
    <x:row r="11">
      <x:c r="A11" s="4"/>
      <x:c r="B11" s="46"/>
      <x:c r="C11" s="46"/>
      <x:c r="D11" s="46"/>
      <x:c r="E11" s="92"/>
      <x:c r="F11" s="92"/>
      <x:c r="G11" s="93" t="str">
        <x:f>IF(B11="","",E11-F11)</x:f>
      </x:c>
      <x:c r="H11" s="100" t="str">
        <x:f>IF(B11="","",IF(D11="TL",1,IF(D11="USD",KURLAR!$C$9,IF(D11="EUR",KURLAR!$C$10,0))))</x:f>
      </x:c>
      <x:c r="I11" s="68" t="str">
        <x:f>IF(B11="","",G11*H11)</x:f>
      </x:c>
      <x:c r="J11" s="52" t="str">
        <x:f>IF(B11="","",IF(G11&lt;0,"NEGATİF BAKİYE","UYGUN"))</x:f>
      </x:c>
      <x:c r="K11" s="4"/>
      <x:c r="L11" s="4"/>
      <x:c r="M11" s="4"/>
      <x:c r="N11" s="4"/>
    </x:row>
    <x:row r="12">
      <x:c r="A12" s="4"/>
      <x:c r="B12" s="46"/>
      <x:c r="C12" s="46"/>
      <x:c r="D12" s="46"/>
      <x:c r="E12" s="92"/>
      <x:c r="F12" s="92"/>
      <x:c r="G12" s="93" t="str">
        <x:f>IF(B12="","",E12-F12)</x:f>
      </x:c>
      <x:c r="H12" s="100" t="str">
        <x:f>IF(B12="","",IF(D12="TL",1,IF(D12="USD",KURLAR!$C$9,IF(D12="EUR",KURLAR!$C$10,0))))</x:f>
      </x:c>
      <x:c r="I12" s="68" t="str">
        <x:f>IF(B12="","",G12*H12)</x:f>
      </x:c>
      <x:c r="J12" s="52" t="str">
        <x:f>IF(B12="","",IF(G12&lt;0,"NEGATİF BAKİYE","UYGUN"))</x:f>
      </x:c>
      <x:c r="K12" s="4"/>
      <x:c r="L12" s="4"/>
      <x:c r="M12" s="4"/>
      <x:c r="N12" s="4"/>
    </x:row>
    <x:row r="13">
      <x:c r="A13" s="4"/>
      <x:c r="B13" s="46"/>
      <x:c r="C13" s="46"/>
      <x:c r="D13" s="46"/>
      <x:c r="E13" s="92"/>
      <x:c r="F13" s="92"/>
      <x:c r="G13" s="93" t="str">
        <x:f>IF(B13="","",E13-F13)</x:f>
      </x:c>
      <x:c r="H13" s="100" t="str">
        <x:f>IF(B13="","",IF(D13="TL",1,IF(D13="USD",KURLAR!$C$9,IF(D13="EUR",KURLAR!$C$10,0))))</x:f>
      </x:c>
      <x:c r="I13" s="68" t="str">
        <x:f>IF(B13="","",G13*H13)</x:f>
      </x:c>
      <x:c r="J13" s="52" t="str">
        <x:f>IF(B13="","",IF(G13&lt;0,"NEGATİF BAKİYE","UYGUN"))</x:f>
      </x:c>
      <x:c r="K13" s="4"/>
      <x:c r="L13" s="4"/>
      <x:c r="M13" s="4"/>
      <x:c r="N13" s="4"/>
    </x:row>
    <x:row r="14">
      <x:c r="A14" s="4"/>
      <x:c r="B14" s="46"/>
      <x:c r="C14" s="46"/>
      <x:c r="D14" s="46"/>
      <x:c r="E14" s="92"/>
      <x:c r="F14" s="92"/>
      <x:c r="G14" s="93" t="str">
        <x:f>IF(B14="","",E14-F14)</x:f>
      </x:c>
      <x:c r="H14" s="100" t="str">
        <x:f>IF(B14="","",IF(D14="TL",1,IF(D14="USD",KURLAR!$C$9,IF(D14="EUR",KURLAR!$C$10,0))))</x:f>
      </x:c>
      <x:c r="I14" s="68" t="str">
        <x:f>IF(B14="","",G14*H14)</x:f>
      </x:c>
      <x:c r="J14" s="52" t="str">
        <x:f>IF(B14="","",IF(G14&lt;0,"NEGATİF BAKİYE","UYGUN"))</x:f>
      </x:c>
      <x:c r="K14" s="4"/>
      <x:c r="L14" s="4"/>
      <x:c r="M14" s="4"/>
      <x:c r="N14" s="4"/>
    </x:row>
    <x:row r="15">
      <x:c r="A15" s="4"/>
      <x:c r="B15" s="46"/>
      <x:c r="C15" s="46"/>
      <x:c r="D15" s="46"/>
      <x:c r="E15" s="92"/>
      <x:c r="F15" s="92"/>
      <x:c r="G15" s="93" t="str">
        <x:f>IF(B15="","",E15-F15)</x:f>
      </x:c>
      <x:c r="H15" s="100" t="str">
        <x:f>IF(B15="","",IF(D15="TL",1,IF(D15="USD",KURLAR!$C$9,IF(D15="EUR",KURLAR!$C$10,0))))</x:f>
      </x:c>
      <x:c r="I15" s="68" t="str">
        <x:f>IF(B15="","",G15*H15)</x:f>
      </x:c>
      <x:c r="J15" s="52" t="str">
        <x:f>IF(B15="","",IF(G15&lt;0,"NEGATİF BAKİYE","UYGUN"))</x:f>
      </x:c>
      <x:c r="K15" s="4"/>
      <x:c r="L15" s="4"/>
      <x:c r="M15" s="4"/>
      <x:c r="N15" s="4"/>
    </x:row>
    <x:row r="16">
      <x:c r="A16" s="4"/>
      <x:c r="B16" s="46"/>
      <x:c r="C16" s="46"/>
      <x:c r="D16" s="46"/>
      <x:c r="E16" s="92"/>
      <x:c r="F16" s="92"/>
      <x:c r="G16" s="93" t="str">
        <x:f>IF(B16="","",E16-F16)</x:f>
      </x:c>
      <x:c r="H16" s="100" t="str">
        <x:f>IF(B16="","",IF(D16="TL",1,IF(D16="USD",KURLAR!$C$9,IF(D16="EUR",KURLAR!$C$10,0))))</x:f>
      </x:c>
      <x:c r="I16" s="68" t="str">
        <x:f>IF(B16="","",G16*H16)</x:f>
      </x:c>
      <x:c r="J16" s="52" t="str">
        <x:f>IF(B16="","",IF(G16&lt;0,"NEGATİF BAKİYE","UYGUN"))</x:f>
      </x:c>
      <x:c r="K16" s="4"/>
      <x:c r="L16" s="4"/>
      <x:c r="M16" s="4"/>
      <x:c r="N16" s="4"/>
    </x:row>
    <x:row r="17">
      <x:c r="A17" s="4"/>
      <x:c r="B17" s="46"/>
      <x:c r="C17" s="46"/>
      <x:c r="D17" s="46"/>
      <x:c r="E17" s="92"/>
      <x:c r="F17" s="92"/>
      <x:c r="G17" s="93" t="str">
        <x:f>IF(B17="","",E17-F17)</x:f>
      </x:c>
      <x:c r="H17" s="100" t="str">
        <x:f>IF(B17="","",IF(D17="TL",1,IF(D17="USD",KURLAR!$C$9,IF(D17="EUR",KURLAR!$C$10,0))))</x:f>
      </x:c>
      <x:c r="I17" s="68" t="str">
        <x:f>IF(B17="","",G17*H17)</x:f>
      </x:c>
      <x:c r="J17" s="52" t="str">
        <x:f>IF(B17="","",IF(G17&lt;0,"NEGATİF BAKİYE","UYGUN"))</x:f>
      </x:c>
      <x:c r="K17" s="4"/>
      <x:c r="L17" s="4"/>
      <x:c r="M17" s="4"/>
      <x:c r="N17" s="4"/>
    </x:row>
    <x:row r="18">
      <x:c r="A18" s="4"/>
      <x:c r="B18" s="46"/>
      <x:c r="C18" s="46"/>
      <x:c r="D18" s="46"/>
      <x:c r="E18" s="92"/>
      <x:c r="F18" s="92"/>
      <x:c r="G18" s="93" t="str">
        <x:f>IF(B18="","",E18-F18)</x:f>
      </x:c>
      <x:c r="H18" s="100" t="str">
        <x:f>IF(B18="","",IF(D18="TL",1,IF(D18="USD",KURLAR!$C$9,IF(D18="EUR",KURLAR!$C$10,0))))</x:f>
      </x:c>
      <x:c r="I18" s="68" t="str">
        <x:f>IF(B18="","",G18*H18)</x:f>
      </x:c>
      <x:c r="J18" s="52" t="str">
        <x:f>IF(B18="","",IF(G18&lt;0,"NEGATİF BAKİYE","UYGUN"))</x:f>
      </x:c>
      <x:c r="K18" s="4"/>
      <x:c r="L18" s="4"/>
      <x:c r="M18" s="4"/>
      <x:c r="N18" s="4"/>
    </x:row>
    <x:row r="19">
      <x:c r="A19" s="4"/>
      <x:c r="B19" s="46"/>
      <x:c r="C19" s="46"/>
      <x:c r="D19" s="46"/>
      <x:c r="E19" s="92"/>
      <x:c r="F19" s="92"/>
      <x:c r="G19" s="93" t="str">
        <x:f>IF(B19="","",E19-F19)</x:f>
      </x:c>
      <x:c r="H19" s="100" t="str">
        <x:f>IF(B19="","",IF(D19="TL",1,IF(D19="USD",KURLAR!$C$9,IF(D19="EUR",KURLAR!$C$10,0))))</x:f>
      </x:c>
      <x:c r="I19" s="68" t="str">
        <x:f>IF(B19="","",G19*H19)</x:f>
      </x:c>
      <x:c r="J19" s="52" t="str">
        <x:f>IF(B19="","",IF(G19&lt;0,"NEGATİF BAKİYE","UYGUN"))</x:f>
      </x:c>
      <x:c r="K19" s="4"/>
      <x:c r="L19" s="4"/>
      <x:c r="M19" s="4"/>
      <x:c r="N19" s="4"/>
    </x:row>
    <x:row r="20">
      <x:c r="A20" s="4"/>
      <x:c r="B20" s="46"/>
      <x:c r="C20" s="46"/>
      <x:c r="D20" s="46"/>
      <x:c r="E20" s="92"/>
      <x:c r="F20" s="92"/>
      <x:c r="G20" s="93" t="str">
        <x:f>IF(B20="","",E20-F20)</x:f>
      </x:c>
      <x:c r="H20" s="100" t="str">
        <x:f>IF(B20="","",IF(D20="TL",1,IF(D20="USD",KURLAR!$C$9,IF(D20="EUR",KURLAR!$C$10,0))))</x:f>
      </x:c>
      <x:c r="I20" s="68" t="str">
        <x:f>IF(B20="","",G20*H20)</x:f>
      </x:c>
      <x:c r="J20" s="52" t="str">
        <x:f>IF(B20="","",IF(G20&lt;0,"NEGATİF BAKİYE","UYGUN"))</x:f>
      </x:c>
      <x:c r="K20" s="4"/>
      <x:c r="L20" s="4"/>
      <x:c r="M20" s="4"/>
      <x:c r="N20" s="4"/>
    </x:row>
    <x:row r="21">
      <x:c r="A21" s="4"/>
      <x:c r="B21" s="46"/>
      <x:c r="C21" s="46"/>
      <x:c r="D21" s="46"/>
      <x:c r="E21" s="92"/>
      <x:c r="F21" s="92"/>
      <x:c r="G21" s="93" t="str">
        <x:f>IF(B21="","",E21-F21)</x:f>
      </x:c>
      <x:c r="H21" s="100" t="str">
        <x:f>IF(B21="","",IF(D21="TL",1,IF(D21="USD",KURLAR!$C$9,IF(D21="EUR",KURLAR!$C$10,0))))</x:f>
      </x:c>
      <x:c r="I21" s="68" t="str">
        <x:f>IF(B21="","",G21*H21)</x:f>
      </x:c>
      <x:c r="J21" s="52" t="str">
        <x:f>IF(B21="","",IF(G21&lt;0,"NEGATİF BAKİYE","UYGUN"))</x:f>
      </x:c>
      <x:c r="K21" s="4"/>
      <x:c r="L21" s="4"/>
      <x:c r="M21" s="4"/>
      <x:c r="N21" s="4"/>
    </x:row>
    <x:row r="22">
      <x:c r="A22" s="4"/>
      <x:c r="B22" s="46"/>
      <x:c r="C22" s="46"/>
      <x:c r="D22" s="46"/>
      <x:c r="E22" s="92"/>
      <x:c r="F22" s="92"/>
      <x:c r="G22" s="93" t="str">
        <x:f>IF(B22="","",E22-F22)</x:f>
      </x:c>
      <x:c r="H22" s="100" t="str">
        <x:f>IF(B22="","",IF(D22="TL",1,IF(D22="USD",KURLAR!$C$9,IF(D22="EUR",KURLAR!$C$10,0))))</x:f>
      </x:c>
      <x:c r="I22" s="68" t="str">
        <x:f>IF(B22="","",G22*H22)</x:f>
      </x:c>
      <x:c r="J22" s="52" t="str">
        <x:f>IF(B22="","",IF(G22&lt;0,"NEGATİF BAKİYE","UYGUN"))</x:f>
      </x:c>
      <x:c r="K22" s="4"/>
      <x:c r="L22" s="4"/>
      <x:c r="M22" s="4"/>
      <x:c r="N22" s="4"/>
    </x:row>
    <x:row r="23">
      <x:c r="A23" s="4"/>
      <x:c r="B23" s="46"/>
      <x:c r="C23" s="46"/>
      <x:c r="D23" s="46"/>
      <x:c r="E23" s="92"/>
      <x:c r="F23" s="92"/>
      <x:c r="G23" s="93" t="str">
        <x:f>IF(B23="","",E23-F23)</x:f>
      </x:c>
      <x:c r="H23" s="100" t="str">
        <x:f>IF(B23="","",IF(D23="TL",1,IF(D23="USD",KURLAR!$C$9,IF(D23="EUR",KURLAR!$C$10,0))))</x:f>
      </x:c>
      <x:c r="I23" s="68" t="str">
        <x:f>IF(B23="","",G23*H23)</x:f>
      </x:c>
      <x:c r="J23" s="52" t="str">
        <x:f>IF(B23="","",IF(G23&lt;0,"NEGATİF BAKİYE","UYGUN"))</x:f>
      </x:c>
      <x:c r="K23" s="4"/>
      <x:c r="L23" s="4"/>
      <x:c r="M23" s="4"/>
      <x:c r="N23" s="4"/>
    </x:row>
    <x:row r="24">
      <x:c r="A24" s="4"/>
      <x:c r="B24" s="46"/>
      <x:c r="C24" s="46"/>
      <x:c r="D24" s="46"/>
      <x:c r="E24" s="92"/>
      <x:c r="F24" s="92"/>
      <x:c r="G24" s="93" t="str">
        <x:f>IF(B24="","",E24-F24)</x:f>
      </x:c>
      <x:c r="H24" s="100" t="str">
        <x:f>IF(B24="","",IF(D24="TL",1,IF(D24="USD",KURLAR!$C$9,IF(D24="EUR",KURLAR!$C$10,0))))</x:f>
      </x:c>
      <x:c r="I24" s="68" t="str">
        <x:f>IF(B24="","",G24*H24)</x:f>
      </x:c>
      <x:c r="J24" s="52" t="str">
        <x:f>IF(B24="","",IF(G24&lt;0,"NEGATİF BAKİYE","UYGUN"))</x:f>
      </x:c>
      <x:c r="K24" s="4"/>
      <x:c r="L24" s="4"/>
      <x:c r="M24" s="4"/>
      <x:c r="N24" s="4"/>
    </x:row>
    <x:row r="25">
      <x:c r="A25" s="4"/>
      <x:c r="B25" s="46"/>
      <x:c r="C25" s="46"/>
      <x:c r="D25" s="46"/>
      <x:c r="E25" s="92"/>
      <x:c r="F25" s="92"/>
      <x:c r="G25" s="93" t="str">
        <x:f>IF(B25="","",E25-F25)</x:f>
      </x:c>
      <x:c r="H25" s="100" t="str">
        <x:f>IF(B25="","",IF(D25="TL",1,IF(D25="USD",KURLAR!$C$9,IF(D25="EUR",KURLAR!$C$10,0))))</x:f>
      </x:c>
      <x:c r="I25" s="68" t="str">
        <x:f>IF(B25="","",G25*H25)</x:f>
      </x:c>
      <x:c r="J25" s="52" t="str">
        <x:f>IF(B25="","",IF(G25&lt;0,"NEGATİF BAKİYE","UYGUN"))</x:f>
      </x:c>
      <x:c r="K25" s="4"/>
      <x:c r="L25" s="4"/>
      <x:c r="M25" s="4"/>
      <x:c r="N25" s="4"/>
    </x:row>
    <x:row r="26">
      <x:c r="A26" s="4"/>
      <x:c r="B26" s="46"/>
      <x:c r="C26" s="46"/>
      <x:c r="D26" s="46"/>
      <x:c r="E26" s="92"/>
      <x:c r="F26" s="92"/>
      <x:c r="G26" s="93" t="str">
        <x:f>IF(B26="","",E26-F26)</x:f>
      </x:c>
      <x:c r="H26" s="100" t="str">
        <x:f>IF(B26="","",IF(D26="TL",1,IF(D26="USD",KURLAR!$C$9,IF(D26="EUR",KURLAR!$C$10,0))))</x:f>
      </x:c>
      <x:c r="I26" s="68" t="str">
        <x:f>IF(B26="","",G26*H26)</x:f>
      </x:c>
      <x:c r="J26" s="52" t="str">
        <x:f>IF(B26="","",IF(G26&lt;0,"NEGATİF BAKİYE","UYGUN"))</x:f>
      </x:c>
      <x:c r="K26" s="4"/>
      <x:c r="L26" s="4"/>
      <x:c r="M26" s="4"/>
      <x:c r="N26" s="4"/>
    </x:row>
    <x:row r="27">
      <x:c r="A27" s="4"/>
      <x:c r="B27" s="46"/>
      <x:c r="C27" s="46"/>
      <x:c r="D27" s="46"/>
      <x:c r="E27" s="92"/>
      <x:c r="F27" s="92"/>
      <x:c r="G27" s="93" t="str">
        <x:f>IF(B27="","",E27-F27)</x:f>
      </x:c>
      <x:c r="H27" s="100" t="str">
        <x:f>IF(B27="","",IF(D27="TL",1,IF(D27="USD",KURLAR!$C$9,IF(D27="EUR",KURLAR!$C$10,0))))</x:f>
      </x:c>
      <x:c r="I27" s="68" t="str">
        <x:f>IF(B27="","",G27*H27)</x:f>
      </x:c>
      <x:c r="J27" s="52" t="str">
        <x:f>IF(B27="","",IF(G27&lt;0,"NEGATİF BAKİYE","UYGUN"))</x:f>
      </x:c>
      <x:c r="K27" s="4"/>
      <x:c r="L27" s="4"/>
      <x:c r="M27" s="4"/>
      <x:c r="N27" s="4"/>
    </x:row>
    <x:row r="28">
      <x:c r="A28" s="4"/>
      <x:c r="B28" s="46"/>
      <x:c r="C28" s="46"/>
      <x:c r="D28" s="46"/>
      <x:c r="E28" s="92"/>
      <x:c r="F28" s="92"/>
      <x:c r="G28" s="93" t="str">
        <x:f>IF(B28="","",E28-F28)</x:f>
      </x:c>
      <x:c r="H28" s="100" t="str">
        <x:f>IF(B28="","",IF(D28="TL",1,IF(D28="USD",KURLAR!$C$9,IF(D28="EUR",KURLAR!$C$10,0))))</x:f>
      </x:c>
      <x:c r="I28" s="68" t="str">
        <x:f>IF(B28="","",G28*H28)</x:f>
      </x:c>
      <x:c r="J28" s="52" t="str">
        <x:f>IF(B28="","",IF(G28&lt;0,"NEGATİF BAKİYE","UYGUN"))</x:f>
      </x:c>
      <x:c r="K28" s="4"/>
      <x:c r="L28" s="4"/>
      <x:c r="M28" s="4"/>
      <x:c r="N28" s="4"/>
    </x:row>
    <x:row r="29">
      <x:c r="A29" s="4"/>
      <x:c r="B29" s="46"/>
      <x:c r="C29" s="46"/>
      <x:c r="D29" s="46"/>
      <x:c r="E29" s="92"/>
      <x:c r="F29" s="92"/>
      <x:c r="G29" s="93" t="str">
        <x:f>IF(B29="","",E29-F29)</x:f>
      </x:c>
      <x:c r="H29" s="100" t="str">
        <x:f>IF(B29="","",IF(D29="TL",1,IF(D29="USD",KURLAR!$C$9,IF(D29="EUR",KURLAR!$C$10,0))))</x:f>
      </x:c>
      <x:c r="I29" s="68" t="str">
        <x:f>IF(B29="","",G29*H29)</x:f>
      </x:c>
      <x:c r="J29" s="52" t="str">
        <x:f>IF(B29="","",IF(G29&lt;0,"NEGATİF BAKİYE","UYGUN"))</x:f>
      </x:c>
      <x:c r="K29" s="4"/>
      <x:c r="L29" s="4"/>
      <x:c r="M29" s="4"/>
      <x:c r="N29" s="4"/>
    </x:row>
    <x:row r="30">
      <x:c r="A30" s="4"/>
      <x:c r="B30" s="46"/>
      <x:c r="C30" s="46"/>
      <x:c r="D30" s="46"/>
      <x:c r="E30" s="92"/>
      <x:c r="F30" s="92"/>
      <x:c r="G30" s="93" t="str">
        <x:f>IF(B30="","",E30-F30)</x:f>
      </x:c>
      <x:c r="H30" s="100" t="str">
        <x:f>IF(B30="","",IF(D30="TL",1,IF(D30="USD",KURLAR!$C$9,IF(D30="EUR",KURLAR!$C$10,0))))</x:f>
      </x:c>
      <x:c r="I30" s="68" t="str">
        <x:f>IF(B30="","",G30*H30)</x:f>
      </x:c>
      <x:c r="J30" s="52" t="str">
        <x:f>IF(B30="","",IF(G30&lt;0,"NEGATİF BAKİYE","UYGUN"))</x:f>
      </x:c>
      <x:c r="K30" s="4"/>
      <x:c r="L30" s="4"/>
      <x:c r="M30" s="4"/>
      <x:c r="N30" s="4"/>
    </x:row>
    <x:row r="31">
      <x:c r="A31" s="4"/>
      <x:c r="B31" s="46"/>
      <x:c r="C31" s="46"/>
      <x:c r="D31" s="46"/>
      <x:c r="E31" s="92"/>
      <x:c r="F31" s="92"/>
      <x:c r="G31" s="93" t="str">
        <x:f>IF(B31="","",E31-F31)</x:f>
      </x:c>
      <x:c r="H31" s="100" t="str">
        <x:f>IF(B31="","",IF(D31="TL",1,IF(D31="USD",KURLAR!$C$9,IF(D31="EUR",KURLAR!$C$10,0))))</x:f>
      </x:c>
      <x:c r="I31" s="68" t="str">
        <x:f>IF(B31="","",G31*H31)</x:f>
      </x:c>
      <x:c r="J31" s="52" t="str">
        <x:f>IF(B31="","",IF(G31&lt;0,"NEGATİF BAKİYE","UYGUN"))</x:f>
      </x:c>
      <x:c r="K31" s="4"/>
      <x:c r="L31" s="4"/>
      <x:c r="M31" s="4"/>
      <x:c r="N31" s="4"/>
    </x:row>
    <x:row r="32">
      <x:c r="A32" s="4"/>
      <x:c r="B32" s="46"/>
      <x:c r="C32" s="46"/>
      <x:c r="D32" s="46"/>
      <x:c r="E32" s="92"/>
      <x:c r="F32" s="92"/>
      <x:c r="G32" s="93" t="str">
        <x:f>IF(B32="","",E32-F32)</x:f>
      </x:c>
      <x:c r="H32" s="100" t="str">
        <x:f>IF(B32="","",IF(D32="TL",1,IF(D32="USD",KURLAR!$C$9,IF(D32="EUR",KURLAR!$C$10,0))))</x:f>
      </x:c>
      <x:c r="I32" s="68" t="str">
        <x:f>IF(B32="","",G32*H32)</x:f>
      </x:c>
      <x:c r="J32" s="52" t="str">
        <x:f>IF(B32="","",IF(G32&lt;0,"NEGATİF BAKİYE","UYGUN"))</x:f>
      </x:c>
      <x:c r="K32" s="4"/>
      <x:c r="L32" s="4"/>
      <x:c r="M32" s="4"/>
      <x:c r="N32" s="4"/>
    </x:row>
    <x:row r="33">
      <x:c r="A33" s="4"/>
      <x:c r="B33" s="46"/>
      <x:c r="C33" s="46"/>
      <x:c r="D33" s="46"/>
      <x:c r="E33" s="92"/>
      <x:c r="F33" s="92"/>
      <x:c r="G33" s="93" t="str">
        <x:f>IF(B33="","",E33-F33)</x:f>
      </x:c>
      <x:c r="H33" s="100" t="str">
        <x:f>IF(B33="","",IF(D33="TL",1,IF(D33="USD",KURLAR!$C$9,IF(D33="EUR",KURLAR!$C$10,0))))</x:f>
      </x:c>
      <x:c r="I33" s="68" t="str">
        <x:f>IF(B33="","",G33*H33)</x:f>
      </x:c>
      <x:c r="J33" s="52" t="str">
        <x:f>IF(B33="","",IF(G33&lt;0,"NEGATİF BAKİYE","UYGUN"))</x:f>
      </x:c>
      <x:c r="K33" s="4"/>
      <x:c r="L33" s="4"/>
      <x:c r="M33" s="4"/>
      <x:c r="N33" s="4"/>
    </x:row>
    <x:row r="34">
      <x:c r="A34" s="4"/>
      <x:c r="B34" s="46"/>
      <x:c r="C34" s="46"/>
      <x:c r="D34" s="46"/>
      <x:c r="E34" s="92"/>
      <x:c r="F34" s="92"/>
      <x:c r="G34" s="93" t="str">
        <x:f>IF(B34="","",E34-F34)</x:f>
      </x:c>
      <x:c r="H34" s="100" t="str">
        <x:f>IF(B34="","",IF(D34="TL",1,IF(D34="USD",KURLAR!$C$9,IF(D34="EUR",KURLAR!$C$10,0))))</x:f>
      </x:c>
      <x:c r="I34" s="68" t="str">
        <x:f>IF(B34="","",G34*H34)</x:f>
      </x:c>
      <x:c r="J34" s="52" t="str">
        <x:f>IF(B34="","",IF(G34&lt;0,"NEGATİF BAKİYE","UYGUN"))</x:f>
      </x:c>
      <x:c r="K34" s="4"/>
      <x:c r="L34" s="4"/>
      <x:c r="M34" s="4"/>
      <x:c r="N34" s="4"/>
    </x:row>
    <x:row r="35">
      <x:c r="A35" s="4"/>
      <x:c r="B35" s="46"/>
      <x:c r="C35" s="46"/>
      <x:c r="D35" s="46"/>
      <x:c r="E35" s="92"/>
      <x:c r="F35" s="92"/>
      <x:c r="G35" s="93" t="str">
        <x:f>IF(B35="","",E35-F35)</x:f>
      </x:c>
      <x:c r="H35" s="100" t="str">
        <x:f>IF(B35="","",IF(D35="TL",1,IF(D35="USD",KURLAR!$C$9,IF(D35="EUR",KURLAR!$C$10,0))))</x:f>
      </x:c>
      <x:c r="I35" s="68" t="str">
        <x:f>IF(B35="","",G35*H35)</x:f>
      </x:c>
      <x:c r="J35" s="52" t="str">
        <x:f>IF(B35="","",IF(G35&lt;0,"NEGATİF BAKİYE","UYGUN"))</x:f>
      </x:c>
      <x:c r="K35" s="4"/>
      <x:c r="L35" s="4"/>
      <x:c r="M35" s="4"/>
      <x:c r="N35" s="4"/>
    </x:row>
    <x:row r="36">
      <x:c r="A36" s="4"/>
      <x:c r="B36" s="46"/>
      <x:c r="C36" s="46"/>
      <x:c r="D36" s="46"/>
      <x:c r="E36" s="92"/>
      <x:c r="F36" s="92"/>
      <x:c r="G36" s="93" t="str">
        <x:f>IF(B36="","",E36-F36)</x:f>
      </x:c>
      <x:c r="H36" s="100" t="str">
        <x:f>IF(B36="","",IF(D36="TL",1,IF(D36="USD",KURLAR!$C$9,IF(D36="EUR",KURLAR!$C$10,0))))</x:f>
      </x:c>
      <x:c r="I36" s="68" t="str">
        <x:f>IF(B36="","",G36*H36)</x:f>
      </x:c>
      <x:c r="J36" s="52" t="str">
        <x:f>IF(B36="","",IF(G36&lt;0,"NEGATİF BAKİYE","UYGUN"))</x:f>
      </x:c>
      <x:c r="K36" s="4"/>
      <x:c r="L36" s="4"/>
      <x:c r="M36" s="4"/>
      <x:c r="N36" s="4"/>
    </x:row>
    <x:row r="37">
      <x:c r="A37" s="4"/>
      <x:c r="B37" s="46"/>
      <x:c r="C37" s="46"/>
      <x:c r="D37" s="46"/>
      <x:c r="E37" s="92"/>
      <x:c r="F37" s="92"/>
      <x:c r="G37" s="93" t="str">
        <x:f>IF(B37="","",E37-F37)</x:f>
      </x:c>
      <x:c r="H37" s="100" t="str">
        <x:f>IF(B37="","",IF(D37="TL",1,IF(D37="USD",KURLAR!$C$9,IF(D37="EUR",KURLAR!$C$10,0))))</x:f>
      </x:c>
      <x:c r="I37" s="68" t="str">
        <x:f>IF(B37="","",G37*H37)</x:f>
      </x:c>
      <x:c r="J37" s="52" t="str">
        <x:f>IF(B37="","",IF(G37&lt;0,"NEGATİF BAKİYE","UYGUN"))</x:f>
      </x:c>
      <x:c r="K37" s="4"/>
      <x:c r="L37" s="4"/>
      <x:c r="M37" s="4"/>
      <x:c r="N37" s="4"/>
    </x:row>
    <x:row r="38">
      <x:c r="A38" s="4"/>
      <x:c r="B38" s="46"/>
      <x:c r="C38" s="46"/>
      <x:c r="D38" s="46"/>
      <x:c r="E38" s="92"/>
      <x:c r="F38" s="92"/>
      <x:c r="G38" s="93" t="str">
        <x:f>IF(B38="","",E38-F38)</x:f>
      </x:c>
      <x:c r="H38" s="100" t="str">
        <x:f>IF(B38="","",IF(D38="TL",1,IF(D38="USD",KURLAR!$C$9,IF(D38="EUR",KURLAR!$C$10,0))))</x:f>
      </x:c>
      <x:c r="I38" s="68" t="str">
        <x:f>IF(B38="","",G38*H38)</x:f>
      </x:c>
      <x:c r="J38" s="52" t="str">
        <x:f>IF(B38="","",IF(G38&lt;0,"NEGATİF BAKİYE","UYGUN"))</x:f>
      </x:c>
      <x:c r="K38" s="4"/>
      <x:c r="L38" s="4"/>
      <x:c r="M38" s="4"/>
      <x:c r="N38" s="4"/>
    </x:row>
    <x:row r="39">
      <x:c r="A39" s="4"/>
      <x:c r="B39" s="46"/>
      <x:c r="C39" s="46"/>
      <x:c r="D39" s="46"/>
      <x:c r="E39" s="92"/>
      <x:c r="F39" s="92"/>
      <x:c r="G39" s="93" t="str">
        <x:f>IF(B39="","",E39-F39)</x:f>
      </x:c>
      <x:c r="H39" s="100" t="str">
        <x:f>IF(B39="","",IF(D39="TL",1,IF(D39="USD",KURLAR!$C$9,IF(D39="EUR",KURLAR!$C$10,0))))</x:f>
      </x:c>
      <x:c r="I39" s="68" t="str">
        <x:f>IF(B39="","",G39*H39)</x:f>
      </x:c>
      <x:c r="J39" s="52" t="str">
        <x:f>IF(B39="","",IF(G39&lt;0,"NEGATİF BAKİYE","UYGUN"))</x:f>
      </x:c>
      <x:c r="K39" s="4"/>
      <x:c r="L39" s="4"/>
      <x:c r="M39" s="4"/>
      <x:c r="N39" s="4"/>
    </x:row>
    <x:row r="40">
      <x:c r="A40" s="4"/>
      <x:c r="B40" s="46"/>
      <x:c r="C40" s="46"/>
      <x:c r="D40" s="46"/>
      <x:c r="E40" s="92"/>
      <x:c r="F40" s="92"/>
      <x:c r="G40" s="93" t="str">
        <x:f>IF(B40="","",E40-F40)</x:f>
      </x:c>
      <x:c r="H40" s="100" t="str">
        <x:f>IF(B40="","",IF(D40="TL",1,IF(D40="USD",KURLAR!$C$9,IF(D40="EUR",KURLAR!$C$10,0))))</x:f>
      </x:c>
      <x:c r="I40" s="68" t="str">
        <x:f>IF(B40="","",G40*H40)</x:f>
      </x:c>
      <x:c r="J40" s="52" t="str">
        <x:f>IF(B40="","",IF(G40&lt;0,"NEGATİF BAKİYE","UYGUN"))</x:f>
      </x:c>
      <x:c r="K40" s="4"/>
      <x:c r="L40" s="4"/>
      <x:c r="M40" s="4"/>
      <x:c r="N40" s="4"/>
    </x:row>
    <x:row r="41">
      <x:c r="A41" s="4"/>
      <x:c r="B41" s="46"/>
      <x:c r="C41" s="46"/>
      <x:c r="D41" s="46"/>
      <x:c r="E41" s="92"/>
      <x:c r="F41" s="92"/>
      <x:c r="G41" s="93" t="str">
        <x:f>IF(B41="","",E41-F41)</x:f>
      </x:c>
      <x:c r="H41" s="100" t="str">
        <x:f>IF(B41="","",IF(D41="TL",1,IF(D41="USD",KURLAR!$C$9,IF(D41="EUR",KURLAR!$C$10,0))))</x:f>
      </x:c>
      <x:c r="I41" s="68" t="str">
        <x:f>IF(B41="","",G41*H41)</x:f>
      </x:c>
      <x:c r="J41" s="52" t="str">
        <x:f>IF(B41="","",IF(G41&lt;0,"NEGATİF BAKİYE","UYGUN"))</x:f>
      </x:c>
      <x:c r="K41" s="4"/>
      <x:c r="L41" s="4"/>
      <x:c r="M41" s="4"/>
      <x:c r="N41" s="4"/>
    </x:row>
    <x:row r="42">
      <x:c r="A42" s="4"/>
      <x:c r="B42" s="46"/>
      <x:c r="C42" s="46"/>
      <x:c r="D42" s="46"/>
      <x:c r="E42" s="92"/>
      <x:c r="F42" s="92"/>
      <x:c r="G42" s="93" t="str">
        <x:f>IF(B42="","",E42-F42)</x:f>
      </x:c>
      <x:c r="H42" s="100" t="str">
        <x:f>IF(B42="","",IF(D42="TL",1,IF(D42="USD",KURLAR!$C$9,IF(D42="EUR",KURLAR!$C$10,0))))</x:f>
      </x:c>
      <x:c r="I42" s="68" t="str">
        <x:f>IF(B42="","",G42*H42)</x:f>
      </x:c>
      <x:c r="J42" s="52" t="str">
        <x:f>IF(B42="","",IF(G42&lt;0,"NEGATİF BAKİYE","UYGUN"))</x:f>
      </x:c>
      <x:c r="K42" s="4"/>
      <x:c r="L42" s="4"/>
      <x:c r="M42" s="4"/>
      <x:c r="N42" s="4"/>
    </x:row>
    <x:row r="43">
      <x:c r="A43" s="4"/>
      <x:c r="B43" s="46"/>
      <x:c r="C43" s="46"/>
      <x:c r="D43" s="46"/>
      <x:c r="E43" s="92"/>
      <x:c r="F43" s="92"/>
      <x:c r="G43" s="93" t="str">
        <x:f>IF(B43="","",E43-F43)</x:f>
      </x:c>
      <x:c r="H43" s="100" t="str">
        <x:f>IF(B43="","",IF(D43="TL",1,IF(D43="USD",KURLAR!$C$9,IF(D43="EUR",KURLAR!$C$10,0))))</x:f>
      </x:c>
      <x:c r="I43" s="68" t="str">
        <x:f>IF(B43="","",G43*H43)</x:f>
      </x:c>
      <x:c r="J43" s="52" t="str">
        <x:f>IF(B43="","",IF(G43&lt;0,"NEGATİF BAKİYE","UYGUN"))</x:f>
      </x:c>
      <x:c r="K43" s="4"/>
      <x:c r="L43" s="4"/>
      <x:c r="M43" s="4"/>
      <x:c r="N43" s="4"/>
    </x:row>
    <x:row r="44">
      <x:c r="A44" s="4"/>
      <x:c r="B44" s="46"/>
      <x:c r="C44" s="46"/>
      <x:c r="D44" s="46"/>
      <x:c r="E44" s="92"/>
      <x:c r="F44" s="92"/>
      <x:c r="G44" s="93" t="str">
        <x:f>IF(B44="","",E44-F44)</x:f>
      </x:c>
      <x:c r="H44" s="100" t="str">
        <x:f>IF(B44="","",IF(D44="TL",1,IF(D44="USD",KURLAR!$C$9,IF(D44="EUR",KURLAR!$C$10,0))))</x:f>
      </x:c>
      <x:c r="I44" s="68" t="str">
        <x:f>IF(B44="","",G44*H44)</x:f>
      </x:c>
      <x:c r="J44" s="52" t="str">
        <x:f>IF(B44="","",IF(G44&lt;0,"NEGATİF BAKİYE","UYGUN"))</x:f>
      </x:c>
      <x:c r="K44" s="4"/>
      <x:c r="L44" s="4"/>
      <x:c r="M44" s="4"/>
      <x:c r="N44" s="4"/>
    </x:row>
    <x:row r="45">
      <x:c r="A45" s="4"/>
      <x:c r="B45" s="46"/>
      <x:c r="C45" s="46"/>
      <x:c r="D45" s="46"/>
      <x:c r="E45" s="92"/>
      <x:c r="F45" s="92"/>
      <x:c r="G45" s="93" t="str">
        <x:f>IF(B45="","",E45-F45)</x:f>
      </x:c>
      <x:c r="H45" s="100" t="str">
        <x:f>IF(B45="","",IF(D45="TL",1,IF(D45="USD",KURLAR!$C$9,IF(D45="EUR",KURLAR!$C$10,0))))</x:f>
      </x:c>
      <x:c r="I45" s="68" t="str">
        <x:f>IF(B45="","",G45*H45)</x:f>
      </x:c>
      <x:c r="J45" s="52" t="str">
        <x:f>IF(B45="","",IF(G45&lt;0,"NEGATİF BAKİYE","UYGUN"))</x:f>
      </x:c>
      <x:c r="K45" s="4"/>
      <x:c r="L45" s="4"/>
      <x:c r="M45" s="4"/>
      <x:c r="N45" s="4"/>
    </x:row>
    <x:row r="46">
      <x:c r="A46" s="4"/>
      <x:c r="B46" s="46"/>
      <x:c r="C46" s="46"/>
      <x:c r="D46" s="46"/>
      <x:c r="E46" s="92"/>
      <x:c r="F46" s="92"/>
      <x:c r="G46" s="93" t="str">
        <x:f>IF(B46="","",E46-F46)</x:f>
      </x:c>
      <x:c r="H46" s="100" t="str">
        <x:f>IF(B46="","",IF(D46="TL",1,IF(D46="USD",KURLAR!$C$9,IF(D46="EUR",KURLAR!$C$10,0))))</x:f>
      </x:c>
      <x:c r="I46" s="68" t="str">
        <x:f>IF(B46="","",G46*H46)</x:f>
      </x:c>
      <x:c r="J46" s="52" t="str">
        <x:f>IF(B46="","",IF(G46&lt;0,"NEGATİF BAKİYE","UYGUN"))</x:f>
      </x:c>
      <x:c r="K46" s="4"/>
      <x:c r="L46" s="4"/>
      <x:c r="M46" s="4"/>
      <x:c r="N46" s="4"/>
    </x:row>
    <x:row r="47">
      <x:c r="A47" s="4"/>
      <x:c r="B47" s="46"/>
      <x:c r="C47" s="46"/>
      <x:c r="D47" s="46"/>
      <x:c r="E47" s="92"/>
      <x:c r="F47" s="92"/>
      <x:c r="G47" s="93" t="str">
        <x:f>IF(B47="","",E47-F47)</x:f>
      </x:c>
      <x:c r="H47" s="100" t="str">
        <x:f>IF(B47="","",IF(D47="TL",1,IF(D47="USD",KURLAR!$C$9,IF(D47="EUR",KURLAR!$C$10,0))))</x:f>
      </x:c>
      <x:c r="I47" s="68" t="str">
        <x:f>IF(B47="","",G47*H47)</x:f>
      </x:c>
      <x:c r="J47" s="52" t="str">
        <x:f>IF(B47="","",IF(G47&lt;0,"NEGATİF BAKİYE","UYGUN"))</x:f>
      </x:c>
      <x:c r="K47" s="4"/>
      <x:c r="L47" s="4"/>
      <x:c r="M47" s="4"/>
      <x:c r="N47" s="4"/>
    </x:row>
    <x:row r="48">
      <x:c r="A48" s="4"/>
      <x:c r="B48" s="46"/>
      <x:c r="C48" s="46"/>
      <x:c r="D48" s="46"/>
      <x:c r="E48" s="92"/>
      <x:c r="F48" s="92"/>
      <x:c r="G48" s="93" t="str">
        <x:f>IF(B48="","",E48-F48)</x:f>
      </x:c>
      <x:c r="H48" s="100" t="str">
        <x:f>IF(B48="","",IF(D48="TL",1,IF(D48="USD",KURLAR!$C$9,IF(D48="EUR",KURLAR!$C$10,0))))</x:f>
      </x:c>
      <x:c r="I48" s="68" t="str">
        <x:f>IF(B48="","",G48*H48)</x:f>
      </x:c>
      <x:c r="J48" s="52" t="str">
        <x:f>IF(B48="","",IF(G48&lt;0,"NEGATİF BAKİYE","UYGUN"))</x:f>
      </x:c>
      <x:c r="K48" s="4"/>
      <x:c r="L48" s="4"/>
      <x:c r="M48" s="4"/>
      <x:c r="N48" s="4"/>
    </x:row>
    <x:row r="49">
      <x:c r="A49" s="4"/>
      <x:c r="B49" s="46"/>
      <x:c r="C49" s="46"/>
      <x:c r="D49" s="46"/>
      <x:c r="E49" s="92"/>
      <x:c r="F49" s="92"/>
      <x:c r="G49" s="93" t="str">
        <x:f>IF(B49="","",E49-F49)</x:f>
      </x:c>
      <x:c r="H49" s="100" t="str">
        <x:f>IF(B49="","",IF(D49="TL",1,IF(D49="USD",KURLAR!$C$9,IF(D49="EUR",KURLAR!$C$10,0))))</x:f>
      </x:c>
      <x:c r="I49" s="68" t="str">
        <x:f>IF(B49="","",G49*H49)</x:f>
      </x:c>
      <x:c r="J49" s="52" t="str">
        <x:f>IF(B49="","",IF(G49&lt;0,"NEGATİF BAKİYE","UYGUN"))</x:f>
      </x:c>
      <x:c r="K49" s="4"/>
      <x:c r="L49" s="4"/>
      <x:c r="M49" s="4"/>
      <x:c r="N49" s="4"/>
    </x:row>
    <x:row r="50">
      <x:c r="A50" s="4"/>
      <x:c r="B50" s="46"/>
      <x:c r="C50" s="46"/>
      <x:c r="D50" s="46"/>
      <x:c r="E50" s="92"/>
      <x:c r="F50" s="92"/>
      <x:c r="G50" s="93" t="str">
        <x:f>IF(B50="","",E50-F50)</x:f>
      </x:c>
      <x:c r="H50" s="100" t="str">
        <x:f>IF(B50="","",IF(D50="TL",1,IF(D50="USD",KURLAR!$C$9,IF(D50="EUR",KURLAR!$C$10,0))))</x:f>
      </x:c>
      <x:c r="I50" s="68" t="str">
        <x:f>IF(B50="","",G50*H50)</x:f>
      </x:c>
      <x:c r="J50" s="52" t="str">
        <x:f>IF(B50="","",IF(G50&lt;0,"NEGATİF BAKİYE","UYGUN"))</x:f>
      </x:c>
      <x:c r="K50" s="4"/>
      <x:c r="L50" s="4"/>
      <x:c r="M50" s="4"/>
      <x:c r="N50" s="4"/>
    </x:row>
    <x:row r="51">
      <x:c r="A51" s="4"/>
      <x:c r="B51" s="46"/>
      <x:c r="C51" s="46"/>
      <x:c r="D51" s="46"/>
      <x:c r="E51" s="92"/>
      <x:c r="F51" s="92"/>
      <x:c r="G51" s="93" t="str">
        <x:f>IF(B51="","",E51-F51)</x:f>
      </x:c>
      <x:c r="H51" s="100" t="str">
        <x:f>IF(B51="","",IF(D51="TL",1,IF(D51="USD",KURLAR!$C$9,IF(D51="EUR",KURLAR!$C$10,0))))</x:f>
      </x:c>
      <x:c r="I51" s="68" t="str">
        <x:f>IF(B51="","",G51*H51)</x:f>
      </x:c>
      <x:c r="J51" s="52" t="str">
        <x:f>IF(B51="","",IF(G51&lt;0,"NEGATİF BAKİYE","UYGUN"))</x:f>
      </x:c>
      <x:c r="K51" s="4"/>
      <x:c r="L51" s="4"/>
      <x:c r="M51" s="4"/>
      <x:c r="N51" s="4"/>
    </x:row>
    <x:row r="52">
      <x:c r="A52" s="4"/>
      <x:c r="B52" s="46"/>
      <x:c r="C52" s="46"/>
      <x:c r="D52" s="46"/>
      <x:c r="E52" s="92"/>
      <x:c r="F52" s="92"/>
      <x:c r="G52" s="93" t="str">
        <x:f>IF(B52="","",E52-F52)</x:f>
      </x:c>
      <x:c r="H52" s="100" t="str">
        <x:f>IF(B52="","",IF(D52="TL",1,IF(D52="USD",KURLAR!$C$9,IF(D52="EUR",KURLAR!$C$10,0))))</x:f>
      </x:c>
      <x:c r="I52" s="68" t="str">
        <x:f>IF(B52="","",G52*H52)</x:f>
      </x:c>
      <x:c r="J52" s="52" t="str">
        <x:f>IF(B52="","",IF(G52&lt;0,"NEGATİF BAKİYE","UYGUN"))</x:f>
      </x:c>
      <x:c r="K52" s="4"/>
      <x:c r="L52" s="4"/>
      <x:c r="M52" s="4"/>
      <x:c r="N52" s="4"/>
    </x:row>
    <x:row r="53">
      <x:c r="A53" s="4"/>
      <x:c r="B53" s="46"/>
      <x:c r="C53" s="46"/>
      <x:c r="D53" s="46"/>
      <x:c r="E53" s="92"/>
      <x:c r="F53" s="92"/>
      <x:c r="G53" s="93" t="str">
        <x:f>IF(B53="","",E53-F53)</x:f>
      </x:c>
      <x:c r="H53" s="100" t="str">
        <x:f>IF(B53="","",IF(D53="TL",1,IF(D53="USD",KURLAR!$C$9,IF(D53="EUR",KURLAR!$C$10,0))))</x:f>
      </x:c>
      <x:c r="I53" s="68" t="str">
        <x:f>IF(B53="","",G53*H53)</x:f>
      </x:c>
      <x:c r="J53" s="52" t="str">
        <x:f>IF(B53="","",IF(G53&lt;0,"NEGATİF BAKİYE","UYGUN"))</x:f>
      </x:c>
      <x:c r="K53" s="4"/>
      <x:c r="L53" s="4"/>
      <x:c r="M53" s="4"/>
      <x:c r="N53" s="4"/>
    </x:row>
    <x:row r="54">
      <x:c r="A54" s="4"/>
      <x:c r="B54" s="46"/>
      <x:c r="C54" s="46"/>
      <x:c r="D54" s="46"/>
      <x:c r="E54" s="92"/>
      <x:c r="F54" s="92"/>
      <x:c r="G54" s="93" t="str">
        <x:f>IF(B54="","",E54-F54)</x:f>
      </x:c>
      <x:c r="H54" s="100" t="str">
        <x:f>IF(B54="","",IF(D54="TL",1,IF(D54="USD",KURLAR!$C$9,IF(D54="EUR",KURLAR!$C$10,0))))</x:f>
      </x:c>
      <x:c r="I54" s="68" t="str">
        <x:f>IF(B54="","",G54*H54)</x:f>
      </x:c>
      <x:c r="J54" s="52" t="str">
        <x:f>IF(B54="","",IF(G54&lt;0,"NEGATİF BAKİYE","UYGUN"))</x:f>
      </x:c>
      <x:c r="K54" s="4"/>
      <x:c r="L54" s="4"/>
      <x:c r="M54" s="4"/>
      <x:c r="N54" s="4"/>
    </x:row>
    <x:row r="55">
      <x:c r="A55" s="4"/>
      <x:c r="B55" s="46"/>
      <x:c r="C55" s="46"/>
      <x:c r="D55" s="46"/>
      <x:c r="E55" s="92"/>
      <x:c r="F55" s="92"/>
      <x:c r="G55" s="93" t="str">
        <x:f>IF(B55="","",E55-F55)</x:f>
      </x:c>
      <x:c r="H55" s="100" t="str">
        <x:f>IF(B55="","",IF(D55="TL",1,IF(D55="USD",KURLAR!$C$9,IF(D55="EUR",KURLAR!$C$10,0))))</x:f>
      </x:c>
      <x:c r="I55" s="68" t="str">
        <x:f>IF(B55="","",G55*H55)</x:f>
      </x:c>
      <x:c r="J55" s="52" t="str">
        <x:f>IF(B55="","",IF(G55&lt;0,"NEGATİF BAKİYE","UYGUN"))</x:f>
      </x:c>
      <x:c r="K55" s="4"/>
      <x:c r="L55" s="4"/>
      <x:c r="M55" s="4"/>
      <x:c r="N55" s="4"/>
    </x:row>
    <x:row r="56">
      <x:c r="A56" s="4"/>
      <x:c r="B56" s="46"/>
      <x:c r="C56" s="46"/>
      <x:c r="D56" s="46"/>
      <x:c r="E56" s="92"/>
      <x:c r="F56" s="92"/>
      <x:c r="G56" s="93" t="str">
        <x:f>IF(B56="","",E56-F56)</x:f>
      </x:c>
      <x:c r="H56" s="100" t="str">
        <x:f>IF(B56="","",IF(D56="TL",1,IF(D56="USD",KURLAR!$C$9,IF(D56="EUR",KURLAR!$C$10,0))))</x:f>
      </x:c>
      <x:c r="I56" s="68" t="str">
        <x:f>IF(B56="","",G56*H56)</x:f>
      </x:c>
      <x:c r="J56" s="52" t="str">
        <x:f>IF(B56="","",IF(G56&lt;0,"NEGATİF BAKİYE","UYGUN"))</x:f>
      </x:c>
      <x:c r="K56" s="4"/>
      <x:c r="L56" s="4"/>
      <x:c r="M56" s="4"/>
      <x:c r="N56" s="4"/>
    </x:row>
    <x:row r="57">
      <x:c r="A57" s="4"/>
      <x:c r="B57" s="46"/>
      <x:c r="C57" s="46"/>
      <x:c r="D57" s="46"/>
      <x:c r="E57" s="92"/>
      <x:c r="F57" s="92"/>
      <x:c r="G57" s="93" t="str">
        <x:f>IF(B57="","",E57-F57)</x:f>
      </x:c>
      <x:c r="H57" s="100" t="str">
        <x:f>IF(B57="","",IF(D57="TL",1,IF(D57="USD",KURLAR!$C$9,IF(D57="EUR",KURLAR!$C$10,0))))</x:f>
      </x:c>
      <x:c r="I57" s="68" t="str">
        <x:f>IF(B57="","",G57*H57)</x:f>
      </x:c>
      <x:c r="J57" s="52" t="str">
        <x:f>IF(B57="","",IF(G57&lt;0,"NEGATİF BAKİYE","UYGUN"))</x:f>
      </x:c>
      <x:c r="K57" s="4"/>
      <x:c r="L57" s="4"/>
      <x:c r="M57" s="4"/>
      <x:c r="N57" s="4"/>
    </x:row>
    <x:row r="58">
      <x:c r="A58" s="4"/>
      <x:c r="B58" s="46"/>
      <x:c r="C58" s="46"/>
      <x:c r="D58" s="46"/>
      <x:c r="E58" s="92"/>
      <x:c r="F58" s="92"/>
      <x:c r="G58" s="93" t="str">
        <x:f>IF(B58="","",E58-F58)</x:f>
      </x:c>
      <x:c r="H58" s="100" t="str">
        <x:f>IF(B58="","",IF(D58="TL",1,IF(D58="USD",KURLAR!$C$9,IF(D58="EUR",KURLAR!$C$10,0))))</x:f>
      </x:c>
      <x:c r="I58" s="68" t="str">
        <x:f>IF(B58="","",G58*H58)</x:f>
      </x:c>
      <x:c r="J58" s="52" t="str">
        <x:f>IF(B58="","",IF(G58&lt;0,"NEGATİF BAKİYE","UYGUN"))</x:f>
      </x:c>
      <x:c r="K58" s="4"/>
      <x:c r="L58" s="4"/>
      <x:c r="M58" s="4"/>
      <x:c r="N58" s="4"/>
    </x:row>
    <x:row r="59">
      <x:c r="A59" s="4"/>
      <x:c r="B59" s="46"/>
      <x:c r="C59" s="46"/>
      <x:c r="D59" s="46"/>
      <x:c r="E59" s="92"/>
      <x:c r="F59" s="92"/>
      <x:c r="G59" s="93" t="str">
        <x:f>IF(B59="","",E59-F59)</x:f>
      </x:c>
      <x:c r="H59" s="100" t="str">
        <x:f>IF(B59="","",IF(D59="TL",1,IF(D59="USD",KURLAR!$C$9,IF(D59="EUR",KURLAR!$C$10,0))))</x:f>
      </x:c>
      <x:c r="I59" s="68" t="str">
        <x:f>IF(B59="","",G59*H59)</x:f>
      </x:c>
      <x:c r="J59" s="52" t="str">
        <x:f>IF(B59="","",IF(G59&lt;0,"NEGATİF BAKİYE","UYGUN"))</x:f>
      </x:c>
      <x:c r="K59" s="4"/>
      <x:c r="L59" s="4"/>
      <x:c r="M59" s="4"/>
      <x:c r="N59" s="4"/>
    </x:row>
    <x:row r="60">
      <x:c r="A60" s="4"/>
      <x:c r="B60" s="46"/>
      <x:c r="C60" s="46"/>
      <x:c r="D60" s="46"/>
      <x:c r="E60" s="92"/>
      <x:c r="F60" s="92"/>
      <x:c r="G60" s="93" t="str">
        <x:f>IF(B60="","",E60-F60)</x:f>
      </x:c>
      <x:c r="H60" s="100" t="str">
        <x:f>IF(B60="","",IF(D60="TL",1,IF(D60="USD",KURLAR!$C$9,IF(D60="EUR",KURLAR!$C$10,0))))</x:f>
      </x:c>
      <x:c r="I60" s="68" t="str">
        <x:f>IF(B60="","",G60*H60)</x:f>
      </x:c>
      <x:c r="J60" s="52" t="str">
        <x:f>IF(B60="","",IF(G60&lt;0,"NEGATİF BAKİYE","UYGUN"))</x:f>
      </x:c>
      <x:c r="K60" s="4"/>
      <x:c r="L60" s="4"/>
      <x:c r="M60" s="4"/>
      <x:c r="N60" s="4"/>
    </x:row>
    <x:row r="61">
      <x:c r="A61" s="4"/>
      <x:c r="B61" s="46"/>
      <x:c r="C61" s="46"/>
      <x:c r="D61" s="46"/>
      <x:c r="E61" s="92"/>
      <x:c r="F61" s="92"/>
      <x:c r="G61" s="93" t="str">
        <x:f>IF(B61="","",E61-F61)</x:f>
      </x:c>
      <x:c r="H61" s="100" t="str">
        <x:f>IF(B61="","",IF(D61="TL",1,IF(D61="USD",KURLAR!$C$9,IF(D61="EUR",KURLAR!$C$10,0))))</x:f>
      </x:c>
      <x:c r="I61" s="68" t="str">
        <x:f>IF(B61="","",G61*H61)</x:f>
      </x:c>
      <x:c r="J61" s="52" t="str">
        <x:f>IF(B61="","",IF(G61&lt;0,"NEGATİF BAKİYE","UYGUN"))</x:f>
      </x:c>
      <x:c r="K61" s="4"/>
      <x:c r="L61" s="4"/>
      <x:c r="M61" s="4"/>
      <x:c r="N61" s="4"/>
    </x:row>
    <x:row r="62">
      <x:c r="A62" s="4"/>
      <x:c r="B62" s="46"/>
      <x:c r="C62" s="46"/>
      <x:c r="D62" s="46"/>
      <x:c r="E62" s="92"/>
      <x:c r="F62" s="92"/>
      <x:c r="G62" s="93" t="str">
        <x:f>IF(B62="","",E62-F62)</x:f>
      </x:c>
      <x:c r="H62" s="100" t="str">
        <x:f>IF(B62="","",IF(D62="TL",1,IF(D62="USD",KURLAR!$C$9,IF(D62="EUR",KURLAR!$C$10,0))))</x:f>
      </x:c>
      <x:c r="I62" s="68" t="str">
        <x:f>IF(B62="","",G62*H62)</x:f>
      </x:c>
      <x:c r="J62" s="52" t="str">
        <x:f>IF(B62="","",IF(G62&lt;0,"NEGATİF BAKİYE","UYGUN"))</x:f>
      </x:c>
      <x:c r="K62" s="4"/>
      <x:c r="L62" s="4"/>
      <x:c r="M62" s="4"/>
      <x:c r="N62" s="4"/>
    </x:row>
    <x:row r="63">
      <x:c r="A63" s="4"/>
      <x:c r="B63" s="46"/>
      <x:c r="C63" s="46"/>
      <x:c r="D63" s="46"/>
      <x:c r="E63" s="92"/>
      <x:c r="F63" s="92"/>
      <x:c r="G63" s="93" t="str">
        <x:f>IF(B63="","",E63-F63)</x:f>
      </x:c>
      <x:c r="H63" s="100" t="str">
        <x:f>IF(B63="","",IF(D63="TL",1,IF(D63="USD",KURLAR!$C$9,IF(D63="EUR",KURLAR!$C$10,0))))</x:f>
      </x:c>
      <x:c r="I63" s="68" t="str">
        <x:f>IF(B63="","",G63*H63)</x:f>
      </x:c>
      <x:c r="J63" s="52" t="str">
        <x:f>IF(B63="","",IF(G63&lt;0,"NEGATİF BAKİYE","UYGUN"))</x:f>
      </x:c>
      <x:c r="K63" s="4"/>
      <x:c r="L63" s="4"/>
      <x:c r="M63" s="4"/>
      <x:c r="N63" s="4"/>
    </x:row>
    <x:row r="64">
      <x:c r="A64" s="4"/>
      <x:c r="B64" s="46"/>
      <x:c r="C64" s="46"/>
      <x:c r="D64" s="46"/>
      <x:c r="E64" s="92"/>
      <x:c r="F64" s="92"/>
      <x:c r="G64" s="93" t="str">
        <x:f>IF(B64="","",E64-F64)</x:f>
      </x:c>
      <x:c r="H64" s="100" t="str">
        <x:f>IF(B64="","",IF(D64="TL",1,IF(D64="USD",KURLAR!$C$9,IF(D64="EUR",KURLAR!$C$10,0))))</x:f>
      </x:c>
      <x:c r="I64" s="68" t="str">
        <x:f>IF(B64="","",G64*H64)</x:f>
      </x:c>
      <x:c r="J64" s="52" t="str">
        <x:f>IF(B64="","",IF(G64&lt;0,"NEGATİF BAKİYE","UYGUN"))</x:f>
      </x:c>
      <x:c r="K64" s="4"/>
      <x:c r="L64" s="4"/>
      <x:c r="M64" s="4"/>
      <x:c r="N64" s="4"/>
    </x:row>
    <x:row r="65">
      <x:c r="A65" s="4"/>
      <x:c r="B65" s="46"/>
      <x:c r="C65" s="46"/>
      <x:c r="D65" s="46"/>
      <x:c r="E65" s="92"/>
      <x:c r="F65" s="92"/>
      <x:c r="G65" s="93" t="str">
        <x:f>IF(B65="","",E65-F65)</x:f>
      </x:c>
      <x:c r="H65" s="100" t="str">
        <x:f>IF(B65="","",IF(D65="TL",1,IF(D65="USD",KURLAR!$C$9,IF(D65="EUR",KURLAR!$C$10,0))))</x:f>
      </x:c>
      <x:c r="I65" s="68" t="str">
        <x:f>IF(B65="","",G65*H65)</x:f>
      </x:c>
      <x:c r="J65" s="52" t="str">
        <x:f>IF(B65="","",IF(G65&lt;0,"NEGATİF BAKİYE","UYGUN"))</x:f>
      </x:c>
      <x:c r="K65" s="4"/>
      <x:c r="L65" s="4"/>
      <x:c r="M65" s="4"/>
      <x:c r="N65" s="4"/>
    </x:row>
    <x:row r="66">
      <x:c r="A66" s="4"/>
      <x:c r="B66" s="46"/>
      <x:c r="C66" s="46"/>
      <x:c r="D66" s="46"/>
      <x:c r="E66" s="92"/>
      <x:c r="F66" s="92"/>
      <x:c r="G66" s="93" t="str">
        <x:f>IF(B66="","",E66-F66)</x:f>
      </x:c>
      <x:c r="H66" s="100" t="str">
        <x:f>IF(B66="","",IF(D66="TL",1,IF(D66="USD",KURLAR!$C$9,IF(D66="EUR",KURLAR!$C$10,0))))</x:f>
      </x:c>
      <x:c r="I66" s="68" t="str">
        <x:f>IF(B66="","",G66*H66)</x:f>
      </x:c>
      <x:c r="J66" s="52" t="str">
        <x:f>IF(B66="","",IF(G66&lt;0,"NEGATİF BAKİYE","UYGUN"))</x:f>
      </x:c>
      <x:c r="K66" s="4"/>
      <x:c r="L66" s="4"/>
      <x:c r="M66" s="4"/>
      <x:c r="N66" s="4"/>
    </x:row>
    <x:row r="67">
      <x:c r="A67" s="4"/>
      <x:c r="B67" s="46"/>
      <x:c r="C67" s="46"/>
      <x:c r="D67" s="46"/>
      <x:c r="E67" s="92"/>
      <x:c r="F67" s="92"/>
      <x:c r="G67" s="93" t="str">
        <x:f>IF(B67="","",E67-F67)</x:f>
      </x:c>
      <x:c r="H67" s="100" t="str">
        <x:f>IF(B67="","",IF(D67="TL",1,IF(D67="USD",KURLAR!$C$9,IF(D67="EUR",KURLAR!$C$10,0))))</x:f>
      </x:c>
      <x:c r="I67" s="68" t="str">
        <x:f>IF(B67="","",G67*H67)</x:f>
      </x:c>
      <x:c r="J67" s="52" t="str">
        <x:f>IF(B67="","",IF(G67&lt;0,"NEGATİF BAKİYE","UYGUN"))</x:f>
      </x:c>
      <x:c r="K67" s="4"/>
      <x:c r="L67" s="4"/>
      <x:c r="M67" s="4"/>
      <x:c r="N67" s="4"/>
    </x:row>
    <x:row r="68">
      <x:c r="A68" s="4"/>
      <x:c r="B68" s="46"/>
      <x:c r="C68" s="46"/>
      <x:c r="D68" s="46"/>
      <x:c r="E68" s="92"/>
      <x:c r="F68" s="92"/>
      <x:c r="G68" s="93" t="str">
        <x:f>IF(B68="","",E68-F68)</x:f>
      </x:c>
      <x:c r="H68" s="100" t="str">
        <x:f>IF(B68="","",IF(D68="TL",1,IF(D68="USD",KURLAR!$C$9,IF(D68="EUR",KURLAR!$C$10,0))))</x:f>
      </x:c>
      <x:c r="I68" s="68" t="str">
        <x:f>IF(B68="","",G68*H68)</x:f>
      </x:c>
      <x:c r="J68" s="52" t="str">
        <x:f>IF(B68="","",IF(G68&lt;0,"NEGATİF BAKİYE","UYGUN"))</x:f>
      </x:c>
      <x:c r="K68" s="4"/>
      <x:c r="L68" s="4"/>
      <x:c r="M68" s="4"/>
      <x:c r="N68" s="4"/>
    </x:row>
    <x:row r="69">
      <x:c r="A69" s="4"/>
      <x:c r="B69" s="46"/>
      <x:c r="C69" s="46"/>
      <x:c r="D69" s="46"/>
      <x:c r="E69" s="92"/>
      <x:c r="F69" s="92"/>
      <x:c r="G69" s="93" t="str">
        <x:f>IF(B69="","",E69-F69)</x:f>
      </x:c>
      <x:c r="H69" s="100" t="str">
        <x:f>IF(B69="","",IF(D69="TL",1,IF(D69="USD",KURLAR!$C$9,IF(D69="EUR",KURLAR!$C$10,0))))</x:f>
      </x:c>
      <x:c r="I69" s="68" t="str">
        <x:f>IF(B69="","",G69*H69)</x:f>
      </x:c>
      <x:c r="J69" s="52" t="str">
        <x:f>IF(B69="","",IF(G69&lt;0,"NEGATİF BAKİYE","UYGUN"))</x:f>
      </x:c>
      <x:c r="K69" s="4"/>
      <x:c r="L69" s="4"/>
      <x:c r="M69" s="4"/>
      <x:c r="N69" s="4"/>
    </x:row>
    <x:row r="70">
      <x:c r="A70" s="4"/>
      <x:c r="B70" s="46"/>
      <x:c r="C70" s="46"/>
      <x:c r="D70" s="46"/>
      <x:c r="E70" s="92"/>
      <x:c r="F70" s="92"/>
      <x:c r="G70" s="93" t="str">
        <x:f>IF(B70="","",E70-F70)</x:f>
      </x:c>
      <x:c r="H70" s="100" t="str">
        <x:f>IF(B70="","",IF(D70="TL",1,IF(D70="USD",KURLAR!$C$9,IF(D70="EUR",KURLAR!$C$10,0))))</x:f>
      </x:c>
      <x:c r="I70" s="68" t="str">
        <x:f>IF(B70="","",G70*H70)</x:f>
      </x:c>
      <x:c r="J70" s="52" t="str">
        <x:f>IF(B70="","",IF(G70&lt;0,"NEGATİF BAKİYE","UYGUN"))</x:f>
      </x:c>
      <x:c r="K70" s="4"/>
      <x:c r="L70" s="4"/>
      <x:c r="M70" s="4"/>
      <x:c r="N70" s="4"/>
    </x:row>
    <x:row r="71">
      <x:c r="A71" s="4"/>
      <x:c r="B71" s="46"/>
      <x:c r="C71" s="46"/>
      <x:c r="D71" s="46"/>
      <x:c r="E71" s="92"/>
      <x:c r="F71" s="92"/>
      <x:c r="G71" s="93" t="str">
        <x:f>IF(B71="","",E71-F71)</x:f>
      </x:c>
      <x:c r="H71" s="100" t="str">
        <x:f>IF(B71="","",IF(D71="TL",1,IF(D71="USD",KURLAR!$C$9,IF(D71="EUR",KURLAR!$C$10,0))))</x:f>
      </x:c>
      <x:c r="I71" s="68" t="str">
        <x:f>IF(B71="","",G71*H71)</x:f>
      </x:c>
      <x:c r="J71" s="52" t="str">
        <x:f>IF(B71="","",IF(G71&lt;0,"NEGATİF BAKİYE","UYGUN"))</x:f>
      </x:c>
      <x:c r="K71" s="4"/>
      <x:c r="L71" s="4"/>
      <x:c r="M71" s="4"/>
      <x:c r="N71" s="4"/>
    </x:row>
    <x:row r="72">
      <x:c r="A72" s="4"/>
      <x:c r="B72" s="46"/>
      <x:c r="C72" s="46"/>
      <x:c r="D72" s="46"/>
      <x:c r="E72" s="92"/>
      <x:c r="F72" s="92"/>
      <x:c r="G72" s="93" t="str">
        <x:f>IF(B72="","",E72-F72)</x:f>
      </x:c>
      <x:c r="H72" s="100" t="str">
        <x:f>IF(B72="","",IF(D72="TL",1,IF(D72="USD",KURLAR!$C$9,IF(D72="EUR",KURLAR!$C$10,0))))</x:f>
      </x:c>
      <x:c r="I72" s="68" t="str">
        <x:f>IF(B72="","",G72*H72)</x:f>
      </x:c>
      <x:c r="J72" s="52" t="str">
        <x:f>IF(B72="","",IF(G72&lt;0,"NEGATİF BAKİYE","UYGUN"))</x:f>
      </x:c>
      <x:c r="K72" s="4"/>
      <x:c r="L72" s="4"/>
      <x:c r="M72" s="4"/>
      <x:c r="N72" s="4"/>
    </x:row>
    <x:row r="73">
      <x:c r="A73" s="4"/>
      <x:c r="B73" s="46"/>
      <x:c r="C73" s="46"/>
      <x:c r="D73" s="46"/>
      <x:c r="E73" s="92"/>
      <x:c r="F73" s="92"/>
      <x:c r="G73" s="93" t="str">
        <x:f>IF(B73="","",E73-F73)</x:f>
      </x:c>
      <x:c r="H73" s="100" t="str">
        <x:f>IF(B73="","",IF(D73="TL",1,IF(D73="USD",KURLAR!$C$9,IF(D73="EUR",KURLAR!$C$10,0))))</x:f>
      </x:c>
      <x:c r="I73" s="68" t="str">
        <x:f>IF(B73="","",G73*H73)</x:f>
      </x:c>
      <x:c r="J73" s="52" t="str">
        <x:f>IF(B73="","",IF(G73&lt;0,"NEGATİF BAKİYE","UYGUN"))</x:f>
      </x:c>
      <x:c r="K73" s="4"/>
      <x:c r="L73" s="4"/>
      <x:c r="M73" s="4"/>
      <x:c r="N73" s="4"/>
    </x:row>
    <x:row r="74">
      <x:c r="A74" s="4"/>
      <x:c r="B74" s="46"/>
      <x:c r="C74" s="46"/>
      <x:c r="D74" s="46"/>
      <x:c r="E74" s="92"/>
      <x:c r="F74" s="92"/>
      <x:c r="G74" s="93" t="str">
        <x:f>IF(B74="","",E74-F74)</x:f>
      </x:c>
      <x:c r="H74" s="100" t="str">
        <x:f>IF(B74="","",IF(D74="TL",1,IF(D74="USD",KURLAR!$C$9,IF(D74="EUR",KURLAR!$C$10,0))))</x:f>
      </x:c>
      <x:c r="I74" s="68" t="str">
        <x:f>IF(B74="","",G74*H74)</x:f>
      </x:c>
      <x:c r="J74" s="52" t="str">
        <x:f>IF(B74="","",IF(G74&lt;0,"NEGATİF BAKİYE","UYGUN"))</x:f>
      </x:c>
      <x:c r="K74" s="4"/>
      <x:c r="L74" s="4"/>
      <x:c r="M74" s="4"/>
      <x:c r="N74" s="4"/>
    </x:row>
    <x:row r="75">
      <x:c r="A75" s="4"/>
      <x:c r="B75" s="46"/>
      <x:c r="C75" s="46"/>
      <x:c r="D75" s="46"/>
      <x:c r="E75" s="92"/>
      <x:c r="F75" s="92"/>
      <x:c r="G75" s="93" t="str">
        <x:f>IF(B75="","",E75-F75)</x:f>
      </x:c>
      <x:c r="H75" s="100" t="str">
        <x:f>IF(B75="","",IF(D75="TL",1,IF(D75="USD",KURLAR!$C$9,IF(D75="EUR",KURLAR!$C$10,0))))</x:f>
      </x:c>
      <x:c r="I75" s="68" t="str">
        <x:f>IF(B75="","",G75*H75)</x:f>
      </x:c>
      <x:c r="J75" s="52" t="str">
        <x:f>IF(B75="","",IF(G75&lt;0,"NEGATİF BAKİYE","UYGUN"))</x:f>
      </x:c>
      <x:c r="K75" s="4"/>
      <x:c r="L75" s="4"/>
      <x:c r="M75" s="4"/>
      <x:c r="N75" s="4"/>
    </x:row>
    <x:row r="76">
      <x:c r="A76" s="4"/>
      <x:c r="B76" s="46"/>
      <x:c r="C76" s="46"/>
      <x:c r="D76" s="46"/>
      <x:c r="E76" s="92"/>
      <x:c r="F76" s="92"/>
      <x:c r="G76" s="93" t="str">
        <x:f>IF(B76="","",E76-F76)</x:f>
      </x:c>
      <x:c r="H76" s="100" t="str">
        <x:f>IF(B76="","",IF(D76="TL",1,IF(D76="USD",KURLAR!$C$9,IF(D76="EUR",KURLAR!$C$10,0))))</x:f>
      </x:c>
      <x:c r="I76" s="68" t="str">
        <x:f>IF(B76="","",G76*H76)</x:f>
      </x:c>
      <x:c r="J76" s="52" t="str">
        <x:f>IF(B76="","",IF(G76&lt;0,"NEGATİF BAKİYE","UYGUN"))</x:f>
      </x:c>
      <x:c r="K76" s="4"/>
      <x:c r="L76" s="4"/>
      <x:c r="M76" s="4"/>
      <x:c r="N76" s="4"/>
    </x:row>
    <x:row r="77">
      <x:c r="A77" s="4"/>
      <x:c r="B77" s="46"/>
      <x:c r="C77" s="46"/>
      <x:c r="D77" s="46"/>
      <x:c r="E77" s="92"/>
      <x:c r="F77" s="92"/>
      <x:c r="G77" s="93" t="str">
        <x:f>IF(B77="","",E77-F77)</x:f>
      </x:c>
      <x:c r="H77" s="100" t="str">
        <x:f>IF(B77="","",IF(D77="TL",1,IF(D77="USD",KURLAR!$C$9,IF(D77="EUR",KURLAR!$C$10,0))))</x:f>
      </x:c>
      <x:c r="I77" s="68" t="str">
        <x:f>IF(B77="","",G77*H77)</x:f>
      </x:c>
      <x:c r="J77" s="52" t="str">
        <x:f>IF(B77="","",IF(G77&lt;0,"NEGATİF BAKİYE","UYGUN"))</x:f>
      </x:c>
      <x:c r="K77" s="4"/>
      <x:c r="L77" s="4"/>
      <x:c r="M77" s="4"/>
      <x:c r="N77" s="4"/>
    </x:row>
    <x:row r="78">
      <x:c r="A78" s="4"/>
      <x:c r="B78" s="46"/>
      <x:c r="C78" s="46"/>
      <x:c r="D78" s="46"/>
      <x:c r="E78" s="92"/>
      <x:c r="F78" s="92"/>
      <x:c r="G78" s="93" t="str">
        <x:f>IF(B78="","",E78-F78)</x:f>
      </x:c>
      <x:c r="H78" s="100" t="str">
        <x:f>IF(B78="","",IF(D78="TL",1,IF(D78="USD",KURLAR!$C$9,IF(D78="EUR",KURLAR!$C$10,0))))</x:f>
      </x:c>
      <x:c r="I78" s="68" t="str">
        <x:f>IF(B78="","",G78*H78)</x:f>
      </x:c>
      <x:c r="J78" s="52" t="str">
        <x:f>IF(B78="","",IF(G78&lt;0,"NEGATİF BAKİYE","UYGUN"))</x:f>
      </x:c>
      <x:c r="K78" s="4"/>
      <x:c r="L78" s="4"/>
      <x:c r="M78" s="4"/>
      <x:c r="N78" s="4"/>
    </x:row>
    <x:row r="79">
      <x:c r="A79" s="4"/>
      <x:c r="B79" s="46"/>
      <x:c r="C79" s="46"/>
      <x:c r="D79" s="46"/>
      <x:c r="E79" s="92"/>
      <x:c r="F79" s="92"/>
      <x:c r="G79" s="93" t="str">
        <x:f>IF(B79="","",E79-F79)</x:f>
      </x:c>
      <x:c r="H79" s="100" t="str">
        <x:f>IF(B79="","",IF(D79="TL",1,IF(D79="USD",KURLAR!$C$9,IF(D79="EUR",KURLAR!$C$10,0))))</x:f>
      </x:c>
      <x:c r="I79" s="68" t="str">
        <x:f>IF(B79="","",G79*H79)</x:f>
      </x:c>
      <x:c r="J79" s="52" t="str">
        <x:f>IF(B79="","",IF(G79&lt;0,"NEGATİF BAKİYE","UYGUN"))</x:f>
      </x:c>
      <x:c r="K79" s="4"/>
      <x:c r="L79" s="4"/>
      <x:c r="M79" s="4"/>
      <x:c r="N79" s="4"/>
    </x:row>
    <x:row r="80">
      <x:c r="A80" s="4"/>
      <x:c r="B80" s="46"/>
      <x:c r="C80" s="46"/>
      <x:c r="D80" s="46"/>
      <x:c r="E80" s="92"/>
      <x:c r="F80" s="92"/>
      <x:c r="G80" s="93" t="str">
        <x:f>IF(B80="","",E80-F80)</x:f>
      </x:c>
      <x:c r="H80" s="100" t="str">
        <x:f>IF(B80="","",IF(D80="TL",1,IF(D80="USD",KURLAR!$C$9,IF(D80="EUR",KURLAR!$C$10,0))))</x:f>
      </x:c>
      <x:c r="I80" s="68" t="str">
        <x:f>IF(B80="","",G80*H80)</x:f>
      </x:c>
      <x:c r="J80" s="52" t="str">
        <x:f>IF(B80="","",IF(G80&lt;0,"NEGATİF BAKİYE","UYGUN"))</x:f>
      </x:c>
      <x:c r="K80" s="4"/>
      <x:c r="L80" s="4"/>
      <x:c r="M80" s="4"/>
      <x:c r="N80" s="4"/>
    </x:row>
    <x:row r="81">
      <x:c r="B81" s="46"/>
      <x:c r="C81" s="46"/>
      <x:c r="D81" s="46"/>
      <x:c r="E81" s="92"/>
      <x:c r="F81" s="92"/>
      <x:c r="G81" s="93" t="str">
        <x:f>IF(B81="","",E81-F81)</x:f>
      </x:c>
      <x:c r="H81" s="100" t="str">
        <x:f>IF(B81="","",IF(D81="TL",1,IF(D81="USD",KURLAR!$C$9,IF(D81="EUR",KURLAR!$C$10,0))))</x:f>
      </x:c>
      <x:c r="I81" s="68" t="str">
        <x:f>IF(B81="","",G81*H81)</x:f>
      </x:c>
      <x:c r="J81" s="52" t="str">
        <x:f>IF(B81="","",IF(G81&lt;0,"NEGATİF BAKİYE","UYGUN"))</x:f>
      </x:c>
    </x:row>
    <x:row r="82">
      <x:c r="B82" s="46"/>
      <x:c r="C82" s="46"/>
      <x:c r="D82" s="46"/>
      <x:c r="E82" s="92"/>
      <x:c r="F82" s="92"/>
      <x:c r="G82" s="93" t="str">
        <x:f>IF(B82="","",E82-F82)</x:f>
      </x:c>
      <x:c r="H82" s="100" t="str">
        <x:f>IF(B82="","",IF(D82="TL",1,IF(D82="USD",KURLAR!$C$9,IF(D82="EUR",KURLAR!$C$10,0))))</x:f>
      </x:c>
      <x:c r="I82" s="68" t="str">
        <x:f>IF(B82="","",G82*H82)</x:f>
      </x:c>
      <x:c r="J82" s="52" t="str">
        <x:f>IF(B82="","",IF(G82&lt;0,"NEGATİF BAKİYE","UYGUN"))</x:f>
      </x:c>
    </x:row>
    <x:row r="83">
      <x:c r="B83" s="46"/>
      <x:c r="C83" s="46"/>
      <x:c r="D83" s="46"/>
      <x:c r="E83" s="92"/>
      <x:c r="F83" s="92"/>
      <x:c r="G83" s="93" t="str">
        <x:f>IF(B83="","",E83-F83)</x:f>
      </x:c>
      <x:c r="H83" s="100" t="str">
        <x:f>IF(B83="","",IF(D83="TL",1,IF(D83="USD",KURLAR!$C$9,IF(D83="EUR",KURLAR!$C$10,0))))</x:f>
      </x:c>
      <x:c r="I83" s="68" t="str">
        <x:f>IF(B83="","",G83*H83)</x:f>
      </x:c>
      <x:c r="J83" s="52" t="str">
        <x:f>IF(B83="","",IF(G83&lt;0,"NEGATİF BAKİYE","UYGUN"))</x:f>
      </x:c>
    </x:row>
    <x:row r="84">
      <x:c r="B84" s="46"/>
      <x:c r="C84" s="46"/>
      <x:c r="D84" s="46"/>
      <x:c r="E84" s="92"/>
      <x:c r="F84" s="92"/>
      <x:c r="G84" s="93" t="str">
        <x:f>IF(B84="","",E84-F84)</x:f>
      </x:c>
      <x:c r="H84" s="100" t="str">
        <x:f>IF(B84="","",IF(D84="TL",1,IF(D84="USD",KURLAR!$C$9,IF(D84="EUR",KURLAR!$C$10,0))))</x:f>
      </x:c>
      <x:c r="I84" s="68" t="str">
        <x:f>IF(B84="","",G84*H84)</x:f>
      </x:c>
      <x:c r="J84" s="52" t="str">
        <x:f>IF(B84="","",IF(G84&lt;0,"NEGATİF BAKİYE","UYGUN"))</x:f>
      </x:c>
    </x:row>
    <x:row r="85">
      <x:c r="B85" s="46"/>
      <x:c r="C85" s="46"/>
      <x:c r="D85" s="46"/>
      <x:c r="E85" s="92"/>
      <x:c r="F85" s="92"/>
      <x:c r="G85" s="93" t="str">
        <x:f>IF(B85="","",E85-F85)</x:f>
      </x:c>
      <x:c r="H85" s="100" t="str">
        <x:f>IF(B85="","",IF(D85="TL",1,IF(D85="USD",KURLAR!$C$9,IF(D85="EUR",KURLAR!$C$10,0))))</x:f>
      </x:c>
      <x:c r="I85" s="68" t="str">
        <x:f>IF(B85="","",G85*H85)</x:f>
      </x:c>
      <x:c r="J85" s="52" t="str">
        <x:f>IF(B85="","",IF(G85&lt;0,"NEGATİF BAKİYE","UYGUN"))</x:f>
      </x:c>
    </x:row>
    <x:row r="86">
      <x:c r="B86" s="46"/>
      <x:c r="C86" s="46"/>
      <x:c r="D86" s="46"/>
      <x:c r="E86" s="92"/>
      <x:c r="F86" s="92"/>
      <x:c r="G86" s="93" t="str">
        <x:f>IF(B86="","",E86-F86)</x:f>
      </x:c>
      <x:c r="H86" s="100" t="str">
        <x:f>IF(B86="","",IF(D86="TL",1,IF(D86="USD",KURLAR!$C$9,IF(D86="EUR",KURLAR!$C$10,0))))</x:f>
      </x:c>
      <x:c r="I86" s="68" t="str">
        <x:f>IF(B86="","",G86*H86)</x:f>
      </x:c>
      <x:c r="J86" s="52" t="str">
        <x:f>IF(B86="","",IF(G86&lt;0,"NEGATİF BAKİYE","UYGUN"))</x:f>
      </x:c>
    </x:row>
    <x:row r="87">
      <x:c r="B87" s="46"/>
      <x:c r="C87" s="46"/>
      <x:c r="D87" s="46"/>
      <x:c r="E87" s="92"/>
      <x:c r="F87" s="92"/>
      <x:c r="G87" s="93" t="str">
        <x:f>IF(B87="","",E87-F87)</x:f>
      </x:c>
      <x:c r="H87" s="100" t="str">
        <x:f>IF(B87="","",IF(D87="TL",1,IF(D87="USD",KURLAR!$C$9,IF(D87="EUR",KURLAR!$C$10,0))))</x:f>
      </x:c>
      <x:c r="I87" s="68" t="str">
        <x:f>IF(B87="","",G87*H87)</x:f>
      </x:c>
      <x:c r="J87" s="52" t="str">
        <x:f>IF(B87="","",IF(G87&lt;0,"NEGATİF BAKİYE","UYGUN"))</x:f>
      </x:c>
    </x:row>
    <x:row r="88">
      <x:c r="B88" s="46"/>
      <x:c r="C88" s="46"/>
      <x:c r="D88" s="46"/>
      <x:c r="E88" s="92"/>
      <x:c r="F88" s="92"/>
      <x:c r="G88" s="93" t="str">
        <x:f>IF(B88="","",E88-F88)</x:f>
      </x:c>
      <x:c r="H88" s="100" t="str">
        <x:f>IF(B88="","",IF(D88="TL",1,IF(D88="USD",KURLAR!$C$9,IF(D88="EUR",KURLAR!$C$10,0))))</x:f>
      </x:c>
      <x:c r="I88" s="68" t="str">
        <x:f>IF(B88="","",G88*H88)</x:f>
      </x:c>
      <x:c r="J88" s="52" t="str">
        <x:f>IF(B88="","",IF(G88&lt;0,"NEGATİF BAKİYE","UYGUN"))</x:f>
      </x:c>
    </x:row>
    <x:row r="89">
      <x:c r="B89" s="46"/>
      <x:c r="C89" s="46"/>
      <x:c r="D89" s="46"/>
      <x:c r="E89" s="92"/>
      <x:c r="F89" s="92"/>
      <x:c r="G89" s="93" t="str">
        <x:f>IF(B89="","",E89-F89)</x:f>
      </x:c>
      <x:c r="H89" s="100" t="str">
        <x:f>IF(B89="","",IF(D89="TL",1,IF(D89="USD",KURLAR!$C$9,IF(D89="EUR",KURLAR!$C$10,0))))</x:f>
      </x:c>
      <x:c r="I89" s="68" t="str">
        <x:f>IF(B89="","",G89*H89)</x:f>
      </x:c>
      <x:c r="J89" s="52" t="str">
        <x:f>IF(B89="","",IF(G89&lt;0,"NEGATİF BAKİYE","UYGUN"))</x:f>
      </x:c>
    </x:row>
    <x:row r="90">
      <x:c r="B90" s="46"/>
      <x:c r="C90" s="46"/>
      <x:c r="D90" s="46"/>
      <x:c r="E90" s="92"/>
      <x:c r="F90" s="92"/>
      <x:c r="G90" s="93" t="str">
        <x:f>IF(B90="","",E90-F90)</x:f>
      </x:c>
      <x:c r="H90" s="100" t="str">
        <x:f>IF(B90="","",IF(D90="TL",1,IF(D90="USD",KURLAR!$C$9,IF(D90="EUR",KURLAR!$C$10,0))))</x:f>
      </x:c>
      <x:c r="I90" s="68" t="str">
        <x:f>IF(B90="","",G90*H90)</x:f>
      </x:c>
      <x:c r="J90" s="52" t="str">
        <x:f>IF(B90="","",IF(G90&lt;0,"NEGATİF BAKİYE","UYGUN"))</x:f>
      </x:c>
    </x:row>
    <x:row r="91">
      <x:c r="B91" s="46"/>
      <x:c r="C91" s="46"/>
      <x:c r="D91" s="46"/>
      <x:c r="E91" s="92"/>
      <x:c r="F91" s="92"/>
      <x:c r="G91" s="93" t="str">
        <x:f>IF(B91="","",E91-F91)</x:f>
      </x:c>
      <x:c r="H91" s="100" t="str">
        <x:f>IF(B91="","",IF(D91="TL",1,IF(D91="USD",KURLAR!$C$9,IF(D91="EUR",KURLAR!$C$10,0))))</x:f>
      </x:c>
      <x:c r="I91" s="68" t="str">
        <x:f>IF(B91="","",G91*H91)</x:f>
      </x:c>
      <x:c r="J91" s="52" t="str">
        <x:f>IF(B91="","",IF(G91&lt;0,"NEGATİF BAKİYE","UYGUN"))</x:f>
      </x:c>
    </x:row>
    <x:row r="92">
      <x:c r="B92" s="46"/>
      <x:c r="C92" s="46"/>
      <x:c r="D92" s="46"/>
      <x:c r="E92" s="92"/>
      <x:c r="F92" s="92"/>
      <x:c r="G92" s="93" t="str">
        <x:f>IF(B92="","",E92-F92)</x:f>
      </x:c>
      <x:c r="H92" s="100" t="str">
        <x:f>IF(B92="","",IF(D92="TL",1,IF(D92="USD",KURLAR!$C$9,IF(D92="EUR",KURLAR!$C$10,0))))</x:f>
      </x:c>
      <x:c r="I92" s="68" t="str">
        <x:f>IF(B92="","",G92*H92)</x:f>
      </x:c>
      <x:c r="J92" s="52" t="str">
        <x:f>IF(B92="","",IF(G92&lt;0,"NEGATİF BAKİYE","UYGUN"))</x:f>
      </x:c>
    </x:row>
    <x:row r="93">
      <x:c r="B93" s="46"/>
      <x:c r="C93" s="46"/>
      <x:c r="D93" s="46"/>
      <x:c r="E93" s="92"/>
      <x:c r="F93" s="92"/>
      <x:c r="G93" s="93" t="str">
        <x:f>IF(B93="","",E93-F93)</x:f>
      </x:c>
      <x:c r="H93" s="100" t="str">
        <x:f>IF(B93="","",IF(D93="TL",1,IF(D93="USD",KURLAR!$C$9,IF(D93="EUR",KURLAR!$C$10,0))))</x:f>
      </x:c>
      <x:c r="I93" s="68" t="str">
        <x:f>IF(B93="","",G93*H93)</x:f>
      </x:c>
      <x:c r="J93" s="52" t="str">
        <x:f>IF(B93="","",IF(G93&lt;0,"NEGATİF BAKİYE","UYGUN"))</x:f>
      </x:c>
    </x:row>
    <x:row r="94">
      <x:c r="B94" s="46"/>
      <x:c r="C94" s="46"/>
      <x:c r="D94" s="46"/>
      <x:c r="E94" s="92"/>
      <x:c r="F94" s="92"/>
      <x:c r="G94" s="93" t="str">
        <x:f>IF(B94="","",E94-F94)</x:f>
      </x:c>
      <x:c r="H94" s="100" t="str">
        <x:f>IF(B94="","",IF(D94="TL",1,IF(D94="USD",KURLAR!$C$9,IF(D94="EUR",KURLAR!$C$10,0))))</x:f>
      </x:c>
      <x:c r="I94" s="68" t="str">
        <x:f>IF(B94="","",G94*H94)</x:f>
      </x:c>
      <x:c r="J94" s="52" t="str">
        <x:f>IF(B94="","",IF(G94&lt;0,"NEGATİF BAKİYE","UYGUN"))</x:f>
      </x:c>
    </x:row>
    <x:row r="95">
      <x:c r="B95" s="46"/>
      <x:c r="C95" s="46"/>
      <x:c r="D95" s="46"/>
      <x:c r="E95" s="92"/>
      <x:c r="F95" s="92"/>
      <x:c r="G95" s="93" t="str">
        <x:f>IF(B95="","",E95-F95)</x:f>
      </x:c>
      <x:c r="H95" s="100" t="str">
        <x:f>IF(B95="","",IF(D95="TL",1,IF(D95="USD",KURLAR!$C$9,IF(D95="EUR",KURLAR!$C$10,0))))</x:f>
      </x:c>
      <x:c r="I95" s="68" t="str">
        <x:f>IF(B95="","",G95*H95)</x:f>
      </x:c>
      <x:c r="J95" s="52" t="str">
        <x:f>IF(B95="","",IF(G95&lt;0,"NEGATİF BAKİYE","UYGUN"))</x:f>
      </x:c>
    </x:row>
    <x:row r="96">
      <x:c r="B96" s="46"/>
      <x:c r="C96" s="46"/>
      <x:c r="D96" s="46"/>
      <x:c r="E96" s="92"/>
      <x:c r="F96" s="92"/>
      <x:c r="G96" s="93" t="str">
        <x:f>IF(B96="","",E96-F96)</x:f>
      </x:c>
      <x:c r="H96" s="100" t="str">
        <x:f>IF(B96="","",IF(D96="TL",1,IF(D96="USD",KURLAR!$C$9,IF(D96="EUR",KURLAR!$C$10,0))))</x:f>
      </x:c>
      <x:c r="I96" s="68" t="str">
        <x:f>IF(B96="","",G96*H96)</x:f>
      </x:c>
      <x:c r="J96" s="52" t="str">
        <x:f>IF(B96="","",IF(G96&lt;0,"NEGATİF BAKİYE","UYGUN"))</x:f>
      </x:c>
    </x:row>
    <x:row r="97">
      <x:c r="B97" s="46"/>
      <x:c r="C97" s="46"/>
      <x:c r="D97" s="46"/>
      <x:c r="E97" s="92"/>
      <x:c r="F97" s="92"/>
      <x:c r="G97" s="93" t="str">
        <x:f>IF(B97="","",E97-F97)</x:f>
      </x:c>
      <x:c r="H97" s="100" t="str">
        <x:f>IF(B97="","",IF(D97="TL",1,IF(D97="USD",KURLAR!$C$9,IF(D97="EUR",KURLAR!$C$10,0))))</x:f>
      </x:c>
      <x:c r="I97" s="68" t="str">
        <x:f>IF(B97="","",G97*H97)</x:f>
      </x:c>
      <x:c r="J97" s="52" t="str">
        <x:f>IF(B97="","",IF(G97&lt;0,"NEGATİF BAKİYE","UYGUN"))</x:f>
      </x:c>
    </x:row>
    <x:row r="98">
      <x:c r="B98" s="46"/>
      <x:c r="C98" s="46"/>
      <x:c r="D98" s="46"/>
      <x:c r="E98" s="92"/>
      <x:c r="F98" s="92"/>
      <x:c r="G98" s="93" t="str">
        <x:f>IF(B98="","",E98-F98)</x:f>
      </x:c>
      <x:c r="H98" s="100" t="str">
        <x:f>IF(B98="","",IF(D98="TL",1,IF(D98="USD",KURLAR!$C$9,IF(D98="EUR",KURLAR!$C$10,0))))</x:f>
      </x:c>
      <x:c r="I98" s="68" t="str">
        <x:f>IF(B98="","",G98*H98)</x:f>
      </x:c>
      <x:c r="J98" s="52" t="str">
        <x:f>IF(B98="","",IF(G98&lt;0,"NEGATİF BAKİYE","UYGUN"))</x:f>
      </x:c>
    </x:row>
    <x:row r="99">
      <x:c r="B99" s="46"/>
      <x:c r="C99" s="46"/>
      <x:c r="D99" s="46"/>
      <x:c r="E99" s="92"/>
      <x:c r="F99" s="92"/>
      <x:c r="G99" s="93" t="str">
        <x:f>IF(B99="","",E99-F99)</x:f>
      </x:c>
      <x:c r="H99" s="100" t="str">
        <x:f>IF(B99="","",IF(D99="TL",1,IF(D99="USD",KURLAR!$C$9,IF(D99="EUR",KURLAR!$C$10,0))))</x:f>
      </x:c>
      <x:c r="I99" s="68" t="str">
        <x:f>IF(B99="","",G99*H99)</x:f>
      </x:c>
      <x:c r="J99" s="52" t="str">
        <x:f>IF(B99="","",IF(G99&lt;0,"NEGATİF BAKİYE","UYGUN"))</x:f>
      </x:c>
    </x:row>
    <x:row r="100">
      <x:c r="B100" s="46"/>
      <x:c r="C100" s="46"/>
      <x:c r="D100" s="46"/>
      <x:c r="E100" s="92"/>
      <x:c r="F100" s="92"/>
      <x:c r="G100" s="93" t="str">
        <x:f>IF(B100="","",E100-F100)</x:f>
      </x:c>
      <x:c r="H100" s="100" t="str">
        <x:f>IF(B100="","",IF(D100="TL",1,IF(D100="USD",KURLAR!$C$9,IF(D100="EUR",KURLAR!$C$10,0))))</x:f>
      </x:c>
      <x:c r="I100" s="68" t="str">
        <x:f>IF(B100="","",G100*H100)</x:f>
      </x:c>
      <x:c r="J100" s="52" t="str">
        <x:f>IF(B100="","",IF(G100&lt;0,"NEGATİF BAKİYE","UYGUN"))</x:f>
      </x:c>
    </x:row>
    <x:row r="101">
      <x:c r="B101" s="46"/>
      <x:c r="C101" s="46"/>
      <x:c r="D101" s="46"/>
      <x:c r="E101" s="92"/>
      <x:c r="F101" s="92"/>
      <x:c r="G101" s="93" t="str">
        <x:f>IF(B101="","",E101-F101)</x:f>
      </x:c>
      <x:c r="H101" s="100" t="str">
        <x:f>IF(B101="","",IF(D101="TL",1,IF(D101="USD",KURLAR!$C$9,IF(D101="EUR",KURLAR!$C$10,0))))</x:f>
      </x:c>
      <x:c r="I101" s="68" t="str">
        <x:f>IF(B101="","",G101*H101)</x:f>
      </x:c>
      <x:c r="J101" s="52" t="str">
        <x:f>IF(B101="","",IF(G101&lt;0,"NEGATİF BAKİYE","UYGUN"))</x:f>
      </x:c>
    </x:row>
    <x:row r="102">
      <x:c r="B102" s="46"/>
      <x:c r="C102" s="46"/>
      <x:c r="D102" s="46"/>
      <x:c r="E102" s="92"/>
      <x:c r="F102" s="92"/>
      <x:c r="G102" s="93" t="str">
        <x:f>IF(B102="","",E102-F102)</x:f>
      </x:c>
      <x:c r="H102" s="100" t="str">
        <x:f>IF(B102="","",IF(D102="TL",1,IF(D102="USD",KURLAR!$C$9,IF(D102="EUR",KURLAR!$C$10,0))))</x:f>
      </x:c>
      <x:c r="I102" s="68" t="str">
        <x:f>IF(B102="","",G102*H102)</x:f>
      </x:c>
      <x:c r="J102" s="52" t="str">
        <x:f>IF(B102="","",IF(G102&lt;0,"NEGATİF BAKİYE","UYGUN"))</x:f>
      </x:c>
    </x:row>
    <x:row r="103">
      <x:c r="B103" s="46"/>
      <x:c r="C103" s="46"/>
      <x:c r="D103" s="46"/>
      <x:c r="E103" s="92"/>
      <x:c r="F103" s="92"/>
      <x:c r="G103" s="93" t="str">
        <x:f>IF(B103="","",E103-F103)</x:f>
      </x:c>
      <x:c r="H103" s="100" t="str">
        <x:f>IF(B103="","",IF(D103="TL",1,IF(D103="USD",KURLAR!$C$9,IF(D103="EUR",KURLAR!$C$10,0))))</x:f>
      </x:c>
      <x:c r="I103" s="68" t="str">
        <x:f>IF(B103="","",G103*H103)</x:f>
      </x:c>
      <x:c r="J103" s="52" t="str">
        <x:f>IF(B103="","",IF(G103&lt;0,"NEGATİF BAKİYE","UYGUN"))</x:f>
      </x:c>
    </x:row>
    <x:row r="104">
      <x:c r="B104" s="46"/>
      <x:c r="C104" s="46"/>
      <x:c r="D104" s="46"/>
      <x:c r="E104" s="92"/>
      <x:c r="F104" s="92"/>
      <x:c r="G104" s="93" t="str">
        <x:f>IF(B104="","",E104-F104)</x:f>
      </x:c>
      <x:c r="H104" s="100" t="str">
        <x:f>IF(B104="","",IF(D104="TL",1,IF(D104="USD",KURLAR!$C$9,IF(D104="EUR",KURLAR!$C$10,0))))</x:f>
      </x:c>
      <x:c r="I104" s="68" t="str">
        <x:f>IF(B104="","",G104*H104)</x:f>
      </x:c>
      <x:c r="J104" s="52" t="str">
        <x:f>IF(B104="","",IF(G104&lt;0,"NEGATİF BAKİYE","UYGUN"))</x:f>
      </x:c>
    </x:row>
    <x:row r="105">
      <x:c r="B105" s="46"/>
      <x:c r="C105" s="46"/>
      <x:c r="D105" s="46"/>
      <x:c r="E105" s="92"/>
      <x:c r="F105" s="92"/>
      <x:c r="G105" s="93" t="str">
        <x:f>IF(B105="","",E105-F105)</x:f>
      </x:c>
      <x:c r="H105" s="100" t="str">
        <x:f>IF(B105="","",IF(D105="TL",1,IF(D105="USD",KURLAR!$C$9,IF(D105="EUR",KURLAR!$C$10,0))))</x:f>
      </x:c>
      <x:c r="I105" s="68" t="str">
        <x:f>IF(B105="","",G105*H105)</x:f>
      </x:c>
      <x:c r="J105" s="52" t="str">
        <x:f>IF(B105="","",IF(G105&lt;0,"NEGATİF BAKİYE","UYGUN"))</x:f>
      </x:c>
    </x:row>
    <x:row r="106">
      <x:c r="B106" s="46"/>
      <x:c r="C106" s="46"/>
      <x:c r="D106" s="46"/>
      <x:c r="E106" s="92"/>
      <x:c r="F106" s="92"/>
      <x:c r="G106" s="93" t="str">
        <x:f>IF(B106="","",E106-F106)</x:f>
      </x:c>
      <x:c r="H106" s="100" t="str">
        <x:f>IF(B106="","",IF(D106="TL",1,IF(D106="USD",KURLAR!$C$9,IF(D106="EUR",KURLAR!$C$10,0))))</x:f>
      </x:c>
      <x:c r="I106" s="68" t="str">
        <x:f>IF(B106="","",G106*H106)</x:f>
      </x:c>
      <x:c r="J106" s="52" t="str">
        <x:f>IF(B106="","",IF(G106&lt;0,"NEGATİF BAKİYE","UYGUN"))</x:f>
      </x:c>
    </x:row>
    <x:row r="107">
      <x:c r="B107" s="46"/>
      <x:c r="C107" s="46"/>
      <x:c r="D107" s="46"/>
      <x:c r="E107" s="92"/>
      <x:c r="F107" s="92"/>
      <x:c r="G107" s="93" t="str">
        <x:f>IF(B107="","",E107-F107)</x:f>
      </x:c>
      <x:c r="H107" s="100" t="str">
        <x:f>IF(B107="","",IF(D107="TL",1,IF(D107="USD",KURLAR!$C$9,IF(D107="EUR",KURLAR!$C$10,0))))</x:f>
      </x:c>
      <x:c r="I107" s="68" t="str">
        <x:f>IF(B107="","",G107*H107)</x:f>
      </x:c>
      <x:c r="J107" s="52" t="str">
        <x:f>IF(B107="","",IF(G107&lt;0,"NEGATİF BAKİYE","UYGUN"))</x:f>
      </x:c>
    </x:row>
    <x:row r="108">
      <x:c r="B108" s="46"/>
      <x:c r="C108" s="46"/>
      <x:c r="D108" s="46"/>
      <x:c r="E108" s="92"/>
      <x:c r="F108" s="92"/>
      <x:c r="G108" s="93" t="str">
        <x:f>IF(B108="","",E108-F108)</x:f>
      </x:c>
      <x:c r="H108" s="100" t="str">
        <x:f>IF(B108="","",IF(D108="TL",1,IF(D108="USD",KURLAR!$C$9,IF(D108="EUR",KURLAR!$C$10,0))))</x:f>
      </x:c>
      <x:c r="I108" s="68" t="str">
        <x:f>IF(B108="","",G108*H108)</x:f>
      </x:c>
      <x:c r="J108" s="52" t="str">
        <x:f>IF(B108="","",IF(G108&lt;0,"NEGATİF BAKİYE","UYGUN"))</x:f>
      </x:c>
    </x:row>
    <x:row r="109">
      <x:c r="B109" s="46"/>
      <x:c r="C109" s="46"/>
      <x:c r="D109" s="46"/>
      <x:c r="E109" s="92"/>
      <x:c r="F109" s="92"/>
      <x:c r="G109" s="93" t="str">
        <x:f>IF(B109="","",E109-F109)</x:f>
      </x:c>
      <x:c r="H109" s="100" t="str">
        <x:f>IF(B109="","",IF(D109="TL",1,IF(D109="USD",KURLAR!$C$9,IF(D109="EUR",KURLAR!$C$10,0))))</x:f>
      </x:c>
      <x:c r="I109" s="68" t="str">
        <x:f>IF(B109="","",G109*H109)</x:f>
      </x:c>
      <x:c r="J109" s="52" t="str">
        <x:f>IF(B109="","",IF(G109&lt;0,"NEGATİF BAKİYE","UYGUN"))</x:f>
      </x:c>
    </x:row>
    <x:row r="110">
      <x:c r="B110" s="46"/>
      <x:c r="C110" s="46"/>
      <x:c r="D110" s="46"/>
      <x:c r="E110" s="92"/>
      <x:c r="F110" s="92"/>
      <x:c r="G110" s="93" t="str">
        <x:f>IF(B110="","",E110-F110)</x:f>
      </x:c>
      <x:c r="H110" s="100" t="str">
        <x:f>IF(B110="","",IF(D110="TL",1,IF(D110="USD",KURLAR!$C$9,IF(D110="EUR",KURLAR!$C$10,0))))</x:f>
      </x:c>
      <x:c r="I110" s="68" t="str">
        <x:f>IF(B110="","",G110*H110)</x:f>
      </x:c>
      <x:c r="J110" s="52" t="str">
        <x:f>IF(B110="","",IF(G110&lt;0,"NEGATİF BAKİYE","UYGUN"))</x:f>
      </x:c>
    </x:row>
    <x:row r="111">
      <x:c r="B111" s="46"/>
      <x:c r="C111" s="46"/>
      <x:c r="D111" s="46"/>
      <x:c r="E111" s="92"/>
      <x:c r="F111" s="92"/>
      <x:c r="G111" s="93" t="str">
        <x:f>IF(B111="","",E111-F111)</x:f>
      </x:c>
      <x:c r="H111" s="100" t="str">
        <x:f>IF(B111="","",IF(D111="TL",1,IF(D111="USD",KURLAR!$C$9,IF(D111="EUR",KURLAR!$C$10,0))))</x:f>
      </x:c>
      <x:c r="I111" s="68" t="str">
        <x:f>IF(B111="","",G111*H111)</x:f>
      </x:c>
      <x:c r="J111" s="52" t="str">
        <x:f>IF(B111="","",IF(G111&lt;0,"NEGATİF BAKİYE","UYGUN"))</x:f>
      </x:c>
    </x:row>
    <x:row r="112">
      <x:c r="B112" s="46"/>
      <x:c r="C112" s="46"/>
      <x:c r="D112" s="46"/>
      <x:c r="E112" s="92"/>
      <x:c r="F112" s="92"/>
      <x:c r="G112" s="93" t="str">
        <x:f>IF(B112="","",E112-F112)</x:f>
      </x:c>
      <x:c r="H112" s="100" t="str">
        <x:f>IF(B112="","",IF(D112="TL",1,IF(D112="USD",KURLAR!$C$9,IF(D112="EUR",KURLAR!$C$10,0))))</x:f>
      </x:c>
      <x:c r="I112" s="68" t="str">
        <x:f>IF(B112="","",G112*H112)</x:f>
      </x:c>
      <x:c r="J112" s="52" t="str">
        <x:f>IF(B112="","",IF(G112&lt;0,"NEGATİF BAKİYE","UYGUN"))</x:f>
      </x:c>
    </x:row>
    <x:row r="113">
      <x:c r="B113" s="46"/>
      <x:c r="C113" s="46"/>
      <x:c r="D113" s="46"/>
      <x:c r="E113" s="92"/>
      <x:c r="F113" s="92"/>
      <x:c r="G113" s="93" t="str">
        <x:f>IF(B113="","",E113-F113)</x:f>
      </x:c>
      <x:c r="H113" s="100" t="str">
        <x:f>IF(B113="","",IF(D113="TL",1,IF(D113="USD",KURLAR!$C$9,IF(D113="EUR",KURLAR!$C$10,0))))</x:f>
      </x:c>
      <x:c r="I113" s="68" t="str">
        <x:f>IF(B113="","",G113*H113)</x:f>
      </x:c>
      <x:c r="J113" s="52" t="str">
        <x:f>IF(B113="","",IF(G113&lt;0,"NEGATİF BAKİYE","UYGUN"))</x:f>
      </x:c>
    </x:row>
    <x:row r="114">
      <x:c r="B114" s="46"/>
      <x:c r="C114" s="46"/>
      <x:c r="D114" s="46"/>
      <x:c r="E114" s="92"/>
      <x:c r="F114" s="92"/>
      <x:c r="G114" s="93" t="str">
        <x:f>IF(B114="","",E114-F114)</x:f>
      </x:c>
      <x:c r="H114" s="100" t="str">
        <x:f>IF(B114="","",IF(D114="TL",1,IF(D114="USD",KURLAR!$C$9,IF(D114="EUR",KURLAR!$C$10,0))))</x:f>
      </x:c>
      <x:c r="I114" s="68" t="str">
        <x:f>IF(B114="","",G114*H114)</x:f>
      </x:c>
      <x:c r="J114" s="52" t="str">
        <x:f>IF(B114="","",IF(G114&lt;0,"NEGATİF BAKİYE","UYGUN"))</x:f>
      </x:c>
    </x:row>
    <x:row r="115">
      <x:c r="B115" s="46"/>
      <x:c r="C115" s="46"/>
      <x:c r="D115" s="46"/>
      <x:c r="E115" s="92"/>
      <x:c r="F115" s="92"/>
      <x:c r="G115" s="93" t="str">
        <x:f>IF(B115="","",E115-F115)</x:f>
      </x:c>
      <x:c r="H115" s="100" t="str">
        <x:f>IF(B115="","",IF(D115="TL",1,IF(D115="USD",KURLAR!$C$9,IF(D115="EUR",KURLAR!$C$10,0))))</x:f>
      </x:c>
      <x:c r="I115" s="68" t="str">
        <x:f>IF(B115="","",G115*H115)</x:f>
      </x:c>
      <x:c r="J115" s="52" t="str">
        <x:f>IF(B115="","",IF(G115&lt;0,"NEGATİF BAKİYE","UYGUN"))</x:f>
      </x:c>
    </x:row>
    <x:row r="116">
      <x:c r="B116" s="46"/>
      <x:c r="C116" s="46"/>
      <x:c r="D116" s="46"/>
      <x:c r="E116" s="92"/>
      <x:c r="F116" s="92"/>
      <x:c r="G116" s="93" t="str">
        <x:f>IF(B116="","",E116-F116)</x:f>
      </x:c>
      <x:c r="H116" s="100" t="str">
        <x:f>IF(B116="","",IF(D116="TL",1,IF(D116="USD",KURLAR!$C$9,IF(D116="EUR",KURLAR!$C$10,0))))</x:f>
      </x:c>
      <x:c r="I116" s="68" t="str">
        <x:f>IF(B116="","",G116*H116)</x:f>
      </x:c>
      <x:c r="J116" s="52" t="str">
        <x:f>IF(B116="","",IF(G116&lt;0,"NEGATİF BAKİYE","UYGUN"))</x:f>
      </x:c>
    </x:row>
    <x:row r="117">
      <x:c r="B117" s="46"/>
      <x:c r="C117" s="46"/>
      <x:c r="D117" s="46"/>
      <x:c r="E117" s="92"/>
      <x:c r="F117" s="92"/>
      <x:c r="G117" s="93" t="str">
        <x:f>IF(B117="","",E117-F117)</x:f>
      </x:c>
      <x:c r="H117" s="100" t="str">
        <x:f>IF(B117="","",IF(D117="TL",1,IF(D117="USD",KURLAR!$C$9,IF(D117="EUR",KURLAR!$C$10,0))))</x:f>
      </x:c>
      <x:c r="I117" s="68" t="str">
        <x:f>IF(B117="","",G117*H117)</x:f>
      </x:c>
      <x:c r="J117" s="52" t="str">
        <x:f>IF(B117="","",IF(G117&lt;0,"NEGATİF BAKİYE","UYGUN"))</x:f>
      </x:c>
    </x:row>
    <x:row r="118">
      <x:c r="B118" s="46"/>
      <x:c r="C118" s="46"/>
      <x:c r="D118" s="46"/>
      <x:c r="E118" s="92"/>
      <x:c r="F118" s="92"/>
      <x:c r="G118" s="93" t="str">
        <x:f>IF(B118="","",E118-F118)</x:f>
      </x:c>
      <x:c r="H118" s="100" t="str">
        <x:f>IF(B118="","",IF(D118="TL",1,IF(D118="USD",KURLAR!$C$9,IF(D118="EUR",KURLAR!$C$10,0))))</x:f>
      </x:c>
      <x:c r="I118" s="68" t="str">
        <x:f>IF(B118="","",G118*H118)</x:f>
      </x:c>
      <x:c r="J118" s="52" t="str">
        <x:f>IF(B118="","",IF(G118&lt;0,"NEGATİF BAKİYE","UYGUN"))</x:f>
      </x:c>
    </x:row>
    <x:row r="119">
      <x:c r="B119" s="46"/>
      <x:c r="C119" s="46"/>
      <x:c r="D119" s="46"/>
      <x:c r="E119" s="92"/>
      <x:c r="F119" s="92"/>
      <x:c r="G119" s="93" t="str">
        <x:f>IF(B119="","",E119-F119)</x:f>
      </x:c>
      <x:c r="H119" s="100" t="str">
        <x:f>IF(B119="","",IF(D119="TL",1,IF(D119="USD",KURLAR!$C$9,IF(D119="EUR",KURLAR!$C$10,0))))</x:f>
      </x:c>
      <x:c r="I119" s="68" t="str">
        <x:f>IF(B119="","",G119*H119)</x:f>
      </x:c>
      <x:c r="J119" s="52" t="str">
        <x:f>IF(B119="","",IF(G119&lt;0,"NEGATİF BAKİYE","UYGUN"))</x:f>
      </x:c>
    </x:row>
    <x:row r="120">
      <x:c r="B120" s="46"/>
      <x:c r="C120" s="46"/>
      <x:c r="D120" s="46"/>
      <x:c r="E120" s="92"/>
      <x:c r="F120" s="92"/>
      <x:c r="G120" s="93" t="str">
        <x:f>IF(B120="","",E120-F120)</x:f>
      </x:c>
      <x:c r="H120" s="100" t="str">
        <x:f>IF(B120="","",IF(D120="TL",1,IF(D120="USD",KURLAR!$C$9,IF(D120="EUR",KURLAR!$C$10,0))))</x:f>
      </x:c>
      <x:c r="I120" s="68" t="str">
        <x:f>IF(B120="","",G120*H120)</x:f>
      </x:c>
      <x:c r="J120" s="52" t="str">
        <x:f>IF(B120="","",IF(G120&lt;0,"NEGATİF BAKİYE","UYGUN"))</x:f>
      </x:c>
    </x:row>
    <x:row r="121">
      <x:c r="B121" s="46"/>
      <x:c r="C121" s="46"/>
      <x:c r="D121" s="46"/>
      <x:c r="E121" s="92"/>
      <x:c r="F121" s="92"/>
      <x:c r="G121" s="93" t="str">
        <x:f>IF(B121="","",E121-F121)</x:f>
      </x:c>
      <x:c r="H121" s="100" t="str">
        <x:f>IF(B121="","",IF(D121="TL",1,IF(D121="USD",KURLAR!$C$9,IF(D121="EUR",KURLAR!$C$10,0))))</x:f>
      </x:c>
      <x:c r="I121" s="68" t="str">
        <x:f>IF(B121="","",G121*H121)</x:f>
      </x:c>
      <x:c r="J121" s="52" t="str">
        <x:f>IF(B121="","",IF(G121&lt;0,"NEGATİF BAKİYE","UYGUN"))</x:f>
      </x:c>
    </x:row>
    <x:row r="122">
      <x:c r="B122" s="46"/>
      <x:c r="C122" s="46"/>
      <x:c r="D122" s="46"/>
      <x:c r="E122" s="92"/>
      <x:c r="F122" s="92"/>
      <x:c r="G122" s="93" t="str">
        <x:f>IF(B122="","",E122-F122)</x:f>
      </x:c>
      <x:c r="H122" s="100" t="str">
        <x:f>IF(B122="","",IF(D122="TL",1,IF(D122="USD",KURLAR!$C$9,IF(D122="EUR",KURLAR!$C$10,0))))</x:f>
      </x:c>
      <x:c r="I122" s="68" t="str">
        <x:f>IF(B122="","",G122*H122)</x:f>
      </x:c>
      <x:c r="J122" s="52" t="str">
        <x:f>IF(B122="","",IF(G122&lt;0,"NEGATİF BAKİYE","UYGUN"))</x:f>
      </x:c>
    </x:row>
    <x:row r="123">
      <x:c r="B123" s="46"/>
      <x:c r="C123" s="46"/>
      <x:c r="D123" s="46"/>
      <x:c r="E123" s="92"/>
      <x:c r="F123" s="92"/>
      <x:c r="G123" s="93" t="str">
        <x:f>IF(B123="","",E123-F123)</x:f>
      </x:c>
      <x:c r="H123" s="100" t="str">
        <x:f>IF(B123="","",IF(D123="TL",1,IF(D123="USD",KURLAR!$C$9,IF(D123="EUR",KURLAR!$C$10,0))))</x:f>
      </x:c>
      <x:c r="I123" s="68" t="str">
        <x:f>IF(B123="","",G123*H123)</x:f>
      </x:c>
      <x:c r="J123" s="52" t="str">
        <x:f>IF(B123="","",IF(G123&lt;0,"NEGATİF BAKİYE","UYGUN"))</x:f>
      </x:c>
    </x:row>
    <x:row r="124">
      <x:c r="B124" s="46"/>
      <x:c r="C124" s="46"/>
      <x:c r="D124" s="46"/>
      <x:c r="E124" s="92"/>
      <x:c r="F124" s="92"/>
      <x:c r="G124" s="93" t="str">
        <x:f>IF(B124="","",E124-F124)</x:f>
      </x:c>
      <x:c r="H124" s="100" t="str">
        <x:f>IF(B124="","",IF(D124="TL",1,IF(D124="USD",KURLAR!$C$9,IF(D124="EUR",KURLAR!$C$10,0))))</x:f>
      </x:c>
      <x:c r="I124" s="68" t="str">
        <x:f>IF(B124="","",G124*H124)</x:f>
      </x:c>
      <x:c r="J124" s="52" t="str">
        <x:f>IF(B124="","",IF(G124&lt;0,"NEGATİF BAKİYE","UYGUN"))</x:f>
      </x:c>
    </x:row>
    <x:row r="125">
      <x:c r="B125" s="46"/>
      <x:c r="C125" s="46"/>
      <x:c r="D125" s="46"/>
      <x:c r="E125" s="92"/>
      <x:c r="F125" s="92"/>
      <x:c r="G125" s="93" t="str">
        <x:f>IF(B125="","",E125-F125)</x:f>
      </x:c>
      <x:c r="H125" s="100" t="str">
        <x:f>IF(B125="","",IF(D125="TL",1,IF(D125="USD",KURLAR!$C$9,IF(D125="EUR",KURLAR!$C$10,0))))</x:f>
      </x:c>
      <x:c r="I125" s="68" t="str">
        <x:f>IF(B125="","",G125*H125)</x:f>
      </x:c>
      <x:c r="J125" s="52" t="str">
        <x:f>IF(B125="","",IF(G125&lt;0,"NEGATİF BAKİYE","UYGUN"))</x:f>
      </x:c>
    </x:row>
    <x:row r="126">
      <x:c r="B126" s="46"/>
      <x:c r="C126" s="46"/>
      <x:c r="D126" s="46"/>
      <x:c r="E126" s="92"/>
      <x:c r="F126" s="92"/>
      <x:c r="G126" s="93" t="str">
        <x:f>IF(B126="","",E126-F126)</x:f>
      </x:c>
      <x:c r="H126" s="100" t="str">
        <x:f>IF(B126="","",IF(D126="TL",1,IF(D126="USD",KURLAR!$C$9,IF(D126="EUR",KURLAR!$C$10,0))))</x:f>
      </x:c>
      <x:c r="I126" s="68" t="str">
        <x:f>IF(B126="","",G126*H126)</x:f>
      </x:c>
      <x:c r="J126" s="52" t="str">
        <x:f>IF(B126="","",IF(G126&lt;0,"NEGATİF BAKİYE","UYGUN"))</x:f>
      </x:c>
    </x:row>
    <x:row r="127">
      <x:c r="B127" s="46"/>
      <x:c r="C127" s="46"/>
      <x:c r="D127" s="46"/>
      <x:c r="E127" s="92"/>
      <x:c r="F127" s="92"/>
      <x:c r="G127" s="93" t="str">
        <x:f>IF(B127="","",E127-F127)</x:f>
      </x:c>
      <x:c r="H127" s="100" t="str">
        <x:f>IF(B127="","",IF(D127="TL",1,IF(D127="USD",KURLAR!$C$9,IF(D127="EUR",KURLAR!$C$10,0))))</x:f>
      </x:c>
      <x:c r="I127" s="68" t="str">
        <x:f>IF(B127="","",G127*H127)</x:f>
      </x:c>
      <x:c r="J127" s="52" t="str">
        <x:f>IF(B127="","",IF(G127&lt;0,"NEGATİF BAKİYE","UYGUN"))</x:f>
      </x:c>
    </x:row>
    <x:row r="128">
      <x:c r="B128" s="46"/>
      <x:c r="C128" s="46"/>
      <x:c r="D128" s="46"/>
      <x:c r="E128" s="92"/>
      <x:c r="F128" s="92"/>
      <x:c r="G128" s="93" t="str">
        <x:f>IF(B128="","",E128-F128)</x:f>
      </x:c>
      <x:c r="H128" s="100" t="str">
        <x:f>IF(B128="","",IF(D128="TL",1,IF(D128="USD",KURLAR!$C$9,IF(D128="EUR",KURLAR!$C$10,0))))</x:f>
      </x:c>
      <x:c r="I128" s="68" t="str">
        <x:f>IF(B128="","",G128*H128)</x:f>
      </x:c>
      <x:c r="J128" s="52" t="str">
        <x:f>IF(B128="","",IF(G128&lt;0,"NEGATİF BAKİYE","UYGUN"))</x:f>
      </x:c>
    </x:row>
    <x:row r="129">
      <x:c r="B129" s="46"/>
      <x:c r="C129" s="46"/>
      <x:c r="D129" s="46"/>
      <x:c r="E129" s="92"/>
      <x:c r="F129" s="92"/>
      <x:c r="G129" s="93" t="str">
        <x:f>IF(B129="","",E129-F129)</x:f>
      </x:c>
      <x:c r="H129" s="100" t="str">
        <x:f>IF(B129="","",IF(D129="TL",1,IF(D129="USD",KURLAR!$C$9,IF(D129="EUR",KURLAR!$C$10,0))))</x:f>
      </x:c>
      <x:c r="I129" s="68" t="str">
        <x:f>IF(B129="","",G129*H129)</x:f>
      </x:c>
      <x:c r="J129" s="52" t="str">
        <x:f>IF(B129="","",IF(G129&lt;0,"NEGATİF BAKİYE","UYGUN"))</x:f>
      </x:c>
    </x:row>
    <x:row r="130">
      <x:c r="B130" s="46"/>
      <x:c r="C130" s="46"/>
      <x:c r="D130" s="46"/>
      <x:c r="E130" s="92"/>
      <x:c r="F130" s="92"/>
      <x:c r="G130" s="93" t="str">
        <x:f>IF(B130="","",E130-F130)</x:f>
      </x:c>
      <x:c r="H130" s="100" t="str">
        <x:f>IF(B130="","",IF(D130="TL",1,IF(D130="USD",KURLAR!$C$9,IF(D130="EUR",KURLAR!$C$10,0))))</x:f>
      </x:c>
      <x:c r="I130" s="68" t="str">
        <x:f>IF(B130="","",G130*H130)</x:f>
      </x:c>
      <x:c r="J130" s="52" t="str">
        <x:f>IF(B130="","",IF(G130&lt;0,"NEGATİF BAKİYE","UYGUN"))</x:f>
      </x:c>
    </x:row>
    <x:row r="131">
      <x:c r="B131" s="46"/>
      <x:c r="C131" s="46"/>
      <x:c r="D131" s="46"/>
      <x:c r="E131" s="92"/>
      <x:c r="F131" s="92"/>
      <x:c r="G131" s="93" t="str">
        <x:f>IF(B131="","",E131-F131)</x:f>
      </x:c>
      <x:c r="H131" s="100" t="str">
        <x:f>IF(B131="","",IF(D131="TL",1,IF(D131="USD",KURLAR!$C$9,IF(D131="EUR",KURLAR!$C$10,0))))</x:f>
      </x:c>
      <x:c r="I131" s="68" t="str">
        <x:f>IF(B131="","",G131*H131)</x:f>
      </x:c>
      <x:c r="J131" s="52" t="str">
        <x:f>IF(B131="","",IF(G131&lt;0,"NEGATİF BAKİYE","UYGUN"))</x:f>
      </x:c>
    </x:row>
    <x:row r="132">
      <x:c r="B132" s="46"/>
      <x:c r="C132" s="46"/>
      <x:c r="D132" s="46"/>
      <x:c r="E132" s="92"/>
      <x:c r="F132" s="92"/>
      <x:c r="G132" s="93" t="str">
        <x:f>IF(B132="","",E132-F132)</x:f>
      </x:c>
      <x:c r="H132" s="100" t="str">
        <x:f>IF(B132="","",IF(D132="TL",1,IF(D132="USD",KURLAR!$C$9,IF(D132="EUR",KURLAR!$C$10,0))))</x:f>
      </x:c>
      <x:c r="I132" s="68" t="str">
        <x:f>IF(B132="","",G132*H132)</x:f>
      </x:c>
      <x:c r="J132" s="52" t="str">
        <x:f>IF(B132="","",IF(G132&lt;0,"NEGATİF BAKİYE","UYGUN"))</x:f>
      </x:c>
    </x:row>
    <x:row r="133">
      <x:c r="B133" s="46"/>
      <x:c r="C133" s="46"/>
      <x:c r="D133" s="46"/>
      <x:c r="E133" s="92"/>
      <x:c r="F133" s="92"/>
      <x:c r="G133" s="93" t="str">
        <x:f>IF(B133="","",E133-F133)</x:f>
      </x:c>
      <x:c r="H133" s="100" t="str">
        <x:f>IF(B133="","",IF(D133="TL",1,IF(D133="USD",KURLAR!$C$9,IF(D133="EUR",KURLAR!$C$10,0))))</x:f>
      </x:c>
      <x:c r="I133" s="68" t="str">
        <x:f>IF(B133="","",G133*H133)</x:f>
      </x:c>
      <x:c r="J133" s="52" t="str">
        <x:f>IF(B133="","",IF(G133&lt;0,"NEGATİF BAKİYE","UYGUN"))</x:f>
      </x:c>
    </x:row>
    <x:row r="134">
      <x:c r="B134" s="46"/>
      <x:c r="C134" s="46"/>
      <x:c r="D134" s="46"/>
      <x:c r="E134" s="92"/>
      <x:c r="F134" s="92"/>
      <x:c r="G134" s="93" t="str">
        <x:f>IF(B134="","",E134-F134)</x:f>
      </x:c>
      <x:c r="H134" s="100" t="str">
        <x:f>IF(B134="","",IF(D134="TL",1,IF(D134="USD",KURLAR!$C$9,IF(D134="EUR",KURLAR!$C$10,0))))</x:f>
      </x:c>
      <x:c r="I134" s="68" t="str">
        <x:f>IF(B134="","",G134*H134)</x:f>
      </x:c>
      <x:c r="J134" s="52" t="str">
        <x:f>IF(B134="","",IF(G134&lt;0,"NEGATİF BAKİYE","UYGUN"))</x:f>
      </x:c>
    </x:row>
    <x:row r="135">
      <x:c r="B135" s="46"/>
      <x:c r="C135" s="46"/>
      <x:c r="D135" s="46"/>
      <x:c r="E135" s="92"/>
      <x:c r="F135" s="92"/>
      <x:c r="G135" s="93" t="str">
        <x:f>IF(B135="","",E135-F135)</x:f>
      </x:c>
      <x:c r="H135" s="100" t="str">
        <x:f>IF(B135="","",IF(D135="TL",1,IF(D135="USD",KURLAR!$C$9,IF(D135="EUR",KURLAR!$C$10,0))))</x:f>
      </x:c>
      <x:c r="I135" s="68" t="str">
        <x:f>IF(B135="","",G135*H135)</x:f>
      </x:c>
      <x:c r="J135" s="52" t="str">
        <x:f>IF(B135="","",IF(G135&lt;0,"NEGATİF BAKİYE","UYGUN"))</x:f>
      </x:c>
    </x:row>
    <x:row r="136">
      <x:c r="B136" s="46"/>
      <x:c r="C136" s="46"/>
      <x:c r="D136" s="46"/>
      <x:c r="E136" s="92"/>
      <x:c r="F136" s="92"/>
      <x:c r="G136" s="93" t="str">
        <x:f>IF(B136="","",E136-F136)</x:f>
      </x:c>
      <x:c r="H136" s="100" t="str">
        <x:f>IF(B136="","",IF(D136="TL",1,IF(D136="USD",KURLAR!$C$9,IF(D136="EUR",KURLAR!$C$10,0))))</x:f>
      </x:c>
      <x:c r="I136" s="68" t="str">
        <x:f>IF(B136="","",G136*H136)</x:f>
      </x:c>
      <x:c r="J136" s="52" t="str">
        <x:f>IF(B136="","",IF(G136&lt;0,"NEGATİF BAKİYE","UYGUN"))</x:f>
      </x:c>
    </x:row>
    <x:row r="137">
      <x:c r="B137" s="46"/>
      <x:c r="C137" s="46"/>
      <x:c r="D137" s="46"/>
      <x:c r="E137" s="92"/>
      <x:c r="F137" s="92"/>
      <x:c r="G137" s="93" t="str">
        <x:f>IF(B137="","",E137-F137)</x:f>
      </x:c>
      <x:c r="H137" s="100" t="str">
        <x:f>IF(B137="","",IF(D137="TL",1,IF(D137="USD",KURLAR!$C$9,IF(D137="EUR",KURLAR!$C$10,0))))</x:f>
      </x:c>
      <x:c r="I137" s="68" t="str">
        <x:f>IF(B137="","",G137*H137)</x:f>
      </x:c>
      <x:c r="J137" s="52" t="str">
        <x:f>IF(B137="","",IF(G137&lt;0,"NEGATİF BAKİYE","UYGUN"))</x:f>
      </x:c>
    </x:row>
    <x:row r="138">
      <x:c r="B138" s="46"/>
      <x:c r="C138" s="46"/>
      <x:c r="D138" s="46"/>
      <x:c r="E138" s="92"/>
      <x:c r="F138" s="92"/>
      <x:c r="G138" s="93" t="str">
        <x:f>IF(B138="","",E138-F138)</x:f>
      </x:c>
      <x:c r="H138" s="100" t="str">
        <x:f>IF(B138="","",IF(D138="TL",1,IF(D138="USD",KURLAR!$C$9,IF(D138="EUR",KURLAR!$C$10,0))))</x:f>
      </x:c>
      <x:c r="I138" s="68" t="str">
        <x:f>IF(B138="","",G138*H138)</x:f>
      </x:c>
      <x:c r="J138" s="52" t="str">
        <x:f>IF(B138="","",IF(G138&lt;0,"NEGATİF BAKİYE","UYGUN"))</x:f>
      </x:c>
    </x:row>
    <x:row r="139">
      <x:c r="B139" s="46"/>
      <x:c r="C139" s="46"/>
      <x:c r="D139" s="46"/>
      <x:c r="E139" s="92"/>
      <x:c r="F139" s="92"/>
      <x:c r="G139" s="93" t="str">
        <x:f>IF(B139="","",E139-F139)</x:f>
      </x:c>
      <x:c r="H139" s="100" t="str">
        <x:f>IF(B139="","",IF(D139="TL",1,IF(D139="USD",KURLAR!$C$9,IF(D139="EUR",KURLAR!$C$10,0))))</x:f>
      </x:c>
      <x:c r="I139" s="68" t="str">
        <x:f>IF(B139="","",G139*H139)</x:f>
      </x:c>
      <x:c r="J139" s="52" t="str">
        <x:f>IF(B139="","",IF(G139&lt;0,"NEGATİF BAKİYE","UYGUN"))</x:f>
      </x:c>
    </x:row>
    <x:row r="140">
      <x:c r="B140" s="46"/>
      <x:c r="C140" s="46"/>
      <x:c r="D140" s="46"/>
      <x:c r="E140" s="92"/>
      <x:c r="F140" s="92"/>
      <x:c r="G140" s="93" t="str">
        <x:f>IF(B140="","",E140-F140)</x:f>
      </x:c>
      <x:c r="H140" s="100" t="str">
        <x:f>IF(B140="","",IF(D140="TL",1,IF(D140="USD",KURLAR!$C$9,IF(D140="EUR",KURLAR!$C$10,0))))</x:f>
      </x:c>
      <x:c r="I140" s="68" t="str">
        <x:f>IF(B140="","",G140*H140)</x:f>
      </x:c>
      <x:c r="J140" s="52" t="str">
        <x:f>IF(B140="","",IF(G140&lt;0,"NEGATİF BAKİYE","UYGUN"))</x:f>
      </x:c>
    </x:row>
    <x:row r="141">
      <x:c r="B141" s="46"/>
      <x:c r="C141" s="46"/>
      <x:c r="D141" s="46"/>
      <x:c r="E141" s="92"/>
      <x:c r="F141" s="92"/>
      <x:c r="G141" s="93" t="str">
        <x:f>IF(B141="","",E141-F141)</x:f>
      </x:c>
      <x:c r="H141" s="100" t="str">
        <x:f>IF(B141="","",IF(D141="TL",1,IF(D141="USD",KURLAR!$C$9,IF(D141="EUR",KURLAR!$C$10,0))))</x:f>
      </x:c>
      <x:c r="I141" s="68" t="str">
        <x:f>IF(B141="","",G141*H141)</x:f>
      </x:c>
      <x:c r="J141" s="52" t="str">
        <x:f>IF(B141="","",IF(G141&lt;0,"NEGATİF BAKİYE","UYGUN"))</x:f>
      </x:c>
    </x:row>
    <x:row r="142">
      <x:c r="B142" s="46"/>
      <x:c r="C142" s="46"/>
      <x:c r="D142" s="46"/>
      <x:c r="E142" s="92"/>
      <x:c r="F142" s="92"/>
      <x:c r="G142" s="93" t="str">
        <x:f>IF(B142="","",E142-F142)</x:f>
      </x:c>
      <x:c r="H142" s="100" t="str">
        <x:f>IF(B142="","",IF(D142="TL",1,IF(D142="USD",KURLAR!$C$9,IF(D142="EUR",KURLAR!$C$10,0))))</x:f>
      </x:c>
      <x:c r="I142" s="68" t="str">
        <x:f>IF(B142="","",G142*H142)</x:f>
      </x:c>
      <x:c r="J142" s="52" t="str">
        <x:f>IF(B142="","",IF(G142&lt;0,"NEGATİF BAKİYE","UYGUN"))</x:f>
      </x:c>
    </x:row>
    <x:row r="143">
      <x:c r="B143" s="46"/>
      <x:c r="C143" s="46"/>
      <x:c r="D143" s="46"/>
      <x:c r="E143" s="92"/>
      <x:c r="F143" s="92"/>
      <x:c r="G143" s="93" t="str">
        <x:f>IF(B143="","",E143-F143)</x:f>
      </x:c>
      <x:c r="H143" s="100" t="str">
        <x:f>IF(B143="","",IF(D143="TL",1,IF(D143="USD",KURLAR!$C$9,IF(D143="EUR",KURLAR!$C$10,0))))</x:f>
      </x:c>
      <x:c r="I143" s="68" t="str">
        <x:f>IF(B143="","",G143*H143)</x:f>
      </x:c>
      <x:c r="J143" s="52" t="str">
        <x:f>IF(B143="","",IF(G143&lt;0,"NEGATİF BAKİYE","UYGUN"))</x:f>
      </x:c>
    </x:row>
    <x:row r="144">
      <x:c r="B144" s="46"/>
      <x:c r="C144" s="46"/>
      <x:c r="D144" s="46"/>
      <x:c r="E144" s="92"/>
      <x:c r="F144" s="92"/>
      <x:c r="G144" s="93" t="str">
        <x:f>IF(B144="","",E144-F144)</x:f>
      </x:c>
      <x:c r="H144" s="100" t="str">
        <x:f>IF(B144="","",IF(D144="TL",1,IF(D144="USD",KURLAR!$C$9,IF(D144="EUR",KURLAR!$C$10,0))))</x:f>
      </x:c>
      <x:c r="I144" s="68" t="str">
        <x:f>IF(B144="","",G144*H144)</x:f>
      </x:c>
      <x:c r="J144" s="52" t="str">
        <x:f>IF(B144="","",IF(G144&lt;0,"NEGATİF BAKİYE","UYGUN"))</x:f>
      </x:c>
    </x:row>
    <x:row r="145">
      <x:c r="B145" s="46"/>
      <x:c r="C145" s="46"/>
      <x:c r="D145" s="46"/>
      <x:c r="E145" s="92"/>
      <x:c r="F145" s="92"/>
      <x:c r="G145" s="93" t="str">
        <x:f>IF(B145="","",E145-F145)</x:f>
      </x:c>
      <x:c r="H145" s="100" t="str">
        <x:f>IF(B145="","",IF(D145="TL",1,IF(D145="USD",KURLAR!$C$9,IF(D145="EUR",KURLAR!$C$10,0))))</x:f>
      </x:c>
      <x:c r="I145" s="68" t="str">
        <x:f>IF(B145="","",G145*H145)</x:f>
      </x:c>
      <x:c r="J145" s="52" t="str">
        <x:f>IF(B145="","",IF(G145&lt;0,"NEGATİF BAKİYE","UYGUN"))</x:f>
      </x:c>
    </x:row>
    <x:row r="146">
      <x:c r="B146" s="46"/>
      <x:c r="C146" s="46"/>
      <x:c r="D146" s="46"/>
      <x:c r="E146" s="92"/>
      <x:c r="F146" s="92"/>
      <x:c r="G146" s="93" t="str">
        <x:f>IF(B146="","",E146-F146)</x:f>
      </x:c>
      <x:c r="H146" s="100" t="str">
        <x:f>IF(B146="","",IF(D146="TL",1,IF(D146="USD",KURLAR!$C$9,IF(D146="EUR",KURLAR!$C$10,0))))</x:f>
      </x:c>
      <x:c r="I146" s="68" t="str">
        <x:f>IF(B146="","",G146*H146)</x:f>
      </x:c>
      <x:c r="J146" s="52" t="str">
        <x:f>IF(B146="","",IF(G146&lt;0,"NEGATİF BAKİYE","UYGUN"))</x:f>
      </x:c>
    </x:row>
    <x:row r="147">
      <x:c r="B147" s="46"/>
      <x:c r="C147" s="46"/>
      <x:c r="D147" s="46"/>
      <x:c r="E147" s="92"/>
      <x:c r="F147" s="92"/>
      <x:c r="G147" s="93" t="str">
        <x:f>IF(B147="","",E147-F147)</x:f>
      </x:c>
      <x:c r="H147" s="100" t="str">
        <x:f>IF(B147="","",IF(D147="TL",1,IF(D147="USD",KURLAR!$C$9,IF(D147="EUR",KURLAR!$C$10,0))))</x:f>
      </x:c>
      <x:c r="I147" s="68" t="str">
        <x:f>IF(B147="","",G147*H147)</x:f>
      </x:c>
      <x:c r="J147" s="52" t="str">
        <x:f>IF(B147="","",IF(G147&lt;0,"NEGATİF BAKİYE","UYGUN"))</x:f>
      </x:c>
    </x:row>
    <x:row r="148">
      <x:c r="B148" s="46"/>
      <x:c r="C148" s="46"/>
      <x:c r="D148" s="46"/>
      <x:c r="E148" s="92"/>
      <x:c r="F148" s="92"/>
      <x:c r="G148" s="93" t="str">
        <x:f>IF(B148="","",E148-F148)</x:f>
      </x:c>
      <x:c r="H148" s="100" t="str">
        <x:f>IF(B148="","",IF(D148="TL",1,IF(D148="USD",KURLAR!$C$9,IF(D148="EUR",KURLAR!$C$10,0))))</x:f>
      </x:c>
      <x:c r="I148" s="68" t="str">
        <x:f>IF(B148="","",G148*H148)</x:f>
      </x:c>
      <x:c r="J148" s="52" t="str">
        <x:f>IF(B148="","",IF(G148&lt;0,"NEGATİF BAKİYE","UYGUN"))</x:f>
      </x:c>
    </x:row>
    <x:row r="149">
      <x:c r="B149" s="46"/>
      <x:c r="C149" s="46"/>
      <x:c r="D149" s="46"/>
      <x:c r="E149" s="92"/>
      <x:c r="F149" s="92"/>
      <x:c r="G149" s="93" t="str">
        <x:f>IF(B149="","",E149-F149)</x:f>
      </x:c>
      <x:c r="H149" s="100" t="str">
        <x:f>IF(B149="","",IF(D149="TL",1,IF(D149="USD",KURLAR!$C$9,IF(D149="EUR",KURLAR!$C$10,0))))</x:f>
      </x:c>
      <x:c r="I149" s="68" t="str">
        <x:f>IF(B149="","",G149*H149)</x:f>
      </x:c>
      <x:c r="J149" s="52" t="str">
        <x:f>IF(B149="","",IF(G149&lt;0,"NEGATİF BAKİYE","UYGUN"))</x:f>
      </x:c>
    </x:row>
    <x:row r="150">
      <x:c r="B150" s="46"/>
      <x:c r="C150" s="46"/>
      <x:c r="D150" s="46"/>
      <x:c r="E150" s="92"/>
      <x:c r="F150" s="92"/>
      <x:c r="G150" s="93" t="str">
        <x:f>IF(B150="","",E150-F150)</x:f>
      </x:c>
      <x:c r="H150" s="100" t="str">
        <x:f>IF(B150="","",IF(D150="TL",1,IF(D150="USD",KURLAR!$C$9,IF(D150="EUR",KURLAR!$C$10,0))))</x:f>
      </x:c>
      <x:c r="I150" s="68" t="str">
        <x:f>IF(B150="","",G150*H150)</x:f>
      </x:c>
      <x:c r="J150" s="52" t="str">
        <x:f>IF(B150="","",IF(G150&lt;0,"NEGATİF BAKİYE","UYGUN"))</x:f>
      </x:c>
    </x:row>
    <x:row r="151">
      <x:c r="B151" s="46"/>
      <x:c r="C151" s="46"/>
      <x:c r="D151" s="46"/>
      <x:c r="E151" s="92"/>
      <x:c r="F151" s="92"/>
      <x:c r="G151" s="93" t="str">
        <x:f>IF(B151="","",E151-F151)</x:f>
      </x:c>
      <x:c r="H151" s="100" t="str">
        <x:f>IF(B151="","",IF(D151="TL",1,IF(D151="USD",KURLAR!$C$9,IF(D151="EUR",KURLAR!$C$10,0))))</x:f>
      </x:c>
      <x:c r="I151" s="68" t="str">
        <x:f>IF(B151="","",G151*H151)</x:f>
      </x:c>
      <x:c r="J151" s="52" t="str">
        <x:f>IF(B151="","",IF(G151&lt;0,"NEGATİF BAKİYE","UYGUN"))</x:f>
      </x:c>
    </x:row>
    <x:row r="152">
      <x:c r="B152" s="46"/>
      <x:c r="C152" s="46"/>
      <x:c r="D152" s="46"/>
      <x:c r="E152" s="92"/>
      <x:c r="F152" s="92"/>
      <x:c r="G152" s="93" t="str">
        <x:f>IF(B152="","",E152-F152)</x:f>
      </x:c>
      <x:c r="H152" s="100" t="str">
        <x:f>IF(B152="","",IF(D152="TL",1,IF(D152="USD",KURLAR!$C$9,IF(D152="EUR",KURLAR!$C$10,0))))</x:f>
      </x:c>
      <x:c r="I152" s="68" t="str">
        <x:f>IF(B152="","",G152*H152)</x:f>
      </x:c>
      <x:c r="J152" s="52" t="str">
        <x:f>IF(B152="","",IF(G152&lt;0,"NEGATİF BAKİYE","UYGUN"))</x:f>
      </x:c>
    </x:row>
    <x:row r="153">
      <x:c r="B153" s="46"/>
      <x:c r="C153" s="46"/>
      <x:c r="D153" s="46"/>
      <x:c r="E153" s="92"/>
      <x:c r="F153" s="92"/>
      <x:c r="G153" s="93" t="str">
        <x:f>IF(B153="","",E153-F153)</x:f>
      </x:c>
      <x:c r="H153" s="100" t="str">
        <x:f>IF(B153="","",IF(D153="TL",1,IF(D153="USD",KURLAR!$C$9,IF(D153="EUR",KURLAR!$C$10,0))))</x:f>
      </x:c>
      <x:c r="I153" s="68" t="str">
        <x:f>IF(B153="","",G153*H153)</x:f>
      </x:c>
      <x:c r="J153" s="52" t="str">
        <x:f>IF(B153="","",IF(G153&lt;0,"NEGATİF BAKİYE","UYGUN"))</x:f>
      </x:c>
    </x:row>
    <x:row r="154">
      <x:c r="B154" s="46"/>
      <x:c r="C154" s="46"/>
      <x:c r="D154" s="46"/>
      <x:c r="E154" s="92"/>
      <x:c r="F154" s="92"/>
      <x:c r="G154" s="93" t="str">
        <x:f>IF(B154="","",E154-F154)</x:f>
      </x:c>
      <x:c r="H154" s="100" t="str">
        <x:f>IF(B154="","",IF(D154="TL",1,IF(D154="USD",KURLAR!$C$9,IF(D154="EUR",KURLAR!$C$10,0))))</x:f>
      </x:c>
      <x:c r="I154" s="68" t="str">
        <x:f>IF(B154="","",G154*H154)</x:f>
      </x:c>
      <x:c r="J154" s="52" t="str">
        <x:f>IF(B154="","",IF(G154&lt;0,"NEGATİF BAKİYE","UYGUN"))</x:f>
      </x:c>
    </x:row>
    <x:row r="155">
      <x:c r="B155" s="46"/>
      <x:c r="C155" s="46"/>
      <x:c r="D155" s="46"/>
      <x:c r="E155" s="92"/>
      <x:c r="F155" s="92"/>
      <x:c r="G155" s="93" t="str">
        <x:f>IF(B155="","",E155-F155)</x:f>
      </x:c>
      <x:c r="H155" s="100" t="str">
        <x:f>IF(B155="","",IF(D155="TL",1,IF(D155="USD",KURLAR!$C$9,IF(D155="EUR",KURLAR!$C$10,0))))</x:f>
      </x:c>
      <x:c r="I155" s="68" t="str">
        <x:f>IF(B155="","",G155*H155)</x:f>
      </x:c>
      <x:c r="J155" s="52" t="str">
        <x:f>IF(B155="","",IF(G155&lt;0,"NEGATİF BAKİYE","UYGUN"))</x:f>
      </x:c>
    </x:row>
    <x:row r="156">
      <x:c r="B156" s="46"/>
      <x:c r="C156" s="46"/>
      <x:c r="D156" s="46"/>
      <x:c r="E156" s="92"/>
      <x:c r="F156" s="92"/>
      <x:c r="G156" s="93" t="str">
        <x:f>IF(B156="","",E156-F156)</x:f>
      </x:c>
      <x:c r="H156" s="100" t="str">
        <x:f>IF(B156="","",IF(D156="TL",1,IF(D156="USD",KURLAR!$C$9,IF(D156="EUR",KURLAR!$C$10,0))))</x:f>
      </x:c>
      <x:c r="I156" s="68" t="str">
        <x:f>IF(B156="","",G156*H156)</x:f>
      </x:c>
      <x:c r="J156" s="52" t="str">
        <x:f>IF(B156="","",IF(G156&lt;0,"NEGATİF BAKİYE","UYGUN"))</x:f>
      </x:c>
    </x:row>
    <x:row r="157">
      <x:c r="B157" s="46"/>
      <x:c r="C157" s="46"/>
      <x:c r="D157" s="46"/>
      <x:c r="E157" s="92"/>
      <x:c r="F157" s="92"/>
      <x:c r="G157" s="93" t="str">
        <x:f>IF(B157="","",E157-F157)</x:f>
      </x:c>
      <x:c r="H157" s="100" t="str">
        <x:f>IF(B157="","",IF(D157="TL",1,IF(D157="USD",KURLAR!$C$9,IF(D157="EUR",KURLAR!$C$10,0))))</x:f>
      </x:c>
      <x:c r="I157" s="68" t="str">
        <x:f>IF(B157="","",G157*H157)</x:f>
      </x:c>
      <x:c r="J157" s="52" t="str">
        <x:f>IF(B157="","",IF(G157&lt;0,"NEGATİF BAKİYE","UYGUN"))</x:f>
      </x:c>
    </x:row>
    <x:row r="158">
      <x:c r="B158" s="46"/>
      <x:c r="C158" s="46"/>
      <x:c r="D158" s="46"/>
      <x:c r="E158" s="92"/>
      <x:c r="F158" s="92"/>
      <x:c r="G158" s="93" t="str">
        <x:f>IF(B158="","",E158-F158)</x:f>
      </x:c>
      <x:c r="H158" s="100" t="str">
        <x:f>IF(B158="","",IF(D158="TL",1,IF(D158="USD",KURLAR!$C$9,IF(D158="EUR",KURLAR!$C$10,0))))</x:f>
      </x:c>
      <x:c r="I158" s="68" t="str">
        <x:f>IF(B158="","",G158*H158)</x:f>
      </x:c>
      <x:c r="J158" s="52" t="str">
        <x:f>IF(B158="","",IF(G158&lt;0,"NEGATİF BAKİYE","UYGUN"))</x:f>
      </x:c>
    </x:row>
    <x:row r="159">
      <x:c r="B159" s="46"/>
      <x:c r="C159" s="46"/>
      <x:c r="D159" s="46"/>
      <x:c r="E159" s="92"/>
      <x:c r="F159" s="92"/>
      <x:c r="G159" s="93" t="str">
        <x:f>IF(B159="","",E159-F159)</x:f>
      </x:c>
      <x:c r="H159" s="100" t="str">
        <x:f>IF(B159="","",IF(D159="TL",1,IF(D159="USD",KURLAR!$C$9,IF(D159="EUR",KURLAR!$C$10,0))))</x:f>
      </x:c>
      <x:c r="I159" s="68" t="str">
        <x:f>IF(B159="","",G159*H159)</x:f>
      </x:c>
      <x:c r="J159" s="52" t="str">
        <x:f>IF(B159="","",IF(G159&lt;0,"NEGATİF BAKİYE","UYGUN"))</x:f>
      </x:c>
    </x:row>
    <x:row r="160">
      <x:c r="B160" s="46"/>
      <x:c r="C160" s="46"/>
      <x:c r="D160" s="46"/>
      <x:c r="E160" s="92"/>
      <x:c r="F160" s="92"/>
      <x:c r="G160" s="93" t="str">
        <x:f>IF(B160="","",E160-F160)</x:f>
      </x:c>
      <x:c r="H160" s="100" t="str">
        <x:f>IF(B160="","",IF(D160="TL",1,IF(D160="USD",KURLAR!$C$9,IF(D160="EUR",KURLAR!$C$10,0))))</x:f>
      </x:c>
      <x:c r="I160" s="68" t="str">
        <x:f>IF(B160="","",G160*H160)</x:f>
      </x:c>
      <x:c r="J160" s="52" t="str">
        <x:f>IF(B160="","",IF(G160&lt;0,"NEGATİF BAKİYE","UYGUN"))</x:f>
      </x:c>
    </x:row>
    <x:row r="161">
      <x:c r="B161" s="46"/>
      <x:c r="C161" s="46"/>
      <x:c r="D161" s="46"/>
      <x:c r="E161" s="92"/>
      <x:c r="F161" s="92"/>
      <x:c r="G161" s="93" t="str">
        <x:f>IF(B161="","",E161-F161)</x:f>
      </x:c>
      <x:c r="H161" s="100" t="str">
        <x:f>IF(B161="","",IF(D161="TL",1,IF(D161="USD",KURLAR!$C$9,IF(D161="EUR",KURLAR!$C$10,0))))</x:f>
      </x:c>
      <x:c r="I161" s="68" t="str">
        <x:f>IF(B161="","",G161*H161)</x:f>
      </x:c>
      <x:c r="J161" s="52" t="str">
        <x:f>IF(B161="","",IF(G161&lt;0,"NEGATİF BAKİYE","UYGUN"))</x:f>
      </x:c>
    </x:row>
    <x:row r="162">
      <x:c r="B162" s="46"/>
      <x:c r="C162" s="46"/>
      <x:c r="D162" s="46"/>
      <x:c r="E162" s="92"/>
      <x:c r="F162" s="92"/>
      <x:c r="G162" s="93" t="str">
        <x:f>IF(B162="","",E162-F162)</x:f>
      </x:c>
      <x:c r="H162" s="100" t="str">
        <x:f>IF(B162="","",IF(D162="TL",1,IF(D162="USD",KURLAR!$C$9,IF(D162="EUR",KURLAR!$C$10,0))))</x:f>
      </x:c>
      <x:c r="I162" s="68" t="str">
        <x:f>IF(B162="","",G162*H162)</x:f>
      </x:c>
      <x:c r="J162" s="52" t="str">
        <x:f>IF(B162="","",IF(G162&lt;0,"NEGATİF BAKİYE","UYGUN"))</x:f>
      </x:c>
    </x:row>
    <x:row r="163">
      <x:c r="B163" s="46"/>
      <x:c r="C163" s="46"/>
      <x:c r="D163" s="46"/>
      <x:c r="E163" s="92"/>
      <x:c r="F163" s="92"/>
      <x:c r="G163" s="93" t="str">
        <x:f>IF(B163="","",E163-F163)</x:f>
      </x:c>
      <x:c r="H163" s="100" t="str">
        <x:f>IF(B163="","",IF(D163="TL",1,IF(D163="USD",KURLAR!$C$9,IF(D163="EUR",KURLAR!$C$10,0))))</x:f>
      </x:c>
      <x:c r="I163" s="68" t="str">
        <x:f>IF(B163="","",G163*H163)</x:f>
      </x:c>
      <x:c r="J163" s="52" t="str">
        <x:f>IF(B163="","",IF(G163&lt;0,"NEGATİF BAKİYE","UYGUN"))</x:f>
      </x:c>
    </x:row>
    <x:row r="164">
      <x:c r="B164" s="46"/>
      <x:c r="C164" s="46"/>
      <x:c r="D164" s="46"/>
      <x:c r="E164" s="92"/>
      <x:c r="F164" s="92"/>
      <x:c r="G164" s="93" t="str">
        <x:f>IF(B164="","",E164-F164)</x:f>
      </x:c>
      <x:c r="H164" s="100" t="str">
        <x:f>IF(B164="","",IF(D164="TL",1,IF(D164="USD",KURLAR!$C$9,IF(D164="EUR",KURLAR!$C$10,0))))</x:f>
      </x:c>
      <x:c r="I164" s="68" t="str">
        <x:f>IF(B164="","",G164*H164)</x:f>
      </x:c>
      <x:c r="J164" s="52" t="str">
        <x:f>IF(B164="","",IF(G164&lt;0,"NEGATİF BAKİYE","UYGUN"))</x:f>
      </x:c>
    </x:row>
    <x:row r="165">
      <x:c r="B165" s="46"/>
      <x:c r="C165" s="46"/>
      <x:c r="D165" s="46"/>
      <x:c r="E165" s="92"/>
      <x:c r="F165" s="92"/>
      <x:c r="G165" s="93" t="str">
        <x:f>IF(B165="","",E165-F165)</x:f>
      </x:c>
      <x:c r="H165" s="100" t="str">
        <x:f>IF(B165="","",IF(D165="TL",1,IF(D165="USD",KURLAR!$C$9,IF(D165="EUR",KURLAR!$C$10,0))))</x:f>
      </x:c>
      <x:c r="I165" s="68" t="str">
        <x:f>IF(B165="","",G165*H165)</x:f>
      </x:c>
      <x:c r="J165" s="52" t="str">
        <x:f>IF(B165="","",IF(G165&lt;0,"NEGATİF BAKİYE","UYGUN"))</x:f>
      </x:c>
    </x:row>
    <x:row r="166">
      <x:c r="B166" s="46"/>
      <x:c r="C166" s="46"/>
      <x:c r="D166" s="46"/>
      <x:c r="E166" s="92"/>
      <x:c r="F166" s="92"/>
      <x:c r="G166" s="93" t="str">
        <x:f>IF(B166="","",E166-F166)</x:f>
      </x:c>
      <x:c r="H166" s="100" t="str">
        <x:f>IF(B166="","",IF(D166="TL",1,IF(D166="USD",KURLAR!$C$9,IF(D166="EUR",KURLAR!$C$10,0))))</x:f>
      </x:c>
      <x:c r="I166" s="68" t="str">
        <x:f>IF(B166="","",G166*H166)</x:f>
      </x:c>
      <x:c r="J166" s="52" t="str">
        <x:f>IF(B166="","",IF(G166&lt;0,"NEGATİF BAKİYE","UYGUN"))</x:f>
      </x:c>
    </x:row>
    <x:row r="167">
      <x:c r="B167" s="46"/>
      <x:c r="C167" s="46"/>
      <x:c r="D167" s="46"/>
      <x:c r="E167" s="92"/>
      <x:c r="F167" s="92"/>
      <x:c r="G167" s="93" t="str">
        <x:f>IF(B167="","",E167-F167)</x:f>
      </x:c>
      <x:c r="H167" s="100" t="str">
        <x:f>IF(B167="","",IF(D167="TL",1,IF(D167="USD",KURLAR!$C$9,IF(D167="EUR",KURLAR!$C$10,0))))</x:f>
      </x:c>
      <x:c r="I167" s="68" t="str">
        <x:f>IF(B167="","",G167*H167)</x:f>
      </x:c>
      <x:c r="J167" s="52" t="str">
        <x:f>IF(B167="","",IF(G167&lt;0,"NEGATİF BAKİYE","UYGUN"))</x:f>
      </x:c>
    </x:row>
    <x:row r="168">
      <x:c r="B168" s="46"/>
      <x:c r="C168" s="46"/>
      <x:c r="D168" s="46"/>
      <x:c r="E168" s="92"/>
      <x:c r="F168" s="92"/>
      <x:c r="G168" s="93" t="str">
        <x:f>IF(B168="","",E168-F168)</x:f>
      </x:c>
      <x:c r="H168" s="100" t="str">
        <x:f>IF(B168="","",IF(D168="TL",1,IF(D168="USD",KURLAR!$C$9,IF(D168="EUR",KURLAR!$C$10,0))))</x:f>
      </x:c>
      <x:c r="I168" s="68" t="str">
        <x:f>IF(B168="","",G168*H168)</x:f>
      </x:c>
      <x:c r="J168" s="52" t="str">
        <x:f>IF(B168="","",IF(G168&lt;0,"NEGATİF BAKİYE","UYGUN"))</x:f>
      </x:c>
    </x:row>
    <x:row r="169">
      <x:c r="B169" s="46"/>
      <x:c r="C169" s="46"/>
      <x:c r="D169" s="46"/>
      <x:c r="E169" s="92"/>
      <x:c r="F169" s="92"/>
      <x:c r="G169" s="93" t="str">
        <x:f>IF(B169="","",E169-F169)</x:f>
      </x:c>
      <x:c r="H169" s="100" t="str">
        <x:f>IF(B169="","",IF(D169="TL",1,IF(D169="USD",KURLAR!$C$9,IF(D169="EUR",KURLAR!$C$10,0))))</x:f>
      </x:c>
      <x:c r="I169" s="68" t="str">
        <x:f>IF(B169="","",G169*H169)</x:f>
      </x:c>
      <x:c r="J169" s="52" t="str">
        <x:f>IF(B169="","",IF(G169&lt;0,"NEGATİF BAKİYE","UYGUN"))</x:f>
      </x:c>
    </x:row>
    <x:row r="170">
      <x:c r="B170" s="46"/>
      <x:c r="C170" s="46"/>
      <x:c r="D170" s="46"/>
      <x:c r="E170" s="92"/>
      <x:c r="F170" s="92"/>
      <x:c r="G170" s="93" t="str">
        <x:f>IF(B170="","",E170-F170)</x:f>
      </x:c>
      <x:c r="H170" s="100" t="str">
        <x:f>IF(B170="","",IF(D170="TL",1,IF(D170="USD",KURLAR!$C$9,IF(D170="EUR",KURLAR!$C$10,0))))</x:f>
      </x:c>
      <x:c r="I170" s="68" t="str">
        <x:f>IF(B170="","",G170*H170)</x:f>
      </x:c>
      <x:c r="J170" s="52" t="str">
        <x:f>IF(B170="","",IF(G170&lt;0,"NEGATİF BAKİYE","UYGUN"))</x:f>
      </x:c>
    </x:row>
    <x:row r="171">
      <x:c r="B171" s="46"/>
      <x:c r="C171" s="46"/>
      <x:c r="D171" s="46"/>
      <x:c r="E171" s="92"/>
      <x:c r="F171" s="92"/>
      <x:c r="G171" s="93" t="str">
        <x:f>IF(B171="","",E171-F171)</x:f>
      </x:c>
      <x:c r="H171" s="100" t="str">
        <x:f>IF(B171="","",IF(D171="TL",1,IF(D171="USD",KURLAR!$C$9,IF(D171="EUR",KURLAR!$C$10,0))))</x:f>
      </x:c>
      <x:c r="I171" s="68" t="str">
        <x:f>IF(B171="","",G171*H171)</x:f>
      </x:c>
      <x:c r="J171" s="52" t="str">
        <x:f>IF(B171="","",IF(G171&lt;0,"NEGATİF BAKİYE","UYGUN"))</x:f>
      </x:c>
    </x:row>
    <x:row r="172">
      <x:c r="B172" s="46"/>
      <x:c r="C172" s="46"/>
      <x:c r="D172" s="46"/>
      <x:c r="E172" s="92"/>
      <x:c r="F172" s="92"/>
      <x:c r="G172" s="93" t="str">
        <x:f>IF(B172="","",E172-F172)</x:f>
      </x:c>
      <x:c r="H172" s="100" t="str">
        <x:f>IF(B172="","",IF(D172="TL",1,IF(D172="USD",KURLAR!$C$9,IF(D172="EUR",KURLAR!$C$10,0))))</x:f>
      </x:c>
      <x:c r="I172" s="68" t="str">
        <x:f>IF(B172="","",G172*H172)</x:f>
      </x:c>
      <x:c r="J172" s="52" t="str">
        <x:f>IF(B172="","",IF(G172&lt;0,"NEGATİF BAKİYE","UYGUN"))</x:f>
      </x:c>
    </x:row>
    <x:row r="173">
      <x:c r="B173" s="46"/>
      <x:c r="C173" s="46"/>
      <x:c r="D173" s="46"/>
      <x:c r="E173" s="92"/>
      <x:c r="F173" s="92"/>
      <x:c r="G173" s="93" t="str">
        <x:f>IF(B173="","",E173-F173)</x:f>
      </x:c>
      <x:c r="H173" s="100" t="str">
        <x:f>IF(B173="","",IF(D173="TL",1,IF(D173="USD",KURLAR!$C$9,IF(D173="EUR",KURLAR!$C$10,0))))</x:f>
      </x:c>
      <x:c r="I173" s="68" t="str">
        <x:f>IF(B173="","",G173*H173)</x:f>
      </x:c>
      <x:c r="J173" s="52" t="str">
        <x:f>IF(B173="","",IF(G173&lt;0,"NEGATİF BAKİYE","UYGUN"))</x:f>
      </x:c>
    </x:row>
    <x:row r="174">
      <x:c r="B174" s="46"/>
      <x:c r="C174" s="46"/>
      <x:c r="D174" s="46"/>
      <x:c r="E174" s="92"/>
      <x:c r="F174" s="92"/>
      <x:c r="G174" s="93" t="str">
        <x:f>IF(B174="","",E174-F174)</x:f>
      </x:c>
      <x:c r="H174" s="100" t="str">
        <x:f>IF(B174="","",IF(D174="TL",1,IF(D174="USD",KURLAR!$C$9,IF(D174="EUR",KURLAR!$C$10,0))))</x:f>
      </x:c>
      <x:c r="I174" s="68" t="str">
        <x:f>IF(B174="","",G174*H174)</x:f>
      </x:c>
      <x:c r="J174" s="52" t="str">
        <x:f>IF(B174="","",IF(G174&lt;0,"NEGATİF BAKİYE","UYGUN"))</x:f>
      </x:c>
    </x:row>
    <x:row r="175">
      <x:c r="B175" s="46"/>
      <x:c r="C175" s="46"/>
      <x:c r="D175" s="46"/>
      <x:c r="E175" s="92"/>
      <x:c r="F175" s="92"/>
      <x:c r="G175" s="93" t="str">
        <x:f>IF(B175="","",E175-F175)</x:f>
      </x:c>
      <x:c r="H175" s="100" t="str">
        <x:f>IF(B175="","",IF(D175="TL",1,IF(D175="USD",KURLAR!$C$9,IF(D175="EUR",KURLAR!$C$10,0))))</x:f>
      </x:c>
      <x:c r="I175" s="68" t="str">
        <x:f>IF(B175="","",G175*H175)</x:f>
      </x:c>
      <x:c r="J175" s="52" t="str">
        <x:f>IF(B175="","",IF(G175&lt;0,"NEGATİF BAKİYE","UYGUN"))</x:f>
      </x:c>
    </x:row>
    <x:row r="176">
      <x:c r="B176" s="46"/>
      <x:c r="C176" s="46"/>
      <x:c r="D176" s="46"/>
      <x:c r="E176" s="92"/>
      <x:c r="F176" s="92"/>
      <x:c r="G176" s="93" t="str">
        <x:f>IF(B176="","",E176-F176)</x:f>
      </x:c>
      <x:c r="H176" s="100" t="str">
        <x:f>IF(B176="","",IF(D176="TL",1,IF(D176="USD",KURLAR!$C$9,IF(D176="EUR",KURLAR!$C$10,0))))</x:f>
      </x:c>
      <x:c r="I176" s="68" t="str">
        <x:f>IF(B176="","",G176*H176)</x:f>
      </x:c>
      <x:c r="J176" s="52" t="str">
        <x:f>IF(B176="","",IF(G176&lt;0,"NEGATİF BAKİYE","UYGUN"))</x:f>
      </x:c>
    </x:row>
    <x:row r="177">
      <x:c r="B177" s="46"/>
      <x:c r="C177" s="46"/>
      <x:c r="D177" s="46"/>
      <x:c r="E177" s="92"/>
      <x:c r="F177" s="92"/>
      <x:c r="G177" s="93" t="str">
        <x:f>IF(B177="","",E177-F177)</x:f>
      </x:c>
      <x:c r="H177" s="100" t="str">
        <x:f>IF(B177="","",IF(D177="TL",1,IF(D177="USD",KURLAR!$C$9,IF(D177="EUR",KURLAR!$C$10,0))))</x:f>
      </x:c>
      <x:c r="I177" s="68" t="str">
        <x:f>IF(B177="","",G177*H177)</x:f>
      </x:c>
      <x:c r="J177" s="52" t="str">
        <x:f>IF(B177="","",IF(G177&lt;0,"NEGATİF BAKİYE","UYGUN"))</x:f>
      </x:c>
    </x:row>
    <x:row r="178">
      <x:c r="B178" s="46"/>
      <x:c r="C178" s="46"/>
      <x:c r="D178" s="46"/>
      <x:c r="E178" s="92"/>
      <x:c r="F178" s="92"/>
      <x:c r="G178" s="93" t="str">
        <x:f>IF(B178="","",E178-F178)</x:f>
      </x:c>
      <x:c r="H178" s="100" t="str">
        <x:f>IF(B178="","",IF(D178="TL",1,IF(D178="USD",KURLAR!$C$9,IF(D178="EUR",KURLAR!$C$10,0))))</x:f>
      </x:c>
      <x:c r="I178" s="68" t="str">
        <x:f>IF(B178="","",G178*H178)</x:f>
      </x:c>
      <x:c r="J178" s="52" t="str">
        <x:f>IF(B178="","",IF(G178&lt;0,"NEGATİF BAKİYE","UYGUN"))</x:f>
      </x:c>
    </x:row>
    <x:row r="179">
      <x:c r="B179" s="46"/>
      <x:c r="C179" s="46"/>
      <x:c r="D179" s="46"/>
      <x:c r="E179" s="92"/>
      <x:c r="F179" s="92"/>
      <x:c r="G179" s="93" t="str">
        <x:f>IF(B179="","",E179-F179)</x:f>
      </x:c>
      <x:c r="H179" s="100" t="str">
        <x:f>IF(B179="","",IF(D179="TL",1,IF(D179="USD",KURLAR!$C$9,IF(D179="EUR",KURLAR!$C$10,0))))</x:f>
      </x:c>
      <x:c r="I179" s="68" t="str">
        <x:f>IF(B179="","",G179*H179)</x:f>
      </x:c>
      <x:c r="J179" s="52" t="str">
        <x:f>IF(B179="","",IF(G179&lt;0,"NEGATİF BAKİYE","UYGUN"))</x:f>
      </x:c>
    </x:row>
    <x:row r="180">
      <x:c r="B180" s="46"/>
      <x:c r="C180" s="46"/>
      <x:c r="D180" s="46"/>
      <x:c r="E180" s="92"/>
      <x:c r="F180" s="92"/>
      <x:c r="G180" s="93" t="str">
        <x:f>IF(B180="","",E180-F180)</x:f>
      </x:c>
      <x:c r="H180" s="100" t="str">
        <x:f>IF(B180="","",IF(D180="TL",1,IF(D180="USD",KURLAR!$C$9,IF(D180="EUR",KURLAR!$C$10,0))))</x:f>
      </x:c>
      <x:c r="I180" s="68" t="str">
        <x:f>IF(B180="","",G180*H180)</x:f>
      </x:c>
      <x:c r="J180" s="52" t="str">
        <x:f>IF(B180="","",IF(G180&lt;0,"NEGATİF BAKİYE","UYGUN"))</x:f>
      </x:c>
    </x:row>
    <x:row r="181">
      <x:c r="B181" s="46"/>
      <x:c r="C181" s="46"/>
      <x:c r="D181" s="46"/>
      <x:c r="E181" s="92"/>
      <x:c r="F181" s="92"/>
      <x:c r="G181" s="93" t="str">
        <x:f>IF(B181="","",E181-F181)</x:f>
      </x:c>
      <x:c r="H181" s="100" t="str">
        <x:f>IF(B181="","",IF(D181="TL",1,IF(D181="USD",KURLAR!$C$9,IF(D181="EUR",KURLAR!$C$10,0))))</x:f>
      </x:c>
      <x:c r="I181" s="68" t="str">
        <x:f>IF(B181="","",G181*H181)</x:f>
      </x:c>
      <x:c r="J181" s="52" t="str">
        <x:f>IF(B181="","",IF(G181&lt;0,"NEGATİF BAKİYE","UYGUN"))</x:f>
      </x:c>
    </x:row>
    <x:row r="182">
      <x:c r="B182" s="46"/>
      <x:c r="C182" s="46"/>
      <x:c r="D182" s="46"/>
      <x:c r="E182" s="92"/>
      <x:c r="F182" s="92"/>
      <x:c r="G182" s="93" t="str">
        <x:f>IF(B182="","",E182-F182)</x:f>
      </x:c>
      <x:c r="H182" s="100" t="str">
        <x:f>IF(B182="","",IF(D182="TL",1,IF(D182="USD",KURLAR!$C$9,IF(D182="EUR",KURLAR!$C$10,0))))</x:f>
      </x:c>
      <x:c r="I182" s="68" t="str">
        <x:f>IF(B182="","",G182*H182)</x:f>
      </x:c>
      <x:c r="J182" s="52" t="str">
        <x:f>IF(B182="","",IF(G182&lt;0,"NEGATİF BAKİYE","UYGUN"))</x:f>
      </x:c>
    </x:row>
    <x:row r="183">
      <x:c r="B183" s="46"/>
      <x:c r="C183" s="46"/>
      <x:c r="D183" s="46"/>
      <x:c r="E183" s="92"/>
      <x:c r="F183" s="92"/>
      <x:c r="G183" s="93" t="str">
        <x:f>IF(B183="","",E183-F183)</x:f>
      </x:c>
      <x:c r="H183" s="100" t="str">
        <x:f>IF(B183="","",IF(D183="TL",1,IF(D183="USD",KURLAR!$C$9,IF(D183="EUR",KURLAR!$C$10,0))))</x:f>
      </x:c>
      <x:c r="I183" s="68" t="str">
        <x:f>IF(B183="","",G183*H183)</x:f>
      </x:c>
      <x:c r="J183" s="52" t="str">
        <x:f>IF(B183="","",IF(G183&lt;0,"NEGATİF BAKİYE","UYGUN"))</x:f>
      </x:c>
    </x:row>
    <x:row r="184">
      <x:c r="B184" s="46"/>
      <x:c r="C184" s="46"/>
      <x:c r="D184" s="46"/>
      <x:c r="E184" s="92"/>
      <x:c r="F184" s="92"/>
      <x:c r="G184" s="93" t="str">
        <x:f>IF(B184="","",E184-F184)</x:f>
      </x:c>
      <x:c r="H184" s="100" t="str">
        <x:f>IF(B184="","",IF(D184="TL",1,IF(D184="USD",KURLAR!$C$9,IF(D184="EUR",KURLAR!$C$10,0))))</x:f>
      </x:c>
      <x:c r="I184" s="68" t="str">
        <x:f>IF(B184="","",G184*H184)</x:f>
      </x:c>
      <x:c r="J184" s="52" t="str">
        <x:f>IF(B184="","",IF(G184&lt;0,"NEGATİF BAKİYE","UYGUN"))</x:f>
      </x:c>
    </x:row>
    <x:row r="185">
      <x:c r="B185" s="46"/>
      <x:c r="C185" s="46"/>
      <x:c r="D185" s="46"/>
      <x:c r="E185" s="92"/>
      <x:c r="F185" s="92"/>
      <x:c r="G185" s="93" t="str">
        <x:f>IF(B185="","",E185-F185)</x:f>
      </x:c>
      <x:c r="H185" s="100" t="str">
        <x:f>IF(B185="","",IF(D185="TL",1,IF(D185="USD",KURLAR!$C$9,IF(D185="EUR",KURLAR!$C$10,0))))</x:f>
      </x:c>
      <x:c r="I185" s="68" t="str">
        <x:f>IF(B185="","",G185*H185)</x:f>
      </x:c>
      <x:c r="J185" s="52" t="str">
        <x:f>IF(B185="","",IF(G185&lt;0,"NEGATİF BAKİYE","UYGUN"))</x:f>
      </x:c>
    </x:row>
    <x:row r="186">
      <x:c r="B186" s="46"/>
      <x:c r="C186" s="46"/>
      <x:c r="D186" s="46"/>
      <x:c r="E186" s="92"/>
      <x:c r="F186" s="92"/>
      <x:c r="G186" s="93" t="str">
        <x:f>IF(B186="","",E186-F186)</x:f>
      </x:c>
      <x:c r="H186" s="100" t="str">
        <x:f>IF(B186="","",IF(D186="TL",1,IF(D186="USD",KURLAR!$C$9,IF(D186="EUR",KURLAR!$C$10,0))))</x:f>
      </x:c>
      <x:c r="I186" s="68" t="str">
        <x:f>IF(B186="","",G186*H186)</x:f>
      </x:c>
      <x:c r="J186" s="52" t="str">
        <x:f>IF(B186="","",IF(G186&lt;0,"NEGATİF BAKİYE","UYGUN"))</x:f>
      </x:c>
    </x:row>
    <x:row r="187">
      <x:c r="B187" s="46"/>
      <x:c r="C187" s="46"/>
      <x:c r="D187" s="46"/>
      <x:c r="E187" s="92"/>
      <x:c r="F187" s="92"/>
      <x:c r="G187" s="93" t="str">
        <x:f>IF(B187="","",E187-F187)</x:f>
      </x:c>
      <x:c r="H187" s="100" t="str">
        <x:f>IF(B187="","",IF(D187="TL",1,IF(D187="USD",KURLAR!$C$9,IF(D187="EUR",KURLAR!$C$10,0))))</x:f>
      </x:c>
      <x:c r="I187" s="68" t="str">
        <x:f>IF(B187="","",G187*H187)</x:f>
      </x:c>
      <x:c r="J187" s="52" t="str">
        <x:f>IF(B187="","",IF(G187&lt;0,"NEGATİF BAKİYE","UYGUN"))</x:f>
      </x:c>
    </x:row>
    <x:row r="188">
      <x:c r="B188" s="46"/>
      <x:c r="C188" s="46"/>
      <x:c r="D188" s="46"/>
      <x:c r="E188" s="92"/>
      <x:c r="F188" s="92"/>
      <x:c r="G188" s="93" t="str">
        <x:f>IF(B188="","",E188-F188)</x:f>
      </x:c>
      <x:c r="H188" s="100" t="str">
        <x:f>IF(B188="","",IF(D188="TL",1,IF(D188="USD",KURLAR!$C$9,IF(D188="EUR",KURLAR!$C$10,0))))</x:f>
      </x:c>
      <x:c r="I188" s="68" t="str">
        <x:f>IF(B188="","",G188*H188)</x:f>
      </x:c>
      <x:c r="J188" s="52" t="str">
        <x:f>IF(B188="","",IF(G188&lt;0,"NEGATİF BAKİYE","UYGUN"))</x:f>
      </x:c>
    </x:row>
    <x:row r="189">
      <x:c r="B189" s="46"/>
      <x:c r="C189" s="46"/>
      <x:c r="D189" s="46"/>
      <x:c r="E189" s="92"/>
      <x:c r="F189" s="92"/>
      <x:c r="G189" s="93" t="str">
        <x:f>IF(B189="","",E189-F189)</x:f>
      </x:c>
      <x:c r="H189" s="100" t="str">
        <x:f>IF(B189="","",IF(D189="TL",1,IF(D189="USD",KURLAR!$C$9,IF(D189="EUR",KURLAR!$C$10,0))))</x:f>
      </x:c>
      <x:c r="I189" s="68" t="str">
        <x:f>IF(B189="","",G189*H189)</x:f>
      </x:c>
      <x:c r="J189" s="52" t="str">
        <x:f>IF(B189="","",IF(G189&lt;0,"NEGATİF BAKİYE","UYGUN"))</x:f>
      </x:c>
    </x:row>
    <x:row r="190">
      <x:c r="B190" s="46"/>
      <x:c r="C190" s="46"/>
      <x:c r="D190" s="46"/>
      <x:c r="E190" s="92"/>
      <x:c r="F190" s="92"/>
      <x:c r="G190" s="93" t="str">
        <x:f>IF(B190="","",E190-F190)</x:f>
      </x:c>
      <x:c r="H190" s="100" t="str">
        <x:f>IF(B190="","",IF(D190="TL",1,IF(D190="USD",KURLAR!$C$9,IF(D190="EUR",KURLAR!$C$10,0))))</x:f>
      </x:c>
      <x:c r="I190" s="68" t="str">
        <x:f>IF(B190="","",G190*H190)</x:f>
      </x:c>
      <x:c r="J190" s="52" t="str">
        <x:f>IF(B190="","",IF(G190&lt;0,"NEGATİF BAKİYE","UYGUN"))</x:f>
      </x:c>
    </x:row>
    <x:row r="191">
      <x:c r="B191" s="46"/>
      <x:c r="C191" s="46"/>
      <x:c r="D191" s="46"/>
      <x:c r="E191" s="92"/>
      <x:c r="F191" s="92"/>
      <x:c r="G191" s="93" t="str">
        <x:f>IF(B191="","",E191-F191)</x:f>
      </x:c>
      <x:c r="H191" s="100" t="str">
        <x:f>IF(B191="","",IF(D191="TL",1,IF(D191="USD",KURLAR!$C$9,IF(D191="EUR",KURLAR!$C$10,0))))</x:f>
      </x:c>
      <x:c r="I191" s="68" t="str">
        <x:f>IF(B191="","",G191*H191)</x:f>
      </x:c>
      <x:c r="J191" s="52" t="str">
        <x:f>IF(B191="","",IF(G191&lt;0,"NEGATİF BAKİYE","UYGUN"))</x:f>
      </x:c>
    </x:row>
    <x:row r="192">
      <x:c r="B192" s="46"/>
      <x:c r="C192" s="46"/>
      <x:c r="D192" s="46"/>
      <x:c r="E192" s="92"/>
      <x:c r="F192" s="92"/>
      <x:c r="G192" s="93" t="str">
        <x:f>IF(B192="","",E192-F192)</x:f>
      </x:c>
      <x:c r="H192" s="100" t="str">
        <x:f>IF(B192="","",IF(D192="TL",1,IF(D192="USD",KURLAR!$C$9,IF(D192="EUR",KURLAR!$C$10,0))))</x:f>
      </x:c>
      <x:c r="I192" s="68" t="str">
        <x:f>IF(B192="","",G192*H192)</x:f>
      </x:c>
      <x:c r="J192" s="52" t="str">
        <x:f>IF(B192="","",IF(G192&lt;0,"NEGATİF BAKİYE","UYGUN"))</x:f>
      </x:c>
    </x:row>
    <x:row r="193">
      <x:c r="B193" s="46"/>
      <x:c r="C193" s="46"/>
      <x:c r="D193" s="46"/>
      <x:c r="E193" s="92"/>
      <x:c r="F193" s="92"/>
      <x:c r="G193" s="93" t="str">
        <x:f>IF(B193="","",E193-F193)</x:f>
      </x:c>
      <x:c r="H193" s="100" t="str">
        <x:f>IF(B193="","",IF(D193="TL",1,IF(D193="USD",KURLAR!$C$9,IF(D193="EUR",KURLAR!$C$10,0))))</x:f>
      </x:c>
      <x:c r="I193" s="68" t="str">
        <x:f>IF(B193="","",G193*H193)</x:f>
      </x:c>
      <x:c r="J193" s="52" t="str">
        <x:f>IF(B193="","",IF(G193&lt;0,"NEGATİF BAKİYE","UYGUN"))</x:f>
      </x:c>
    </x:row>
    <x:row r="194">
      <x:c r="B194" s="46"/>
      <x:c r="C194" s="46"/>
      <x:c r="D194" s="46"/>
      <x:c r="E194" s="92"/>
      <x:c r="F194" s="92"/>
      <x:c r="G194" s="93" t="str">
        <x:f>IF(B194="","",E194-F194)</x:f>
      </x:c>
      <x:c r="H194" s="100" t="str">
        <x:f>IF(B194="","",IF(D194="TL",1,IF(D194="USD",KURLAR!$C$9,IF(D194="EUR",KURLAR!$C$10,0))))</x:f>
      </x:c>
      <x:c r="I194" s="68" t="str">
        <x:f>IF(B194="","",G194*H194)</x:f>
      </x:c>
      <x:c r="J194" s="52" t="str">
        <x:f>IF(B194="","",IF(G194&lt;0,"NEGATİF BAKİYE","UYGUN"))</x:f>
      </x:c>
    </x:row>
    <x:row r="195">
      <x:c r="B195" s="46"/>
      <x:c r="C195" s="46"/>
      <x:c r="D195" s="46"/>
      <x:c r="E195" s="92"/>
      <x:c r="F195" s="92"/>
      <x:c r="G195" s="93" t="str">
        <x:f>IF(B195="","",E195-F195)</x:f>
      </x:c>
      <x:c r="H195" s="100" t="str">
        <x:f>IF(B195="","",IF(D195="TL",1,IF(D195="USD",KURLAR!$C$9,IF(D195="EUR",KURLAR!$C$10,0))))</x:f>
      </x:c>
      <x:c r="I195" s="68" t="str">
        <x:f>IF(B195="","",G195*H195)</x:f>
      </x:c>
      <x:c r="J195" s="52" t="str">
        <x:f>IF(B195="","",IF(G195&lt;0,"NEGATİF BAKİYE","UYGUN"))</x:f>
      </x:c>
    </x:row>
    <x:row r="196">
      <x:c r="B196" s="46"/>
      <x:c r="C196" s="46"/>
      <x:c r="D196" s="46"/>
      <x:c r="E196" s="92"/>
      <x:c r="F196" s="92"/>
      <x:c r="G196" s="93" t="str">
        <x:f>IF(B196="","",E196-F196)</x:f>
      </x:c>
      <x:c r="H196" s="100" t="str">
        <x:f>IF(B196="","",IF(D196="TL",1,IF(D196="USD",KURLAR!$C$9,IF(D196="EUR",KURLAR!$C$10,0))))</x:f>
      </x:c>
      <x:c r="I196" s="68" t="str">
        <x:f>IF(B196="","",G196*H196)</x:f>
      </x:c>
      <x:c r="J196" s="52" t="str">
        <x:f>IF(B196="","",IF(G196&lt;0,"NEGATİF BAKİYE","UYGUN"))</x:f>
      </x:c>
    </x:row>
    <x:row r="197">
      <x:c r="B197" s="46"/>
      <x:c r="C197" s="46"/>
      <x:c r="D197" s="46"/>
      <x:c r="E197" s="92"/>
      <x:c r="F197" s="92"/>
      <x:c r="G197" s="93" t="str">
        <x:f>IF(B197="","",E197-F197)</x:f>
      </x:c>
      <x:c r="H197" s="100" t="str">
        <x:f>IF(B197="","",IF(D197="TL",1,IF(D197="USD",KURLAR!$C$9,IF(D197="EUR",KURLAR!$C$10,0))))</x:f>
      </x:c>
      <x:c r="I197" s="68" t="str">
        <x:f>IF(B197="","",G197*H197)</x:f>
      </x:c>
      <x:c r="J197" s="52" t="str">
        <x:f>IF(B197="","",IF(G197&lt;0,"NEGATİF BAKİYE","UYGUN"))</x:f>
      </x:c>
    </x:row>
    <x:row r="198">
      <x:c r="B198" s="46"/>
      <x:c r="C198" s="46"/>
      <x:c r="D198" s="46"/>
      <x:c r="E198" s="92"/>
      <x:c r="F198" s="92"/>
      <x:c r="G198" s="93" t="str">
        <x:f>IF(B198="","",E198-F198)</x:f>
      </x:c>
      <x:c r="H198" s="100" t="str">
        <x:f>IF(B198="","",IF(D198="TL",1,IF(D198="USD",KURLAR!$C$9,IF(D198="EUR",KURLAR!$C$10,0))))</x:f>
      </x:c>
      <x:c r="I198" s="68" t="str">
        <x:f>IF(B198="","",G198*H198)</x:f>
      </x:c>
      <x:c r="J198" s="52" t="str">
        <x:f>IF(B198="","",IF(G198&lt;0,"NEGATİF BAKİYE","UYGUN"))</x:f>
      </x:c>
    </x:row>
    <x:row r="199">
      <x:c r="B199" s="46"/>
      <x:c r="C199" s="46"/>
      <x:c r="D199" s="46"/>
      <x:c r="E199" s="92"/>
      <x:c r="F199" s="92"/>
      <x:c r="G199" s="93" t="str">
        <x:f>IF(B199="","",E199-F199)</x:f>
      </x:c>
      <x:c r="H199" s="100" t="str">
        <x:f>IF(B199="","",IF(D199="TL",1,IF(D199="USD",KURLAR!$C$9,IF(D199="EUR",KURLAR!$C$10,0))))</x:f>
      </x:c>
      <x:c r="I199" s="68" t="str">
        <x:f>IF(B199="","",G199*H199)</x:f>
      </x:c>
      <x:c r="J199" s="52" t="str">
        <x:f>IF(B199="","",IF(G199&lt;0,"NEGATİF BAKİYE","UYGUN"))</x:f>
      </x:c>
    </x:row>
    <x:row r="200">
      <x:c r="B200" s="46"/>
      <x:c r="C200" s="46"/>
      <x:c r="D200" s="46"/>
      <x:c r="E200" s="92"/>
      <x:c r="F200" s="92"/>
      <x:c r="G200" s="93" t="str">
        <x:f>IF(B200="","",E200-F200)</x:f>
      </x:c>
      <x:c r="H200" s="100" t="str">
        <x:f>IF(B200="","",IF(D200="TL",1,IF(D200="USD",KURLAR!$C$9,IF(D200="EUR",KURLAR!$C$10,0))))</x:f>
      </x:c>
      <x:c r="I200" s="68" t="str">
        <x:f>IF(B200="","",G200*H200)</x:f>
      </x:c>
      <x:c r="J200" s="52" t="str">
        <x:f>IF(B200="","",IF(G200&lt;0,"NEGATİF BAKİYE","UYGUN"))</x:f>
      </x:c>
    </x:row>
    <x:row r="201">
      <x:c r="B201" s="46"/>
      <x:c r="C201" s="46"/>
      <x:c r="D201" s="46"/>
      <x:c r="E201" s="92"/>
      <x:c r="F201" s="92"/>
      <x:c r="G201" s="93" t="str">
        <x:f>IF(B201="","",E201-F201)</x:f>
      </x:c>
      <x:c r="H201" s="100" t="str">
        <x:f>IF(B201="","",IF(D201="TL",1,IF(D201="USD",KURLAR!$C$9,IF(D201="EUR",KURLAR!$C$10,0))))</x:f>
      </x:c>
      <x:c r="I201" s="68" t="str">
        <x:f>IF(B201="","",G201*H201)</x:f>
      </x:c>
      <x:c r="J201" s="52" t="str">
        <x:f>IF(B201="","",IF(G201&lt;0,"NEGATİF BAKİYE","UYGUN"))</x:f>
      </x:c>
    </x:row>
    <x:row r="202">
      <x:c r="B202" s="46"/>
      <x:c r="C202" s="46"/>
      <x:c r="D202" s="46"/>
      <x:c r="E202" s="92"/>
      <x:c r="F202" s="92"/>
      <x:c r="G202" s="93" t="str">
        <x:f>IF(B202="","",E202-F202)</x:f>
      </x:c>
      <x:c r="H202" s="100" t="str">
        <x:f>IF(B202="","",IF(D202="TL",1,IF(D202="USD",KURLAR!$C$9,IF(D202="EUR",KURLAR!$C$10,0))))</x:f>
      </x:c>
      <x:c r="I202" s="68" t="str">
        <x:f>IF(B202="","",G202*H202)</x:f>
      </x:c>
      <x:c r="J202" s="52" t="str">
        <x:f>IF(B202="","",IF(G202&lt;0,"NEGATİF BAKİYE","UYGUN"))</x:f>
      </x:c>
    </x:row>
    <x:row r="203">
      <x:c r="B203" s="46"/>
      <x:c r="C203" s="46"/>
      <x:c r="D203" s="46"/>
      <x:c r="E203" s="92"/>
      <x:c r="F203" s="92"/>
      <x:c r="G203" s="93" t="str">
        <x:f>IF(B203="","",E203-F203)</x:f>
      </x:c>
      <x:c r="H203" s="100" t="str">
        <x:f>IF(B203="","",IF(D203="TL",1,IF(D203="USD",KURLAR!$C$9,IF(D203="EUR",KURLAR!$C$10,0))))</x:f>
      </x:c>
      <x:c r="I203" s="68" t="str">
        <x:f>IF(B203="","",G203*H203)</x:f>
      </x:c>
      <x:c r="J203" s="52" t="str">
        <x:f>IF(B203="","",IF(G203&lt;0,"NEGATİF BAKİYE","UYGUN"))</x:f>
      </x:c>
    </x:row>
    <x:row r="204">
      <x:c r="B204" s="46"/>
      <x:c r="C204" s="46"/>
      <x:c r="D204" s="46"/>
      <x:c r="E204" s="92"/>
      <x:c r="F204" s="92"/>
      <x:c r="G204" s="93" t="str">
        <x:f>IF(B204="","",E204-F204)</x:f>
      </x:c>
      <x:c r="H204" s="100" t="str">
        <x:f>IF(B204="","",IF(D204="TL",1,IF(D204="USD",KURLAR!$C$9,IF(D204="EUR",KURLAR!$C$10,0))))</x:f>
      </x:c>
      <x:c r="I204" s="68" t="str">
        <x:f>IF(B204="","",G204*H204)</x:f>
      </x:c>
      <x:c r="J204" s="52" t="str">
        <x:f>IF(B204="","",IF(G204&lt;0,"NEGATİF BAKİYE","UYGUN"))</x:f>
      </x:c>
    </x:row>
    <x:row r="205">
      <x:c r="B205" s="46"/>
      <x:c r="C205" s="46"/>
      <x:c r="D205" s="46"/>
      <x:c r="E205" s="92"/>
      <x:c r="F205" s="92"/>
      <x:c r="G205" s="93" t="str">
        <x:f>IF(B205="","",E205-F205)</x:f>
      </x:c>
      <x:c r="H205" s="100" t="str">
        <x:f>IF(B205="","",IF(D205="TL",1,IF(D205="USD",KURLAR!$C$9,IF(D205="EUR",KURLAR!$C$10,0))))</x:f>
      </x:c>
      <x:c r="I205" s="68" t="str">
        <x:f>IF(B205="","",G205*H205)</x:f>
      </x:c>
      <x:c r="J205" s="52" t="str">
        <x:f>IF(B205="","",IF(G205&lt;0,"NEGATİF BAKİYE","UYGUN"))</x:f>
      </x:c>
    </x:row>
    <x:row r="206">
      <x:c r="B206" s="46"/>
      <x:c r="C206" s="46"/>
      <x:c r="D206" s="46"/>
      <x:c r="E206" s="92"/>
      <x:c r="F206" s="92"/>
      <x:c r="G206" s="93" t="str">
        <x:f>IF(B206="","",E206-F206)</x:f>
      </x:c>
      <x:c r="H206" s="100" t="str">
        <x:f>IF(B206="","",IF(D206="TL",1,IF(D206="USD",KURLAR!$C$9,IF(D206="EUR",KURLAR!$C$10,0))))</x:f>
      </x:c>
      <x:c r="I206" s="68" t="str">
        <x:f>IF(B206="","",G206*H206)</x:f>
      </x:c>
      <x:c r="J206" s="52" t="str">
        <x:f>IF(B206="","",IF(G206&lt;0,"NEGATİF BAKİYE","UYGUN"))</x:f>
      </x:c>
    </x:row>
    <x:row r="207">
      <x:c r="B207" s="46"/>
      <x:c r="C207" s="46"/>
      <x:c r="D207" s="46"/>
      <x:c r="E207" s="92"/>
      <x:c r="F207" s="92"/>
      <x:c r="G207" s="93" t="str">
        <x:f>IF(B207="","",E207-F207)</x:f>
      </x:c>
      <x:c r="H207" s="100" t="str">
        <x:f>IF(B207="","",IF(D207="TL",1,IF(D207="USD",KURLAR!$C$9,IF(D207="EUR",KURLAR!$C$10,0))))</x:f>
      </x:c>
      <x:c r="I207" s="68" t="str">
        <x:f>IF(B207="","",G207*H207)</x:f>
      </x:c>
      <x:c r="J207" s="52" t="str">
        <x:f>IF(B207="","",IF(G207&lt;0,"NEGATİF BAKİYE","UYGUN"))</x:f>
      </x:c>
    </x:row>
    <x:row r="208">
      <x:c r="B208" s="46"/>
      <x:c r="C208" s="46"/>
      <x:c r="D208" s="46"/>
      <x:c r="E208" s="92"/>
      <x:c r="F208" s="92"/>
      <x:c r="G208" s="93" t="str">
        <x:f>IF(B208="","",E208-F208)</x:f>
      </x:c>
      <x:c r="H208" s="100" t="str">
        <x:f>IF(B208="","",IF(D208="TL",1,IF(D208="USD",KURLAR!$C$9,IF(D208="EUR",KURLAR!$C$10,0))))</x:f>
      </x:c>
      <x:c r="I208" s="68" t="str">
        <x:f>IF(B208="","",G208*H208)</x:f>
      </x:c>
      <x:c r="J208" s="52" t="str">
        <x:f>IF(B208="","",IF(G208&lt;0,"NEGATİF BAKİYE","UYGUN"))</x:f>
      </x:c>
    </x:row>
    <x:row r="209">
      <x:c r="B209" s="46"/>
      <x:c r="C209" s="46"/>
      <x:c r="D209" s="46"/>
      <x:c r="E209" s="92"/>
      <x:c r="F209" s="92"/>
      <x:c r="G209" s="93" t="str">
        <x:f>IF(B209="","",E209-F209)</x:f>
      </x:c>
      <x:c r="H209" s="100" t="str">
        <x:f>IF(B209="","",IF(D209="TL",1,IF(D209="USD",KURLAR!$C$9,IF(D209="EUR",KURLAR!$C$10,0))))</x:f>
      </x:c>
      <x:c r="I209" s="68" t="str">
        <x:f>IF(B209="","",G209*H209)</x:f>
      </x:c>
      <x:c r="J209" s="52" t="str">
        <x:f>IF(B209="","",IF(G209&lt;0,"NEGATİF BAKİYE","UYGUN"))</x:f>
      </x:c>
    </x:row>
    <x:row r="210">
      <x:c r="B210" s="46"/>
      <x:c r="C210" s="46"/>
      <x:c r="D210" s="46"/>
      <x:c r="E210" s="92"/>
      <x:c r="F210" s="92"/>
      <x:c r="G210" s="93" t="str">
        <x:f>IF(B210="","",E210-F210)</x:f>
      </x:c>
      <x:c r="H210" s="100" t="str">
        <x:f>IF(B210="","",IF(D210="TL",1,IF(D210="USD",KURLAR!$C$9,IF(D210="EUR",KURLAR!$C$10,0))))</x:f>
      </x:c>
      <x:c r="I210" s="68" t="str">
        <x:f>IF(B210="","",G210*H210)</x:f>
      </x:c>
      <x:c r="J210" s="52" t="str">
        <x:f>IF(B210="","",IF(G210&lt;0,"NEGATİF BAKİYE","UYGUN"))</x:f>
      </x:c>
    </x:row>
    <x:row r="211">
      <x:c r="B211" s="46"/>
      <x:c r="C211" s="46"/>
      <x:c r="D211" s="46"/>
      <x:c r="E211" s="92"/>
      <x:c r="F211" s="92"/>
      <x:c r="G211" s="93" t="str">
        <x:f>IF(B211="","",E211-F211)</x:f>
      </x:c>
      <x:c r="H211" s="100" t="str">
        <x:f>IF(B211="","",IF(D211="TL",1,IF(D211="USD",KURLAR!$C$9,IF(D211="EUR",KURLAR!$C$10,0))))</x:f>
      </x:c>
      <x:c r="I211" s="68" t="str">
        <x:f>IF(B211="","",G211*H211)</x:f>
      </x:c>
      <x:c r="J211" s="52" t="str">
        <x:f>IF(B211="","",IF(G211&lt;0,"NEGATİF BAKİYE","UYGUN"))</x:f>
      </x:c>
    </x:row>
    <x:row r="212">
      <x:c r="B212" s="46"/>
      <x:c r="C212" s="46"/>
      <x:c r="D212" s="46"/>
      <x:c r="E212" s="92"/>
      <x:c r="F212" s="92"/>
      <x:c r="G212" s="93" t="str">
        <x:f>IF(B212="","",E212-F212)</x:f>
      </x:c>
      <x:c r="H212" s="100" t="str">
        <x:f>IF(B212="","",IF(D212="TL",1,IF(D212="USD",KURLAR!$C$9,IF(D212="EUR",KURLAR!$C$10,0))))</x:f>
      </x:c>
      <x:c r="I212" s="68" t="str">
        <x:f>IF(B212="","",G212*H212)</x:f>
      </x:c>
      <x:c r="J212" s="52" t="str">
        <x:f>IF(B212="","",IF(G212&lt;0,"NEGATİF BAKİYE","UYGUN"))</x:f>
      </x:c>
    </x:row>
    <x:row r="213">
      <x:c r="B213" s="46"/>
      <x:c r="C213" s="46"/>
      <x:c r="D213" s="46"/>
      <x:c r="E213" s="92"/>
      <x:c r="F213" s="92"/>
      <x:c r="G213" s="93" t="str">
        <x:f>IF(B213="","",E213-F213)</x:f>
      </x:c>
      <x:c r="H213" s="100" t="str">
        <x:f>IF(B213="","",IF(D213="TL",1,IF(D213="USD",KURLAR!$C$9,IF(D213="EUR",KURLAR!$C$10,0))))</x:f>
      </x:c>
      <x:c r="I213" s="68" t="str">
        <x:f>IF(B213="","",G213*H213)</x:f>
      </x:c>
      <x:c r="J213" s="52" t="str">
        <x:f>IF(B213="","",IF(G213&lt;0,"NEGATİF BAKİYE","UYGUN"))</x:f>
      </x:c>
    </x:row>
    <x:row r="214">
      <x:c r="B214" s="46"/>
      <x:c r="C214" s="46"/>
      <x:c r="D214" s="46"/>
      <x:c r="E214" s="92"/>
      <x:c r="F214" s="92"/>
      <x:c r="G214" s="93" t="str">
        <x:f>IF(B214="","",E214-F214)</x:f>
      </x:c>
      <x:c r="H214" s="100" t="str">
        <x:f>IF(B214="","",IF(D214="TL",1,IF(D214="USD",KURLAR!$C$9,IF(D214="EUR",KURLAR!$C$10,0))))</x:f>
      </x:c>
      <x:c r="I214" s="68" t="str">
        <x:f>IF(B214="","",G214*H214)</x:f>
      </x:c>
      <x:c r="J214" s="52" t="str">
        <x:f>IF(B214="","",IF(G214&lt;0,"NEGATİF BAKİYE","UYGUN"))</x:f>
      </x:c>
    </x:row>
    <x:row r="215">
      <x:c r="B215" s="46"/>
      <x:c r="C215" s="46"/>
      <x:c r="D215" s="46"/>
      <x:c r="E215" s="92"/>
      <x:c r="F215" s="92"/>
      <x:c r="G215" s="93" t="str">
        <x:f>IF(B215="","",E215-F215)</x:f>
      </x:c>
      <x:c r="H215" s="100" t="str">
        <x:f>IF(B215="","",IF(D215="TL",1,IF(D215="USD",KURLAR!$C$9,IF(D215="EUR",KURLAR!$C$10,0))))</x:f>
      </x:c>
      <x:c r="I215" s="68" t="str">
        <x:f>IF(B215="","",G215*H215)</x:f>
      </x:c>
      <x:c r="J215" s="52" t="str">
        <x:f>IF(B215="","",IF(G215&lt;0,"NEGATİF BAKİYE","UYGUN"))</x:f>
      </x:c>
    </x:row>
    <x:row r="216">
      <x:c r="B216" s="46"/>
      <x:c r="C216" s="46"/>
      <x:c r="D216" s="46"/>
      <x:c r="E216" s="92"/>
      <x:c r="F216" s="92"/>
      <x:c r="G216" s="93" t="str">
        <x:f>IF(B216="","",E216-F216)</x:f>
      </x:c>
      <x:c r="H216" s="100" t="str">
        <x:f>IF(B216="","",IF(D216="TL",1,IF(D216="USD",KURLAR!$C$9,IF(D216="EUR",KURLAR!$C$10,0))))</x:f>
      </x:c>
      <x:c r="I216" s="68" t="str">
        <x:f>IF(B216="","",G216*H216)</x:f>
      </x:c>
      <x:c r="J216" s="52" t="str">
        <x:f>IF(B216="","",IF(G216&lt;0,"NEGATİF BAKİYE","UYGUN"))</x:f>
      </x:c>
    </x:row>
    <x:row r="217">
      <x:c r="B217" s="46"/>
      <x:c r="C217" s="46"/>
      <x:c r="D217" s="46"/>
      <x:c r="E217" s="92"/>
      <x:c r="F217" s="92"/>
      <x:c r="G217" s="93" t="str">
        <x:f>IF(B217="","",E217-F217)</x:f>
      </x:c>
      <x:c r="H217" s="100" t="str">
        <x:f>IF(B217="","",IF(D217="TL",1,IF(D217="USD",KURLAR!$C$9,IF(D217="EUR",KURLAR!$C$10,0))))</x:f>
      </x:c>
      <x:c r="I217" s="68" t="str">
        <x:f>IF(B217="","",G217*H217)</x:f>
      </x:c>
      <x:c r="J217" s="52" t="str">
        <x:f>IF(B217="","",IF(G217&lt;0,"NEGATİF BAKİYE","UYGUN"))</x:f>
      </x:c>
    </x:row>
    <x:row r="218">
      <x:c r="B218" s="46"/>
      <x:c r="C218" s="46"/>
      <x:c r="D218" s="46"/>
      <x:c r="E218" s="92"/>
      <x:c r="F218" s="92"/>
      <x:c r="G218" s="93" t="str">
        <x:f>IF(B218="","",E218-F218)</x:f>
      </x:c>
      <x:c r="H218" s="100" t="str">
        <x:f>IF(B218="","",IF(D218="TL",1,IF(D218="USD",KURLAR!$C$9,IF(D218="EUR",KURLAR!$C$10,0))))</x:f>
      </x:c>
      <x:c r="I218" s="68" t="str">
        <x:f>IF(B218="","",G218*H218)</x:f>
      </x:c>
      <x:c r="J218" s="52" t="str">
        <x:f>IF(B218="","",IF(G218&lt;0,"NEGATİF BAKİYE","UYGUN"))</x:f>
      </x:c>
    </x:row>
    <x:row r="219">
      <x:c r="B219" s="46"/>
      <x:c r="C219" s="46"/>
      <x:c r="D219" s="46"/>
      <x:c r="E219" s="92"/>
      <x:c r="F219" s="92"/>
      <x:c r="G219" s="93" t="str">
        <x:f>IF(B219="","",E219-F219)</x:f>
      </x:c>
      <x:c r="H219" s="100" t="str">
        <x:f>IF(B219="","",IF(D219="TL",1,IF(D219="USD",KURLAR!$C$9,IF(D219="EUR",KURLAR!$C$10,0))))</x:f>
      </x:c>
      <x:c r="I219" s="68" t="str">
        <x:f>IF(B219="","",G219*H219)</x:f>
      </x:c>
      <x:c r="J219" s="52" t="str">
        <x:f>IF(B219="","",IF(G219&lt;0,"NEGATİF BAKİYE","UYGUN"))</x:f>
      </x:c>
    </x:row>
    <x:row r="220">
      <x:c r="B220" s="46"/>
      <x:c r="C220" s="46"/>
      <x:c r="D220" s="46"/>
      <x:c r="E220" s="92"/>
      <x:c r="F220" s="92"/>
      <x:c r="G220" s="93" t="str">
        <x:f>IF(B220="","",E220-F220)</x:f>
      </x:c>
      <x:c r="H220" s="100" t="str">
        <x:f>IF(B220="","",IF(D220="TL",1,IF(D220="USD",KURLAR!$C$9,IF(D220="EUR",KURLAR!$C$10,0))))</x:f>
      </x:c>
      <x:c r="I220" s="68" t="str">
        <x:f>IF(B220="","",G220*H220)</x:f>
      </x:c>
      <x:c r="J220" s="52" t="str">
        <x:f>IF(B220="","",IF(G220&lt;0,"NEGATİF BAKİYE","UYGUN"))</x:f>
      </x:c>
    </x:row>
    <x:row r="221">
      <x:c r="B221" s="46"/>
      <x:c r="C221" s="46"/>
      <x:c r="D221" s="46"/>
      <x:c r="E221" s="92"/>
      <x:c r="F221" s="92"/>
      <x:c r="G221" s="93" t="str">
        <x:f>IF(B221="","",E221-F221)</x:f>
      </x:c>
      <x:c r="H221" s="100" t="str">
        <x:f>IF(B221="","",IF(D221="TL",1,IF(D221="USD",KURLAR!$C$9,IF(D221="EUR",KURLAR!$C$10,0))))</x:f>
      </x:c>
      <x:c r="I221" s="68" t="str">
        <x:f>IF(B221="","",G221*H221)</x:f>
      </x:c>
      <x:c r="J221" s="52" t="str">
        <x:f>IF(B221="","",IF(G221&lt;0,"NEGATİF BAKİYE","UYGUN"))</x:f>
      </x:c>
    </x:row>
    <x:row r="222">
      <x:c r="B222" s="46"/>
      <x:c r="C222" s="46"/>
      <x:c r="D222" s="46"/>
      <x:c r="E222" s="92"/>
      <x:c r="F222" s="92"/>
      <x:c r="G222" s="93" t="str">
        <x:f>IF(B222="","",E222-F222)</x:f>
      </x:c>
      <x:c r="H222" s="100" t="str">
        <x:f>IF(B222="","",IF(D222="TL",1,IF(D222="USD",KURLAR!$C$9,IF(D222="EUR",KURLAR!$C$10,0))))</x:f>
      </x:c>
      <x:c r="I222" s="68" t="str">
        <x:f>IF(B222="","",G222*H222)</x:f>
      </x:c>
      <x:c r="J222" s="52" t="str">
        <x:f>IF(B222="","",IF(G222&lt;0,"NEGATİF BAKİYE","UYGUN"))</x:f>
      </x:c>
    </x:row>
    <x:row r="223">
      <x:c r="B223" s="46"/>
      <x:c r="C223" s="46"/>
      <x:c r="D223" s="46"/>
      <x:c r="E223" s="92"/>
      <x:c r="F223" s="92"/>
      <x:c r="G223" s="93" t="str">
        <x:f>IF(B223="","",E223-F223)</x:f>
      </x:c>
      <x:c r="H223" s="100" t="str">
        <x:f>IF(B223="","",IF(D223="TL",1,IF(D223="USD",KURLAR!$C$9,IF(D223="EUR",KURLAR!$C$10,0))))</x:f>
      </x:c>
      <x:c r="I223" s="68" t="str">
        <x:f>IF(B223="","",G223*H223)</x:f>
      </x:c>
      <x:c r="J223" s="52" t="str">
        <x:f>IF(B223="","",IF(G223&lt;0,"NEGATİF BAKİYE","UYGUN"))</x:f>
      </x:c>
    </x:row>
    <x:row r="224">
      <x:c r="B224" s="46"/>
      <x:c r="C224" s="46"/>
      <x:c r="D224" s="46"/>
      <x:c r="E224" s="92"/>
      <x:c r="F224" s="92"/>
      <x:c r="G224" s="93" t="str">
        <x:f>IF(B224="","",E224-F224)</x:f>
      </x:c>
      <x:c r="H224" s="100" t="str">
        <x:f>IF(B224="","",IF(D224="TL",1,IF(D224="USD",KURLAR!$C$9,IF(D224="EUR",KURLAR!$C$10,0))))</x:f>
      </x:c>
      <x:c r="I224" s="68" t="str">
        <x:f>IF(B224="","",G224*H224)</x:f>
      </x:c>
      <x:c r="J224" s="52" t="str">
        <x:f>IF(B224="","",IF(G224&lt;0,"NEGATİF BAKİYE","UYGUN"))</x:f>
      </x:c>
    </x:row>
    <x:row r="225">
      <x:c r="B225" s="46"/>
      <x:c r="C225" s="46"/>
      <x:c r="D225" s="46"/>
      <x:c r="E225" s="92"/>
      <x:c r="F225" s="92"/>
      <x:c r="G225" s="93" t="str">
        <x:f>IF(B225="","",E225-F225)</x:f>
      </x:c>
      <x:c r="H225" s="100" t="str">
        <x:f>IF(B225="","",IF(D225="TL",1,IF(D225="USD",KURLAR!$C$9,IF(D225="EUR",KURLAR!$C$10,0))))</x:f>
      </x:c>
      <x:c r="I225" s="68" t="str">
        <x:f>IF(B225="","",G225*H225)</x:f>
      </x:c>
      <x:c r="J225" s="52" t="str">
        <x:f>IF(B225="","",IF(G225&lt;0,"NEGATİF BAKİYE","UYGUN"))</x:f>
      </x:c>
    </x:row>
    <x:row r="226">
      <x:c r="B226" s="46"/>
      <x:c r="C226" s="46"/>
      <x:c r="D226" s="46"/>
      <x:c r="E226" s="92"/>
      <x:c r="F226" s="92"/>
      <x:c r="G226" s="93" t="str">
        <x:f>IF(B226="","",E226-F226)</x:f>
      </x:c>
      <x:c r="H226" s="100" t="str">
        <x:f>IF(B226="","",IF(D226="TL",1,IF(D226="USD",KURLAR!$C$9,IF(D226="EUR",KURLAR!$C$10,0))))</x:f>
      </x:c>
      <x:c r="I226" s="68" t="str">
        <x:f>IF(B226="","",G226*H226)</x:f>
      </x:c>
      <x:c r="J226" s="52" t="str">
        <x:f>IF(B226="","",IF(G226&lt;0,"NEGATİF BAKİYE","UYGUN"))</x:f>
      </x:c>
    </x:row>
    <x:row r="227">
      <x:c r="B227" s="46"/>
      <x:c r="C227" s="46"/>
      <x:c r="D227" s="46"/>
      <x:c r="E227" s="92"/>
      <x:c r="F227" s="92"/>
      <x:c r="G227" s="93" t="str">
        <x:f>IF(B227="","",E227-F227)</x:f>
      </x:c>
      <x:c r="H227" s="100" t="str">
        <x:f>IF(B227="","",IF(D227="TL",1,IF(D227="USD",KURLAR!$C$9,IF(D227="EUR",KURLAR!$C$10,0))))</x:f>
      </x:c>
      <x:c r="I227" s="68" t="str">
        <x:f>IF(B227="","",G227*H227)</x:f>
      </x:c>
      <x:c r="J227" s="52" t="str">
        <x:f>IF(B227="","",IF(G227&lt;0,"NEGATİF BAKİYE","UYGUN"))</x:f>
      </x:c>
    </x:row>
    <x:row r="228">
      <x:c r="B228" s="46"/>
      <x:c r="C228" s="46"/>
      <x:c r="D228" s="46"/>
      <x:c r="E228" s="92"/>
      <x:c r="F228" s="92"/>
      <x:c r="G228" s="93" t="str">
        <x:f>IF(B228="","",E228-F228)</x:f>
      </x:c>
      <x:c r="H228" s="100" t="str">
        <x:f>IF(B228="","",IF(D228="TL",1,IF(D228="USD",KURLAR!$C$9,IF(D228="EUR",KURLAR!$C$10,0))))</x:f>
      </x:c>
      <x:c r="I228" s="68" t="str">
        <x:f>IF(B228="","",G228*H228)</x:f>
      </x:c>
      <x:c r="J228" s="52" t="str">
        <x:f>IF(B228="","",IF(G228&lt;0,"NEGATİF BAKİYE","UYGUN"))</x:f>
      </x:c>
    </x:row>
    <x:row r="229">
      <x:c r="B229" s="46"/>
      <x:c r="C229" s="46"/>
      <x:c r="D229" s="46"/>
      <x:c r="E229" s="92"/>
      <x:c r="F229" s="92"/>
      <x:c r="G229" s="93" t="str">
        <x:f>IF(B229="","",E229-F229)</x:f>
      </x:c>
      <x:c r="H229" s="100" t="str">
        <x:f>IF(B229="","",IF(D229="TL",1,IF(D229="USD",KURLAR!$C$9,IF(D229="EUR",KURLAR!$C$10,0))))</x:f>
      </x:c>
      <x:c r="I229" s="68" t="str">
        <x:f>IF(B229="","",G229*H229)</x:f>
      </x:c>
      <x:c r="J229" s="52" t="str">
        <x:f>IF(B229="","",IF(G229&lt;0,"NEGATİF BAKİYE","UYGUN"))</x:f>
      </x:c>
    </x:row>
    <x:row r="230">
      <x:c r="B230" s="46"/>
      <x:c r="C230" s="46"/>
      <x:c r="D230" s="46"/>
      <x:c r="E230" s="92"/>
      <x:c r="F230" s="92"/>
      <x:c r="G230" s="93" t="str">
        <x:f>IF(B230="","",E230-F230)</x:f>
      </x:c>
      <x:c r="H230" s="100" t="str">
        <x:f>IF(B230="","",IF(D230="TL",1,IF(D230="USD",KURLAR!$C$9,IF(D230="EUR",KURLAR!$C$10,0))))</x:f>
      </x:c>
      <x:c r="I230" s="68" t="str">
        <x:f>IF(B230="","",G230*H230)</x:f>
      </x:c>
      <x:c r="J230" s="52" t="str">
        <x:f>IF(B230="","",IF(G230&lt;0,"NEGATİF BAKİYE","UYGUN"))</x:f>
      </x:c>
    </x:row>
    <x:row r="231">
      <x:c r="B231" s="46"/>
      <x:c r="C231" s="46"/>
      <x:c r="D231" s="46"/>
      <x:c r="E231" s="92"/>
      <x:c r="F231" s="92"/>
      <x:c r="G231" s="93" t="str">
        <x:f>IF(B231="","",E231-F231)</x:f>
      </x:c>
      <x:c r="H231" s="100" t="str">
        <x:f>IF(B231="","",IF(D231="TL",1,IF(D231="USD",KURLAR!$C$9,IF(D231="EUR",KURLAR!$C$10,0))))</x:f>
      </x:c>
      <x:c r="I231" s="68" t="str">
        <x:f>IF(B231="","",G231*H231)</x:f>
      </x:c>
      <x:c r="J231" s="52" t="str">
        <x:f>IF(B231="","",IF(G231&lt;0,"NEGATİF BAKİYE","UYGUN"))</x:f>
      </x:c>
    </x:row>
    <x:row r="232">
      <x:c r="B232" s="46"/>
      <x:c r="C232" s="46"/>
      <x:c r="D232" s="46"/>
      <x:c r="E232" s="92"/>
      <x:c r="F232" s="92"/>
      <x:c r="G232" s="93" t="str">
        <x:f>IF(B232="","",E232-F232)</x:f>
      </x:c>
      <x:c r="H232" s="100" t="str">
        <x:f>IF(B232="","",IF(D232="TL",1,IF(D232="USD",KURLAR!$C$9,IF(D232="EUR",KURLAR!$C$10,0))))</x:f>
      </x:c>
      <x:c r="I232" s="68" t="str">
        <x:f>IF(B232="","",G232*H232)</x:f>
      </x:c>
      <x:c r="J232" s="52" t="str">
        <x:f>IF(B232="","",IF(G232&lt;0,"NEGATİF BAKİYE","UYGUN"))</x:f>
      </x:c>
    </x:row>
    <x:row r="233">
      <x:c r="B233" s="46"/>
      <x:c r="C233" s="46"/>
      <x:c r="D233" s="46"/>
      <x:c r="E233" s="92"/>
      <x:c r="F233" s="92"/>
      <x:c r="G233" s="93" t="str">
        <x:f>IF(B233="","",E233-F233)</x:f>
      </x:c>
      <x:c r="H233" s="100" t="str">
        <x:f>IF(B233="","",IF(D233="TL",1,IF(D233="USD",KURLAR!$C$9,IF(D233="EUR",KURLAR!$C$10,0))))</x:f>
      </x:c>
      <x:c r="I233" s="68" t="str">
        <x:f>IF(B233="","",G233*H233)</x:f>
      </x:c>
      <x:c r="J233" s="52" t="str">
        <x:f>IF(B233="","",IF(G233&lt;0,"NEGATİF BAKİYE","UYGUN"))</x:f>
      </x:c>
    </x:row>
    <x:row r="234">
      <x:c r="B234" s="46"/>
      <x:c r="C234" s="46"/>
      <x:c r="D234" s="46"/>
      <x:c r="E234" s="92"/>
      <x:c r="F234" s="92"/>
      <x:c r="G234" s="93" t="str">
        <x:f>IF(B234="","",E234-F234)</x:f>
      </x:c>
      <x:c r="H234" s="100" t="str">
        <x:f>IF(B234="","",IF(D234="TL",1,IF(D234="USD",KURLAR!$C$9,IF(D234="EUR",KURLAR!$C$10,0))))</x:f>
      </x:c>
      <x:c r="I234" s="68" t="str">
        <x:f>IF(B234="","",G234*H234)</x:f>
      </x:c>
      <x:c r="J234" s="52" t="str">
        <x:f>IF(B234="","",IF(G234&lt;0,"NEGATİF BAKİYE","UYGUN"))</x:f>
      </x:c>
    </x:row>
    <x:row r="235">
      <x:c r="B235" s="46"/>
      <x:c r="C235" s="46"/>
      <x:c r="D235" s="46"/>
      <x:c r="E235" s="92"/>
      <x:c r="F235" s="92"/>
      <x:c r="G235" s="93" t="str">
        <x:f>IF(B235="","",E235-F235)</x:f>
      </x:c>
      <x:c r="H235" s="100" t="str">
        <x:f>IF(B235="","",IF(D235="TL",1,IF(D235="USD",KURLAR!$C$9,IF(D235="EUR",KURLAR!$C$10,0))))</x:f>
      </x:c>
      <x:c r="I235" s="68" t="str">
        <x:f>IF(B235="","",G235*H235)</x:f>
      </x:c>
      <x:c r="J235" s="52" t="str">
        <x:f>IF(B235="","",IF(G235&lt;0,"NEGATİF BAKİYE","UYGUN"))</x:f>
      </x:c>
    </x:row>
    <x:row r="236">
      <x:c r="B236" s="46"/>
      <x:c r="C236" s="46"/>
      <x:c r="D236" s="46"/>
      <x:c r="E236" s="92"/>
      <x:c r="F236" s="92"/>
      <x:c r="G236" s="93" t="str">
        <x:f>IF(B236="","",E236-F236)</x:f>
      </x:c>
      <x:c r="H236" s="100" t="str">
        <x:f>IF(B236="","",IF(D236="TL",1,IF(D236="USD",KURLAR!$C$9,IF(D236="EUR",KURLAR!$C$10,0))))</x:f>
      </x:c>
      <x:c r="I236" s="68" t="str">
        <x:f>IF(B236="","",G236*H236)</x:f>
      </x:c>
      <x:c r="J236" s="52" t="str">
        <x:f>IF(B236="","",IF(G236&lt;0,"NEGATİF BAKİYE","UYGUN"))</x:f>
      </x:c>
    </x:row>
    <x:row r="237">
      <x:c r="B237" s="46"/>
      <x:c r="C237" s="46"/>
      <x:c r="D237" s="46"/>
      <x:c r="E237" s="92"/>
      <x:c r="F237" s="92"/>
      <x:c r="G237" s="93" t="str">
        <x:f>IF(B237="","",E237-F237)</x:f>
      </x:c>
      <x:c r="H237" s="100" t="str">
        <x:f>IF(B237="","",IF(D237="TL",1,IF(D237="USD",KURLAR!$C$9,IF(D237="EUR",KURLAR!$C$10,0))))</x:f>
      </x:c>
      <x:c r="I237" s="68" t="str">
        <x:f>IF(B237="","",G237*H237)</x:f>
      </x:c>
      <x:c r="J237" s="52" t="str">
        <x:f>IF(B237="","",IF(G237&lt;0,"NEGATİF BAKİYE","UYGUN"))</x:f>
      </x:c>
    </x:row>
    <x:row r="238">
      <x:c r="B238" s="46"/>
      <x:c r="C238" s="46"/>
      <x:c r="D238" s="46"/>
      <x:c r="E238" s="92"/>
      <x:c r="F238" s="92"/>
      <x:c r="G238" s="93" t="str">
        <x:f>IF(B238="","",E238-F238)</x:f>
      </x:c>
      <x:c r="H238" s="100" t="str">
        <x:f>IF(B238="","",IF(D238="TL",1,IF(D238="USD",KURLAR!$C$9,IF(D238="EUR",KURLAR!$C$10,0))))</x:f>
      </x:c>
      <x:c r="I238" s="68" t="str">
        <x:f>IF(B238="","",G238*H238)</x:f>
      </x:c>
      <x:c r="J238" s="52" t="str">
        <x:f>IF(B238="","",IF(G238&lt;0,"NEGATİF BAKİYE","UYGUN"))</x:f>
      </x:c>
    </x:row>
    <x:row r="239">
      <x:c r="B239" s="46"/>
      <x:c r="C239" s="46"/>
      <x:c r="D239" s="46"/>
      <x:c r="E239" s="92"/>
      <x:c r="F239" s="92"/>
      <x:c r="G239" s="93" t="str">
        <x:f>IF(B239="","",E239-F239)</x:f>
      </x:c>
      <x:c r="H239" s="100" t="str">
        <x:f>IF(B239="","",IF(D239="TL",1,IF(D239="USD",KURLAR!$C$9,IF(D239="EUR",KURLAR!$C$10,0))))</x:f>
      </x:c>
      <x:c r="I239" s="68" t="str">
        <x:f>IF(B239="","",G239*H239)</x:f>
      </x:c>
      <x:c r="J239" s="52" t="str">
        <x:f>IF(B239="","",IF(G239&lt;0,"NEGATİF BAKİYE","UYGUN"))</x:f>
      </x:c>
    </x:row>
    <x:row r="240">
      <x:c r="B240" s="46"/>
      <x:c r="C240" s="46"/>
      <x:c r="D240" s="46"/>
      <x:c r="E240" s="92"/>
      <x:c r="F240" s="92"/>
      <x:c r="G240" s="93" t="str">
        <x:f>IF(B240="","",E240-F240)</x:f>
      </x:c>
      <x:c r="H240" s="100" t="str">
        <x:f>IF(B240="","",IF(D240="TL",1,IF(D240="USD",KURLAR!$C$9,IF(D240="EUR",KURLAR!$C$10,0))))</x:f>
      </x:c>
      <x:c r="I240" s="68" t="str">
        <x:f>IF(B240="","",G240*H240)</x:f>
      </x:c>
      <x:c r="J240" s="52" t="str">
        <x:f>IF(B240="","",IF(G240&lt;0,"NEGATİF BAKİYE","UYGUN"))</x:f>
      </x:c>
    </x:row>
    <x:row r="241">
      <x:c r="B241" s="46"/>
      <x:c r="C241" s="46"/>
      <x:c r="D241" s="46"/>
      <x:c r="E241" s="92"/>
      <x:c r="F241" s="92"/>
      <x:c r="G241" s="93" t="str">
        <x:f>IF(B241="","",E241-F241)</x:f>
      </x:c>
      <x:c r="H241" s="100" t="str">
        <x:f>IF(B241="","",IF(D241="TL",1,IF(D241="USD",KURLAR!$C$9,IF(D241="EUR",KURLAR!$C$10,0))))</x:f>
      </x:c>
      <x:c r="I241" s="68" t="str">
        <x:f>IF(B241="","",G241*H241)</x:f>
      </x:c>
      <x:c r="J241" s="52" t="str">
        <x:f>IF(B241="","",IF(G241&lt;0,"NEGATİF BAKİYE","UYGUN"))</x:f>
      </x:c>
    </x:row>
    <x:row r="242">
      <x:c r="B242" s="46"/>
      <x:c r="C242" s="46"/>
      <x:c r="D242" s="46"/>
      <x:c r="E242" s="92"/>
      <x:c r="F242" s="92"/>
      <x:c r="G242" s="93" t="str">
        <x:f>IF(B242="","",E242-F242)</x:f>
      </x:c>
      <x:c r="H242" s="100" t="str">
        <x:f>IF(B242="","",IF(D242="TL",1,IF(D242="USD",KURLAR!$C$9,IF(D242="EUR",KURLAR!$C$10,0))))</x:f>
      </x:c>
      <x:c r="I242" s="68" t="str">
        <x:f>IF(B242="","",G242*H242)</x:f>
      </x:c>
      <x:c r="J242" s="52" t="str">
        <x:f>IF(B242="","",IF(G242&lt;0,"NEGATİF BAKİYE","UYGUN"))</x:f>
      </x:c>
    </x:row>
    <x:row r="243">
      <x:c r="B243" s="46"/>
      <x:c r="C243" s="46"/>
      <x:c r="D243" s="46"/>
      <x:c r="E243" s="92"/>
      <x:c r="F243" s="92"/>
      <x:c r="G243" s="93" t="str">
        <x:f>IF(B243="","",E243-F243)</x:f>
      </x:c>
      <x:c r="H243" s="100" t="str">
        <x:f>IF(B243="","",IF(D243="TL",1,IF(D243="USD",KURLAR!$C$9,IF(D243="EUR",KURLAR!$C$10,0))))</x:f>
      </x:c>
      <x:c r="I243" s="68" t="str">
        <x:f>IF(B243="","",G243*H243)</x:f>
      </x:c>
      <x:c r="J243" s="52" t="str">
        <x:f>IF(B243="","",IF(G243&lt;0,"NEGATİF BAKİYE","UYGUN"))</x:f>
      </x:c>
    </x:row>
    <x:row r="244">
      <x:c r="B244" s="46"/>
      <x:c r="C244" s="46"/>
      <x:c r="D244" s="46"/>
      <x:c r="E244" s="92"/>
      <x:c r="F244" s="92"/>
      <x:c r="G244" s="93" t="str">
        <x:f>IF(B244="","",E244-F244)</x:f>
      </x:c>
      <x:c r="H244" s="100" t="str">
        <x:f>IF(B244="","",IF(D244="TL",1,IF(D244="USD",KURLAR!$C$9,IF(D244="EUR",KURLAR!$C$10,0))))</x:f>
      </x:c>
      <x:c r="I244" s="68" t="str">
        <x:f>IF(B244="","",G244*H244)</x:f>
      </x:c>
      <x:c r="J244" s="52" t="str">
        <x:f>IF(B244="","",IF(G244&lt;0,"NEGATİF BAKİYE","UYGUN"))</x:f>
      </x:c>
    </x:row>
    <x:row r="245">
      <x:c r="B245" s="46"/>
      <x:c r="C245" s="46"/>
      <x:c r="D245" s="46"/>
      <x:c r="E245" s="92"/>
      <x:c r="F245" s="92"/>
      <x:c r="G245" s="93" t="str">
        <x:f>IF(B245="","",E245-F245)</x:f>
      </x:c>
      <x:c r="H245" s="100" t="str">
        <x:f>IF(B245="","",IF(D245="TL",1,IF(D245="USD",KURLAR!$C$9,IF(D245="EUR",KURLAR!$C$10,0))))</x:f>
      </x:c>
      <x:c r="I245" s="68" t="str">
        <x:f>IF(B245="","",G245*H245)</x:f>
      </x:c>
      <x:c r="J245" s="52" t="str">
        <x:f>IF(B245="","",IF(G245&lt;0,"NEGATİF BAKİYE","UYGUN"))</x:f>
      </x:c>
    </x:row>
    <x:row r="246">
      <x:c r="B246" s="46"/>
      <x:c r="C246" s="46"/>
      <x:c r="D246" s="46"/>
      <x:c r="E246" s="92"/>
      <x:c r="F246" s="92"/>
      <x:c r="G246" s="93" t="str">
        <x:f>IF(B246="","",E246-F246)</x:f>
      </x:c>
      <x:c r="H246" s="100" t="str">
        <x:f>IF(B246="","",IF(D246="TL",1,IF(D246="USD",KURLAR!$C$9,IF(D246="EUR",KURLAR!$C$10,0))))</x:f>
      </x:c>
      <x:c r="I246" s="68" t="str">
        <x:f>IF(B246="","",G246*H246)</x:f>
      </x:c>
      <x:c r="J246" s="52" t="str">
        <x:f>IF(B246="","",IF(G246&lt;0,"NEGATİF BAKİYE","UYGUN"))</x:f>
      </x:c>
    </x:row>
    <x:row r="247">
      <x:c r="B247" s="46"/>
      <x:c r="C247" s="46"/>
      <x:c r="D247" s="46"/>
      <x:c r="E247" s="92"/>
      <x:c r="F247" s="92"/>
      <x:c r="G247" s="93" t="str">
        <x:f>IF(B247="","",E247-F247)</x:f>
      </x:c>
      <x:c r="H247" s="100" t="str">
        <x:f>IF(B247="","",IF(D247="TL",1,IF(D247="USD",KURLAR!$C$9,IF(D247="EUR",KURLAR!$C$10,0))))</x:f>
      </x:c>
      <x:c r="I247" s="68" t="str">
        <x:f>IF(B247="","",G247*H247)</x:f>
      </x:c>
      <x:c r="J247" s="52" t="str">
        <x:f>IF(B247="","",IF(G247&lt;0,"NEGATİF BAKİYE","UYGUN"))</x:f>
      </x:c>
    </x:row>
    <x:row r="248">
      <x:c r="B248" s="46"/>
      <x:c r="C248" s="46"/>
      <x:c r="D248" s="46"/>
      <x:c r="E248" s="92"/>
      <x:c r="F248" s="92"/>
      <x:c r="G248" s="93" t="str">
        <x:f>IF(B248="","",E248-F248)</x:f>
      </x:c>
      <x:c r="H248" s="100" t="str">
        <x:f>IF(B248="","",IF(D248="TL",1,IF(D248="USD",KURLAR!$C$9,IF(D248="EUR",KURLAR!$C$10,0))))</x:f>
      </x:c>
      <x:c r="I248" s="68" t="str">
        <x:f>IF(B248="","",G248*H248)</x:f>
      </x:c>
      <x:c r="J248" s="52" t="str">
        <x:f>IF(B248="","",IF(G248&lt;0,"NEGATİF BAKİYE","UYGUN"))</x:f>
      </x:c>
    </x:row>
    <x:row r="249">
      <x:c r="B249" s="46"/>
      <x:c r="C249" s="46"/>
      <x:c r="D249" s="46"/>
      <x:c r="E249" s="92"/>
      <x:c r="F249" s="92"/>
      <x:c r="G249" s="93" t="str">
        <x:f>IF(B249="","",E249-F249)</x:f>
      </x:c>
      <x:c r="H249" s="100" t="str">
        <x:f>IF(B249="","",IF(D249="TL",1,IF(D249="USD",KURLAR!$C$9,IF(D249="EUR",KURLAR!$C$10,0))))</x:f>
      </x:c>
      <x:c r="I249" s="68" t="str">
        <x:f>IF(B249="","",G249*H249)</x:f>
      </x:c>
      <x:c r="J249" s="52" t="str">
        <x:f>IF(B249="","",IF(G249&lt;0,"NEGATİF BAKİYE","UYGUN"))</x:f>
      </x:c>
    </x:row>
    <x:row r="250">
      <x:c r="B250" s="46"/>
      <x:c r="C250" s="46"/>
      <x:c r="D250" s="46"/>
      <x:c r="E250" s="92"/>
      <x:c r="F250" s="92"/>
      <x:c r="G250" s="93" t="str">
        <x:f>IF(B250="","",E250-F250)</x:f>
      </x:c>
      <x:c r="H250" s="100" t="str">
        <x:f>IF(B250="","",IF(D250="TL",1,IF(D250="USD",KURLAR!$C$9,IF(D250="EUR",KURLAR!$C$10,0))))</x:f>
      </x:c>
      <x:c r="I250" s="68" t="str">
        <x:f>IF(B250="","",G250*H250)</x:f>
      </x:c>
      <x:c r="J250" s="52" t="str">
        <x:f>IF(B250="","",IF(G250&lt;0,"NEGATİF BAKİYE","UYGUN"))</x:f>
      </x:c>
    </x:row>
    <x:row r="251">
      <x:c r="B251" s="46"/>
      <x:c r="C251" s="46"/>
      <x:c r="D251" s="46"/>
      <x:c r="E251" s="92"/>
      <x:c r="F251" s="92"/>
      <x:c r="G251" s="93" t="str">
        <x:f>IF(B251="","",E251-F251)</x:f>
      </x:c>
      <x:c r="H251" s="100" t="str">
        <x:f>IF(B251="","",IF(D251="TL",1,IF(D251="USD",KURLAR!$C$9,IF(D251="EUR",KURLAR!$C$10,0))))</x:f>
      </x:c>
      <x:c r="I251" s="68" t="str">
        <x:f>IF(B251="","",G251*H251)</x:f>
      </x:c>
      <x:c r="J251" s="52" t="str">
        <x:f>IF(B251="","",IF(G251&lt;0,"NEGATİF BAKİYE","UYGUN"))</x:f>
      </x:c>
    </x:row>
    <x:row r="252">
      <x:c r="B252" s="46"/>
      <x:c r="C252" s="46"/>
      <x:c r="D252" s="46"/>
      <x:c r="E252" s="92"/>
      <x:c r="F252" s="92"/>
      <x:c r="G252" s="93" t="str">
        <x:f>IF(B252="","",E252-F252)</x:f>
      </x:c>
      <x:c r="H252" s="100" t="str">
        <x:f>IF(B252="","",IF(D252="TL",1,IF(D252="USD",KURLAR!$C$9,IF(D252="EUR",KURLAR!$C$10,0))))</x:f>
      </x:c>
      <x:c r="I252" s="68" t="str">
        <x:f>IF(B252="","",G252*H252)</x:f>
      </x:c>
      <x:c r="J252" s="52" t="str">
        <x:f>IF(B252="","",IF(G252&lt;0,"NEGATİF BAKİYE","UYGUN"))</x:f>
      </x:c>
    </x:row>
    <x:row r="253">
      <x:c r="B253" s="46"/>
      <x:c r="C253" s="46"/>
      <x:c r="D253" s="46"/>
      <x:c r="E253" s="92"/>
      <x:c r="F253" s="92"/>
      <x:c r="G253" s="93" t="str">
        <x:f>IF(B253="","",E253-F253)</x:f>
      </x:c>
      <x:c r="H253" s="100" t="str">
        <x:f>IF(B253="","",IF(D253="TL",1,IF(D253="USD",KURLAR!$C$9,IF(D253="EUR",KURLAR!$C$10,0))))</x:f>
      </x:c>
      <x:c r="I253" s="68" t="str">
        <x:f>IF(B253="","",G253*H253)</x:f>
      </x:c>
      <x:c r="J253" s="52" t="str">
        <x:f>IF(B253="","",IF(G253&lt;0,"NEGATİF BAKİYE","UYGUN"))</x:f>
      </x:c>
    </x:row>
    <x:row r="254">
      <x:c r="B254" s="46"/>
      <x:c r="C254" s="46"/>
      <x:c r="D254" s="46"/>
      <x:c r="E254" s="92"/>
      <x:c r="F254" s="92"/>
      <x:c r="G254" s="93" t="str">
        <x:f>IF(B254="","",E254-F254)</x:f>
      </x:c>
      <x:c r="H254" s="100" t="str">
        <x:f>IF(B254="","",IF(D254="TL",1,IF(D254="USD",KURLAR!$C$9,IF(D254="EUR",KURLAR!$C$10,0))))</x:f>
      </x:c>
      <x:c r="I254" s="68" t="str">
        <x:f>IF(B254="","",G254*H254)</x:f>
      </x:c>
      <x:c r="J254" s="52" t="str">
        <x:f>IF(B254="","",IF(G254&lt;0,"NEGATİF BAKİYE","UYGUN"))</x:f>
      </x:c>
    </x:row>
    <x:row r="255">
      <x:c r="B255" s="46"/>
      <x:c r="C255" s="46"/>
      <x:c r="D255" s="46"/>
      <x:c r="E255" s="92"/>
      <x:c r="F255" s="92"/>
      <x:c r="G255" s="93" t="str">
        <x:f>IF(B255="","",E255-F255)</x:f>
      </x:c>
      <x:c r="H255" s="100" t="str">
        <x:f>IF(B255="","",IF(D255="TL",1,IF(D255="USD",KURLAR!$C$9,IF(D255="EUR",KURLAR!$C$10,0))))</x:f>
      </x:c>
      <x:c r="I255" s="68" t="str">
        <x:f>IF(B255="","",G255*H255)</x:f>
      </x:c>
      <x:c r="J255" s="52" t="str">
        <x:f>IF(B255="","",IF(G255&lt;0,"NEGATİF BAKİYE","UYGUN"))</x:f>
      </x:c>
    </x:row>
    <x:row r="256">
      <x:c r="B256" s="46"/>
      <x:c r="C256" s="46"/>
      <x:c r="D256" s="46"/>
      <x:c r="E256" s="92"/>
      <x:c r="F256" s="92"/>
      <x:c r="G256" s="93" t="str">
        <x:f>IF(B256="","",E256-F256)</x:f>
      </x:c>
      <x:c r="H256" s="100" t="str">
        <x:f>IF(B256="","",IF(D256="TL",1,IF(D256="USD",KURLAR!$C$9,IF(D256="EUR",KURLAR!$C$10,0))))</x:f>
      </x:c>
      <x:c r="I256" s="68" t="str">
        <x:f>IF(B256="","",G256*H256)</x:f>
      </x:c>
      <x:c r="J256" s="52" t="str">
        <x:f>IF(B256="","",IF(G256&lt;0,"NEGATİF BAKİYE","UYGUN"))</x:f>
      </x:c>
    </x:row>
    <x:row r="257">
      <x:c r="B257" s="46"/>
      <x:c r="C257" s="46"/>
      <x:c r="D257" s="46"/>
      <x:c r="E257" s="92"/>
      <x:c r="F257" s="92"/>
      <x:c r="G257" s="93" t="str">
        <x:f>IF(B257="","",E257-F257)</x:f>
      </x:c>
      <x:c r="H257" s="100" t="str">
        <x:f>IF(B257="","",IF(D257="TL",1,IF(D257="USD",KURLAR!$C$9,IF(D257="EUR",KURLAR!$C$10,0))))</x:f>
      </x:c>
      <x:c r="I257" s="68" t="str">
        <x:f>IF(B257="","",G257*H257)</x:f>
      </x:c>
      <x:c r="J257" s="52" t="str">
        <x:f>IF(B257="","",IF(G257&lt;0,"NEGATİF BAKİYE","UYGUN"))</x:f>
      </x:c>
    </x:row>
    <x:row r="258">
      <x:c r="B258" s="46"/>
      <x:c r="C258" s="46"/>
      <x:c r="D258" s="46"/>
      <x:c r="E258" s="92"/>
      <x:c r="F258" s="92"/>
      <x:c r="G258" s="93" t="str">
        <x:f>IF(B258="","",E258-F258)</x:f>
      </x:c>
      <x:c r="H258" s="100" t="str">
        <x:f>IF(B258="","",IF(D258="TL",1,IF(D258="USD",KURLAR!$C$9,IF(D258="EUR",KURLAR!$C$10,0))))</x:f>
      </x:c>
      <x:c r="I258" s="68" t="str">
        <x:f>IF(B258="","",G258*H258)</x:f>
      </x:c>
      <x:c r="J258" s="52" t="str">
        <x:f>IF(B258="","",IF(G258&lt;0,"NEGATİF BAKİYE","UYGUN"))</x:f>
      </x:c>
    </x:row>
    <x:row r="259">
      <x:c r="B259" s="46"/>
      <x:c r="C259" s="46"/>
      <x:c r="D259" s="46"/>
      <x:c r="E259" s="92"/>
      <x:c r="F259" s="92"/>
      <x:c r="G259" s="93" t="str">
        <x:f>IF(B259="","",E259-F259)</x:f>
      </x:c>
      <x:c r="H259" s="100" t="str">
        <x:f>IF(B259="","",IF(D259="TL",1,IF(D259="USD",KURLAR!$C$9,IF(D259="EUR",KURLAR!$C$10,0))))</x:f>
      </x:c>
      <x:c r="I259" s="68" t="str">
        <x:f>IF(B259="","",G259*H259)</x:f>
      </x:c>
      <x:c r="J259" s="52" t="str">
        <x:f>IF(B259="","",IF(G259&lt;0,"NEGATİF BAKİYE","UYGUN"))</x:f>
      </x:c>
    </x:row>
    <x:row r="260">
      <x:c r="B260" s="46"/>
      <x:c r="C260" s="46"/>
      <x:c r="D260" s="46"/>
      <x:c r="E260" s="92"/>
      <x:c r="F260" s="92"/>
      <x:c r="G260" s="93" t="str">
        <x:f>IF(B260="","",E260-F260)</x:f>
      </x:c>
      <x:c r="H260" s="100" t="str">
        <x:f>IF(B260="","",IF(D260="TL",1,IF(D260="USD",KURLAR!$C$9,IF(D260="EUR",KURLAR!$C$10,0))))</x:f>
      </x:c>
      <x:c r="I260" s="68" t="str">
        <x:f>IF(B260="","",G260*H260)</x:f>
      </x:c>
      <x:c r="J260" s="52" t="str">
        <x:f>IF(B260="","",IF(G260&lt;0,"NEGATİF BAKİYE","UYGUN"))</x:f>
      </x:c>
    </x:row>
    <x:row r="261">
      <x:c r="B261" s="46"/>
      <x:c r="C261" s="46"/>
      <x:c r="D261" s="46"/>
      <x:c r="E261" s="92"/>
      <x:c r="F261" s="92"/>
      <x:c r="G261" s="93" t="str">
        <x:f>IF(B261="","",E261-F261)</x:f>
      </x:c>
      <x:c r="H261" s="100" t="str">
        <x:f>IF(B261="","",IF(D261="TL",1,IF(D261="USD",KURLAR!$C$9,IF(D261="EUR",KURLAR!$C$10,0))))</x:f>
      </x:c>
      <x:c r="I261" s="68" t="str">
        <x:f>IF(B261="","",G261*H261)</x:f>
      </x:c>
      <x:c r="J261" s="52" t="str">
        <x:f>IF(B261="","",IF(G261&lt;0,"NEGATİF BAKİYE","UYGUN"))</x:f>
      </x:c>
    </x:row>
    <x:row r="262">
      <x:c r="B262" s="46"/>
      <x:c r="C262" s="46"/>
      <x:c r="D262" s="46"/>
      <x:c r="E262" s="92"/>
      <x:c r="F262" s="92"/>
      <x:c r="G262" s="93" t="str">
        <x:f>IF(B262="","",E262-F262)</x:f>
      </x:c>
      <x:c r="H262" s="100" t="str">
        <x:f>IF(B262="","",IF(D262="TL",1,IF(D262="USD",KURLAR!$C$9,IF(D262="EUR",KURLAR!$C$10,0))))</x:f>
      </x:c>
      <x:c r="I262" s="68" t="str">
        <x:f>IF(B262="","",G262*H262)</x:f>
      </x:c>
      <x:c r="J262" s="52" t="str">
        <x:f>IF(B262="","",IF(G262&lt;0,"NEGATİF BAKİYE","UYGUN"))</x:f>
      </x:c>
    </x:row>
    <x:row r="263">
      <x:c r="B263" s="46"/>
      <x:c r="C263" s="46"/>
      <x:c r="D263" s="46"/>
      <x:c r="E263" s="92"/>
      <x:c r="F263" s="92"/>
      <x:c r="G263" s="93" t="str">
        <x:f>IF(B263="","",E263-F263)</x:f>
      </x:c>
      <x:c r="H263" s="100" t="str">
        <x:f>IF(B263="","",IF(D263="TL",1,IF(D263="USD",KURLAR!$C$9,IF(D263="EUR",KURLAR!$C$10,0))))</x:f>
      </x:c>
      <x:c r="I263" s="68" t="str">
        <x:f>IF(B263="","",G263*H263)</x:f>
      </x:c>
      <x:c r="J263" s="52" t="str">
        <x:f>IF(B263="","",IF(G263&lt;0,"NEGATİF BAKİYE","UYGUN"))</x:f>
      </x:c>
    </x:row>
    <x:row r="264">
      <x:c r="B264" s="46"/>
      <x:c r="C264" s="46"/>
      <x:c r="D264" s="46"/>
      <x:c r="E264" s="92"/>
      <x:c r="F264" s="92"/>
      <x:c r="G264" s="93" t="str">
        <x:f>IF(B264="","",E264-F264)</x:f>
      </x:c>
      <x:c r="H264" s="100" t="str">
        <x:f>IF(B264="","",IF(D264="TL",1,IF(D264="USD",KURLAR!$C$9,IF(D264="EUR",KURLAR!$C$10,0))))</x:f>
      </x:c>
      <x:c r="I264" s="68" t="str">
        <x:f>IF(B264="","",G264*H264)</x:f>
      </x:c>
      <x:c r="J264" s="52" t="str">
        <x:f>IF(B264="","",IF(G264&lt;0,"NEGATİF BAKİYE","UYGUN"))</x:f>
      </x:c>
    </x:row>
    <x:row r="265">
      <x:c r="B265" s="46"/>
      <x:c r="C265" s="46"/>
      <x:c r="D265" s="46"/>
      <x:c r="E265" s="92"/>
      <x:c r="F265" s="92"/>
      <x:c r="G265" s="93" t="str">
        <x:f>IF(B265="","",E265-F265)</x:f>
      </x:c>
      <x:c r="H265" s="100" t="str">
        <x:f>IF(B265="","",IF(D265="TL",1,IF(D265="USD",KURLAR!$C$9,IF(D265="EUR",KURLAR!$C$10,0))))</x:f>
      </x:c>
      <x:c r="I265" s="68" t="str">
        <x:f>IF(B265="","",G265*H265)</x:f>
      </x:c>
      <x:c r="J265" s="52" t="str">
        <x:f>IF(B265="","",IF(G265&lt;0,"NEGATİF BAKİYE","UYGUN"))</x:f>
      </x:c>
    </x:row>
    <x:row r="266">
      <x:c r="B266" s="46"/>
      <x:c r="C266" s="46"/>
      <x:c r="D266" s="46"/>
      <x:c r="E266" s="92"/>
      <x:c r="F266" s="92"/>
      <x:c r="G266" s="93" t="str">
        <x:f>IF(B266="","",E266-F266)</x:f>
      </x:c>
      <x:c r="H266" s="100" t="str">
        <x:f>IF(B266="","",IF(D266="TL",1,IF(D266="USD",KURLAR!$C$9,IF(D266="EUR",KURLAR!$C$10,0))))</x:f>
      </x:c>
      <x:c r="I266" s="68" t="str">
        <x:f>IF(B266="","",G266*H266)</x:f>
      </x:c>
      <x:c r="J266" s="52" t="str">
        <x:f>IF(B266="","",IF(G266&lt;0,"NEGATİF BAKİYE","UYGUN"))</x:f>
      </x:c>
    </x:row>
    <x:row r="267">
      <x:c r="B267" s="46"/>
      <x:c r="C267" s="46"/>
      <x:c r="D267" s="46"/>
      <x:c r="E267" s="92"/>
      <x:c r="F267" s="92"/>
      <x:c r="G267" s="93" t="str">
        <x:f>IF(B267="","",E267-F267)</x:f>
      </x:c>
      <x:c r="H267" s="100" t="str">
        <x:f>IF(B267="","",IF(D267="TL",1,IF(D267="USD",KURLAR!$C$9,IF(D267="EUR",KURLAR!$C$10,0))))</x:f>
      </x:c>
      <x:c r="I267" s="68" t="str">
        <x:f>IF(B267="","",G267*H267)</x:f>
      </x:c>
      <x:c r="J267" s="52" t="str">
        <x:f>IF(B267="","",IF(G267&lt;0,"NEGATİF BAKİYE","UYGUN"))</x:f>
      </x:c>
    </x:row>
    <x:row r="268">
      <x:c r="B268" s="46"/>
      <x:c r="C268" s="46"/>
      <x:c r="D268" s="46"/>
      <x:c r="E268" s="92"/>
      <x:c r="F268" s="92"/>
      <x:c r="G268" s="93" t="str">
        <x:f>IF(B268="","",E268-F268)</x:f>
      </x:c>
      <x:c r="H268" s="100" t="str">
        <x:f>IF(B268="","",IF(D268="TL",1,IF(D268="USD",KURLAR!$C$9,IF(D268="EUR",KURLAR!$C$10,0))))</x:f>
      </x:c>
      <x:c r="I268" s="68" t="str">
        <x:f>IF(B268="","",G268*H268)</x:f>
      </x:c>
      <x:c r="J268" s="52" t="str">
        <x:f>IF(B268="","",IF(G268&lt;0,"NEGATİF BAKİYE","UYGUN"))</x:f>
      </x:c>
    </x:row>
    <x:row r="269">
      <x:c r="B269" s="46"/>
      <x:c r="C269" s="46"/>
      <x:c r="D269" s="46"/>
      <x:c r="E269" s="92"/>
      <x:c r="F269" s="92"/>
      <x:c r="G269" s="93" t="str">
        <x:f>IF(B269="","",E269-F269)</x:f>
      </x:c>
      <x:c r="H269" s="100" t="str">
        <x:f>IF(B269="","",IF(D269="TL",1,IF(D269="USD",KURLAR!$C$9,IF(D269="EUR",KURLAR!$C$10,0))))</x:f>
      </x:c>
      <x:c r="I269" s="68" t="str">
        <x:f>IF(B269="","",G269*H269)</x:f>
      </x:c>
      <x:c r="J269" s="52" t="str">
        <x:f>IF(B269="","",IF(G269&lt;0,"NEGATİF BAKİYE","UYGUN"))</x:f>
      </x:c>
    </x:row>
    <x:row r="270">
      <x:c r="B270" s="46"/>
      <x:c r="C270" s="46"/>
      <x:c r="D270" s="46"/>
      <x:c r="E270" s="92"/>
      <x:c r="F270" s="92"/>
      <x:c r="G270" s="93" t="str">
        <x:f>IF(B270="","",E270-F270)</x:f>
      </x:c>
      <x:c r="H270" s="100" t="str">
        <x:f>IF(B270="","",IF(D270="TL",1,IF(D270="USD",KURLAR!$C$9,IF(D270="EUR",KURLAR!$C$10,0))))</x:f>
      </x:c>
      <x:c r="I270" s="68" t="str">
        <x:f>IF(B270="","",G270*H270)</x:f>
      </x:c>
      <x:c r="J270" s="52" t="str">
        <x:f>IF(B270="","",IF(G270&lt;0,"NEGATİF BAKİYE","UYGUN"))</x:f>
      </x:c>
    </x:row>
    <x:row r="271">
      <x:c r="B271" s="46"/>
      <x:c r="C271" s="46"/>
      <x:c r="D271" s="46"/>
      <x:c r="E271" s="92"/>
      <x:c r="F271" s="92"/>
      <x:c r="G271" s="93" t="str">
        <x:f>IF(B271="","",E271-F271)</x:f>
      </x:c>
      <x:c r="H271" s="100" t="str">
        <x:f>IF(B271="","",IF(D271="TL",1,IF(D271="USD",KURLAR!$C$9,IF(D271="EUR",KURLAR!$C$10,0))))</x:f>
      </x:c>
      <x:c r="I271" s="68" t="str">
        <x:f>IF(B271="","",G271*H271)</x:f>
      </x:c>
      <x:c r="J271" s="52" t="str">
        <x:f>IF(B271="","",IF(G271&lt;0,"NEGATİF BAKİYE","UYGUN"))</x:f>
      </x:c>
    </x:row>
    <x:row r="272">
      <x:c r="B272" s="46"/>
      <x:c r="C272" s="46"/>
      <x:c r="D272" s="46"/>
      <x:c r="E272" s="92"/>
      <x:c r="F272" s="92"/>
      <x:c r="G272" s="93" t="str">
        <x:f>IF(B272="","",E272-F272)</x:f>
      </x:c>
      <x:c r="H272" s="100" t="str">
        <x:f>IF(B272="","",IF(D272="TL",1,IF(D272="USD",KURLAR!$C$9,IF(D272="EUR",KURLAR!$C$10,0))))</x:f>
      </x:c>
      <x:c r="I272" s="68" t="str">
        <x:f>IF(B272="","",G272*H272)</x:f>
      </x:c>
      <x:c r="J272" s="52" t="str">
        <x:f>IF(B272="","",IF(G272&lt;0,"NEGATİF BAKİYE","UYGUN"))</x:f>
      </x:c>
    </x:row>
    <x:row r="273">
      <x:c r="B273" s="46"/>
      <x:c r="C273" s="46"/>
      <x:c r="D273" s="46"/>
      <x:c r="E273" s="92"/>
      <x:c r="F273" s="92"/>
      <x:c r="G273" s="93" t="str">
        <x:f>IF(B273="","",E273-F273)</x:f>
      </x:c>
      <x:c r="H273" s="100" t="str">
        <x:f>IF(B273="","",IF(D273="TL",1,IF(D273="USD",KURLAR!$C$9,IF(D273="EUR",KURLAR!$C$10,0))))</x:f>
      </x:c>
      <x:c r="I273" s="68" t="str">
        <x:f>IF(B273="","",G273*H273)</x:f>
      </x:c>
      <x:c r="J273" s="52" t="str">
        <x:f>IF(B273="","",IF(G273&lt;0,"NEGATİF BAKİYE","UYGUN"))</x:f>
      </x:c>
    </x:row>
    <x:row r="274">
      <x:c r="B274" s="46"/>
      <x:c r="C274" s="46"/>
      <x:c r="D274" s="46"/>
      <x:c r="E274" s="92"/>
      <x:c r="F274" s="92"/>
      <x:c r="G274" s="93" t="str">
        <x:f>IF(B274="","",E274-F274)</x:f>
      </x:c>
      <x:c r="H274" s="100" t="str">
        <x:f>IF(B274="","",IF(D274="TL",1,IF(D274="USD",KURLAR!$C$9,IF(D274="EUR",KURLAR!$C$10,0))))</x:f>
      </x:c>
      <x:c r="I274" s="68" t="str">
        <x:f>IF(B274="","",G274*H274)</x:f>
      </x:c>
      <x:c r="J274" s="52" t="str">
        <x:f>IF(B274="","",IF(G274&lt;0,"NEGATİF BAKİYE","UYGUN"))</x:f>
      </x:c>
    </x:row>
    <x:row r="275">
      <x:c r="B275" s="46"/>
      <x:c r="C275" s="46"/>
      <x:c r="D275" s="46"/>
      <x:c r="E275" s="92"/>
      <x:c r="F275" s="92"/>
      <x:c r="G275" s="93" t="str">
        <x:f>IF(B275="","",E275-F275)</x:f>
      </x:c>
      <x:c r="H275" s="100" t="str">
        <x:f>IF(B275="","",IF(D275="TL",1,IF(D275="USD",KURLAR!$C$9,IF(D275="EUR",KURLAR!$C$10,0))))</x:f>
      </x:c>
      <x:c r="I275" s="68" t="str">
        <x:f>IF(B275="","",G275*H275)</x:f>
      </x:c>
      <x:c r="J275" s="52" t="str">
        <x:f>IF(B275="","",IF(G275&lt;0,"NEGATİF BAKİYE","UYGUN"))</x:f>
      </x:c>
    </x:row>
    <x:row r="276">
      <x:c r="B276" s="46"/>
      <x:c r="C276" s="46"/>
      <x:c r="D276" s="46"/>
      <x:c r="E276" s="92"/>
      <x:c r="F276" s="92"/>
      <x:c r="G276" s="93" t="str">
        <x:f>IF(B276="","",E276-F276)</x:f>
      </x:c>
      <x:c r="H276" s="100" t="str">
        <x:f>IF(B276="","",IF(D276="TL",1,IF(D276="USD",KURLAR!$C$9,IF(D276="EUR",KURLAR!$C$10,0))))</x:f>
      </x:c>
      <x:c r="I276" s="68" t="str">
        <x:f>IF(B276="","",G276*H276)</x:f>
      </x:c>
      <x:c r="J276" s="52" t="str">
        <x:f>IF(B276="","",IF(G276&lt;0,"NEGATİF BAKİYE","UYGUN"))</x:f>
      </x:c>
    </x:row>
    <x:row r="277">
      <x:c r="B277" s="46"/>
      <x:c r="C277" s="46"/>
      <x:c r="D277" s="46"/>
      <x:c r="E277" s="92"/>
      <x:c r="F277" s="92"/>
      <x:c r="G277" s="93" t="str">
        <x:f>IF(B277="","",E277-F277)</x:f>
      </x:c>
      <x:c r="H277" s="100" t="str">
        <x:f>IF(B277="","",IF(D277="TL",1,IF(D277="USD",KURLAR!$C$9,IF(D277="EUR",KURLAR!$C$10,0))))</x:f>
      </x:c>
      <x:c r="I277" s="68" t="str">
        <x:f>IF(B277="","",G277*H277)</x:f>
      </x:c>
      <x:c r="J277" s="52" t="str">
        <x:f>IF(B277="","",IF(G277&lt;0,"NEGATİF BAKİYE","UYGUN"))</x:f>
      </x:c>
    </x:row>
    <x:row r="278">
      <x:c r="B278" s="46"/>
      <x:c r="C278" s="46"/>
      <x:c r="D278" s="46"/>
      <x:c r="E278" s="92"/>
      <x:c r="F278" s="92"/>
      <x:c r="G278" s="93" t="str">
        <x:f>IF(B278="","",E278-F278)</x:f>
      </x:c>
      <x:c r="H278" s="100" t="str">
        <x:f>IF(B278="","",IF(D278="TL",1,IF(D278="USD",KURLAR!$C$9,IF(D278="EUR",KURLAR!$C$10,0))))</x:f>
      </x:c>
      <x:c r="I278" s="68" t="str">
        <x:f>IF(B278="","",G278*H278)</x:f>
      </x:c>
      <x:c r="J278" s="52" t="str">
        <x:f>IF(B278="","",IF(G278&lt;0,"NEGATİF BAKİYE","UYGUN"))</x:f>
      </x:c>
    </x:row>
    <x:row r="279">
      <x:c r="B279" s="46"/>
      <x:c r="C279" s="46"/>
      <x:c r="D279" s="46"/>
      <x:c r="E279" s="92"/>
      <x:c r="F279" s="92"/>
      <x:c r="G279" s="93" t="str">
        <x:f>IF(B279="","",E279-F279)</x:f>
      </x:c>
      <x:c r="H279" s="100" t="str">
        <x:f>IF(B279="","",IF(D279="TL",1,IF(D279="USD",KURLAR!$C$9,IF(D279="EUR",KURLAR!$C$10,0))))</x:f>
      </x:c>
      <x:c r="I279" s="68" t="str">
        <x:f>IF(B279="","",G279*H279)</x:f>
      </x:c>
      <x:c r="J279" s="52" t="str">
        <x:f>IF(B279="","",IF(G279&lt;0,"NEGATİF BAKİYE","UYGUN"))</x:f>
      </x:c>
    </x:row>
    <x:row r="280">
      <x:c r="B280" s="46"/>
      <x:c r="C280" s="46"/>
      <x:c r="D280" s="46"/>
      <x:c r="E280" s="92"/>
      <x:c r="F280" s="92"/>
      <x:c r="G280" s="93" t="str">
        <x:f>IF(B280="","",E280-F280)</x:f>
      </x:c>
      <x:c r="H280" s="100" t="str">
        <x:f>IF(B280="","",IF(D280="TL",1,IF(D280="USD",KURLAR!$C$9,IF(D280="EUR",KURLAR!$C$10,0))))</x:f>
      </x:c>
      <x:c r="I280" s="68" t="str">
        <x:f>IF(B280="","",G280*H280)</x:f>
      </x:c>
      <x:c r="J280" s="52" t="str">
        <x:f>IF(B280="","",IF(G280&lt;0,"NEGATİF BAKİYE","UYGUN"))</x:f>
      </x:c>
    </x:row>
    <x:row r="281">
      <x:c r="B281" s="46"/>
      <x:c r="C281" s="46"/>
      <x:c r="D281" s="46"/>
      <x:c r="E281" s="92"/>
      <x:c r="F281" s="92"/>
      <x:c r="G281" s="93" t="str">
        <x:f>IF(B281="","",E281-F281)</x:f>
      </x:c>
      <x:c r="H281" s="100" t="str">
        <x:f>IF(B281="","",IF(D281="TL",1,IF(D281="USD",KURLAR!$C$9,IF(D281="EUR",KURLAR!$C$10,0))))</x:f>
      </x:c>
      <x:c r="I281" s="68" t="str">
        <x:f>IF(B281="","",G281*H281)</x:f>
      </x:c>
      <x:c r="J281" s="52" t="str">
        <x:f>IF(B281="","",IF(G281&lt;0,"NEGATİF BAKİYE","UYGUN"))</x:f>
      </x:c>
    </x:row>
    <x:row r="282">
      <x:c r="B282" s="46"/>
      <x:c r="C282" s="46"/>
      <x:c r="D282" s="46"/>
      <x:c r="E282" s="92"/>
      <x:c r="F282" s="92"/>
      <x:c r="G282" s="93" t="str">
        <x:f>IF(B282="","",E282-F282)</x:f>
      </x:c>
      <x:c r="H282" s="100" t="str">
        <x:f>IF(B282="","",IF(D282="TL",1,IF(D282="USD",KURLAR!$C$9,IF(D282="EUR",KURLAR!$C$10,0))))</x:f>
      </x:c>
      <x:c r="I282" s="68" t="str">
        <x:f>IF(B282="","",G282*H282)</x:f>
      </x:c>
      <x:c r="J282" s="52" t="str">
        <x:f>IF(B282="","",IF(G282&lt;0,"NEGATİF BAKİYE","UYGUN"))</x:f>
      </x:c>
    </x:row>
    <x:row r="283">
      <x:c r="B283" s="46"/>
      <x:c r="C283" s="46"/>
      <x:c r="D283" s="46"/>
      <x:c r="E283" s="92"/>
      <x:c r="F283" s="92"/>
      <x:c r="G283" s="93" t="str">
        <x:f>IF(B283="","",E283-F283)</x:f>
      </x:c>
      <x:c r="H283" s="100" t="str">
        <x:f>IF(B283="","",IF(D283="TL",1,IF(D283="USD",KURLAR!$C$9,IF(D283="EUR",KURLAR!$C$10,0))))</x:f>
      </x:c>
      <x:c r="I283" s="68" t="str">
        <x:f>IF(B283="","",G283*H283)</x:f>
      </x:c>
      <x:c r="J283" s="52" t="str">
        <x:f>IF(B283="","",IF(G283&lt;0,"NEGATİF BAKİYE","UYGUN"))</x:f>
      </x:c>
    </x:row>
    <x:row r="284">
      <x:c r="B284" s="46"/>
      <x:c r="C284" s="46"/>
      <x:c r="D284" s="46"/>
      <x:c r="E284" s="92"/>
      <x:c r="F284" s="92"/>
      <x:c r="G284" s="93" t="str">
        <x:f>IF(B284="","",E284-F284)</x:f>
      </x:c>
      <x:c r="H284" s="100" t="str">
        <x:f>IF(B284="","",IF(D284="TL",1,IF(D284="USD",KURLAR!$C$9,IF(D284="EUR",KURLAR!$C$10,0))))</x:f>
      </x:c>
      <x:c r="I284" s="68" t="str">
        <x:f>IF(B284="","",G284*H284)</x:f>
      </x:c>
      <x:c r="J284" s="52" t="str">
        <x:f>IF(B284="","",IF(G284&lt;0,"NEGATİF BAKİYE","UYGUN"))</x:f>
      </x:c>
    </x:row>
    <x:row r="285">
      <x:c r="B285" s="46"/>
      <x:c r="C285" s="46"/>
      <x:c r="D285" s="46"/>
      <x:c r="E285" s="92"/>
      <x:c r="F285" s="92"/>
      <x:c r="G285" s="93" t="str">
        <x:f>IF(B285="","",E285-F285)</x:f>
      </x:c>
      <x:c r="H285" s="100" t="str">
        <x:f>IF(B285="","",IF(D285="TL",1,IF(D285="USD",KURLAR!$C$9,IF(D285="EUR",KURLAR!$C$10,0))))</x:f>
      </x:c>
      <x:c r="I285" s="68" t="str">
        <x:f>IF(B285="","",G285*H285)</x:f>
      </x:c>
      <x:c r="J285" s="52" t="str">
        <x:f>IF(B285="","",IF(G285&lt;0,"NEGATİF BAKİYE","UYGUN"))</x:f>
      </x:c>
    </x:row>
    <x:row r="286">
      <x:c r="B286" s="46"/>
      <x:c r="C286" s="46"/>
      <x:c r="D286" s="46"/>
      <x:c r="E286" s="92"/>
      <x:c r="F286" s="92"/>
      <x:c r="G286" s="93" t="str">
        <x:f>IF(B286="","",E286-F286)</x:f>
      </x:c>
      <x:c r="H286" s="100" t="str">
        <x:f>IF(B286="","",IF(D286="TL",1,IF(D286="USD",KURLAR!$C$9,IF(D286="EUR",KURLAR!$C$10,0))))</x:f>
      </x:c>
      <x:c r="I286" s="68" t="str">
        <x:f>IF(B286="","",G286*H286)</x:f>
      </x:c>
      <x:c r="J286" s="52" t="str">
        <x:f>IF(B286="","",IF(G286&lt;0,"NEGATİF BAKİYE","UYGUN"))</x:f>
      </x:c>
    </x:row>
    <x:row r="287">
      <x:c r="B287" s="46"/>
      <x:c r="C287" s="46"/>
      <x:c r="D287" s="46"/>
      <x:c r="E287" s="92"/>
      <x:c r="F287" s="92"/>
      <x:c r="G287" s="93" t="str">
        <x:f>IF(B287="","",E287-F287)</x:f>
      </x:c>
      <x:c r="H287" s="100" t="str">
        <x:f>IF(B287="","",IF(D287="TL",1,IF(D287="USD",KURLAR!$C$9,IF(D287="EUR",KURLAR!$C$10,0))))</x:f>
      </x:c>
      <x:c r="I287" s="68" t="str">
        <x:f>IF(B287="","",G287*H287)</x:f>
      </x:c>
      <x:c r="J287" s="52" t="str">
        <x:f>IF(B287="","",IF(G287&lt;0,"NEGATİF BAKİYE","UYGUN"))</x:f>
      </x:c>
    </x:row>
    <x:row r="288">
      <x:c r="B288" s="46"/>
      <x:c r="C288" s="46"/>
      <x:c r="D288" s="46"/>
      <x:c r="E288" s="92"/>
      <x:c r="F288" s="92"/>
      <x:c r="G288" s="93" t="str">
        <x:f>IF(B288="","",E288-F288)</x:f>
      </x:c>
      <x:c r="H288" s="100" t="str">
        <x:f>IF(B288="","",IF(D288="TL",1,IF(D288="USD",KURLAR!$C$9,IF(D288="EUR",KURLAR!$C$10,0))))</x:f>
      </x:c>
      <x:c r="I288" s="68" t="str">
        <x:f>IF(B288="","",G288*H288)</x:f>
      </x:c>
      <x:c r="J288" s="52" t="str">
        <x:f>IF(B288="","",IF(G288&lt;0,"NEGATİF BAKİYE","UYGUN"))</x:f>
      </x:c>
    </x:row>
    <x:row r="289">
      <x:c r="B289" s="46"/>
      <x:c r="C289" s="46"/>
      <x:c r="D289" s="46"/>
      <x:c r="E289" s="92"/>
      <x:c r="F289" s="92"/>
      <x:c r="G289" s="93" t="str">
        <x:f>IF(B289="","",E289-F289)</x:f>
      </x:c>
      <x:c r="H289" s="100" t="str">
        <x:f>IF(B289="","",IF(D289="TL",1,IF(D289="USD",KURLAR!$C$9,IF(D289="EUR",KURLAR!$C$10,0))))</x:f>
      </x:c>
      <x:c r="I289" s="68" t="str">
        <x:f>IF(B289="","",G289*H289)</x:f>
      </x:c>
      <x:c r="J289" s="52" t="str">
        <x:f>IF(B289="","",IF(G289&lt;0,"NEGATİF BAKİYE","UYGUN"))</x:f>
      </x:c>
    </x:row>
    <x:row r="290">
      <x:c r="B290" s="46"/>
      <x:c r="C290" s="46"/>
      <x:c r="D290" s="46"/>
      <x:c r="E290" s="92"/>
      <x:c r="F290" s="92"/>
      <x:c r="G290" s="93" t="str">
        <x:f>IF(B290="","",E290-F290)</x:f>
      </x:c>
      <x:c r="H290" s="100" t="str">
        <x:f>IF(B290="","",IF(D290="TL",1,IF(D290="USD",KURLAR!$C$9,IF(D290="EUR",KURLAR!$C$10,0))))</x:f>
      </x:c>
      <x:c r="I290" s="68" t="str">
        <x:f>IF(B290="","",G290*H290)</x:f>
      </x:c>
      <x:c r="J290" s="52" t="str">
        <x:f>IF(B290="","",IF(G290&lt;0,"NEGATİF BAKİYE","UYGUN"))</x:f>
      </x:c>
    </x:row>
    <x:row r="291">
      <x:c r="B291" s="46"/>
      <x:c r="C291" s="46"/>
      <x:c r="D291" s="46"/>
      <x:c r="E291" s="92"/>
      <x:c r="F291" s="92"/>
      <x:c r="G291" s="93" t="str">
        <x:f>IF(B291="","",E291-F291)</x:f>
      </x:c>
      <x:c r="H291" s="100" t="str">
        <x:f>IF(B291="","",IF(D291="TL",1,IF(D291="USD",KURLAR!$C$9,IF(D291="EUR",KURLAR!$C$10,0))))</x:f>
      </x:c>
      <x:c r="I291" s="68" t="str">
        <x:f>IF(B291="","",G291*H291)</x:f>
      </x:c>
      <x:c r="J291" s="52" t="str">
        <x:f>IF(B291="","",IF(G291&lt;0,"NEGATİF BAKİYE","UYGUN"))</x:f>
      </x:c>
    </x:row>
    <x:row r="292">
      <x:c r="B292" s="46"/>
      <x:c r="C292" s="46"/>
      <x:c r="D292" s="46"/>
      <x:c r="E292" s="92"/>
      <x:c r="F292" s="92"/>
      <x:c r="G292" s="93" t="str">
        <x:f>IF(B292="","",E292-F292)</x:f>
      </x:c>
      <x:c r="H292" s="100" t="str">
        <x:f>IF(B292="","",IF(D292="TL",1,IF(D292="USD",KURLAR!$C$9,IF(D292="EUR",KURLAR!$C$10,0))))</x:f>
      </x:c>
      <x:c r="I292" s="68" t="str">
        <x:f>IF(B292="","",G292*H292)</x:f>
      </x:c>
      <x:c r="J292" s="52" t="str">
        <x:f>IF(B292="","",IF(G292&lt;0,"NEGATİF BAKİYE","UYGUN"))</x:f>
      </x:c>
    </x:row>
    <x:row r="293">
      <x:c r="B293" s="46"/>
      <x:c r="C293" s="46"/>
      <x:c r="D293" s="46"/>
      <x:c r="E293" s="92"/>
      <x:c r="F293" s="92"/>
      <x:c r="G293" s="93" t="str">
        <x:f>IF(B293="","",E293-F293)</x:f>
      </x:c>
      <x:c r="H293" s="100" t="str">
        <x:f>IF(B293="","",IF(D293="TL",1,IF(D293="USD",KURLAR!$C$9,IF(D293="EUR",KURLAR!$C$10,0))))</x:f>
      </x:c>
      <x:c r="I293" s="68" t="str">
        <x:f>IF(B293="","",G293*H293)</x:f>
      </x:c>
      <x:c r="J293" s="52" t="str">
        <x:f>IF(B293="","",IF(G293&lt;0,"NEGATİF BAKİYE","UYGUN"))</x:f>
      </x:c>
    </x:row>
    <x:row r="294">
      <x:c r="B294" s="46"/>
      <x:c r="C294" s="46"/>
      <x:c r="D294" s="46"/>
      <x:c r="E294" s="92"/>
      <x:c r="F294" s="92"/>
      <x:c r="G294" s="93" t="str">
        <x:f>IF(B294="","",E294-F294)</x:f>
      </x:c>
      <x:c r="H294" s="100" t="str">
        <x:f>IF(B294="","",IF(D294="TL",1,IF(D294="USD",KURLAR!$C$9,IF(D294="EUR",KURLAR!$C$10,0))))</x:f>
      </x:c>
      <x:c r="I294" s="68" t="str">
        <x:f>IF(B294="","",G294*H294)</x:f>
      </x:c>
      <x:c r="J294" s="52" t="str">
        <x:f>IF(B294="","",IF(G294&lt;0,"NEGATİF BAKİYE","UYGUN"))</x:f>
      </x:c>
    </x:row>
    <x:row r="295">
      <x:c r="B295" s="46"/>
      <x:c r="C295" s="46"/>
      <x:c r="D295" s="46"/>
      <x:c r="E295" s="92"/>
      <x:c r="F295" s="92"/>
      <x:c r="G295" s="93" t="str">
        <x:f>IF(B295="","",E295-F295)</x:f>
      </x:c>
      <x:c r="H295" s="100" t="str">
        <x:f>IF(B295="","",IF(D295="TL",1,IF(D295="USD",KURLAR!$C$9,IF(D295="EUR",KURLAR!$C$10,0))))</x:f>
      </x:c>
      <x:c r="I295" s="68" t="str">
        <x:f>IF(B295="","",G295*H295)</x:f>
      </x:c>
      <x:c r="J295" s="52" t="str">
        <x:f>IF(B295="","",IF(G295&lt;0,"NEGATİF BAKİYE","UYGUN"))</x:f>
      </x:c>
    </x:row>
    <x:row r="296">
      <x:c r="B296" s="46"/>
      <x:c r="C296" s="46"/>
      <x:c r="D296" s="46"/>
      <x:c r="E296" s="92"/>
      <x:c r="F296" s="92"/>
      <x:c r="G296" s="93" t="str">
        <x:f>IF(B296="","",E296-F296)</x:f>
      </x:c>
      <x:c r="H296" s="100" t="str">
        <x:f>IF(B296="","",IF(D296="TL",1,IF(D296="USD",KURLAR!$C$9,IF(D296="EUR",KURLAR!$C$10,0))))</x:f>
      </x:c>
      <x:c r="I296" s="68" t="str">
        <x:f>IF(B296="","",G296*H296)</x:f>
      </x:c>
      <x:c r="J296" s="52" t="str">
        <x:f>IF(B296="","",IF(G296&lt;0,"NEGATİF BAKİYE","UYGUN"))</x:f>
      </x:c>
    </x:row>
    <x:row r="297">
      <x:c r="B297" s="46"/>
      <x:c r="C297" s="46"/>
      <x:c r="D297" s="46"/>
      <x:c r="E297" s="92"/>
      <x:c r="F297" s="92"/>
      <x:c r="G297" s="93" t="str">
        <x:f>IF(B297="","",E297-F297)</x:f>
      </x:c>
      <x:c r="H297" s="100" t="str">
        <x:f>IF(B297="","",IF(D297="TL",1,IF(D297="USD",KURLAR!$C$9,IF(D297="EUR",KURLAR!$C$10,0))))</x:f>
      </x:c>
      <x:c r="I297" s="68" t="str">
        <x:f>IF(B297="","",G297*H297)</x:f>
      </x:c>
      <x:c r="J297" s="52" t="str">
        <x:f>IF(B297="","",IF(G297&lt;0,"NEGATİF BAKİYE","UYGUN"))</x:f>
      </x:c>
    </x:row>
    <x:row r="298">
      <x:c r="B298" s="46"/>
      <x:c r="C298" s="46"/>
      <x:c r="D298" s="46"/>
      <x:c r="E298" s="92"/>
      <x:c r="F298" s="92"/>
      <x:c r="G298" s="93" t="str">
        <x:f>IF(B298="","",E298-F298)</x:f>
      </x:c>
      <x:c r="H298" s="100" t="str">
        <x:f>IF(B298="","",IF(D298="TL",1,IF(D298="USD",KURLAR!$C$9,IF(D298="EUR",KURLAR!$C$10,0))))</x:f>
      </x:c>
      <x:c r="I298" s="68" t="str">
        <x:f>IF(B298="","",G298*H298)</x:f>
      </x:c>
      <x:c r="J298" s="52" t="str">
        <x:f>IF(B298="","",IF(G298&lt;0,"NEGATİF BAKİYE","UYGUN"))</x:f>
      </x:c>
    </x:row>
    <x:row r="299">
      <x:c r="B299" s="46"/>
      <x:c r="C299" s="46"/>
      <x:c r="D299" s="46"/>
      <x:c r="E299" s="92"/>
      <x:c r="F299" s="92"/>
      <x:c r="G299" s="93" t="str">
        <x:f>IF(B299="","",E299-F299)</x:f>
      </x:c>
      <x:c r="H299" s="100" t="str">
        <x:f>IF(B299="","",IF(D299="TL",1,IF(D299="USD",KURLAR!$C$9,IF(D299="EUR",KURLAR!$C$10,0))))</x:f>
      </x:c>
      <x:c r="I299" s="68" t="str">
        <x:f>IF(B299="","",G299*H299)</x:f>
      </x:c>
      <x:c r="J299" s="52" t="str">
        <x:f>IF(B299="","",IF(G299&lt;0,"NEGATİF BAKİYE","UYGUN"))</x:f>
      </x:c>
    </x:row>
    <x:row r="300">
      <x:c r="B300" s="46"/>
      <x:c r="C300" s="46"/>
      <x:c r="D300" s="46"/>
      <x:c r="E300" s="92"/>
      <x:c r="F300" s="92"/>
      <x:c r="G300" s="93" t="str">
        <x:f>IF(B300="","",E300-F300)</x:f>
      </x:c>
      <x:c r="H300" s="100" t="str">
        <x:f>IF(B300="","",IF(D300="TL",1,IF(D300="USD",KURLAR!$C$9,IF(D300="EUR",KURLAR!$C$10,0))))</x:f>
      </x:c>
      <x:c r="I300" s="68" t="str">
        <x:f>IF(B300="","",G300*H300)</x:f>
      </x:c>
      <x:c r="J300" s="52" t="str">
        <x:f>IF(B300="","",IF(G300&lt;0,"NEGATİF BAKİYE","UYGUN"))</x:f>
      </x:c>
    </x:row>
    <x:row r="301">
      <x:c r="B301" s="46"/>
      <x:c r="C301" s="46"/>
      <x:c r="D301" s="46"/>
      <x:c r="E301" s="92"/>
      <x:c r="F301" s="92"/>
      <x:c r="G301" s="93" t="str">
        <x:f>IF(B301="","",E301-F301)</x:f>
      </x:c>
      <x:c r="H301" s="100" t="str">
        <x:f>IF(B301="","",IF(D301="TL",1,IF(D301="USD",KURLAR!$C$9,IF(D301="EUR",KURLAR!$C$10,0))))</x:f>
      </x:c>
      <x:c r="I301" s="68" t="str">
        <x:f>IF(B301="","",G301*H301)</x:f>
      </x:c>
      <x:c r="J301" s="52" t="str">
        <x:f>IF(B301="","",IF(G301&lt;0,"NEGATİF BAKİYE","UYGUN"))</x:f>
      </x:c>
    </x:row>
    <x:row r="302">
      <x:c r="B302" s="46"/>
      <x:c r="C302" s="46"/>
      <x:c r="D302" s="46"/>
      <x:c r="E302" s="92"/>
      <x:c r="F302" s="92"/>
      <x:c r="G302" s="93" t="str">
        <x:f>IF(B302="","",E302-F302)</x:f>
      </x:c>
      <x:c r="H302" s="100" t="str">
        <x:f>IF(B302="","",IF(D302="TL",1,IF(D302="USD",KURLAR!$C$9,IF(D302="EUR",KURLAR!$C$10,0))))</x:f>
      </x:c>
      <x:c r="I302" s="68" t="str">
        <x:f>IF(B302="","",G302*H302)</x:f>
      </x:c>
      <x:c r="J302" s="52" t="str">
        <x:f>IF(B302="","",IF(G302&lt;0,"NEGATİF BAKİYE","UYGUN"))</x:f>
      </x:c>
    </x:row>
    <x:row r="303">
      <x:c r="B303" s="46"/>
      <x:c r="C303" s="46"/>
      <x:c r="D303" s="46"/>
      <x:c r="E303" s="92"/>
      <x:c r="F303" s="92"/>
      <x:c r="G303" s="93" t="str">
        <x:f>IF(B303="","",E303-F303)</x:f>
      </x:c>
      <x:c r="H303" s="100" t="str">
        <x:f>IF(B303="","",IF(D303="TL",1,IF(D303="USD",KURLAR!$C$9,IF(D303="EUR",KURLAR!$C$10,0))))</x:f>
      </x:c>
      <x:c r="I303" s="68" t="str">
        <x:f>IF(B303="","",G303*H303)</x:f>
      </x:c>
      <x:c r="J303" s="52" t="str">
        <x:f>IF(B303="","",IF(G303&lt;0,"NEGATİF BAKİYE","UYGUN"))</x:f>
      </x:c>
    </x:row>
    <x:row r="304">
      <x:c r="B304" s="46"/>
      <x:c r="C304" s="46"/>
      <x:c r="D304" s="46"/>
      <x:c r="E304" s="92"/>
      <x:c r="F304" s="92"/>
      <x:c r="G304" s="93" t="str">
        <x:f>IF(B304="","",E304-F304)</x:f>
      </x:c>
      <x:c r="H304" s="100" t="str">
        <x:f>IF(B304="","",IF(D304="TL",1,IF(D304="USD",KURLAR!$C$9,IF(D304="EUR",KURLAR!$C$10,0))))</x:f>
      </x:c>
      <x:c r="I304" s="68" t="str">
        <x:f>IF(B304="","",G304*H304)</x:f>
      </x:c>
      <x:c r="J304" s="52" t="str">
        <x:f>IF(B304="","",IF(G304&lt;0,"NEGATİF BAKİYE","UYGUN"))</x:f>
      </x:c>
    </x:row>
    <x:row r="305">
      <x:c r="B305" s="46"/>
      <x:c r="C305" s="46"/>
      <x:c r="D305" s="46"/>
      <x:c r="E305" s="92"/>
      <x:c r="F305" s="92"/>
      <x:c r="G305" s="93" t="str">
        <x:f>IF(B305="","",E305-F305)</x:f>
      </x:c>
      <x:c r="H305" s="100" t="str">
        <x:f>IF(B305="","",IF(D305="TL",1,IF(D305="USD",KURLAR!$C$9,IF(D305="EUR",KURLAR!$C$10,0))))</x:f>
      </x:c>
      <x:c r="I305" s="68" t="str">
        <x:f>IF(B305="","",G305*H305)</x:f>
      </x:c>
      <x:c r="J305" s="52" t="str">
        <x:f>IF(B305="","",IF(G305&lt;0,"NEGATİF BAKİYE","UYGUN"))</x:f>
      </x:c>
    </x:row>
    <x:row r="306">
      <x:c r="B306" s="46"/>
      <x:c r="C306" s="46"/>
      <x:c r="D306" s="46"/>
      <x:c r="E306" s="92"/>
      <x:c r="F306" s="92"/>
      <x:c r="G306" s="93" t="str">
        <x:f>IF(B306="","",E306-F306)</x:f>
      </x:c>
      <x:c r="H306" s="100" t="str">
        <x:f>IF(B306="","",IF(D306="TL",1,IF(D306="USD",KURLAR!$C$9,IF(D306="EUR",KURLAR!$C$10,0))))</x:f>
      </x:c>
      <x:c r="I306" s="68" t="str">
        <x:f>IF(B306="","",G306*H306)</x:f>
      </x:c>
      <x:c r="J306" s="52" t="str">
        <x:f>IF(B306="","",IF(G306&lt;0,"NEGATİF BAKİYE","UYGUN"))</x:f>
      </x:c>
    </x:row>
    <x:row r="307">
      <x:c r="B307" s="46"/>
      <x:c r="C307" s="46"/>
      <x:c r="D307" s="46"/>
      <x:c r="E307" s="92"/>
      <x:c r="F307" s="92"/>
      <x:c r="G307" s="93" t="str">
        <x:f>IF(B307="","",E307-F307)</x:f>
      </x:c>
      <x:c r="H307" s="100" t="str">
        <x:f>IF(B307="","",IF(D307="TL",1,IF(D307="USD",KURLAR!$C$9,IF(D307="EUR",KURLAR!$C$10,0))))</x:f>
      </x:c>
      <x:c r="I307" s="68" t="str">
        <x:f>IF(B307="","",G307*H307)</x:f>
      </x:c>
      <x:c r="J307" s="52" t="str">
        <x:f>IF(B307="","",IF(G307&lt;0,"NEGATİF BAKİYE","UYGUN"))</x:f>
      </x:c>
    </x:row>
    <x:row r="308">
      <x:c r="B308" s="46"/>
      <x:c r="C308" s="46"/>
      <x:c r="D308" s="46"/>
      <x:c r="E308" s="92"/>
      <x:c r="F308" s="92"/>
      <x:c r="G308" s="93" t="str">
        <x:f>IF(B308="","",E308-F308)</x:f>
      </x:c>
      <x:c r="H308" s="100" t="str">
        <x:f>IF(B308="","",IF(D308="TL",1,IF(D308="USD",KURLAR!$C$9,IF(D308="EUR",KURLAR!$C$10,0))))</x:f>
      </x:c>
      <x:c r="I308" s="68" t="str">
        <x:f>IF(B308="","",G308*H308)</x:f>
      </x:c>
      <x:c r="J308" s="52" t="str">
        <x:f>IF(B308="","",IF(G308&lt;0,"NEGATİF BAKİYE","UYGUN"))</x:f>
      </x:c>
    </x:row>
    <x:row r="309">
      <x:c r="B309" s="46"/>
      <x:c r="C309" s="46"/>
      <x:c r="D309" s="46"/>
      <x:c r="E309" s="92"/>
      <x:c r="F309" s="92"/>
      <x:c r="G309" s="93" t="str">
        <x:f>IF(B309="","",E309-F309)</x:f>
      </x:c>
      <x:c r="H309" s="100" t="str">
        <x:f>IF(B309="","",IF(D309="TL",1,IF(D309="USD",KURLAR!$C$9,IF(D309="EUR",KURLAR!$C$10,0))))</x:f>
      </x:c>
      <x:c r="I309" s="68" t="str">
        <x:f>IF(B309="","",G309*H309)</x:f>
      </x:c>
      <x:c r="J309" s="52" t="str">
        <x:f>IF(B309="","",IF(G309&lt;0,"NEGATİF BAKİYE","UYGUN"))</x:f>
      </x:c>
    </x:row>
    <x:row r="310">
      <x:c r="B310" s="46"/>
      <x:c r="C310" s="46"/>
      <x:c r="D310" s="46"/>
      <x:c r="E310" s="92"/>
      <x:c r="F310" s="92"/>
      <x:c r="G310" s="93" t="str">
        <x:f>IF(B310="","",E310-F310)</x:f>
      </x:c>
      <x:c r="H310" s="100" t="str">
        <x:f>IF(B310="","",IF(D310="TL",1,IF(D310="USD",KURLAR!$C$9,IF(D310="EUR",KURLAR!$C$10,0))))</x:f>
      </x:c>
      <x:c r="I310" s="68" t="str">
        <x:f>IF(B310="","",G310*H310)</x:f>
      </x:c>
      <x:c r="J310" s="52" t="str">
        <x:f>IF(B310="","",IF(G310&lt;0,"NEGATİF BAKİYE","UYGUN"))</x:f>
      </x:c>
    </x:row>
    <x:row r="311">
      <x:c r="B311" s="46"/>
      <x:c r="C311" s="46"/>
      <x:c r="D311" s="46"/>
      <x:c r="E311" s="92"/>
      <x:c r="F311" s="92"/>
      <x:c r="G311" s="93" t="str">
        <x:f>IF(B311="","",E311-F311)</x:f>
      </x:c>
      <x:c r="H311" s="100" t="str">
        <x:f>IF(B311="","",IF(D311="TL",1,IF(D311="USD",KURLAR!$C$9,IF(D311="EUR",KURLAR!$C$10,0))))</x:f>
      </x:c>
      <x:c r="I311" s="68" t="str">
        <x:f>IF(B311="","",G311*H311)</x:f>
      </x:c>
      <x:c r="J311" s="52" t="str">
        <x:f>IF(B311="","",IF(G311&lt;0,"NEGATİF BAKİYE","UYGUN"))</x:f>
      </x:c>
    </x:row>
    <x:row r="312">
      <x:c r="B312" s="46"/>
      <x:c r="C312" s="46"/>
      <x:c r="D312" s="46"/>
      <x:c r="E312" s="92"/>
      <x:c r="F312" s="92"/>
      <x:c r="G312" s="93" t="str">
        <x:f>IF(B312="","",E312-F312)</x:f>
      </x:c>
      <x:c r="H312" s="100" t="str">
        <x:f>IF(B312="","",IF(D312="TL",1,IF(D312="USD",KURLAR!$C$9,IF(D312="EUR",KURLAR!$C$10,0))))</x:f>
      </x:c>
      <x:c r="I312" s="68" t="str">
        <x:f>IF(B312="","",G312*H312)</x:f>
      </x:c>
      <x:c r="J312" s="52" t="str">
        <x:f>IF(B312="","",IF(G312&lt;0,"NEGATİF BAKİYE","UYGUN"))</x:f>
      </x:c>
    </x:row>
    <x:row r="313">
      <x:c r="B313" s="46"/>
      <x:c r="C313" s="46"/>
      <x:c r="D313" s="46"/>
      <x:c r="E313" s="92"/>
      <x:c r="F313" s="92"/>
      <x:c r="G313" s="93" t="str">
        <x:f>IF(B313="","",E313-F313)</x:f>
      </x:c>
      <x:c r="H313" s="100" t="str">
        <x:f>IF(B313="","",IF(D313="TL",1,IF(D313="USD",KURLAR!$C$9,IF(D313="EUR",KURLAR!$C$10,0))))</x:f>
      </x:c>
      <x:c r="I313" s="68" t="str">
        <x:f>IF(B313="","",G313*H313)</x:f>
      </x:c>
      <x:c r="J313" s="52" t="str">
        <x:f>IF(B313="","",IF(G313&lt;0,"NEGATİF BAKİYE","UYGUN"))</x:f>
      </x:c>
    </x:row>
    <x:row r="314">
      <x:c r="B314" s="46"/>
      <x:c r="C314" s="46"/>
      <x:c r="D314" s="46"/>
      <x:c r="E314" s="92"/>
      <x:c r="F314" s="92"/>
      <x:c r="G314" s="93" t="str">
        <x:f>IF(B314="","",E314-F314)</x:f>
      </x:c>
      <x:c r="H314" s="100" t="str">
        <x:f>IF(B314="","",IF(D314="TL",1,IF(D314="USD",KURLAR!$C$9,IF(D314="EUR",KURLAR!$C$10,0))))</x:f>
      </x:c>
      <x:c r="I314" s="68" t="str">
        <x:f>IF(B314="","",G314*H314)</x:f>
      </x:c>
      <x:c r="J314" s="52" t="str">
        <x:f>IF(B314="","",IF(G314&lt;0,"NEGATİF BAKİYE","UYGUN"))</x:f>
      </x:c>
    </x:row>
    <x:row r="315">
      <x:c r="B315" s="46"/>
      <x:c r="C315" s="46"/>
      <x:c r="D315" s="46"/>
      <x:c r="E315" s="92"/>
      <x:c r="F315" s="92"/>
      <x:c r="G315" s="93" t="str">
        <x:f>IF(B315="","",E315-F315)</x:f>
      </x:c>
      <x:c r="H315" s="100" t="str">
        <x:f>IF(B315="","",IF(D315="TL",1,IF(D315="USD",KURLAR!$C$9,IF(D315="EUR",KURLAR!$C$10,0))))</x:f>
      </x:c>
      <x:c r="I315" s="68" t="str">
        <x:f>IF(B315="","",G315*H315)</x:f>
      </x:c>
      <x:c r="J315" s="52" t="str">
        <x:f>IF(B315="","",IF(G315&lt;0,"NEGATİF BAKİYE","UYGUN"))</x:f>
      </x:c>
    </x:row>
    <x:row r="316">
      <x:c r="B316" s="46"/>
      <x:c r="C316" s="46"/>
      <x:c r="D316" s="46"/>
      <x:c r="E316" s="92"/>
      <x:c r="F316" s="92"/>
      <x:c r="G316" s="93" t="str">
        <x:f>IF(B316="","",E316-F316)</x:f>
      </x:c>
      <x:c r="H316" s="100" t="str">
        <x:f>IF(B316="","",IF(D316="TL",1,IF(D316="USD",KURLAR!$C$9,IF(D316="EUR",KURLAR!$C$10,0))))</x:f>
      </x:c>
      <x:c r="I316" s="68" t="str">
        <x:f>IF(B316="","",G316*H316)</x:f>
      </x:c>
      <x:c r="J316" s="52" t="str">
        <x:f>IF(B316="","",IF(G316&lt;0,"NEGATİF BAKİYE","UYGUN"))</x:f>
      </x:c>
    </x:row>
    <x:row r="317">
      <x:c r="B317" s="46"/>
      <x:c r="C317" s="46"/>
      <x:c r="D317" s="46"/>
      <x:c r="E317" s="92"/>
      <x:c r="F317" s="92"/>
      <x:c r="G317" s="93" t="str">
        <x:f>IF(B317="","",E317-F317)</x:f>
      </x:c>
      <x:c r="H317" s="100" t="str">
        <x:f>IF(B317="","",IF(D317="TL",1,IF(D317="USD",KURLAR!$C$9,IF(D317="EUR",KURLAR!$C$10,0))))</x:f>
      </x:c>
      <x:c r="I317" s="68" t="str">
        <x:f>IF(B317="","",G317*H317)</x:f>
      </x:c>
      <x:c r="J317" s="52" t="str">
        <x:f>IF(B317="","",IF(G317&lt;0,"NEGATİF BAKİYE","UYGUN"))</x:f>
      </x:c>
    </x:row>
    <x:row r="318">
      <x:c r="B318" s="46"/>
      <x:c r="C318" s="46"/>
      <x:c r="D318" s="46"/>
      <x:c r="E318" s="92"/>
      <x:c r="F318" s="92"/>
      <x:c r="G318" s="93" t="str">
        <x:f>IF(B318="","",E318-F318)</x:f>
      </x:c>
      <x:c r="H318" s="100" t="str">
        <x:f>IF(B318="","",IF(D318="TL",1,IF(D318="USD",KURLAR!$C$9,IF(D318="EUR",KURLAR!$C$10,0))))</x:f>
      </x:c>
      <x:c r="I318" s="68" t="str">
        <x:f>IF(B318="","",G318*H318)</x:f>
      </x:c>
      <x:c r="J318" s="52" t="str">
        <x:f>IF(B318="","",IF(G318&lt;0,"NEGATİF BAKİYE","UYGUN"))</x:f>
      </x:c>
    </x:row>
    <x:row r="319">
      <x:c r="B319" s="46"/>
      <x:c r="C319" s="46"/>
      <x:c r="D319" s="46"/>
      <x:c r="E319" s="92"/>
      <x:c r="F319" s="92"/>
      <x:c r="G319" s="93" t="str">
        <x:f>IF(B319="","",E319-F319)</x:f>
      </x:c>
      <x:c r="H319" s="100" t="str">
        <x:f>IF(B319="","",IF(D319="TL",1,IF(D319="USD",KURLAR!$C$9,IF(D319="EUR",KURLAR!$C$10,0))))</x:f>
      </x:c>
      <x:c r="I319" s="68" t="str">
        <x:f>IF(B319="","",G319*H319)</x:f>
      </x:c>
      <x:c r="J319" s="52" t="str">
        <x:f>IF(B319="","",IF(G319&lt;0,"NEGATİF BAKİYE","UYGUN"))</x:f>
      </x:c>
    </x:row>
    <x:row r="320">
      <x:c r="B320" s="46"/>
      <x:c r="C320" s="46"/>
      <x:c r="D320" s="46"/>
      <x:c r="E320" s="92"/>
      <x:c r="F320" s="92"/>
      <x:c r="G320" s="93" t="str">
        <x:f>IF(B320="","",E320-F320)</x:f>
      </x:c>
      <x:c r="H320" s="100" t="str">
        <x:f>IF(B320="","",IF(D320="TL",1,IF(D320="USD",KURLAR!$C$9,IF(D320="EUR",KURLAR!$C$10,0))))</x:f>
      </x:c>
      <x:c r="I320" s="68" t="str">
        <x:f>IF(B320="","",G320*H320)</x:f>
      </x:c>
      <x:c r="J320" s="52" t="str">
        <x:f>IF(B320="","",IF(G320&lt;0,"NEGATİF BAKİYE","UYGUN"))</x:f>
      </x:c>
    </x:row>
    <x:row r="321">
      <x:c r="B321" s="46"/>
      <x:c r="C321" s="46"/>
      <x:c r="D321" s="46"/>
      <x:c r="E321" s="92"/>
      <x:c r="F321" s="92"/>
      <x:c r="G321" s="93" t="str">
        <x:f>IF(B321="","",E321-F321)</x:f>
      </x:c>
      <x:c r="H321" s="100" t="str">
        <x:f>IF(B321="","",IF(D321="TL",1,IF(D321="USD",KURLAR!$C$9,IF(D321="EUR",KURLAR!$C$10,0))))</x:f>
      </x:c>
      <x:c r="I321" s="68" t="str">
        <x:f>IF(B321="","",G321*H321)</x:f>
      </x:c>
      <x:c r="J321" s="52" t="str">
        <x:f>IF(B321="","",IF(G321&lt;0,"NEGATİF BAKİYE","UYGUN"))</x:f>
      </x:c>
    </x:row>
    <x:row r="322">
      <x:c r="B322" s="46"/>
      <x:c r="C322" s="46"/>
      <x:c r="D322" s="46"/>
      <x:c r="E322" s="92"/>
      <x:c r="F322" s="92"/>
      <x:c r="G322" s="93" t="str">
        <x:f>IF(B322="","",E322-F322)</x:f>
      </x:c>
      <x:c r="H322" s="100" t="str">
        <x:f>IF(B322="","",IF(D322="TL",1,IF(D322="USD",KURLAR!$C$9,IF(D322="EUR",KURLAR!$C$10,0))))</x:f>
      </x:c>
      <x:c r="I322" s="68" t="str">
        <x:f>IF(B322="","",G322*H322)</x:f>
      </x:c>
      <x:c r="J322" s="52" t="str">
        <x:f>IF(B322="","",IF(G322&lt;0,"NEGATİF BAKİYE","UYGUN"))</x:f>
      </x:c>
    </x:row>
    <x:row r="323">
      <x:c r="B323" s="46"/>
      <x:c r="C323" s="46"/>
      <x:c r="D323" s="46"/>
      <x:c r="E323" s="92"/>
      <x:c r="F323" s="92"/>
      <x:c r="G323" s="93" t="str">
        <x:f>IF(B323="","",E323-F323)</x:f>
      </x:c>
      <x:c r="H323" s="100" t="str">
        <x:f>IF(B323="","",IF(D323="TL",1,IF(D323="USD",KURLAR!$C$9,IF(D323="EUR",KURLAR!$C$10,0))))</x:f>
      </x:c>
      <x:c r="I323" s="68" t="str">
        <x:f>IF(B323="","",G323*H323)</x:f>
      </x:c>
      <x:c r="J323" s="52" t="str">
        <x:f>IF(B323="","",IF(G323&lt;0,"NEGATİF BAKİYE","UYGUN"))</x:f>
      </x:c>
    </x:row>
    <x:row r="324">
      <x:c r="B324" s="46"/>
      <x:c r="C324" s="46"/>
      <x:c r="D324" s="46"/>
      <x:c r="E324" s="92"/>
      <x:c r="F324" s="92"/>
      <x:c r="G324" s="93" t="str">
        <x:f>IF(B324="","",E324-F324)</x:f>
      </x:c>
      <x:c r="H324" s="100" t="str">
        <x:f>IF(B324="","",IF(D324="TL",1,IF(D324="USD",KURLAR!$C$9,IF(D324="EUR",KURLAR!$C$10,0))))</x:f>
      </x:c>
      <x:c r="I324" s="68" t="str">
        <x:f>IF(B324="","",G324*H324)</x:f>
      </x:c>
      <x:c r="J324" s="52" t="str">
        <x:f>IF(B324="","",IF(G324&lt;0,"NEGATİF BAKİYE","UYGUN"))</x:f>
      </x:c>
    </x:row>
    <x:row r="325">
      <x:c r="B325" s="46"/>
      <x:c r="C325" s="46"/>
      <x:c r="D325" s="46"/>
      <x:c r="E325" s="92"/>
      <x:c r="F325" s="92"/>
      <x:c r="G325" s="93" t="str">
        <x:f>IF(B325="","",E325-F325)</x:f>
      </x:c>
      <x:c r="H325" s="100" t="str">
        <x:f>IF(B325="","",IF(D325="TL",1,IF(D325="USD",KURLAR!$C$9,IF(D325="EUR",KURLAR!$C$10,0))))</x:f>
      </x:c>
      <x:c r="I325" s="68" t="str">
        <x:f>IF(B325="","",G325*H325)</x:f>
      </x:c>
      <x:c r="J325" s="52" t="str">
        <x:f>IF(B325="","",IF(G325&lt;0,"NEGATİF BAKİYE","UYGUN"))</x:f>
      </x:c>
    </x:row>
    <x:row r="326">
      <x:c r="B326" s="46"/>
      <x:c r="C326" s="46"/>
      <x:c r="D326" s="46"/>
      <x:c r="E326" s="92"/>
      <x:c r="F326" s="92"/>
      <x:c r="G326" s="93" t="str">
        <x:f>IF(B326="","",E326-F326)</x:f>
      </x:c>
      <x:c r="H326" s="100" t="str">
        <x:f>IF(B326="","",IF(D326="TL",1,IF(D326="USD",KURLAR!$C$9,IF(D326="EUR",KURLAR!$C$10,0))))</x:f>
      </x:c>
      <x:c r="I326" s="68" t="str">
        <x:f>IF(B326="","",G326*H326)</x:f>
      </x:c>
      <x:c r="J326" s="52" t="str">
        <x:f>IF(B326="","",IF(G326&lt;0,"NEGATİF BAKİYE","UYGUN"))</x:f>
      </x:c>
    </x:row>
    <x:row r="327">
      <x:c r="B327" s="46"/>
      <x:c r="C327" s="46"/>
      <x:c r="D327" s="46"/>
      <x:c r="E327" s="92"/>
      <x:c r="F327" s="92"/>
      <x:c r="G327" s="93" t="str">
        <x:f>IF(B327="","",E327-F327)</x:f>
      </x:c>
      <x:c r="H327" s="100" t="str">
        <x:f>IF(B327="","",IF(D327="TL",1,IF(D327="USD",KURLAR!$C$9,IF(D327="EUR",KURLAR!$C$10,0))))</x:f>
      </x:c>
      <x:c r="I327" s="68" t="str">
        <x:f>IF(B327="","",G327*H327)</x:f>
      </x:c>
      <x:c r="J327" s="52" t="str">
        <x:f>IF(B327="","",IF(G327&lt;0,"NEGATİF BAKİYE","UYGUN"))</x:f>
      </x:c>
    </x:row>
    <x:row r="328">
      <x:c r="B328" s="46"/>
      <x:c r="C328" s="46"/>
      <x:c r="D328" s="46"/>
      <x:c r="E328" s="92"/>
      <x:c r="F328" s="92"/>
      <x:c r="G328" s="93" t="str">
        <x:f>IF(B328="","",E328-F328)</x:f>
      </x:c>
      <x:c r="H328" s="100" t="str">
        <x:f>IF(B328="","",IF(D328="TL",1,IF(D328="USD",KURLAR!$C$9,IF(D328="EUR",KURLAR!$C$10,0))))</x:f>
      </x:c>
      <x:c r="I328" s="68" t="str">
        <x:f>IF(B328="","",G328*H328)</x:f>
      </x:c>
      <x:c r="J328" s="52" t="str">
        <x:f>IF(B328="","",IF(G328&lt;0,"NEGATİF BAKİYE","UYGUN"))</x:f>
      </x:c>
    </x:row>
    <x:row r="329">
      <x:c r="B329" s="46"/>
      <x:c r="C329" s="46"/>
      <x:c r="D329" s="46"/>
      <x:c r="E329" s="92"/>
      <x:c r="F329" s="92"/>
      <x:c r="G329" s="93" t="str">
        <x:f>IF(B329="","",E329-F329)</x:f>
      </x:c>
      <x:c r="H329" s="100" t="str">
        <x:f>IF(B329="","",IF(D329="TL",1,IF(D329="USD",KURLAR!$C$9,IF(D329="EUR",KURLAR!$C$10,0))))</x:f>
      </x:c>
      <x:c r="I329" s="68" t="str">
        <x:f>IF(B329="","",G329*H329)</x:f>
      </x:c>
      <x:c r="J329" s="52" t="str">
        <x:f>IF(B329="","",IF(G329&lt;0,"NEGATİF BAKİYE","UYGUN"))</x:f>
      </x:c>
    </x:row>
    <x:row r="330">
      <x:c r="B330" s="46"/>
      <x:c r="C330" s="46"/>
      <x:c r="D330" s="46"/>
      <x:c r="E330" s="92"/>
      <x:c r="F330" s="92"/>
      <x:c r="G330" s="93" t="str">
        <x:f>IF(B330="","",E330-F330)</x:f>
      </x:c>
      <x:c r="H330" s="100" t="str">
        <x:f>IF(B330="","",IF(D330="TL",1,IF(D330="USD",KURLAR!$C$9,IF(D330="EUR",KURLAR!$C$10,0))))</x:f>
      </x:c>
      <x:c r="I330" s="68" t="str">
        <x:f>IF(B330="","",G330*H330)</x:f>
      </x:c>
      <x:c r="J330" s="52" t="str">
        <x:f>IF(B330="","",IF(G330&lt;0,"NEGATİF BAKİYE","UYGUN"))</x:f>
      </x:c>
    </x:row>
    <x:row r="331">
      <x:c r="B331" s="46"/>
      <x:c r="C331" s="46"/>
      <x:c r="D331" s="46"/>
      <x:c r="E331" s="92"/>
      <x:c r="F331" s="92"/>
      <x:c r="G331" s="93" t="str">
        <x:f>IF(B331="","",E331-F331)</x:f>
      </x:c>
      <x:c r="H331" s="100" t="str">
        <x:f>IF(B331="","",IF(D331="TL",1,IF(D331="USD",KURLAR!$C$9,IF(D331="EUR",KURLAR!$C$10,0))))</x:f>
      </x:c>
      <x:c r="I331" s="68" t="str">
        <x:f>IF(B331="","",G331*H331)</x:f>
      </x:c>
      <x:c r="J331" s="52" t="str">
        <x:f>IF(B331="","",IF(G331&lt;0,"NEGATİF BAKİYE","UYGUN"))</x:f>
      </x:c>
    </x:row>
    <x:row r="332">
      <x:c r="B332" s="46"/>
      <x:c r="C332" s="46"/>
      <x:c r="D332" s="46"/>
      <x:c r="E332" s="92"/>
      <x:c r="F332" s="92"/>
      <x:c r="G332" s="93" t="str">
        <x:f>IF(B332="","",E332-F332)</x:f>
      </x:c>
      <x:c r="H332" s="100" t="str">
        <x:f>IF(B332="","",IF(D332="TL",1,IF(D332="USD",KURLAR!$C$9,IF(D332="EUR",KURLAR!$C$10,0))))</x:f>
      </x:c>
      <x:c r="I332" s="68" t="str">
        <x:f>IF(B332="","",G332*H332)</x:f>
      </x:c>
      <x:c r="J332" s="52" t="str">
        <x:f>IF(B332="","",IF(G332&lt;0,"NEGATİF BAKİYE","UYGUN"))</x:f>
      </x:c>
    </x:row>
    <x:row r="333">
      <x:c r="B333" s="46"/>
      <x:c r="C333" s="46"/>
      <x:c r="D333" s="46"/>
      <x:c r="E333" s="92"/>
      <x:c r="F333" s="92"/>
      <x:c r="G333" s="93" t="str">
        <x:f>IF(B333="","",E333-F333)</x:f>
      </x:c>
      <x:c r="H333" s="100" t="str">
        <x:f>IF(B333="","",IF(D333="TL",1,IF(D333="USD",KURLAR!$C$9,IF(D333="EUR",KURLAR!$C$10,0))))</x:f>
      </x:c>
      <x:c r="I333" s="68" t="str">
        <x:f>IF(B333="","",G333*H333)</x:f>
      </x:c>
      <x:c r="J333" s="52" t="str">
        <x:f>IF(B333="","",IF(G333&lt;0,"NEGATİF BAKİYE","UYGUN"))</x:f>
      </x:c>
    </x:row>
    <x:row r="334">
      <x:c r="B334" s="46"/>
      <x:c r="C334" s="46"/>
      <x:c r="D334" s="46"/>
      <x:c r="E334" s="92"/>
      <x:c r="F334" s="92"/>
      <x:c r="G334" s="93" t="str">
        <x:f>IF(B334="","",E334-F334)</x:f>
      </x:c>
      <x:c r="H334" s="100" t="str">
        <x:f>IF(B334="","",IF(D334="TL",1,IF(D334="USD",KURLAR!$C$9,IF(D334="EUR",KURLAR!$C$10,0))))</x:f>
      </x:c>
      <x:c r="I334" s="68" t="str">
        <x:f>IF(B334="","",G334*H334)</x:f>
      </x:c>
      <x:c r="J334" s="52" t="str">
        <x:f>IF(B334="","",IF(G334&lt;0,"NEGATİF BAKİYE","UYGUN"))</x:f>
      </x:c>
    </x:row>
    <x:row r="335">
      <x:c r="B335" s="46"/>
      <x:c r="C335" s="46"/>
      <x:c r="D335" s="46"/>
      <x:c r="E335" s="92"/>
      <x:c r="F335" s="92"/>
      <x:c r="G335" s="93" t="str">
        <x:f>IF(B335="","",E335-F335)</x:f>
      </x:c>
      <x:c r="H335" s="100" t="str">
        <x:f>IF(B335="","",IF(D335="TL",1,IF(D335="USD",KURLAR!$C$9,IF(D335="EUR",KURLAR!$C$10,0))))</x:f>
      </x:c>
      <x:c r="I335" s="68" t="str">
        <x:f>IF(B335="","",G335*H335)</x:f>
      </x:c>
      <x:c r="J335" s="52" t="str">
        <x:f>IF(B335="","",IF(G335&lt;0,"NEGATİF BAKİYE","UYGUN"))</x:f>
      </x:c>
    </x:row>
    <x:row r="336">
      <x:c r="B336" s="46"/>
      <x:c r="C336" s="46"/>
      <x:c r="D336" s="46"/>
      <x:c r="E336" s="92"/>
      <x:c r="F336" s="92"/>
      <x:c r="G336" s="93" t="str">
        <x:f>IF(B336="","",E336-F336)</x:f>
      </x:c>
      <x:c r="H336" s="100" t="str">
        <x:f>IF(B336="","",IF(D336="TL",1,IF(D336="USD",KURLAR!$C$9,IF(D336="EUR",KURLAR!$C$10,0))))</x:f>
      </x:c>
      <x:c r="I336" s="68" t="str">
        <x:f>IF(B336="","",G336*H336)</x:f>
      </x:c>
      <x:c r="J336" s="52" t="str">
        <x:f>IF(B336="","",IF(G336&lt;0,"NEGATİF BAKİYE","UYGUN"))</x:f>
      </x:c>
    </x:row>
    <x:row r="337">
      <x:c r="B337" s="46"/>
      <x:c r="C337" s="46"/>
      <x:c r="D337" s="46"/>
      <x:c r="E337" s="92"/>
      <x:c r="F337" s="92"/>
      <x:c r="G337" s="93" t="str">
        <x:f>IF(B337="","",E337-F337)</x:f>
      </x:c>
      <x:c r="H337" s="100" t="str">
        <x:f>IF(B337="","",IF(D337="TL",1,IF(D337="USD",KURLAR!$C$9,IF(D337="EUR",KURLAR!$C$10,0))))</x:f>
      </x:c>
      <x:c r="I337" s="68" t="str">
        <x:f>IF(B337="","",G337*H337)</x:f>
      </x:c>
      <x:c r="J337" s="52" t="str">
        <x:f>IF(B337="","",IF(G337&lt;0,"NEGATİF BAKİYE","UYGUN"))</x:f>
      </x:c>
    </x:row>
    <x:row r="338">
      <x:c r="B338" s="46"/>
      <x:c r="C338" s="46"/>
      <x:c r="D338" s="46"/>
      <x:c r="E338" s="92"/>
      <x:c r="F338" s="92"/>
      <x:c r="G338" s="93" t="str">
        <x:f>IF(B338="","",E338-F338)</x:f>
      </x:c>
      <x:c r="H338" s="100" t="str">
        <x:f>IF(B338="","",IF(D338="TL",1,IF(D338="USD",KURLAR!$C$9,IF(D338="EUR",KURLAR!$C$10,0))))</x:f>
      </x:c>
      <x:c r="I338" s="68" t="str">
        <x:f>IF(B338="","",G338*H338)</x:f>
      </x:c>
      <x:c r="J338" s="52" t="str">
        <x:f>IF(B338="","",IF(G338&lt;0,"NEGATİF BAKİYE","UYGUN"))</x:f>
      </x:c>
    </x:row>
    <x:row r="339">
      <x:c r="B339" s="46"/>
      <x:c r="C339" s="46"/>
      <x:c r="D339" s="46"/>
      <x:c r="E339" s="92"/>
      <x:c r="F339" s="92"/>
      <x:c r="G339" s="93" t="str">
        <x:f>IF(B339="","",E339-F339)</x:f>
      </x:c>
      <x:c r="H339" s="100" t="str">
        <x:f>IF(B339="","",IF(D339="TL",1,IF(D339="USD",KURLAR!$C$9,IF(D339="EUR",KURLAR!$C$10,0))))</x:f>
      </x:c>
      <x:c r="I339" s="68" t="str">
        <x:f>IF(B339="","",G339*H339)</x:f>
      </x:c>
      <x:c r="J339" s="52" t="str">
        <x:f>IF(B339="","",IF(G339&lt;0,"NEGATİF BAKİYE","UYGUN"))</x:f>
      </x:c>
    </x:row>
    <x:row r="340">
      <x:c r="B340" s="46"/>
      <x:c r="C340" s="46"/>
      <x:c r="D340" s="46"/>
      <x:c r="E340" s="92"/>
      <x:c r="F340" s="92"/>
      <x:c r="G340" s="93" t="str">
        <x:f>IF(B340="","",E340-F340)</x:f>
      </x:c>
      <x:c r="H340" s="100" t="str">
        <x:f>IF(B340="","",IF(D340="TL",1,IF(D340="USD",KURLAR!$C$9,IF(D340="EUR",KURLAR!$C$10,0))))</x:f>
      </x:c>
      <x:c r="I340" s="68" t="str">
        <x:f>IF(B340="","",G340*H340)</x:f>
      </x:c>
      <x:c r="J340" s="52" t="str">
        <x:f>IF(B340="","",IF(G340&lt;0,"NEGATİF BAKİYE","UYGUN"))</x:f>
      </x:c>
    </x:row>
    <x:row r="341">
      <x:c r="B341" s="46"/>
      <x:c r="C341" s="46"/>
      <x:c r="D341" s="46"/>
      <x:c r="E341" s="92"/>
      <x:c r="F341" s="92"/>
      <x:c r="G341" s="93" t="str">
        <x:f>IF(B341="","",E341-F341)</x:f>
      </x:c>
      <x:c r="H341" s="100" t="str">
        <x:f>IF(B341="","",IF(D341="TL",1,IF(D341="USD",KURLAR!$C$9,IF(D341="EUR",KURLAR!$C$10,0))))</x:f>
      </x:c>
      <x:c r="I341" s="68" t="str">
        <x:f>IF(B341="","",G341*H341)</x:f>
      </x:c>
      <x:c r="J341" s="52" t="str">
        <x:f>IF(B341="","",IF(G341&lt;0,"NEGATİF BAKİYE","UYGUN"))</x:f>
      </x:c>
    </x:row>
    <x:row r="342">
      <x:c r="B342" s="46"/>
      <x:c r="C342" s="46"/>
      <x:c r="D342" s="46"/>
      <x:c r="E342" s="92"/>
      <x:c r="F342" s="92"/>
      <x:c r="G342" s="93" t="str">
        <x:f>IF(B342="","",E342-F342)</x:f>
      </x:c>
      <x:c r="H342" s="100" t="str">
        <x:f>IF(B342="","",IF(D342="TL",1,IF(D342="USD",KURLAR!$C$9,IF(D342="EUR",KURLAR!$C$10,0))))</x:f>
      </x:c>
      <x:c r="I342" s="68" t="str">
        <x:f>IF(B342="","",G342*H342)</x:f>
      </x:c>
      <x:c r="J342" s="52" t="str">
        <x:f>IF(B342="","",IF(G342&lt;0,"NEGATİF BAKİYE","UYGUN"))</x:f>
      </x:c>
    </x:row>
    <x:row r="343">
      <x:c r="B343" s="46"/>
      <x:c r="C343" s="46"/>
      <x:c r="D343" s="46"/>
      <x:c r="E343" s="92"/>
      <x:c r="F343" s="92"/>
      <x:c r="G343" s="93" t="str">
        <x:f>IF(B343="","",E343-F343)</x:f>
      </x:c>
      <x:c r="H343" s="100" t="str">
        <x:f>IF(B343="","",IF(D343="TL",1,IF(D343="USD",KURLAR!$C$9,IF(D343="EUR",KURLAR!$C$10,0))))</x:f>
      </x:c>
      <x:c r="I343" s="68" t="str">
        <x:f>IF(B343="","",G343*H343)</x:f>
      </x:c>
      <x:c r="J343" s="52" t="str">
        <x:f>IF(B343="","",IF(G343&lt;0,"NEGATİF BAKİYE","UYGUN"))</x:f>
      </x:c>
    </x:row>
    <x:row r="344">
      <x:c r="B344" s="46"/>
      <x:c r="C344" s="46"/>
      <x:c r="D344" s="46"/>
      <x:c r="E344" s="92"/>
      <x:c r="F344" s="92"/>
      <x:c r="G344" s="93" t="str">
        <x:f>IF(B344="","",E344-F344)</x:f>
      </x:c>
      <x:c r="H344" s="100" t="str">
        <x:f>IF(B344="","",IF(D344="TL",1,IF(D344="USD",KURLAR!$C$9,IF(D344="EUR",KURLAR!$C$10,0))))</x:f>
      </x:c>
      <x:c r="I344" s="68" t="str">
        <x:f>IF(B344="","",G344*H344)</x:f>
      </x:c>
      <x:c r="J344" s="52" t="str">
        <x:f>IF(B344="","",IF(G344&lt;0,"NEGATİF BAKİYE","UYGUN"))</x:f>
      </x:c>
    </x:row>
    <x:row r="345">
      <x:c r="B345" s="46"/>
      <x:c r="C345" s="46"/>
      <x:c r="D345" s="46"/>
      <x:c r="E345" s="92"/>
      <x:c r="F345" s="92"/>
      <x:c r="G345" s="93" t="str">
        <x:f>IF(B345="","",E345-F345)</x:f>
      </x:c>
      <x:c r="H345" s="100" t="str">
        <x:f>IF(B345="","",IF(D345="TL",1,IF(D345="USD",KURLAR!$C$9,IF(D345="EUR",KURLAR!$C$10,0))))</x:f>
      </x:c>
      <x:c r="I345" s="68" t="str">
        <x:f>IF(B345="","",G345*H345)</x:f>
      </x:c>
      <x:c r="J345" s="52" t="str">
        <x:f>IF(B345="","",IF(G345&lt;0,"NEGATİF BAKİYE","UYGUN"))</x:f>
      </x:c>
    </x:row>
    <x:row r="346">
      <x:c r="B346" s="46"/>
      <x:c r="C346" s="46"/>
      <x:c r="D346" s="46"/>
      <x:c r="E346" s="92"/>
      <x:c r="F346" s="92"/>
      <x:c r="G346" s="93" t="str">
        <x:f>IF(B346="","",E346-F346)</x:f>
      </x:c>
      <x:c r="H346" s="100" t="str">
        <x:f>IF(B346="","",IF(D346="TL",1,IF(D346="USD",KURLAR!$C$9,IF(D346="EUR",KURLAR!$C$10,0))))</x:f>
      </x:c>
      <x:c r="I346" s="68" t="str">
        <x:f>IF(B346="","",G346*H346)</x:f>
      </x:c>
      <x:c r="J346" s="52" t="str">
        <x:f>IF(B346="","",IF(G346&lt;0,"NEGATİF BAKİYE","UYGUN"))</x:f>
      </x:c>
    </x:row>
    <x:row r="347">
      <x:c r="B347" s="46"/>
      <x:c r="C347" s="46"/>
      <x:c r="D347" s="46"/>
      <x:c r="E347" s="92"/>
      <x:c r="F347" s="92"/>
      <x:c r="G347" s="93" t="str">
        <x:f>IF(B347="","",E347-F347)</x:f>
      </x:c>
      <x:c r="H347" s="100" t="str">
        <x:f>IF(B347="","",IF(D347="TL",1,IF(D347="USD",KURLAR!$C$9,IF(D347="EUR",KURLAR!$C$10,0))))</x:f>
      </x:c>
      <x:c r="I347" s="68" t="str">
        <x:f>IF(B347="","",G347*H347)</x:f>
      </x:c>
      <x:c r="J347" s="52" t="str">
        <x:f>IF(B347="","",IF(G347&lt;0,"NEGATİF BAKİYE","UYGUN"))</x:f>
      </x:c>
    </x:row>
    <x:row r="348">
      <x:c r="B348" s="46"/>
      <x:c r="C348" s="46"/>
      <x:c r="D348" s="46"/>
      <x:c r="E348" s="92"/>
      <x:c r="F348" s="92"/>
      <x:c r="G348" s="93" t="str">
        <x:f>IF(B348="","",E348-F348)</x:f>
      </x:c>
      <x:c r="H348" s="100" t="str">
        <x:f>IF(B348="","",IF(D348="TL",1,IF(D348="USD",KURLAR!$C$9,IF(D348="EUR",KURLAR!$C$10,0))))</x:f>
      </x:c>
      <x:c r="I348" s="68" t="str">
        <x:f>IF(B348="","",G348*H348)</x:f>
      </x:c>
      <x:c r="J348" s="52" t="str">
        <x:f>IF(B348="","",IF(G348&lt;0,"NEGATİF BAKİYE","UYGUN"))</x:f>
      </x:c>
    </x:row>
    <x:row r="349">
      <x:c r="B349" s="46"/>
      <x:c r="C349" s="46"/>
      <x:c r="D349" s="46"/>
      <x:c r="E349" s="92"/>
      <x:c r="F349" s="92"/>
      <x:c r="G349" s="93" t="str">
        <x:f>IF(B349="","",E349-F349)</x:f>
      </x:c>
      <x:c r="H349" s="100" t="str">
        <x:f>IF(B349="","",IF(D349="TL",1,IF(D349="USD",KURLAR!$C$9,IF(D349="EUR",KURLAR!$C$10,0))))</x:f>
      </x:c>
      <x:c r="I349" s="68" t="str">
        <x:f>IF(B349="","",G349*H349)</x:f>
      </x:c>
      <x:c r="J349" s="52" t="str">
        <x:f>IF(B349="","",IF(G349&lt;0,"NEGATİF BAKİYE","UYGUN"))</x:f>
      </x:c>
    </x:row>
    <x:row r="350">
      <x:c r="B350" s="46"/>
      <x:c r="C350" s="46"/>
      <x:c r="D350" s="46"/>
      <x:c r="E350" s="92"/>
      <x:c r="F350" s="92"/>
      <x:c r="G350" s="93" t="str">
        <x:f>IF(B350="","",E350-F350)</x:f>
      </x:c>
      <x:c r="H350" s="100" t="str">
        <x:f>IF(B350="","",IF(D350="TL",1,IF(D350="USD",KURLAR!$C$9,IF(D350="EUR",KURLAR!$C$10,0))))</x:f>
      </x:c>
      <x:c r="I350" s="68" t="str">
        <x:f>IF(B350="","",G350*H350)</x:f>
      </x:c>
      <x:c r="J350" s="52" t="str">
        <x:f>IF(B350="","",IF(G350&lt;0,"NEGATİF BAKİYE","UYGUN"))</x:f>
      </x:c>
    </x:row>
    <x:row r="351">
      <x:c r="B351" s="46"/>
      <x:c r="C351" s="46"/>
      <x:c r="D351" s="46"/>
      <x:c r="E351" s="92"/>
      <x:c r="F351" s="92"/>
      <x:c r="G351" s="93" t="str">
        <x:f>IF(B351="","",E351-F351)</x:f>
      </x:c>
      <x:c r="H351" s="100" t="str">
        <x:f>IF(B351="","",IF(D351="TL",1,IF(D351="USD",KURLAR!$C$9,IF(D351="EUR",KURLAR!$C$10,0))))</x:f>
      </x:c>
      <x:c r="I351" s="68" t="str">
        <x:f>IF(B351="","",G351*H351)</x:f>
      </x:c>
      <x:c r="J351" s="52" t="str">
        <x:f>IF(B351="","",IF(G351&lt;0,"NEGATİF BAKİYE","UYGUN"))</x:f>
      </x:c>
    </x:row>
    <x:row r="352">
      <x:c r="B352" s="46"/>
      <x:c r="C352" s="46"/>
      <x:c r="D352" s="46"/>
      <x:c r="E352" s="92"/>
      <x:c r="F352" s="92"/>
      <x:c r="G352" s="93" t="str">
        <x:f>IF(B352="","",E352-F352)</x:f>
      </x:c>
      <x:c r="H352" s="100" t="str">
        <x:f>IF(B352="","",IF(D352="TL",1,IF(D352="USD",KURLAR!$C$9,IF(D352="EUR",KURLAR!$C$10,0))))</x:f>
      </x:c>
      <x:c r="I352" s="68" t="str">
        <x:f>IF(B352="","",G352*H352)</x:f>
      </x:c>
      <x:c r="J352" s="52" t="str">
        <x:f>IF(B352="","",IF(G352&lt;0,"NEGATİF BAKİYE","UYGUN"))</x:f>
      </x:c>
    </x:row>
    <x:row r="353">
      <x:c r="B353" s="46"/>
      <x:c r="C353" s="46"/>
      <x:c r="D353" s="46"/>
      <x:c r="E353" s="92"/>
      <x:c r="F353" s="92"/>
      <x:c r="G353" s="93" t="str">
        <x:f>IF(B353="","",E353-F353)</x:f>
      </x:c>
      <x:c r="H353" s="100" t="str">
        <x:f>IF(B353="","",IF(D353="TL",1,IF(D353="USD",KURLAR!$C$9,IF(D353="EUR",KURLAR!$C$10,0))))</x:f>
      </x:c>
      <x:c r="I353" s="68" t="str">
        <x:f>IF(B353="","",G353*H353)</x:f>
      </x:c>
      <x:c r="J353" s="52" t="str">
        <x:f>IF(B353="","",IF(G353&lt;0,"NEGATİF BAKİYE","UYGUN"))</x:f>
      </x:c>
    </x:row>
    <x:row r="354">
      <x:c r="B354" s="46"/>
      <x:c r="C354" s="46"/>
      <x:c r="D354" s="46"/>
      <x:c r="E354" s="92"/>
      <x:c r="F354" s="92"/>
      <x:c r="G354" s="93" t="str">
        <x:f>IF(B354="","",E354-F354)</x:f>
      </x:c>
      <x:c r="H354" s="100" t="str">
        <x:f>IF(B354="","",IF(D354="TL",1,IF(D354="USD",KURLAR!$C$9,IF(D354="EUR",KURLAR!$C$10,0))))</x:f>
      </x:c>
      <x:c r="I354" s="68" t="str">
        <x:f>IF(B354="","",G354*H354)</x:f>
      </x:c>
      <x:c r="J354" s="52" t="str">
        <x:f>IF(B354="","",IF(G354&lt;0,"NEGATİF BAKİYE","UYGUN"))</x:f>
      </x:c>
    </x:row>
    <x:row r="355">
      <x:c r="B355" s="46"/>
      <x:c r="C355" s="46"/>
      <x:c r="D355" s="46"/>
      <x:c r="E355" s="92"/>
      <x:c r="F355" s="92"/>
      <x:c r="G355" s="93" t="str">
        <x:f>IF(B355="","",E355-F355)</x:f>
      </x:c>
      <x:c r="H355" s="100" t="str">
        <x:f>IF(B355="","",IF(D355="TL",1,IF(D355="USD",KURLAR!$C$9,IF(D355="EUR",KURLAR!$C$10,0))))</x:f>
      </x:c>
      <x:c r="I355" s="68" t="str">
        <x:f>IF(B355="","",G355*H355)</x:f>
      </x:c>
      <x:c r="J355" s="52" t="str">
        <x:f>IF(B355="","",IF(G355&lt;0,"NEGATİF BAKİYE","UYGUN"))</x:f>
      </x:c>
    </x:row>
    <x:row r="356">
      <x:c r="B356" s="46"/>
      <x:c r="C356" s="46"/>
      <x:c r="D356" s="46"/>
      <x:c r="E356" s="92"/>
      <x:c r="F356" s="92"/>
      <x:c r="G356" s="93" t="str">
        <x:f>IF(B356="","",E356-F356)</x:f>
      </x:c>
      <x:c r="H356" s="100" t="str">
        <x:f>IF(B356="","",IF(D356="TL",1,IF(D356="USD",KURLAR!$C$9,IF(D356="EUR",KURLAR!$C$10,0))))</x:f>
      </x:c>
      <x:c r="I356" s="68" t="str">
        <x:f>IF(B356="","",G356*H356)</x:f>
      </x:c>
      <x:c r="J356" s="52" t="str">
        <x:f>IF(B356="","",IF(G356&lt;0,"NEGATİF BAKİYE","UYGUN"))</x:f>
      </x:c>
    </x:row>
    <x:row r="357">
      <x:c r="B357" s="46"/>
      <x:c r="C357" s="46"/>
      <x:c r="D357" s="46"/>
      <x:c r="E357" s="92"/>
      <x:c r="F357" s="92"/>
      <x:c r="G357" s="93" t="str">
        <x:f>IF(B357="","",E357-F357)</x:f>
      </x:c>
      <x:c r="H357" s="100" t="str">
        <x:f>IF(B357="","",IF(D357="TL",1,IF(D357="USD",KURLAR!$C$9,IF(D357="EUR",KURLAR!$C$10,0))))</x:f>
      </x:c>
      <x:c r="I357" s="68" t="str">
        <x:f>IF(B357="","",G357*H357)</x:f>
      </x:c>
      <x:c r="J357" s="52" t="str">
        <x:f>IF(B357="","",IF(G357&lt;0,"NEGATİF BAKİYE","UYGUN"))</x:f>
      </x:c>
    </x:row>
    <x:row r="358">
      <x:c r="B358" s="46"/>
      <x:c r="C358" s="46"/>
      <x:c r="D358" s="46"/>
      <x:c r="E358" s="92"/>
      <x:c r="F358" s="92"/>
      <x:c r="G358" s="93" t="str">
        <x:f>IF(B358="","",E358-F358)</x:f>
      </x:c>
      <x:c r="H358" s="100" t="str">
        <x:f>IF(B358="","",IF(D358="TL",1,IF(D358="USD",KURLAR!$C$9,IF(D358="EUR",KURLAR!$C$10,0))))</x:f>
      </x:c>
      <x:c r="I358" s="68" t="str">
        <x:f>IF(B358="","",G358*H358)</x:f>
      </x:c>
      <x:c r="J358" s="52" t="str">
        <x:f>IF(B358="","",IF(G358&lt;0,"NEGATİF BAKİYE","UYGUN"))</x:f>
      </x:c>
    </x:row>
    <x:row r="359">
      <x:c r="B359" s="46"/>
      <x:c r="C359" s="46"/>
      <x:c r="D359" s="46"/>
      <x:c r="E359" s="92"/>
      <x:c r="F359" s="92"/>
      <x:c r="G359" s="93" t="str">
        <x:f>IF(B359="","",E359-F359)</x:f>
      </x:c>
      <x:c r="H359" s="100" t="str">
        <x:f>IF(B359="","",IF(D359="TL",1,IF(D359="USD",KURLAR!$C$9,IF(D359="EUR",KURLAR!$C$10,0))))</x:f>
      </x:c>
      <x:c r="I359" s="68" t="str">
        <x:f>IF(B359="","",G359*H359)</x:f>
      </x:c>
      <x:c r="J359" s="52" t="str">
        <x:f>IF(B359="","",IF(G359&lt;0,"NEGATİF BAKİYE","UYGUN"))</x:f>
      </x:c>
    </x:row>
    <x:row r="360">
      <x:c r="B360" s="46"/>
      <x:c r="C360" s="46"/>
      <x:c r="D360" s="46"/>
      <x:c r="E360" s="92"/>
      <x:c r="F360" s="92"/>
      <x:c r="G360" s="93" t="str">
        <x:f>IF(B360="","",E360-F360)</x:f>
      </x:c>
      <x:c r="H360" s="100" t="str">
        <x:f>IF(B360="","",IF(D360="TL",1,IF(D360="USD",KURLAR!$C$9,IF(D360="EUR",KURLAR!$C$10,0))))</x:f>
      </x:c>
      <x:c r="I360" s="68" t="str">
        <x:f>IF(B360="","",G360*H360)</x:f>
      </x:c>
      <x:c r="J360" s="52" t="str">
        <x:f>IF(B360="","",IF(G360&lt;0,"NEGATİF BAKİYE","UYGUN"))</x:f>
      </x:c>
    </x:row>
    <x:row r="361">
      <x:c r="B361" s="46"/>
      <x:c r="C361" s="46"/>
      <x:c r="D361" s="46"/>
      <x:c r="E361" s="92"/>
      <x:c r="F361" s="92"/>
      <x:c r="G361" s="93" t="str">
        <x:f>IF(B361="","",E361-F361)</x:f>
      </x:c>
      <x:c r="H361" s="100" t="str">
        <x:f>IF(B361="","",IF(D361="TL",1,IF(D361="USD",KURLAR!$C$9,IF(D361="EUR",KURLAR!$C$10,0))))</x:f>
      </x:c>
      <x:c r="I361" s="68" t="str">
        <x:f>IF(B361="","",G361*H361)</x:f>
      </x:c>
      <x:c r="J361" s="52" t="str">
        <x:f>IF(B361="","",IF(G361&lt;0,"NEGATİF BAKİYE","UYGUN"))</x:f>
      </x:c>
    </x:row>
    <x:row r="362">
      <x:c r="B362" s="46"/>
      <x:c r="C362" s="46"/>
      <x:c r="D362" s="46"/>
      <x:c r="E362" s="92"/>
      <x:c r="F362" s="92"/>
      <x:c r="G362" s="93" t="str">
        <x:f>IF(B362="","",E362-F362)</x:f>
      </x:c>
      <x:c r="H362" s="100" t="str">
        <x:f>IF(B362="","",IF(D362="TL",1,IF(D362="USD",KURLAR!$C$9,IF(D362="EUR",KURLAR!$C$10,0))))</x:f>
      </x:c>
      <x:c r="I362" s="68" t="str">
        <x:f>IF(B362="","",G362*H362)</x:f>
      </x:c>
      <x:c r="J362" s="52" t="str">
        <x:f>IF(B362="","",IF(G362&lt;0,"NEGATİF BAKİYE","UYGUN"))</x:f>
      </x:c>
    </x:row>
    <x:row r="363">
      <x:c r="B363" s="46"/>
      <x:c r="C363" s="46"/>
      <x:c r="D363" s="46"/>
      <x:c r="E363" s="92"/>
      <x:c r="F363" s="92"/>
      <x:c r="G363" s="93" t="str">
        <x:f>IF(B363="","",E363-F363)</x:f>
      </x:c>
      <x:c r="H363" s="100" t="str">
        <x:f>IF(B363="","",IF(D363="TL",1,IF(D363="USD",KURLAR!$C$9,IF(D363="EUR",KURLAR!$C$10,0))))</x:f>
      </x:c>
      <x:c r="I363" s="68" t="str">
        <x:f>IF(B363="","",G363*H363)</x:f>
      </x:c>
      <x:c r="J363" s="52" t="str">
        <x:f>IF(B363="","",IF(G363&lt;0,"NEGATİF BAKİYE","UYGUN"))</x:f>
      </x:c>
    </x:row>
    <x:row r="364">
      <x:c r="B364" s="46"/>
      <x:c r="C364" s="46"/>
      <x:c r="D364" s="46"/>
      <x:c r="E364" s="92"/>
      <x:c r="F364" s="92"/>
      <x:c r="G364" s="93" t="str">
        <x:f>IF(B364="","",E364-F364)</x:f>
      </x:c>
      <x:c r="H364" s="100" t="str">
        <x:f>IF(B364="","",IF(D364="TL",1,IF(D364="USD",KURLAR!$C$9,IF(D364="EUR",KURLAR!$C$10,0))))</x:f>
      </x:c>
      <x:c r="I364" s="68" t="str">
        <x:f>IF(B364="","",G364*H364)</x:f>
      </x:c>
      <x:c r="J364" s="52" t="str">
        <x:f>IF(B364="","",IF(G364&lt;0,"NEGATİF BAKİYE","UYGUN"))</x:f>
      </x:c>
    </x:row>
    <x:row r="365">
      <x:c r="B365" s="46"/>
      <x:c r="C365" s="46"/>
      <x:c r="D365" s="46"/>
      <x:c r="E365" s="92"/>
      <x:c r="F365" s="92"/>
      <x:c r="G365" s="93" t="str">
        <x:f>IF(B365="","",E365-F365)</x:f>
      </x:c>
      <x:c r="H365" s="100" t="str">
        <x:f>IF(B365="","",IF(D365="TL",1,IF(D365="USD",KURLAR!$C$9,IF(D365="EUR",KURLAR!$C$10,0))))</x:f>
      </x:c>
      <x:c r="I365" s="68" t="str">
        <x:f>IF(B365="","",G365*H365)</x:f>
      </x:c>
      <x:c r="J365" s="52" t="str">
        <x:f>IF(B365="","",IF(G365&lt;0,"NEGATİF BAKİYE","UYGUN"))</x:f>
      </x:c>
    </x:row>
    <x:row r="366">
      <x:c r="B366" s="46"/>
      <x:c r="C366" s="46"/>
      <x:c r="D366" s="46"/>
      <x:c r="E366" s="92"/>
      <x:c r="F366" s="92"/>
      <x:c r="G366" s="93" t="str">
        <x:f>IF(B366="","",E366-F366)</x:f>
      </x:c>
      <x:c r="H366" s="100" t="str">
        <x:f>IF(B366="","",IF(D366="TL",1,IF(D366="USD",KURLAR!$C$9,IF(D366="EUR",KURLAR!$C$10,0))))</x:f>
      </x:c>
      <x:c r="I366" s="68" t="str">
        <x:f>IF(B366="","",G366*H366)</x:f>
      </x:c>
      <x:c r="J366" s="52" t="str">
        <x:f>IF(B366="","",IF(G366&lt;0,"NEGATİF BAKİYE","UYGUN"))</x:f>
      </x:c>
    </x:row>
    <x:row r="367">
      <x:c r="B367" s="46"/>
      <x:c r="C367" s="46"/>
      <x:c r="D367" s="46"/>
      <x:c r="E367" s="92"/>
      <x:c r="F367" s="92"/>
      <x:c r="G367" s="93" t="str">
        <x:f>IF(B367="","",E367-F367)</x:f>
      </x:c>
      <x:c r="H367" s="100" t="str">
        <x:f>IF(B367="","",IF(D367="TL",1,IF(D367="USD",KURLAR!$C$9,IF(D367="EUR",KURLAR!$C$10,0))))</x:f>
      </x:c>
      <x:c r="I367" s="68" t="str">
        <x:f>IF(B367="","",G367*H367)</x:f>
      </x:c>
      <x:c r="J367" s="52" t="str">
        <x:f>IF(B367="","",IF(G367&lt;0,"NEGATİF BAKİYE","UYGUN"))</x:f>
      </x:c>
    </x:row>
    <x:row r="368">
      <x:c r="B368" s="46"/>
      <x:c r="C368" s="46"/>
      <x:c r="D368" s="46"/>
      <x:c r="E368" s="92"/>
      <x:c r="F368" s="92"/>
      <x:c r="G368" s="93" t="str">
        <x:f>IF(B368="","",E368-F368)</x:f>
      </x:c>
      <x:c r="H368" s="100" t="str">
        <x:f>IF(B368="","",IF(D368="TL",1,IF(D368="USD",KURLAR!$C$9,IF(D368="EUR",KURLAR!$C$10,0))))</x:f>
      </x:c>
      <x:c r="I368" s="68" t="str">
        <x:f>IF(B368="","",G368*H368)</x:f>
      </x:c>
      <x:c r="J368" s="52" t="str">
        <x:f>IF(B368="","",IF(G368&lt;0,"NEGATİF BAKİYE","UYGUN"))</x:f>
      </x:c>
    </x:row>
    <x:row r="369">
      <x:c r="B369" s="46"/>
      <x:c r="C369" s="46"/>
      <x:c r="D369" s="46"/>
      <x:c r="E369" s="92"/>
      <x:c r="F369" s="92"/>
      <x:c r="G369" s="93" t="str">
        <x:f>IF(B369="","",E369-F369)</x:f>
      </x:c>
      <x:c r="H369" s="100" t="str">
        <x:f>IF(B369="","",IF(D369="TL",1,IF(D369="USD",KURLAR!$C$9,IF(D369="EUR",KURLAR!$C$10,0))))</x:f>
      </x:c>
      <x:c r="I369" s="68" t="str">
        <x:f>IF(B369="","",G369*H369)</x:f>
      </x:c>
      <x:c r="J369" s="52" t="str">
        <x:f>IF(B369="","",IF(G369&lt;0,"NEGATİF BAKİYE","UYGUN"))</x:f>
      </x:c>
    </x:row>
    <x:row r="370">
      <x:c r="B370" s="46"/>
      <x:c r="C370" s="46"/>
      <x:c r="D370" s="46"/>
      <x:c r="E370" s="92"/>
      <x:c r="F370" s="92"/>
      <x:c r="G370" s="93" t="str">
        <x:f>IF(B370="","",E370-F370)</x:f>
      </x:c>
      <x:c r="H370" s="100" t="str">
        <x:f>IF(B370="","",IF(D370="TL",1,IF(D370="USD",KURLAR!$C$9,IF(D370="EUR",KURLAR!$C$10,0))))</x:f>
      </x:c>
      <x:c r="I370" s="68" t="str">
        <x:f>IF(B370="","",G370*H370)</x:f>
      </x:c>
      <x:c r="J370" s="52" t="str">
        <x:f>IF(B370="","",IF(G370&lt;0,"NEGATİF BAKİYE","UYGUN"))</x:f>
      </x:c>
    </x:row>
    <x:row r="371">
      <x:c r="B371" s="46"/>
      <x:c r="C371" s="46"/>
      <x:c r="D371" s="46"/>
      <x:c r="E371" s="92"/>
      <x:c r="F371" s="92"/>
      <x:c r="G371" s="93" t="str">
        <x:f>IF(B371="","",E371-F371)</x:f>
      </x:c>
      <x:c r="H371" s="100" t="str">
        <x:f>IF(B371="","",IF(D371="TL",1,IF(D371="USD",KURLAR!$C$9,IF(D371="EUR",KURLAR!$C$10,0))))</x:f>
      </x:c>
      <x:c r="I371" s="68" t="str">
        <x:f>IF(B371="","",G371*H371)</x:f>
      </x:c>
      <x:c r="J371" s="52" t="str">
        <x:f>IF(B371="","",IF(G371&lt;0,"NEGATİF BAKİYE","UYGUN"))</x:f>
      </x:c>
    </x:row>
    <x:row r="372">
      <x:c r="B372" s="46"/>
      <x:c r="C372" s="46"/>
      <x:c r="D372" s="46"/>
      <x:c r="E372" s="92"/>
      <x:c r="F372" s="92"/>
      <x:c r="G372" s="93" t="str">
        <x:f>IF(B372="","",E372-F372)</x:f>
      </x:c>
      <x:c r="H372" s="100" t="str">
        <x:f>IF(B372="","",IF(D372="TL",1,IF(D372="USD",KURLAR!$C$9,IF(D372="EUR",KURLAR!$C$10,0))))</x:f>
      </x:c>
      <x:c r="I372" s="68" t="str">
        <x:f>IF(B372="","",G372*H372)</x:f>
      </x:c>
      <x:c r="J372" s="52" t="str">
        <x:f>IF(B372="","",IF(G372&lt;0,"NEGATİF BAKİYE","UYGUN"))</x:f>
      </x:c>
    </x:row>
    <x:row r="373">
      <x:c r="B373" s="46"/>
      <x:c r="C373" s="46"/>
      <x:c r="D373" s="46"/>
      <x:c r="E373" s="92"/>
      <x:c r="F373" s="92"/>
      <x:c r="G373" s="93" t="str">
        <x:f>IF(B373="","",E373-F373)</x:f>
      </x:c>
      <x:c r="H373" s="100" t="str">
        <x:f>IF(B373="","",IF(D373="TL",1,IF(D373="USD",KURLAR!$C$9,IF(D373="EUR",KURLAR!$C$10,0))))</x:f>
      </x:c>
      <x:c r="I373" s="68" t="str">
        <x:f>IF(B373="","",G373*H373)</x:f>
      </x:c>
      <x:c r="J373" s="52" t="str">
        <x:f>IF(B373="","",IF(G373&lt;0,"NEGATİF BAKİYE","UYGUN"))</x:f>
      </x:c>
    </x:row>
    <x:row r="374">
      <x:c r="B374" s="46"/>
      <x:c r="C374" s="46"/>
      <x:c r="D374" s="46"/>
      <x:c r="E374" s="92"/>
      <x:c r="F374" s="92"/>
      <x:c r="G374" s="93" t="str">
        <x:f>IF(B374="","",E374-F374)</x:f>
      </x:c>
      <x:c r="H374" s="100" t="str">
        <x:f>IF(B374="","",IF(D374="TL",1,IF(D374="USD",KURLAR!$C$9,IF(D374="EUR",KURLAR!$C$10,0))))</x:f>
      </x:c>
      <x:c r="I374" s="68" t="str">
        <x:f>IF(B374="","",G374*H374)</x:f>
      </x:c>
      <x:c r="J374" s="52" t="str">
        <x:f>IF(B374="","",IF(G374&lt;0,"NEGATİF BAKİYE","UYGUN"))</x:f>
      </x:c>
    </x:row>
    <x:row r="375">
      <x:c r="B375" s="46"/>
      <x:c r="C375" s="46"/>
      <x:c r="D375" s="46"/>
      <x:c r="E375" s="92"/>
      <x:c r="F375" s="92"/>
      <x:c r="G375" s="93" t="str">
        <x:f>IF(B375="","",E375-F375)</x:f>
      </x:c>
      <x:c r="H375" s="100" t="str">
        <x:f>IF(B375="","",IF(D375="TL",1,IF(D375="USD",KURLAR!$C$9,IF(D375="EUR",KURLAR!$C$10,0))))</x:f>
      </x:c>
      <x:c r="I375" s="68" t="str">
        <x:f>IF(B375="","",G375*H375)</x:f>
      </x:c>
      <x:c r="J375" s="52" t="str">
        <x:f>IF(B375="","",IF(G375&lt;0,"NEGATİF BAKİYE","UYGUN"))</x:f>
      </x:c>
    </x:row>
    <x:row r="376">
      <x:c r="B376" s="46"/>
      <x:c r="C376" s="46"/>
      <x:c r="D376" s="46"/>
      <x:c r="E376" s="92"/>
      <x:c r="F376" s="92"/>
      <x:c r="G376" s="93" t="str">
        <x:f>IF(B376="","",E376-F376)</x:f>
      </x:c>
      <x:c r="H376" s="100" t="str">
        <x:f>IF(B376="","",IF(D376="TL",1,IF(D376="USD",KURLAR!$C$9,IF(D376="EUR",KURLAR!$C$10,0))))</x:f>
      </x:c>
      <x:c r="I376" s="68" t="str">
        <x:f>IF(B376="","",G376*H376)</x:f>
      </x:c>
      <x:c r="J376" s="52" t="str">
        <x:f>IF(B376="","",IF(G376&lt;0,"NEGATİF BAKİYE","UYGUN"))</x:f>
      </x:c>
    </x:row>
    <x:row r="377">
      <x:c r="B377" s="46"/>
      <x:c r="C377" s="46"/>
      <x:c r="D377" s="46"/>
      <x:c r="E377" s="92"/>
      <x:c r="F377" s="92"/>
      <x:c r="G377" s="93" t="str">
        <x:f>IF(B377="","",E377-F377)</x:f>
      </x:c>
      <x:c r="H377" s="100" t="str">
        <x:f>IF(B377="","",IF(D377="TL",1,IF(D377="USD",KURLAR!$C$9,IF(D377="EUR",KURLAR!$C$10,0))))</x:f>
      </x:c>
      <x:c r="I377" s="68" t="str">
        <x:f>IF(B377="","",G377*H377)</x:f>
      </x:c>
      <x:c r="J377" s="52" t="str">
        <x:f>IF(B377="","",IF(G377&lt;0,"NEGATİF BAKİYE","UYGUN"))</x:f>
      </x:c>
    </x:row>
    <x:row r="378">
      <x:c r="B378" s="46"/>
      <x:c r="C378" s="46"/>
      <x:c r="D378" s="46"/>
      <x:c r="E378" s="92"/>
      <x:c r="F378" s="92"/>
      <x:c r="G378" s="93" t="str">
        <x:f>IF(B378="","",E378-F378)</x:f>
      </x:c>
      <x:c r="H378" s="100" t="str">
        <x:f>IF(B378="","",IF(D378="TL",1,IF(D378="USD",KURLAR!$C$9,IF(D378="EUR",KURLAR!$C$10,0))))</x:f>
      </x:c>
      <x:c r="I378" s="68" t="str">
        <x:f>IF(B378="","",G378*H378)</x:f>
      </x:c>
      <x:c r="J378" s="52" t="str">
        <x:f>IF(B378="","",IF(G378&lt;0,"NEGATİF BAKİYE","UYGUN"))</x:f>
      </x:c>
    </x:row>
    <x:row r="379">
      <x:c r="B379" s="46"/>
      <x:c r="C379" s="46"/>
      <x:c r="D379" s="46"/>
      <x:c r="E379" s="92"/>
      <x:c r="F379" s="92"/>
      <x:c r="G379" s="93" t="str">
        <x:f>IF(B379="","",E379-F379)</x:f>
      </x:c>
      <x:c r="H379" s="100" t="str">
        <x:f>IF(B379="","",IF(D379="TL",1,IF(D379="USD",KURLAR!$C$9,IF(D379="EUR",KURLAR!$C$10,0))))</x:f>
      </x:c>
      <x:c r="I379" s="68" t="str">
        <x:f>IF(B379="","",G379*H379)</x:f>
      </x:c>
      <x:c r="J379" s="52" t="str">
        <x:f>IF(B379="","",IF(G379&lt;0,"NEGATİF BAKİYE","UYGUN"))</x:f>
      </x:c>
    </x:row>
    <x:row r="380">
      <x:c r="B380" s="46"/>
      <x:c r="C380" s="46"/>
      <x:c r="D380" s="46"/>
      <x:c r="E380" s="92"/>
      <x:c r="F380" s="92"/>
      <x:c r="G380" s="93" t="str">
        <x:f>IF(B380="","",E380-F380)</x:f>
      </x:c>
      <x:c r="H380" s="100" t="str">
        <x:f>IF(B380="","",IF(D380="TL",1,IF(D380="USD",KURLAR!$C$9,IF(D380="EUR",KURLAR!$C$10,0))))</x:f>
      </x:c>
      <x:c r="I380" s="68" t="str">
        <x:f>IF(B380="","",G380*H380)</x:f>
      </x:c>
      <x:c r="J380" s="52" t="str">
        <x:f>IF(B380="","",IF(G380&lt;0,"NEGATİF BAKİYE","UYGUN"))</x:f>
      </x:c>
    </x:row>
    <x:row r="381">
      <x:c r="B381" s="46"/>
      <x:c r="C381" s="46"/>
      <x:c r="D381" s="46"/>
      <x:c r="E381" s="92"/>
      <x:c r="F381" s="92"/>
      <x:c r="G381" s="93" t="str">
        <x:f>IF(B381="","",E381-F381)</x:f>
      </x:c>
      <x:c r="H381" s="100" t="str">
        <x:f>IF(B381="","",IF(D381="TL",1,IF(D381="USD",KURLAR!$C$9,IF(D381="EUR",KURLAR!$C$10,0))))</x:f>
      </x:c>
      <x:c r="I381" s="68" t="str">
        <x:f>IF(B381="","",G381*H381)</x:f>
      </x:c>
      <x:c r="J381" s="52" t="str">
        <x:f>IF(B381="","",IF(G381&lt;0,"NEGATİF BAKİYE","UYGUN"))</x:f>
      </x:c>
    </x:row>
    <x:row r="382">
      <x:c r="B382" s="46"/>
      <x:c r="C382" s="46"/>
      <x:c r="D382" s="46"/>
      <x:c r="E382" s="92"/>
      <x:c r="F382" s="92"/>
      <x:c r="G382" s="93" t="str">
        <x:f>IF(B382="","",E382-F382)</x:f>
      </x:c>
      <x:c r="H382" s="100" t="str">
        <x:f>IF(B382="","",IF(D382="TL",1,IF(D382="USD",KURLAR!$C$9,IF(D382="EUR",KURLAR!$C$10,0))))</x:f>
      </x:c>
      <x:c r="I382" s="68" t="str">
        <x:f>IF(B382="","",G382*H382)</x:f>
      </x:c>
      <x:c r="J382" s="52" t="str">
        <x:f>IF(B382="","",IF(G382&lt;0,"NEGATİF BAKİYE","UYGUN"))</x:f>
      </x:c>
    </x:row>
    <x:row r="383">
      <x:c r="B383" s="46"/>
      <x:c r="C383" s="46"/>
      <x:c r="D383" s="46"/>
      <x:c r="E383" s="92"/>
      <x:c r="F383" s="92"/>
      <x:c r="G383" s="93" t="str">
        <x:f>IF(B383="","",E383-F383)</x:f>
      </x:c>
      <x:c r="H383" s="100" t="str">
        <x:f>IF(B383="","",IF(D383="TL",1,IF(D383="USD",KURLAR!$C$9,IF(D383="EUR",KURLAR!$C$10,0))))</x:f>
      </x:c>
      <x:c r="I383" s="68" t="str">
        <x:f>IF(B383="","",G383*H383)</x:f>
      </x:c>
      <x:c r="J383" s="52" t="str">
        <x:f>IF(B383="","",IF(G383&lt;0,"NEGATİF BAKİYE","UYGUN"))</x:f>
      </x:c>
    </x:row>
    <x:row r="384">
      <x:c r="B384" s="46"/>
      <x:c r="C384" s="46"/>
      <x:c r="D384" s="46"/>
      <x:c r="E384" s="92"/>
      <x:c r="F384" s="92"/>
      <x:c r="G384" s="93" t="str">
        <x:f>IF(B384="","",E384-F384)</x:f>
      </x:c>
      <x:c r="H384" s="100" t="str">
        <x:f>IF(B384="","",IF(D384="TL",1,IF(D384="USD",KURLAR!$C$9,IF(D384="EUR",KURLAR!$C$10,0))))</x:f>
      </x:c>
      <x:c r="I384" s="68" t="str">
        <x:f>IF(B384="","",G384*H384)</x:f>
      </x:c>
      <x:c r="J384" s="52" t="str">
        <x:f>IF(B384="","",IF(G384&lt;0,"NEGATİF BAKİYE","UYGUN"))</x:f>
      </x:c>
    </x:row>
    <x:row r="385">
      <x:c r="B385" s="46"/>
      <x:c r="C385" s="46"/>
      <x:c r="D385" s="46"/>
      <x:c r="E385" s="92"/>
      <x:c r="F385" s="92"/>
      <x:c r="G385" s="93" t="str">
        <x:f>IF(B385="","",E385-F385)</x:f>
      </x:c>
      <x:c r="H385" s="100" t="str">
        <x:f>IF(B385="","",IF(D385="TL",1,IF(D385="USD",KURLAR!$C$9,IF(D385="EUR",KURLAR!$C$10,0))))</x:f>
      </x:c>
      <x:c r="I385" s="68" t="str">
        <x:f>IF(B385="","",G385*H385)</x:f>
      </x:c>
      <x:c r="J385" s="52" t="str">
        <x:f>IF(B385="","",IF(G385&lt;0,"NEGATİF BAKİYE","UYGUN"))</x:f>
      </x:c>
    </x:row>
    <x:row r="386">
      <x:c r="B386" s="46"/>
      <x:c r="C386" s="46"/>
      <x:c r="D386" s="46"/>
      <x:c r="E386" s="92"/>
      <x:c r="F386" s="92"/>
      <x:c r="G386" s="93" t="str">
        <x:f>IF(B386="","",E386-F386)</x:f>
      </x:c>
      <x:c r="H386" s="100" t="str">
        <x:f>IF(B386="","",IF(D386="TL",1,IF(D386="USD",KURLAR!$C$9,IF(D386="EUR",KURLAR!$C$10,0))))</x:f>
      </x:c>
      <x:c r="I386" s="68" t="str">
        <x:f>IF(B386="","",G386*H386)</x:f>
      </x:c>
      <x:c r="J386" s="52" t="str">
        <x:f>IF(B386="","",IF(G386&lt;0,"NEGATİF BAKİYE","UYGUN"))</x:f>
      </x:c>
    </x:row>
    <x:row r="387">
      <x:c r="B387" s="46"/>
      <x:c r="C387" s="46"/>
      <x:c r="D387" s="46"/>
      <x:c r="E387" s="92"/>
      <x:c r="F387" s="92"/>
      <x:c r="G387" s="93" t="str">
        <x:f>IF(B387="","",E387-F387)</x:f>
      </x:c>
      <x:c r="H387" s="100" t="str">
        <x:f>IF(B387="","",IF(D387="TL",1,IF(D387="USD",KURLAR!$C$9,IF(D387="EUR",KURLAR!$C$10,0))))</x:f>
      </x:c>
      <x:c r="I387" s="68" t="str">
        <x:f>IF(B387="","",G387*H387)</x:f>
      </x:c>
      <x:c r="J387" s="52" t="str">
        <x:f>IF(B387="","",IF(G387&lt;0,"NEGATİF BAKİYE","UYGUN"))</x:f>
      </x:c>
    </x:row>
    <x:row r="388">
      <x:c r="B388" s="46"/>
      <x:c r="C388" s="46"/>
      <x:c r="D388" s="46"/>
      <x:c r="E388" s="92"/>
      <x:c r="F388" s="92"/>
      <x:c r="G388" s="93" t="str">
        <x:f>IF(B388="","",E388-F388)</x:f>
      </x:c>
      <x:c r="H388" s="100" t="str">
        <x:f>IF(B388="","",IF(D388="TL",1,IF(D388="USD",KURLAR!$C$9,IF(D388="EUR",KURLAR!$C$10,0))))</x:f>
      </x:c>
      <x:c r="I388" s="68" t="str">
        <x:f>IF(B388="","",G388*H388)</x:f>
      </x:c>
      <x:c r="J388" s="52" t="str">
        <x:f>IF(B388="","",IF(G388&lt;0,"NEGATİF BAKİYE","UYGUN"))</x:f>
      </x:c>
    </x:row>
    <x:row r="389">
      <x:c r="B389" s="46"/>
      <x:c r="C389" s="46"/>
      <x:c r="D389" s="46"/>
      <x:c r="E389" s="92"/>
      <x:c r="F389" s="92"/>
      <x:c r="G389" s="93" t="str">
        <x:f>IF(B389="","",E389-F389)</x:f>
      </x:c>
      <x:c r="H389" s="100" t="str">
        <x:f>IF(B389="","",IF(D389="TL",1,IF(D389="USD",KURLAR!$C$9,IF(D389="EUR",KURLAR!$C$10,0))))</x:f>
      </x:c>
      <x:c r="I389" s="68" t="str">
        <x:f>IF(B389="","",G389*H389)</x:f>
      </x:c>
      <x:c r="J389" s="52" t="str">
        <x:f>IF(B389="","",IF(G389&lt;0,"NEGATİF BAKİYE","UYGUN"))</x:f>
      </x:c>
    </x:row>
    <x:row r="390">
      <x:c r="B390" s="46"/>
      <x:c r="C390" s="46"/>
      <x:c r="D390" s="46"/>
      <x:c r="E390" s="92"/>
      <x:c r="F390" s="92"/>
      <x:c r="G390" s="93" t="str">
        <x:f>IF(B390="","",E390-F390)</x:f>
      </x:c>
      <x:c r="H390" s="100" t="str">
        <x:f>IF(B390="","",IF(D390="TL",1,IF(D390="USD",KURLAR!$C$9,IF(D390="EUR",KURLAR!$C$10,0))))</x:f>
      </x:c>
      <x:c r="I390" s="68" t="str">
        <x:f>IF(B390="","",G390*H390)</x:f>
      </x:c>
      <x:c r="J390" s="52" t="str">
        <x:f>IF(B390="","",IF(G390&lt;0,"NEGATİF BAKİYE","UYGUN"))</x:f>
      </x:c>
    </x:row>
    <x:row r="391">
      <x:c r="B391" s="46"/>
      <x:c r="C391" s="46"/>
      <x:c r="D391" s="46"/>
      <x:c r="E391" s="92"/>
      <x:c r="F391" s="92"/>
      <x:c r="G391" s="93" t="str">
        <x:f>IF(B391="","",E391-F391)</x:f>
      </x:c>
      <x:c r="H391" s="100" t="str">
        <x:f>IF(B391="","",IF(D391="TL",1,IF(D391="USD",KURLAR!$C$9,IF(D391="EUR",KURLAR!$C$10,0))))</x:f>
      </x:c>
      <x:c r="I391" s="68" t="str">
        <x:f>IF(B391="","",G391*H391)</x:f>
      </x:c>
      <x:c r="J391" s="52" t="str">
        <x:f>IF(B391="","",IF(G391&lt;0,"NEGATİF BAKİYE","UYGUN"))</x:f>
      </x:c>
    </x:row>
    <x:row r="392">
      <x:c r="B392" s="46"/>
      <x:c r="C392" s="46"/>
      <x:c r="D392" s="46"/>
      <x:c r="E392" s="92"/>
      <x:c r="F392" s="92"/>
      <x:c r="G392" s="93" t="str">
        <x:f>IF(B392="","",E392-F392)</x:f>
      </x:c>
      <x:c r="H392" s="100" t="str">
        <x:f>IF(B392="","",IF(D392="TL",1,IF(D392="USD",KURLAR!$C$9,IF(D392="EUR",KURLAR!$C$10,0))))</x:f>
      </x:c>
      <x:c r="I392" s="68" t="str">
        <x:f>IF(B392="","",G392*H392)</x:f>
      </x:c>
      <x:c r="J392" s="52" t="str">
        <x:f>IF(B392="","",IF(G392&lt;0,"NEGATİF BAKİYE","UYGUN"))</x:f>
      </x:c>
    </x:row>
    <x:row r="393">
      <x:c r="B393" s="46"/>
      <x:c r="C393" s="46"/>
      <x:c r="D393" s="46"/>
      <x:c r="E393" s="92"/>
      <x:c r="F393" s="92"/>
      <x:c r="G393" s="93" t="str">
        <x:f>IF(B393="","",E393-F393)</x:f>
      </x:c>
      <x:c r="H393" s="100" t="str">
        <x:f>IF(B393="","",IF(D393="TL",1,IF(D393="USD",KURLAR!$C$9,IF(D393="EUR",KURLAR!$C$10,0))))</x:f>
      </x:c>
      <x:c r="I393" s="68" t="str">
        <x:f>IF(B393="","",G393*H393)</x:f>
      </x:c>
      <x:c r="J393" s="52" t="str">
        <x:f>IF(B393="","",IF(G393&lt;0,"NEGATİF BAKİYE","UYGUN"))</x:f>
      </x:c>
    </x:row>
    <x:row r="394">
      <x:c r="B394" s="46"/>
      <x:c r="C394" s="46"/>
      <x:c r="D394" s="46"/>
      <x:c r="E394" s="92"/>
      <x:c r="F394" s="92"/>
      <x:c r="G394" s="93" t="str">
        <x:f>IF(B394="","",E394-F394)</x:f>
      </x:c>
      <x:c r="H394" s="100" t="str">
        <x:f>IF(B394="","",IF(D394="TL",1,IF(D394="USD",KURLAR!$C$9,IF(D394="EUR",KURLAR!$C$10,0))))</x:f>
      </x:c>
      <x:c r="I394" s="68" t="str">
        <x:f>IF(B394="","",G394*H394)</x:f>
      </x:c>
      <x:c r="J394" s="52" t="str">
        <x:f>IF(B394="","",IF(G394&lt;0,"NEGATİF BAKİYE","UYGUN"))</x:f>
      </x:c>
    </x:row>
    <x:row r="395">
      <x:c r="B395" s="46"/>
      <x:c r="C395" s="46"/>
      <x:c r="D395" s="46"/>
      <x:c r="E395" s="92"/>
      <x:c r="F395" s="92"/>
      <x:c r="G395" s="93" t="str">
        <x:f>IF(B395="","",E395-F395)</x:f>
      </x:c>
      <x:c r="H395" s="100" t="str">
        <x:f>IF(B395="","",IF(D395="TL",1,IF(D395="USD",KURLAR!$C$9,IF(D395="EUR",KURLAR!$C$10,0))))</x:f>
      </x:c>
      <x:c r="I395" s="68" t="str">
        <x:f>IF(B395="","",G395*H395)</x:f>
      </x:c>
      <x:c r="J395" s="52" t="str">
        <x:f>IF(B395="","",IF(G395&lt;0,"NEGATİF BAKİYE","UYGUN"))</x:f>
      </x:c>
    </x:row>
    <x:row r="396">
      <x:c r="B396" s="46"/>
      <x:c r="C396" s="46"/>
      <x:c r="D396" s="46"/>
      <x:c r="E396" s="92"/>
      <x:c r="F396" s="92"/>
      <x:c r="G396" s="93" t="str">
        <x:f>IF(B396="","",E396-F396)</x:f>
      </x:c>
      <x:c r="H396" s="100" t="str">
        <x:f>IF(B396="","",IF(D396="TL",1,IF(D396="USD",KURLAR!$C$9,IF(D396="EUR",KURLAR!$C$10,0))))</x:f>
      </x:c>
      <x:c r="I396" s="68" t="str">
        <x:f>IF(B396="","",G396*H396)</x:f>
      </x:c>
      <x:c r="J396" s="52" t="str">
        <x:f>IF(B396="","",IF(G396&lt;0,"NEGATİF BAKİYE","UYGUN"))</x:f>
      </x:c>
    </x:row>
    <x:row r="397">
      <x:c r="B397" s="46"/>
      <x:c r="C397" s="46"/>
      <x:c r="D397" s="46"/>
      <x:c r="E397" s="92"/>
      <x:c r="F397" s="92"/>
      <x:c r="G397" s="93" t="str">
        <x:f>IF(B397="","",E397-F397)</x:f>
      </x:c>
      <x:c r="H397" s="100" t="str">
        <x:f>IF(B397="","",IF(D397="TL",1,IF(D397="USD",KURLAR!$C$9,IF(D397="EUR",KURLAR!$C$10,0))))</x:f>
      </x:c>
      <x:c r="I397" s="68" t="str">
        <x:f>IF(B397="","",G397*H397)</x:f>
      </x:c>
      <x:c r="J397" s="52" t="str">
        <x:f>IF(B397="","",IF(G397&lt;0,"NEGATİF BAKİYE","UYGUN"))</x:f>
      </x:c>
    </x:row>
    <x:row r="398">
      <x:c r="B398" s="46"/>
      <x:c r="C398" s="46"/>
      <x:c r="D398" s="46"/>
      <x:c r="E398" s="92"/>
      <x:c r="F398" s="92"/>
      <x:c r="G398" s="93" t="str">
        <x:f>IF(B398="","",E398-F398)</x:f>
      </x:c>
      <x:c r="H398" s="100" t="str">
        <x:f>IF(B398="","",IF(D398="TL",1,IF(D398="USD",KURLAR!$C$9,IF(D398="EUR",KURLAR!$C$10,0))))</x:f>
      </x:c>
      <x:c r="I398" s="68" t="str">
        <x:f>IF(B398="","",G398*H398)</x:f>
      </x:c>
      <x:c r="J398" s="52" t="str">
        <x:f>IF(B398="","",IF(G398&lt;0,"NEGATİF BAKİYE","UYGUN"))</x:f>
      </x:c>
    </x:row>
    <x:row r="399">
      <x:c r="B399" s="46"/>
      <x:c r="C399" s="46"/>
      <x:c r="D399" s="46"/>
      <x:c r="E399" s="92"/>
      <x:c r="F399" s="92"/>
      <x:c r="G399" s="93" t="str">
        <x:f>IF(B399="","",E399-F399)</x:f>
      </x:c>
      <x:c r="H399" s="100" t="str">
        <x:f>IF(B399="","",IF(D399="TL",1,IF(D399="USD",KURLAR!$C$9,IF(D399="EUR",KURLAR!$C$10,0))))</x:f>
      </x:c>
      <x:c r="I399" s="68" t="str">
        <x:f>IF(B399="","",G399*H399)</x:f>
      </x:c>
      <x:c r="J399" s="52" t="str">
        <x:f>IF(B399="","",IF(G399&lt;0,"NEGATİF BAKİYE","UYGUN"))</x:f>
      </x:c>
    </x:row>
    <x:row r="400">
      <x:c r="B400" s="46"/>
      <x:c r="C400" s="46"/>
      <x:c r="D400" s="46"/>
      <x:c r="E400" s="92"/>
      <x:c r="F400" s="92"/>
      <x:c r="G400" s="93" t="str">
        <x:f>IF(B400="","",E400-F400)</x:f>
      </x:c>
      <x:c r="H400" s="100" t="str">
        <x:f>IF(B400="","",IF(D400="TL",1,IF(D400="USD",KURLAR!$C$9,IF(D400="EUR",KURLAR!$C$10,0))))</x:f>
      </x:c>
      <x:c r="I400" s="68" t="str">
        <x:f>IF(B400="","",G400*H400)</x:f>
      </x:c>
      <x:c r="J400" s="52" t="str">
        <x:f>IF(B400="","",IF(G400&lt;0,"NEGATİF BAKİYE","UYGUN"))</x:f>
      </x:c>
    </x:row>
    <x:row r="401">
      <x:c r="B401" s="46"/>
      <x:c r="C401" s="46"/>
      <x:c r="D401" s="46"/>
      <x:c r="E401" s="92"/>
      <x:c r="F401" s="92"/>
      <x:c r="G401" s="93" t="str">
        <x:f>IF(B401="","",E401-F401)</x:f>
      </x:c>
      <x:c r="H401" s="100" t="str">
        <x:f>IF(B401="","",IF(D401="TL",1,IF(D401="USD",KURLAR!$C$9,IF(D401="EUR",KURLAR!$C$10,0))))</x:f>
      </x:c>
      <x:c r="I401" s="68" t="str">
        <x:f>IF(B401="","",G401*H401)</x:f>
      </x:c>
      <x:c r="J401" s="52" t="str">
        <x:f>IF(B401="","",IF(G401&lt;0,"NEGATİF BAKİYE","UYGUN"))</x:f>
      </x:c>
    </x:row>
    <x:row r="402">
      <x:c r="B402" s="46"/>
      <x:c r="C402" s="46"/>
      <x:c r="D402" s="46"/>
      <x:c r="E402" s="92"/>
      <x:c r="F402" s="92"/>
      <x:c r="G402" s="93" t="str">
        <x:f>IF(B402="","",E402-F402)</x:f>
      </x:c>
      <x:c r="H402" s="100" t="str">
        <x:f>IF(B402="","",IF(D402="TL",1,IF(D402="USD",KURLAR!$C$9,IF(D402="EUR",KURLAR!$C$10,0))))</x:f>
      </x:c>
      <x:c r="I402" s="68" t="str">
        <x:f>IF(B402="","",G402*H402)</x:f>
      </x:c>
      <x:c r="J402" s="52" t="str">
        <x:f>IF(B402="","",IF(G402&lt;0,"NEGATİF BAKİYE","UYGUN"))</x:f>
      </x:c>
    </x:row>
    <x:row r="403">
      <x:c r="B403" s="46"/>
      <x:c r="C403" s="46"/>
      <x:c r="D403" s="46"/>
      <x:c r="E403" s="92"/>
      <x:c r="F403" s="92"/>
      <x:c r="G403" s="93" t="str">
        <x:f>IF(B403="","",E403-F403)</x:f>
      </x:c>
      <x:c r="H403" s="100" t="str">
        <x:f>IF(B403="","",IF(D403="TL",1,IF(D403="USD",KURLAR!$C$9,IF(D403="EUR",KURLAR!$C$10,0))))</x:f>
      </x:c>
      <x:c r="I403" s="68" t="str">
        <x:f>IF(B403="","",G403*H403)</x:f>
      </x:c>
      <x:c r="J403" s="52" t="str">
        <x:f>IF(B403="","",IF(G403&lt;0,"NEGATİF BAKİYE","UYGUN"))</x:f>
      </x:c>
    </x:row>
    <x:row r="404">
      <x:c r="B404" s="46"/>
      <x:c r="C404" s="46"/>
      <x:c r="D404" s="46"/>
      <x:c r="E404" s="92"/>
      <x:c r="F404" s="92"/>
      <x:c r="G404" s="93" t="str">
        <x:f>IF(B404="","",E404-F404)</x:f>
      </x:c>
      <x:c r="H404" s="100" t="str">
        <x:f>IF(B404="","",IF(D404="TL",1,IF(D404="USD",KURLAR!$C$9,IF(D404="EUR",KURLAR!$C$10,0))))</x:f>
      </x:c>
      <x:c r="I404" s="68" t="str">
        <x:f>IF(B404="","",G404*H404)</x:f>
      </x:c>
      <x:c r="J404" s="52" t="str">
        <x:f>IF(B404="","",IF(G404&lt;0,"NEGATİF BAKİYE","UYGUN"))</x:f>
      </x:c>
    </x:row>
    <x:row r="405">
      <x:c r="B405" s="46"/>
      <x:c r="C405" s="46"/>
      <x:c r="D405" s="46"/>
      <x:c r="E405" s="92"/>
      <x:c r="F405" s="92"/>
      <x:c r="G405" s="93" t="str">
        <x:f>IF(B405="","",E405-F405)</x:f>
      </x:c>
      <x:c r="H405" s="100" t="str">
        <x:f>IF(B405="","",IF(D405="TL",1,IF(D405="USD",KURLAR!$C$9,IF(D405="EUR",KURLAR!$C$10,0))))</x:f>
      </x:c>
      <x:c r="I405" s="68" t="str">
        <x:f>IF(B405="","",G405*H405)</x:f>
      </x:c>
      <x:c r="J405" s="52" t="str">
        <x:f>IF(B405="","",IF(G405&lt;0,"NEGATİF BAKİYE","UYGUN"))</x:f>
      </x:c>
    </x:row>
    <x:row r="406">
      <x:c r="B406" s="46"/>
      <x:c r="C406" s="46"/>
      <x:c r="D406" s="46"/>
      <x:c r="E406" s="92"/>
      <x:c r="F406" s="92"/>
      <x:c r="G406" s="93" t="str">
        <x:f>IF(B406="","",E406-F406)</x:f>
      </x:c>
      <x:c r="H406" s="100" t="str">
        <x:f>IF(B406="","",IF(D406="TL",1,IF(D406="USD",KURLAR!$C$9,IF(D406="EUR",KURLAR!$C$10,0))))</x:f>
      </x:c>
      <x:c r="I406" s="68" t="str">
        <x:f>IF(B406="","",G406*H406)</x:f>
      </x:c>
      <x:c r="J406" s="52" t="str">
        <x:f>IF(B406="","",IF(G406&lt;0,"NEGATİF BAKİYE","UYGUN"))</x:f>
      </x:c>
    </x:row>
    <x:row r="407">
      <x:c r="B407" s="46"/>
      <x:c r="C407" s="46"/>
      <x:c r="D407" s="46"/>
      <x:c r="E407" s="92"/>
      <x:c r="F407" s="92"/>
      <x:c r="G407" s="93" t="str">
        <x:f>IF(B407="","",E407-F407)</x:f>
      </x:c>
      <x:c r="H407" s="100" t="str">
        <x:f>IF(B407="","",IF(D407="TL",1,IF(D407="USD",KURLAR!$C$9,IF(D407="EUR",KURLAR!$C$10,0))))</x:f>
      </x:c>
      <x:c r="I407" s="68" t="str">
        <x:f>IF(B407="","",G407*H407)</x:f>
      </x:c>
      <x:c r="J407" s="52" t="str">
        <x:f>IF(B407="","",IF(G407&lt;0,"NEGATİF BAKİYE","UYGUN"))</x:f>
      </x:c>
    </x:row>
    <x:row r="408">
      <x:c r="B408" s="46"/>
      <x:c r="C408" s="46"/>
      <x:c r="D408" s="46"/>
      <x:c r="E408" s="92"/>
      <x:c r="F408" s="92"/>
      <x:c r="G408" s="93" t="str">
        <x:f>IF(B408="","",E408-F408)</x:f>
      </x:c>
      <x:c r="H408" s="100" t="str">
        <x:f>IF(B408="","",IF(D408="TL",1,IF(D408="USD",KURLAR!$C$9,IF(D408="EUR",KURLAR!$C$10,0))))</x:f>
      </x:c>
      <x:c r="I408" s="68" t="str">
        <x:f>IF(B408="","",G408*H408)</x:f>
      </x:c>
      <x:c r="J408" s="52" t="str">
        <x:f>IF(B408="","",IF(G408&lt;0,"NEGATİF BAKİYE","UYGUN"))</x:f>
      </x:c>
    </x:row>
    <x:row r="409">
      <x:c r="B409" s="46"/>
      <x:c r="C409" s="46"/>
      <x:c r="D409" s="46"/>
      <x:c r="E409" s="92"/>
      <x:c r="F409" s="92"/>
      <x:c r="G409" s="93" t="str">
        <x:f>IF(B409="","",E409-F409)</x:f>
      </x:c>
      <x:c r="H409" s="100" t="str">
        <x:f>IF(B409="","",IF(D409="TL",1,IF(D409="USD",KURLAR!$C$9,IF(D409="EUR",KURLAR!$C$10,0))))</x:f>
      </x:c>
      <x:c r="I409" s="68" t="str">
        <x:f>IF(B409="","",G409*H409)</x:f>
      </x:c>
      <x:c r="J409" s="52" t="str">
        <x:f>IF(B409="","",IF(G409&lt;0,"NEGATİF BAKİYE","UYGUN"))</x:f>
      </x:c>
    </x:row>
    <x:row r="410">
      <x:c r="B410" s="46"/>
      <x:c r="C410" s="46"/>
      <x:c r="D410" s="46"/>
      <x:c r="E410" s="92"/>
      <x:c r="F410" s="92"/>
      <x:c r="G410" s="93" t="str">
        <x:f>IF(B410="","",E410-F410)</x:f>
      </x:c>
      <x:c r="H410" s="100" t="str">
        <x:f>IF(B410="","",IF(D410="TL",1,IF(D410="USD",KURLAR!$C$9,IF(D410="EUR",KURLAR!$C$10,0))))</x:f>
      </x:c>
      <x:c r="I410" s="68" t="str">
        <x:f>IF(B410="","",G410*H410)</x:f>
      </x:c>
      <x:c r="J410" s="52" t="str">
        <x:f>IF(B410="","",IF(G410&lt;0,"NEGATİF BAKİYE","UYGUN"))</x:f>
      </x:c>
    </x:row>
    <x:row r="411">
      <x:c r="B411" s="46"/>
      <x:c r="C411" s="46"/>
      <x:c r="D411" s="46"/>
      <x:c r="E411" s="92"/>
      <x:c r="F411" s="92"/>
      <x:c r="G411" s="93" t="str">
        <x:f>IF(B411="","",E411-F411)</x:f>
      </x:c>
      <x:c r="H411" s="100" t="str">
        <x:f>IF(B411="","",IF(D411="TL",1,IF(D411="USD",KURLAR!$C$9,IF(D411="EUR",KURLAR!$C$10,0))))</x:f>
      </x:c>
      <x:c r="I411" s="68" t="str">
        <x:f>IF(B411="","",G411*H411)</x:f>
      </x:c>
      <x:c r="J411" s="52" t="str">
        <x:f>IF(B411="","",IF(G411&lt;0,"NEGATİF BAKİYE","UYGUN"))</x:f>
      </x:c>
    </x:row>
    <x:row r="412">
      <x:c r="B412" s="46"/>
      <x:c r="C412" s="46"/>
      <x:c r="D412" s="46"/>
      <x:c r="E412" s="92"/>
      <x:c r="F412" s="92"/>
      <x:c r="G412" s="93" t="str">
        <x:f>IF(B412="","",E412-F412)</x:f>
      </x:c>
      <x:c r="H412" s="100" t="str">
        <x:f>IF(B412="","",IF(D412="TL",1,IF(D412="USD",KURLAR!$C$9,IF(D412="EUR",KURLAR!$C$10,0))))</x:f>
      </x:c>
      <x:c r="I412" s="68" t="str">
        <x:f>IF(B412="","",G412*H412)</x:f>
      </x:c>
      <x:c r="J412" s="52" t="str">
        <x:f>IF(B412="","",IF(G412&lt;0,"NEGATİF BAKİYE","UYGUN"))</x:f>
      </x:c>
    </x:row>
    <x:row r="413">
      <x:c r="B413" s="46"/>
      <x:c r="C413" s="46"/>
      <x:c r="D413" s="46"/>
      <x:c r="E413" s="92"/>
      <x:c r="F413" s="92"/>
      <x:c r="G413" s="93" t="str">
        <x:f>IF(B413="","",E413-F413)</x:f>
      </x:c>
      <x:c r="H413" s="100" t="str">
        <x:f>IF(B413="","",IF(D413="TL",1,IF(D413="USD",KURLAR!$C$9,IF(D413="EUR",KURLAR!$C$10,0))))</x:f>
      </x:c>
      <x:c r="I413" s="68" t="str">
        <x:f>IF(B413="","",G413*H413)</x:f>
      </x:c>
      <x:c r="J413" s="52" t="str">
        <x:f>IF(B413="","",IF(G413&lt;0,"NEGATİF BAKİYE","UYGUN"))</x:f>
      </x:c>
    </x:row>
    <x:row r="414">
      <x:c r="B414" s="46"/>
      <x:c r="C414" s="46"/>
      <x:c r="D414" s="46"/>
      <x:c r="E414" s="92"/>
      <x:c r="F414" s="92"/>
      <x:c r="G414" s="93" t="str">
        <x:f>IF(B414="","",E414-F414)</x:f>
      </x:c>
      <x:c r="H414" s="100" t="str">
        <x:f>IF(B414="","",IF(D414="TL",1,IF(D414="USD",KURLAR!$C$9,IF(D414="EUR",KURLAR!$C$10,0))))</x:f>
      </x:c>
      <x:c r="I414" s="68" t="str">
        <x:f>IF(B414="","",G414*H414)</x:f>
      </x:c>
      <x:c r="J414" s="52" t="str">
        <x:f>IF(B414="","",IF(G414&lt;0,"NEGATİF BAKİYE","UYGUN"))</x:f>
      </x:c>
    </x:row>
    <x:row r="415">
      <x:c r="B415" s="46"/>
      <x:c r="C415" s="46"/>
      <x:c r="D415" s="46"/>
      <x:c r="E415" s="92"/>
      <x:c r="F415" s="92"/>
      <x:c r="G415" s="93" t="str">
        <x:f>IF(B415="","",E415-F415)</x:f>
      </x:c>
      <x:c r="H415" s="100" t="str">
        <x:f>IF(B415="","",IF(D415="TL",1,IF(D415="USD",KURLAR!$C$9,IF(D415="EUR",KURLAR!$C$10,0))))</x:f>
      </x:c>
      <x:c r="I415" s="68" t="str">
        <x:f>IF(B415="","",G415*H415)</x:f>
      </x:c>
      <x:c r="J415" s="52" t="str">
        <x:f>IF(B415="","",IF(G415&lt;0,"NEGATİF BAKİYE","UYGUN"))</x:f>
      </x:c>
    </x:row>
    <x:row r="416">
      <x:c r="B416" s="46"/>
      <x:c r="C416" s="46"/>
      <x:c r="D416" s="46"/>
      <x:c r="E416" s="92"/>
      <x:c r="F416" s="92"/>
      <x:c r="G416" s="93" t="str">
        <x:f>IF(B416="","",E416-F416)</x:f>
      </x:c>
      <x:c r="H416" s="100" t="str">
        <x:f>IF(B416="","",IF(D416="TL",1,IF(D416="USD",KURLAR!$C$9,IF(D416="EUR",KURLAR!$C$10,0))))</x:f>
      </x:c>
      <x:c r="I416" s="68" t="str">
        <x:f>IF(B416="","",G416*H416)</x:f>
      </x:c>
      <x:c r="J416" s="52" t="str">
        <x:f>IF(B416="","",IF(G416&lt;0,"NEGATİF BAKİYE","UYGUN"))</x:f>
      </x:c>
    </x:row>
    <x:row r="417">
      <x:c r="B417" s="46"/>
      <x:c r="C417" s="46"/>
      <x:c r="D417" s="46"/>
      <x:c r="E417" s="92"/>
      <x:c r="F417" s="92"/>
      <x:c r="G417" s="93" t="str">
        <x:f>IF(B417="","",E417-F417)</x:f>
      </x:c>
      <x:c r="H417" s="100" t="str">
        <x:f>IF(B417="","",IF(D417="TL",1,IF(D417="USD",KURLAR!$C$9,IF(D417="EUR",KURLAR!$C$10,0))))</x:f>
      </x:c>
      <x:c r="I417" s="68" t="str">
        <x:f>IF(B417="","",G417*H417)</x:f>
      </x:c>
      <x:c r="J417" s="52" t="str">
        <x:f>IF(B417="","",IF(G417&lt;0,"NEGATİF BAKİYE","UYGUN"))</x:f>
      </x:c>
    </x:row>
    <x:row r="418">
      <x:c r="B418" s="46"/>
      <x:c r="C418" s="46"/>
      <x:c r="D418" s="46"/>
      <x:c r="E418" s="92"/>
      <x:c r="F418" s="92"/>
      <x:c r="G418" s="93" t="str">
        <x:f>IF(B418="","",E418-F418)</x:f>
      </x:c>
      <x:c r="H418" s="100" t="str">
        <x:f>IF(B418="","",IF(D418="TL",1,IF(D418="USD",KURLAR!$C$9,IF(D418="EUR",KURLAR!$C$10,0))))</x:f>
      </x:c>
      <x:c r="I418" s="68" t="str">
        <x:f>IF(B418="","",G418*H418)</x:f>
      </x:c>
      <x:c r="J418" s="52" t="str">
        <x:f>IF(B418="","",IF(G418&lt;0,"NEGATİF BAKİYE","UYGUN"))</x:f>
      </x:c>
    </x:row>
    <x:row r="419">
      <x:c r="B419" s="46"/>
      <x:c r="C419" s="46"/>
      <x:c r="D419" s="46"/>
      <x:c r="E419" s="92"/>
      <x:c r="F419" s="92"/>
      <x:c r="G419" s="93" t="str">
        <x:f>IF(B419="","",E419-F419)</x:f>
      </x:c>
      <x:c r="H419" s="100" t="str">
        <x:f>IF(B419="","",IF(D419="TL",1,IF(D419="USD",KURLAR!$C$9,IF(D419="EUR",KURLAR!$C$10,0))))</x:f>
      </x:c>
      <x:c r="I419" s="68" t="str">
        <x:f>IF(B419="","",G419*H419)</x:f>
      </x:c>
      <x:c r="J419" s="52" t="str">
        <x:f>IF(B419="","",IF(G419&lt;0,"NEGATİF BAKİYE","UYGUN"))</x:f>
      </x:c>
    </x:row>
    <x:row r="420">
      <x:c r="B420" s="46"/>
      <x:c r="C420" s="46"/>
      <x:c r="D420" s="46"/>
      <x:c r="E420" s="92"/>
      <x:c r="F420" s="92"/>
      <x:c r="G420" s="93" t="str">
        <x:f>IF(B420="","",E420-F420)</x:f>
      </x:c>
      <x:c r="H420" s="100" t="str">
        <x:f>IF(B420="","",IF(D420="TL",1,IF(D420="USD",KURLAR!$C$9,IF(D420="EUR",KURLAR!$C$10,0))))</x:f>
      </x:c>
      <x:c r="I420" s="68" t="str">
        <x:f>IF(B420="","",G420*H420)</x:f>
      </x:c>
      <x:c r="J420" s="52" t="str">
        <x:f>IF(B420="","",IF(G420&lt;0,"NEGATİF BAKİYE","UYGUN"))</x:f>
      </x:c>
    </x:row>
    <x:row r="421">
      <x:c r="B421" s="46"/>
      <x:c r="C421" s="46"/>
      <x:c r="D421" s="46"/>
      <x:c r="E421" s="92"/>
      <x:c r="F421" s="92"/>
      <x:c r="G421" s="93" t="str">
        <x:f>IF(B421="","",E421-F421)</x:f>
      </x:c>
      <x:c r="H421" s="100" t="str">
        <x:f>IF(B421="","",IF(D421="TL",1,IF(D421="USD",KURLAR!$C$9,IF(D421="EUR",KURLAR!$C$10,0))))</x:f>
      </x:c>
      <x:c r="I421" s="68" t="str">
        <x:f>IF(B421="","",G421*H421)</x:f>
      </x:c>
      <x:c r="J421" s="52" t="str">
        <x:f>IF(B421="","",IF(G421&lt;0,"NEGATİF BAKİYE","UYGUN"))</x:f>
      </x:c>
    </x:row>
    <x:row r="422">
      <x:c r="B422" s="46"/>
      <x:c r="C422" s="46"/>
      <x:c r="D422" s="46"/>
      <x:c r="E422" s="92"/>
      <x:c r="F422" s="92"/>
      <x:c r="G422" s="93" t="str">
        <x:f>IF(B422="","",E422-F422)</x:f>
      </x:c>
      <x:c r="H422" s="100" t="str">
        <x:f>IF(B422="","",IF(D422="TL",1,IF(D422="USD",KURLAR!$C$9,IF(D422="EUR",KURLAR!$C$10,0))))</x:f>
      </x:c>
      <x:c r="I422" s="68" t="str">
        <x:f>IF(B422="","",G422*H422)</x:f>
      </x:c>
      <x:c r="J422" s="52" t="str">
        <x:f>IF(B422="","",IF(G422&lt;0,"NEGATİF BAKİYE","UYGUN"))</x:f>
      </x:c>
    </x:row>
    <x:row r="423">
      <x:c r="B423" s="46"/>
      <x:c r="C423" s="46"/>
      <x:c r="D423" s="46"/>
      <x:c r="E423" s="92"/>
      <x:c r="F423" s="92"/>
      <x:c r="G423" s="93" t="str">
        <x:f>IF(B423="","",E423-F423)</x:f>
      </x:c>
      <x:c r="H423" s="100" t="str">
        <x:f>IF(B423="","",IF(D423="TL",1,IF(D423="USD",KURLAR!$C$9,IF(D423="EUR",KURLAR!$C$10,0))))</x:f>
      </x:c>
      <x:c r="I423" s="68" t="str">
        <x:f>IF(B423="","",G423*H423)</x:f>
      </x:c>
      <x:c r="J423" s="52" t="str">
        <x:f>IF(B423="","",IF(G423&lt;0,"NEGATİF BAKİYE","UYGUN"))</x:f>
      </x:c>
    </x:row>
    <x:row r="424">
      <x:c r="B424" s="46"/>
      <x:c r="C424" s="46"/>
      <x:c r="D424" s="46"/>
      <x:c r="E424" s="92"/>
      <x:c r="F424" s="92"/>
      <x:c r="G424" s="93" t="str">
        <x:f>IF(B424="","",E424-F424)</x:f>
      </x:c>
      <x:c r="H424" s="100" t="str">
        <x:f>IF(B424="","",IF(D424="TL",1,IF(D424="USD",KURLAR!$C$9,IF(D424="EUR",KURLAR!$C$10,0))))</x:f>
      </x:c>
      <x:c r="I424" s="68" t="str">
        <x:f>IF(B424="","",G424*H424)</x:f>
      </x:c>
      <x:c r="J424" s="52" t="str">
        <x:f>IF(B424="","",IF(G424&lt;0,"NEGATİF BAKİYE","UYGUN"))</x:f>
      </x:c>
    </x:row>
    <x:row r="425">
      <x:c r="B425" s="46"/>
      <x:c r="C425" s="46"/>
      <x:c r="D425" s="46"/>
      <x:c r="E425" s="92"/>
      <x:c r="F425" s="92"/>
      <x:c r="G425" s="93" t="str">
        <x:f>IF(B425="","",E425-F425)</x:f>
      </x:c>
      <x:c r="H425" s="100" t="str">
        <x:f>IF(B425="","",IF(D425="TL",1,IF(D425="USD",KURLAR!$C$9,IF(D425="EUR",KURLAR!$C$10,0))))</x:f>
      </x:c>
      <x:c r="I425" s="68" t="str">
        <x:f>IF(B425="","",G425*H425)</x:f>
      </x:c>
      <x:c r="J425" s="52" t="str">
        <x:f>IF(B425="","",IF(G425&lt;0,"NEGATİF BAKİYE","UYGUN"))</x:f>
      </x:c>
    </x:row>
    <x:row r="426">
      <x:c r="B426" s="46"/>
      <x:c r="C426" s="46"/>
      <x:c r="D426" s="46"/>
      <x:c r="E426" s="92"/>
      <x:c r="F426" s="92"/>
      <x:c r="G426" s="93" t="str">
        <x:f>IF(B426="","",E426-F426)</x:f>
      </x:c>
      <x:c r="H426" s="100" t="str">
        <x:f>IF(B426="","",IF(D426="TL",1,IF(D426="USD",KURLAR!$C$9,IF(D426="EUR",KURLAR!$C$10,0))))</x:f>
      </x:c>
      <x:c r="I426" s="68" t="str">
        <x:f>IF(B426="","",G426*H426)</x:f>
      </x:c>
      <x:c r="J426" s="52" t="str">
        <x:f>IF(B426="","",IF(G426&lt;0,"NEGATİF BAKİYE","UYGUN"))</x:f>
      </x:c>
    </x:row>
    <x:row r="427">
      <x:c r="B427" s="46"/>
      <x:c r="C427" s="46"/>
      <x:c r="D427" s="46"/>
      <x:c r="E427" s="92"/>
      <x:c r="F427" s="92"/>
      <x:c r="G427" s="93" t="str">
        <x:f>IF(B427="","",E427-F427)</x:f>
      </x:c>
      <x:c r="H427" s="100" t="str">
        <x:f>IF(B427="","",IF(D427="TL",1,IF(D427="USD",KURLAR!$C$9,IF(D427="EUR",KURLAR!$C$10,0))))</x:f>
      </x:c>
      <x:c r="I427" s="68" t="str">
        <x:f>IF(B427="","",G427*H427)</x:f>
      </x:c>
      <x:c r="J427" s="52" t="str">
        <x:f>IF(B427="","",IF(G427&lt;0,"NEGATİF BAKİYE","UYGUN"))</x:f>
      </x:c>
    </x:row>
    <x:row r="428">
      <x:c r="B428" s="46"/>
      <x:c r="C428" s="46"/>
      <x:c r="D428" s="46"/>
      <x:c r="E428" s="92"/>
      <x:c r="F428" s="92"/>
      <x:c r="G428" s="93" t="str">
        <x:f>IF(B428="","",E428-F428)</x:f>
      </x:c>
      <x:c r="H428" s="100" t="str">
        <x:f>IF(B428="","",IF(D428="TL",1,IF(D428="USD",KURLAR!$C$9,IF(D428="EUR",KURLAR!$C$10,0))))</x:f>
      </x:c>
      <x:c r="I428" s="68" t="str">
        <x:f>IF(B428="","",G428*H428)</x:f>
      </x:c>
      <x:c r="J428" s="52" t="str">
        <x:f>IF(B428="","",IF(G428&lt;0,"NEGATİF BAKİYE","UYGUN"))</x:f>
      </x:c>
    </x:row>
    <x:row r="429">
      <x:c r="B429" s="46"/>
      <x:c r="C429" s="46"/>
      <x:c r="D429" s="46"/>
      <x:c r="E429" s="92"/>
      <x:c r="F429" s="92"/>
      <x:c r="G429" s="93" t="str">
        <x:f>IF(B429="","",E429-F429)</x:f>
      </x:c>
      <x:c r="H429" s="100" t="str">
        <x:f>IF(B429="","",IF(D429="TL",1,IF(D429="USD",KURLAR!$C$9,IF(D429="EUR",KURLAR!$C$10,0))))</x:f>
      </x:c>
      <x:c r="I429" s="68" t="str">
        <x:f>IF(B429="","",G429*H429)</x:f>
      </x:c>
      <x:c r="J429" s="52" t="str">
        <x:f>IF(B429="","",IF(G429&lt;0,"NEGATİF BAKİYE","UYGUN"))</x:f>
      </x:c>
    </x:row>
    <x:row r="430">
      <x:c r="B430" s="46"/>
      <x:c r="C430" s="46"/>
      <x:c r="D430" s="46"/>
      <x:c r="E430" s="92"/>
      <x:c r="F430" s="92"/>
      <x:c r="G430" s="93" t="str">
        <x:f>IF(B430="","",E430-F430)</x:f>
      </x:c>
      <x:c r="H430" s="100" t="str">
        <x:f>IF(B430="","",IF(D430="TL",1,IF(D430="USD",KURLAR!$C$9,IF(D430="EUR",KURLAR!$C$10,0))))</x:f>
      </x:c>
      <x:c r="I430" s="68" t="str">
        <x:f>IF(B430="","",G430*H430)</x:f>
      </x:c>
      <x:c r="J430" s="52" t="str">
        <x:f>IF(B430="","",IF(G430&lt;0,"NEGATİF BAKİYE","UYGUN"))</x:f>
      </x:c>
    </x:row>
    <x:row r="431">
      <x:c r="B431" s="46"/>
      <x:c r="C431" s="46"/>
      <x:c r="D431" s="46"/>
      <x:c r="E431" s="92"/>
      <x:c r="F431" s="92"/>
      <x:c r="G431" s="93" t="str">
        <x:f>IF(B431="","",E431-F431)</x:f>
      </x:c>
      <x:c r="H431" s="100" t="str">
        <x:f>IF(B431="","",IF(D431="TL",1,IF(D431="USD",KURLAR!$C$9,IF(D431="EUR",KURLAR!$C$10,0))))</x:f>
      </x:c>
      <x:c r="I431" s="68" t="str">
        <x:f>IF(B431="","",G431*H431)</x:f>
      </x:c>
      <x:c r="J431" s="52" t="str">
        <x:f>IF(B431="","",IF(G431&lt;0,"NEGATİF BAKİYE","UYGUN"))</x:f>
      </x:c>
    </x:row>
    <x:row r="432">
      <x:c r="B432" s="46"/>
      <x:c r="C432" s="46"/>
      <x:c r="D432" s="46"/>
      <x:c r="E432" s="92"/>
      <x:c r="F432" s="92"/>
      <x:c r="G432" s="93" t="str">
        <x:f>IF(B432="","",E432-F432)</x:f>
      </x:c>
      <x:c r="H432" s="100" t="str">
        <x:f>IF(B432="","",IF(D432="TL",1,IF(D432="USD",KURLAR!$C$9,IF(D432="EUR",KURLAR!$C$10,0))))</x:f>
      </x:c>
      <x:c r="I432" s="68" t="str">
        <x:f>IF(B432="","",G432*H432)</x:f>
      </x:c>
      <x:c r="J432" s="52" t="str">
        <x:f>IF(B432="","",IF(G432&lt;0,"NEGATİF BAKİYE","UYGUN"))</x:f>
      </x:c>
    </x:row>
    <x:row r="433">
      <x:c r="B433" s="46"/>
      <x:c r="C433" s="46"/>
      <x:c r="D433" s="46"/>
      <x:c r="E433" s="92"/>
      <x:c r="F433" s="92"/>
      <x:c r="G433" s="93" t="str">
        <x:f>IF(B433="","",E433-F433)</x:f>
      </x:c>
      <x:c r="H433" s="100" t="str">
        <x:f>IF(B433="","",IF(D433="TL",1,IF(D433="USD",KURLAR!$C$9,IF(D433="EUR",KURLAR!$C$10,0))))</x:f>
      </x:c>
      <x:c r="I433" s="68" t="str">
        <x:f>IF(B433="","",G433*H433)</x:f>
      </x:c>
      <x:c r="J433" s="52" t="str">
        <x:f>IF(B433="","",IF(G433&lt;0,"NEGATİF BAKİYE","UYGUN"))</x:f>
      </x:c>
    </x:row>
    <x:row r="434">
      <x:c r="B434" s="46"/>
      <x:c r="C434" s="46"/>
      <x:c r="D434" s="46"/>
      <x:c r="E434" s="92"/>
      <x:c r="F434" s="92"/>
      <x:c r="G434" s="93" t="str">
        <x:f>IF(B434="","",E434-F434)</x:f>
      </x:c>
      <x:c r="H434" s="100" t="str">
        <x:f>IF(B434="","",IF(D434="TL",1,IF(D434="USD",KURLAR!$C$9,IF(D434="EUR",KURLAR!$C$10,0))))</x:f>
      </x:c>
      <x:c r="I434" s="68" t="str">
        <x:f>IF(B434="","",G434*H434)</x:f>
      </x:c>
      <x:c r="J434" s="52" t="str">
        <x:f>IF(B434="","",IF(G434&lt;0,"NEGATİF BAKİYE","UYGUN"))</x:f>
      </x:c>
    </x:row>
    <x:row r="435">
      <x:c r="B435" s="46"/>
      <x:c r="C435" s="46"/>
      <x:c r="D435" s="46"/>
      <x:c r="E435" s="92"/>
      <x:c r="F435" s="92"/>
      <x:c r="G435" s="93" t="str">
        <x:f>IF(B435="","",E435-F435)</x:f>
      </x:c>
      <x:c r="H435" s="100" t="str">
        <x:f>IF(B435="","",IF(D435="TL",1,IF(D435="USD",KURLAR!$C$9,IF(D435="EUR",KURLAR!$C$10,0))))</x:f>
      </x:c>
      <x:c r="I435" s="68" t="str">
        <x:f>IF(B435="","",G435*H435)</x:f>
      </x:c>
      <x:c r="J435" s="52" t="str">
        <x:f>IF(B435="","",IF(G435&lt;0,"NEGATİF BAKİYE","UYGUN"))</x:f>
      </x:c>
    </x:row>
    <x:row r="436">
      <x:c r="B436" s="46"/>
      <x:c r="C436" s="46"/>
      <x:c r="D436" s="46"/>
      <x:c r="E436" s="92"/>
      <x:c r="F436" s="92"/>
      <x:c r="G436" s="93" t="str">
        <x:f>IF(B436="","",E436-F436)</x:f>
      </x:c>
      <x:c r="H436" s="100" t="str">
        <x:f>IF(B436="","",IF(D436="TL",1,IF(D436="USD",KURLAR!$C$9,IF(D436="EUR",KURLAR!$C$10,0))))</x:f>
      </x:c>
      <x:c r="I436" s="68" t="str">
        <x:f>IF(B436="","",G436*H436)</x:f>
      </x:c>
      <x:c r="J436" s="52" t="str">
        <x:f>IF(B436="","",IF(G436&lt;0,"NEGATİF BAKİYE","UYGUN"))</x:f>
      </x:c>
    </x:row>
    <x:row r="437">
      <x:c r="B437" s="46"/>
      <x:c r="C437" s="46"/>
      <x:c r="D437" s="46"/>
      <x:c r="E437" s="92"/>
      <x:c r="F437" s="92"/>
      <x:c r="G437" s="93" t="str">
        <x:f>IF(B437="","",E437-F437)</x:f>
      </x:c>
      <x:c r="H437" s="100" t="str">
        <x:f>IF(B437="","",IF(D437="TL",1,IF(D437="USD",KURLAR!$C$9,IF(D437="EUR",KURLAR!$C$10,0))))</x:f>
      </x:c>
      <x:c r="I437" s="68" t="str">
        <x:f>IF(B437="","",G437*H437)</x:f>
      </x:c>
      <x:c r="J437" s="52" t="str">
        <x:f>IF(B437="","",IF(G437&lt;0,"NEGATİF BAKİYE","UYGUN"))</x:f>
      </x:c>
    </x:row>
    <x:row r="438">
      <x:c r="B438" s="46"/>
      <x:c r="C438" s="46"/>
      <x:c r="D438" s="46"/>
      <x:c r="E438" s="92"/>
      <x:c r="F438" s="92"/>
      <x:c r="G438" s="93" t="str">
        <x:f>IF(B438="","",E438-F438)</x:f>
      </x:c>
      <x:c r="H438" s="100" t="str">
        <x:f>IF(B438="","",IF(D438="TL",1,IF(D438="USD",KURLAR!$C$9,IF(D438="EUR",KURLAR!$C$10,0))))</x:f>
      </x:c>
      <x:c r="I438" s="68" t="str">
        <x:f>IF(B438="","",G438*H438)</x:f>
      </x:c>
      <x:c r="J438" s="52" t="str">
        <x:f>IF(B438="","",IF(G438&lt;0,"NEGATİF BAKİYE","UYGUN"))</x:f>
      </x:c>
    </x:row>
    <x:row r="439">
      <x:c r="B439" s="46"/>
      <x:c r="C439" s="46"/>
      <x:c r="D439" s="46"/>
      <x:c r="E439" s="92"/>
      <x:c r="F439" s="92"/>
      <x:c r="G439" s="93" t="str">
        <x:f>IF(B439="","",E439-F439)</x:f>
      </x:c>
      <x:c r="H439" s="100" t="str">
        <x:f>IF(B439="","",IF(D439="TL",1,IF(D439="USD",KURLAR!$C$9,IF(D439="EUR",KURLAR!$C$10,0))))</x:f>
      </x:c>
      <x:c r="I439" s="68" t="str">
        <x:f>IF(B439="","",G439*H439)</x:f>
      </x:c>
      <x:c r="J439" s="52" t="str">
        <x:f>IF(B439="","",IF(G439&lt;0,"NEGATİF BAKİYE","UYGUN"))</x:f>
      </x:c>
    </x:row>
    <x:row r="440">
      <x:c r="B440" s="46"/>
      <x:c r="C440" s="46"/>
      <x:c r="D440" s="46"/>
      <x:c r="E440" s="92"/>
      <x:c r="F440" s="92"/>
      <x:c r="G440" s="93" t="str">
        <x:f>IF(B440="","",E440-F440)</x:f>
      </x:c>
      <x:c r="H440" s="100" t="str">
        <x:f>IF(B440="","",IF(D440="TL",1,IF(D440="USD",KURLAR!$C$9,IF(D440="EUR",KURLAR!$C$10,0))))</x:f>
      </x:c>
      <x:c r="I440" s="68" t="str">
        <x:f>IF(B440="","",G440*H440)</x:f>
      </x:c>
      <x:c r="J440" s="52" t="str">
        <x:f>IF(B440="","",IF(G440&lt;0,"NEGATİF BAKİYE","UYGUN"))</x:f>
      </x:c>
    </x:row>
    <x:row r="441">
      <x:c r="B441" s="46"/>
      <x:c r="C441" s="46"/>
      <x:c r="D441" s="46"/>
      <x:c r="E441" s="92"/>
      <x:c r="F441" s="92"/>
      <x:c r="G441" s="93" t="str">
        <x:f>IF(B441="","",E441-F441)</x:f>
      </x:c>
      <x:c r="H441" s="100" t="str">
        <x:f>IF(B441="","",IF(D441="TL",1,IF(D441="USD",KURLAR!$C$9,IF(D441="EUR",KURLAR!$C$10,0))))</x:f>
      </x:c>
      <x:c r="I441" s="68" t="str">
        <x:f>IF(B441="","",G441*H441)</x:f>
      </x:c>
      <x:c r="J441" s="52" t="str">
        <x:f>IF(B441="","",IF(G441&lt;0,"NEGATİF BAKİYE","UYGUN"))</x:f>
      </x:c>
    </x:row>
    <x:row r="442">
      <x:c r="B442" s="46"/>
      <x:c r="C442" s="46"/>
      <x:c r="D442" s="46"/>
      <x:c r="E442" s="92"/>
      <x:c r="F442" s="92"/>
      <x:c r="G442" s="93" t="str">
        <x:f>IF(B442="","",E442-F442)</x:f>
      </x:c>
      <x:c r="H442" s="100" t="str">
        <x:f>IF(B442="","",IF(D442="TL",1,IF(D442="USD",KURLAR!$C$9,IF(D442="EUR",KURLAR!$C$10,0))))</x:f>
      </x:c>
      <x:c r="I442" s="68" t="str">
        <x:f>IF(B442="","",G442*H442)</x:f>
      </x:c>
      <x:c r="J442" s="52" t="str">
        <x:f>IF(B442="","",IF(G442&lt;0,"NEGATİF BAKİYE","UYGUN"))</x:f>
      </x:c>
    </x:row>
    <x:row r="443">
      <x:c r="B443" s="46"/>
      <x:c r="C443" s="46"/>
      <x:c r="D443" s="46"/>
      <x:c r="E443" s="92"/>
      <x:c r="F443" s="92"/>
      <x:c r="G443" s="93" t="str">
        <x:f>IF(B443="","",E443-F443)</x:f>
      </x:c>
      <x:c r="H443" s="100" t="str">
        <x:f>IF(B443="","",IF(D443="TL",1,IF(D443="USD",KURLAR!$C$9,IF(D443="EUR",KURLAR!$C$10,0))))</x:f>
      </x:c>
      <x:c r="I443" s="68" t="str">
        <x:f>IF(B443="","",G443*H443)</x:f>
      </x:c>
      <x:c r="J443" s="52" t="str">
        <x:f>IF(B443="","",IF(G443&lt;0,"NEGATİF BAKİYE","UYGUN"))</x:f>
      </x:c>
    </x:row>
    <x:row r="444">
      <x:c r="B444" s="46"/>
      <x:c r="C444" s="46"/>
      <x:c r="D444" s="46"/>
      <x:c r="E444" s="92"/>
      <x:c r="F444" s="92"/>
      <x:c r="G444" s="93" t="str">
        <x:f>IF(B444="","",E444-F444)</x:f>
      </x:c>
      <x:c r="H444" s="100" t="str">
        <x:f>IF(B444="","",IF(D444="TL",1,IF(D444="USD",KURLAR!$C$9,IF(D444="EUR",KURLAR!$C$10,0))))</x:f>
      </x:c>
      <x:c r="I444" s="68" t="str">
        <x:f>IF(B444="","",G444*H444)</x:f>
      </x:c>
      <x:c r="J444" s="52" t="str">
        <x:f>IF(B444="","",IF(G444&lt;0,"NEGATİF BAKİYE","UYGUN"))</x:f>
      </x:c>
    </x:row>
    <x:row r="445">
      <x:c r="B445" s="46"/>
      <x:c r="C445" s="46"/>
      <x:c r="D445" s="46"/>
      <x:c r="E445" s="92"/>
      <x:c r="F445" s="92"/>
      <x:c r="G445" s="93" t="str">
        <x:f>IF(B445="","",E445-F445)</x:f>
      </x:c>
      <x:c r="H445" s="100" t="str">
        <x:f>IF(B445="","",IF(D445="TL",1,IF(D445="USD",KURLAR!$C$9,IF(D445="EUR",KURLAR!$C$10,0))))</x:f>
      </x:c>
      <x:c r="I445" s="68" t="str">
        <x:f>IF(B445="","",G445*H445)</x:f>
      </x:c>
      <x:c r="J445" s="52" t="str">
        <x:f>IF(B445="","",IF(G445&lt;0,"NEGATİF BAKİYE","UYGUN"))</x:f>
      </x:c>
    </x:row>
    <x:row r="446">
      <x:c r="B446" s="46"/>
      <x:c r="C446" s="46"/>
      <x:c r="D446" s="46"/>
      <x:c r="E446" s="92"/>
      <x:c r="F446" s="92"/>
      <x:c r="G446" s="93" t="str">
        <x:f>IF(B446="","",E446-F446)</x:f>
      </x:c>
      <x:c r="H446" s="100" t="str">
        <x:f>IF(B446="","",IF(D446="TL",1,IF(D446="USD",KURLAR!$C$9,IF(D446="EUR",KURLAR!$C$10,0))))</x:f>
      </x:c>
      <x:c r="I446" s="68" t="str">
        <x:f>IF(B446="","",G446*H446)</x:f>
      </x:c>
      <x:c r="J446" s="52" t="str">
        <x:f>IF(B446="","",IF(G446&lt;0,"NEGATİF BAKİYE","UYGUN"))</x:f>
      </x:c>
    </x:row>
    <x:row r="447">
      <x:c r="B447" s="46"/>
      <x:c r="C447" s="46"/>
      <x:c r="D447" s="46"/>
      <x:c r="E447" s="92"/>
      <x:c r="F447" s="92"/>
      <x:c r="G447" s="93" t="str">
        <x:f>IF(B447="","",E447-F447)</x:f>
      </x:c>
      <x:c r="H447" s="100" t="str">
        <x:f>IF(B447="","",IF(D447="TL",1,IF(D447="USD",KURLAR!$C$9,IF(D447="EUR",KURLAR!$C$10,0))))</x:f>
      </x:c>
      <x:c r="I447" s="68" t="str">
        <x:f>IF(B447="","",G447*H447)</x:f>
      </x:c>
      <x:c r="J447" s="52" t="str">
        <x:f>IF(B447="","",IF(G447&lt;0,"NEGATİF BAKİYE","UYGUN"))</x:f>
      </x:c>
    </x:row>
    <x:row r="448">
      <x:c r="B448" s="46"/>
      <x:c r="C448" s="46"/>
      <x:c r="D448" s="46"/>
      <x:c r="E448" s="92"/>
      <x:c r="F448" s="92"/>
      <x:c r="G448" s="93" t="str">
        <x:f>IF(B448="","",E448-F448)</x:f>
      </x:c>
      <x:c r="H448" s="100" t="str">
        <x:f>IF(B448="","",IF(D448="TL",1,IF(D448="USD",KURLAR!$C$9,IF(D448="EUR",KURLAR!$C$10,0))))</x:f>
      </x:c>
      <x:c r="I448" s="68" t="str">
        <x:f>IF(B448="","",G448*H448)</x:f>
      </x:c>
      <x:c r="J448" s="52" t="str">
        <x:f>IF(B448="","",IF(G448&lt;0,"NEGATİF BAKİYE","UYGUN"))</x:f>
      </x:c>
    </x:row>
    <x:row r="449">
      <x:c r="B449" s="46"/>
      <x:c r="C449" s="46"/>
      <x:c r="D449" s="46"/>
      <x:c r="E449" s="92"/>
      <x:c r="F449" s="92"/>
      <x:c r="G449" s="93" t="str">
        <x:f>IF(B449="","",E449-F449)</x:f>
      </x:c>
      <x:c r="H449" s="100" t="str">
        <x:f>IF(B449="","",IF(D449="TL",1,IF(D449="USD",KURLAR!$C$9,IF(D449="EUR",KURLAR!$C$10,0))))</x:f>
      </x:c>
      <x:c r="I449" s="68" t="str">
        <x:f>IF(B449="","",G449*H449)</x:f>
      </x:c>
      <x:c r="J449" s="52" t="str">
        <x:f>IF(B449="","",IF(G449&lt;0,"NEGATİF BAKİYE","UYGUN"))</x:f>
      </x:c>
    </x:row>
    <x:row r="450">
      <x:c r="B450" s="46"/>
      <x:c r="C450" s="46"/>
      <x:c r="D450" s="46"/>
      <x:c r="E450" s="92"/>
      <x:c r="F450" s="92"/>
      <x:c r="G450" s="93" t="str">
        <x:f>IF(B450="","",E450-F450)</x:f>
      </x:c>
      <x:c r="H450" s="100" t="str">
        <x:f>IF(B450="","",IF(D450="TL",1,IF(D450="USD",KURLAR!$C$9,IF(D450="EUR",KURLAR!$C$10,0))))</x:f>
      </x:c>
      <x:c r="I450" s="68" t="str">
        <x:f>IF(B450="","",G450*H450)</x:f>
      </x:c>
      <x:c r="J450" s="52" t="str">
        <x:f>IF(B450="","",IF(G450&lt;0,"NEGATİF BAKİYE","UYGUN"))</x:f>
      </x:c>
    </x:row>
    <x:row r="451">
      <x:c r="B451" s="46"/>
      <x:c r="C451" s="46"/>
      <x:c r="D451" s="46"/>
      <x:c r="E451" s="92"/>
      <x:c r="F451" s="92"/>
      <x:c r="G451" s="93" t="str">
        <x:f>IF(B451="","",E451-F451)</x:f>
      </x:c>
      <x:c r="H451" s="100" t="str">
        <x:f>IF(B451="","",IF(D451="TL",1,IF(D451="USD",KURLAR!$C$9,IF(D451="EUR",KURLAR!$C$10,0))))</x:f>
      </x:c>
      <x:c r="I451" s="68" t="str">
        <x:f>IF(B451="","",G451*H451)</x:f>
      </x:c>
      <x:c r="J451" s="52" t="str">
        <x:f>IF(B451="","",IF(G451&lt;0,"NEGATİF BAKİYE","UYGUN"))</x:f>
      </x:c>
    </x:row>
    <x:row r="452">
      <x:c r="B452" s="46"/>
      <x:c r="C452" s="46"/>
      <x:c r="D452" s="46"/>
      <x:c r="E452" s="92"/>
      <x:c r="F452" s="92"/>
      <x:c r="G452" s="93" t="str">
        <x:f>IF(B452="","",E452-F452)</x:f>
      </x:c>
      <x:c r="H452" s="100" t="str">
        <x:f>IF(B452="","",IF(D452="TL",1,IF(D452="USD",KURLAR!$C$9,IF(D452="EUR",KURLAR!$C$10,0))))</x:f>
      </x:c>
      <x:c r="I452" s="68" t="str">
        <x:f>IF(B452="","",G452*H452)</x:f>
      </x:c>
      <x:c r="J452" s="52" t="str">
        <x:f>IF(B452="","",IF(G452&lt;0,"NEGATİF BAKİYE","UYGUN"))</x:f>
      </x:c>
    </x:row>
    <x:row r="453">
      <x:c r="B453" s="46"/>
      <x:c r="C453" s="46"/>
      <x:c r="D453" s="46"/>
      <x:c r="E453" s="92"/>
      <x:c r="F453" s="92"/>
      <x:c r="G453" s="93" t="str">
        <x:f>IF(B453="","",E453-F453)</x:f>
      </x:c>
      <x:c r="H453" s="100" t="str">
        <x:f>IF(B453="","",IF(D453="TL",1,IF(D453="USD",KURLAR!$C$9,IF(D453="EUR",KURLAR!$C$10,0))))</x:f>
      </x:c>
      <x:c r="I453" s="68" t="str">
        <x:f>IF(B453="","",G453*H453)</x:f>
      </x:c>
      <x:c r="J453" s="52" t="str">
        <x:f>IF(B453="","",IF(G453&lt;0,"NEGATİF BAKİYE","UYGUN"))</x:f>
      </x:c>
    </x:row>
    <x:row r="454">
      <x:c r="B454" s="46"/>
      <x:c r="C454" s="46"/>
      <x:c r="D454" s="46"/>
      <x:c r="E454" s="92"/>
      <x:c r="F454" s="92"/>
      <x:c r="G454" s="93" t="str">
        <x:f>IF(B454="","",E454-F454)</x:f>
      </x:c>
      <x:c r="H454" s="100" t="str">
        <x:f>IF(B454="","",IF(D454="TL",1,IF(D454="USD",KURLAR!$C$9,IF(D454="EUR",KURLAR!$C$10,0))))</x:f>
      </x:c>
      <x:c r="I454" s="68" t="str">
        <x:f>IF(B454="","",G454*H454)</x:f>
      </x:c>
      <x:c r="J454" s="52" t="str">
        <x:f>IF(B454="","",IF(G454&lt;0,"NEGATİF BAKİYE","UYGUN"))</x:f>
      </x:c>
    </x:row>
    <x:row r="455">
      <x:c r="B455" s="46"/>
      <x:c r="C455" s="46"/>
      <x:c r="D455" s="46"/>
      <x:c r="E455" s="92"/>
      <x:c r="F455" s="92"/>
      <x:c r="G455" s="93" t="str">
        <x:f>IF(B455="","",E455-F455)</x:f>
      </x:c>
      <x:c r="H455" s="100" t="str">
        <x:f>IF(B455="","",IF(D455="TL",1,IF(D455="USD",KURLAR!$C$9,IF(D455="EUR",KURLAR!$C$10,0))))</x:f>
      </x:c>
      <x:c r="I455" s="68" t="str">
        <x:f>IF(B455="","",G455*H455)</x:f>
      </x:c>
      <x:c r="J455" s="52" t="str">
        <x:f>IF(B455="","",IF(G455&lt;0,"NEGATİF BAKİYE","UYGUN"))</x:f>
      </x:c>
    </x:row>
    <x:row r="456">
      <x:c r="B456" s="46"/>
      <x:c r="C456" s="46"/>
      <x:c r="D456" s="46"/>
      <x:c r="E456" s="92"/>
      <x:c r="F456" s="92"/>
      <x:c r="G456" s="93" t="str">
        <x:f>IF(B456="","",E456-F456)</x:f>
      </x:c>
      <x:c r="H456" s="100" t="str">
        <x:f>IF(B456="","",IF(D456="TL",1,IF(D456="USD",KURLAR!$C$9,IF(D456="EUR",KURLAR!$C$10,0))))</x:f>
      </x:c>
      <x:c r="I456" s="68" t="str">
        <x:f>IF(B456="","",G456*H456)</x:f>
      </x:c>
      <x:c r="J456" s="52" t="str">
        <x:f>IF(B456="","",IF(G456&lt;0,"NEGATİF BAKİYE","UYGUN"))</x:f>
      </x:c>
    </x:row>
    <x:row r="457">
      <x:c r="B457" s="46"/>
      <x:c r="C457" s="46"/>
      <x:c r="D457" s="46"/>
      <x:c r="E457" s="92"/>
      <x:c r="F457" s="92"/>
      <x:c r="G457" s="93" t="str">
        <x:f>IF(B457="","",E457-F457)</x:f>
      </x:c>
      <x:c r="H457" s="100" t="str">
        <x:f>IF(B457="","",IF(D457="TL",1,IF(D457="USD",KURLAR!$C$9,IF(D457="EUR",KURLAR!$C$10,0))))</x:f>
      </x:c>
      <x:c r="I457" s="68" t="str">
        <x:f>IF(B457="","",G457*H457)</x:f>
      </x:c>
      <x:c r="J457" s="52" t="str">
        <x:f>IF(B457="","",IF(G457&lt;0,"NEGATİF BAKİYE","UYGUN"))</x:f>
      </x:c>
    </x:row>
    <x:row r="458">
      <x:c r="B458" s="46"/>
      <x:c r="C458" s="46"/>
      <x:c r="D458" s="46"/>
      <x:c r="E458" s="92"/>
      <x:c r="F458" s="92"/>
      <x:c r="G458" s="93" t="str">
        <x:f>IF(B458="","",E458-F458)</x:f>
      </x:c>
      <x:c r="H458" s="100" t="str">
        <x:f>IF(B458="","",IF(D458="TL",1,IF(D458="USD",KURLAR!$C$9,IF(D458="EUR",KURLAR!$C$10,0))))</x:f>
      </x:c>
      <x:c r="I458" s="68" t="str">
        <x:f>IF(B458="","",G458*H458)</x:f>
      </x:c>
      <x:c r="J458" s="52" t="str">
        <x:f>IF(B458="","",IF(G458&lt;0,"NEGATİF BAKİYE","UYGUN"))</x:f>
      </x:c>
    </x:row>
    <x:row r="459">
      <x:c r="B459" s="46"/>
      <x:c r="C459" s="46"/>
      <x:c r="D459" s="46"/>
      <x:c r="E459" s="92"/>
      <x:c r="F459" s="92"/>
      <x:c r="G459" s="93" t="str">
        <x:f>IF(B459="","",E459-F459)</x:f>
      </x:c>
      <x:c r="H459" s="100" t="str">
        <x:f>IF(B459="","",IF(D459="TL",1,IF(D459="USD",KURLAR!$C$9,IF(D459="EUR",KURLAR!$C$10,0))))</x:f>
      </x:c>
      <x:c r="I459" s="68" t="str">
        <x:f>IF(B459="","",G459*H459)</x:f>
      </x:c>
      <x:c r="J459" s="52" t="str">
        <x:f>IF(B459="","",IF(G459&lt;0,"NEGATİF BAKİYE","UYGUN"))</x:f>
      </x:c>
    </x:row>
    <x:row r="460">
      <x:c r="B460" s="46"/>
      <x:c r="C460" s="46"/>
      <x:c r="D460" s="46"/>
      <x:c r="E460" s="92"/>
      <x:c r="F460" s="92"/>
      <x:c r="G460" s="93" t="str">
        <x:f>IF(B460="","",E460-F460)</x:f>
      </x:c>
      <x:c r="H460" s="100" t="str">
        <x:f>IF(B460="","",IF(D460="TL",1,IF(D460="USD",KURLAR!$C$9,IF(D460="EUR",KURLAR!$C$10,0))))</x:f>
      </x:c>
      <x:c r="I460" s="68" t="str">
        <x:f>IF(B460="","",G460*H460)</x:f>
      </x:c>
      <x:c r="J460" s="52" t="str">
        <x:f>IF(B460="","",IF(G460&lt;0,"NEGATİF BAKİYE","UYGUN"))</x:f>
      </x:c>
    </x:row>
    <x:row r="461">
      <x:c r="B461" s="46"/>
      <x:c r="C461" s="46"/>
      <x:c r="D461" s="46"/>
      <x:c r="E461" s="92"/>
      <x:c r="F461" s="92"/>
      <x:c r="G461" s="93" t="str">
        <x:f>IF(B461="","",E461-F461)</x:f>
      </x:c>
      <x:c r="H461" s="100" t="str">
        <x:f>IF(B461="","",IF(D461="TL",1,IF(D461="USD",KURLAR!$C$9,IF(D461="EUR",KURLAR!$C$10,0))))</x:f>
      </x:c>
      <x:c r="I461" s="68" t="str">
        <x:f>IF(B461="","",G461*H461)</x:f>
      </x:c>
      <x:c r="J461" s="52" t="str">
        <x:f>IF(B461="","",IF(G461&lt;0,"NEGATİF BAKİYE","UYGUN"))</x:f>
      </x:c>
    </x:row>
    <x:row r="462">
      <x:c r="B462" s="46"/>
      <x:c r="C462" s="46"/>
      <x:c r="D462" s="46"/>
      <x:c r="E462" s="92"/>
      <x:c r="F462" s="92"/>
      <x:c r="G462" s="93" t="str">
        <x:f>IF(B462="","",E462-F462)</x:f>
      </x:c>
      <x:c r="H462" s="100" t="str">
        <x:f>IF(B462="","",IF(D462="TL",1,IF(D462="USD",KURLAR!$C$9,IF(D462="EUR",KURLAR!$C$10,0))))</x:f>
      </x:c>
      <x:c r="I462" s="68" t="str">
        <x:f>IF(B462="","",G462*H462)</x:f>
      </x:c>
      <x:c r="J462" s="52" t="str">
        <x:f>IF(B462="","",IF(G462&lt;0,"NEGATİF BAKİYE","UYGUN"))</x:f>
      </x:c>
    </x:row>
    <x:row r="463">
      <x:c r="B463" s="46"/>
      <x:c r="C463" s="46"/>
      <x:c r="D463" s="46"/>
      <x:c r="E463" s="92"/>
      <x:c r="F463" s="92"/>
      <x:c r="G463" s="93" t="str">
        <x:f>IF(B463="","",E463-F463)</x:f>
      </x:c>
      <x:c r="H463" s="100" t="str">
        <x:f>IF(B463="","",IF(D463="TL",1,IF(D463="USD",KURLAR!$C$9,IF(D463="EUR",KURLAR!$C$10,0))))</x:f>
      </x:c>
      <x:c r="I463" s="68" t="str">
        <x:f>IF(B463="","",G463*H463)</x:f>
      </x:c>
      <x:c r="J463" s="52" t="str">
        <x:f>IF(B463="","",IF(G463&lt;0,"NEGATİF BAKİYE","UYGUN"))</x:f>
      </x:c>
    </x:row>
    <x:row r="464">
      <x:c r="B464" s="46"/>
      <x:c r="C464" s="46"/>
      <x:c r="D464" s="46"/>
      <x:c r="E464" s="92"/>
      <x:c r="F464" s="92"/>
      <x:c r="G464" s="93" t="str">
        <x:f>IF(B464="","",E464-F464)</x:f>
      </x:c>
      <x:c r="H464" s="100" t="str">
        <x:f>IF(B464="","",IF(D464="TL",1,IF(D464="USD",KURLAR!$C$9,IF(D464="EUR",KURLAR!$C$10,0))))</x:f>
      </x:c>
      <x:c r="I464" s="68" t="str">
        <x:f>IF(B464="","",G464*H464)</x:f>
      </x:c>
      <x:c r="J464" s="52" t="str">
        <x:f>IF(B464="","",IF(G464&lt;0,"NEGATİF BAKİYE","UYGUN"))</x:f>
      </x:c>
    </x:row>
    <x:row r="465">
      <x:c r="B465" s="46"/>
      <x:c r="C465" s="46"/>
      <x:c r="D465" s="46"/>
      <x:c r="E465" s="92"/>
      <x:c r="F465" s="92"/>
      <x:c r="G465" s="93" t="str">
        <x:f>IF(B465="","",E465-F465)</x:f>
      </x:c>
      <x:c r="H465" s="100" t="str">
        <x:f>IF(B465="","",IF(D465="TL",1,IF(D465="USD",KURLAR!$C$9,IF(D465="EUR",KURLAR!$C$10,0))))</x:f>
      </x:c>
      <x:c r="I465" s="68" t="str">
        <x:f>IF(B465="","",G465*H465)</x:f>
      </x:c>
      <x:c r="J465" s="52" t="str">
        <x:f>IF(B465="","",IF(G465&lt;0,"NEGATİF BAKİYE","UYGUN"))</x:f>
      </x:c>
    </x:row>
    <x:row r="466">
      <x:c r="B466" s="46"/>
      <x:c r="C466" s="46"/>
      <x:c r="D466" s="46"/>
      <x:c r="E466" s="92"/>
      <x:c r="F466" s="92"/>
      <x:c r="G466" s="93" t="str">
        <x:f>IF(B466="","",E466-F466)</x:f>
      </x:c>
      <x:c r="H466" s="100" t="str">
        <x:f>IF(B466="","",IF(D466="TL",1,IF(D466="USD",KURLAR!$C$9,IF(D466="EUR",KURLAR!$C$10,0))))</x:f>
      </x:c>
      <x:c r="I466" s="68" t="str">
        <x:f>IF(B466="","",G466*H466)</x:f>
      </x:c>
      <x:c r="J466" s="52" t="str">
        <x:f>IF(B466="","",IF(G466&lt;0,"NEGATİF BAKİYE","UYGUN"))</x:f>
      </x:c>
    </x:row>
    <x:row r="467">
      <x:c r="B467" s="46"/>
      <x:c r="C467" s="46"/>
      <x:c r="D467" s="46"/>
      <x:c r="E467" s="92"/>
      <x:c r="F467" s="92"/>
      <x:c r="G467" s="93" t="str">
        <x:f>IF(B467="","",E467-F467)</x:f>
      </x:c>
      <x:c r="H467" s="100" t="str">
        <x:f>IF(B467="","",IF(D467="TL",1,IF(D467="USD",KURLAR!$C$9,IF(D467="EUR",KURLAR!$C$10,0))))</x:f>
      </x:c>
      <x:c r="I467" s="68" t="str">
        <x:f>IF(B467="","",G467*H467)</x:f>
      </x:c>
      <x:c r="J467" s="52" t="str">
        <x:f>IF(B467="","",IF(G467&lt;0,"NEGATİF BAKİYE","UYGUN"))</x:f>
      </x:c>
    </x:row>
    <x:row r="468">
      <x:c r="B468" s="46"/>
      <x:c r="C468" s="46"/>
      <x:c r="D468" s="46"/>
      <x:c r="E468" s="92"/>
      <x:c r="F468" s="92"/>
      <x:c r="G468" s="93" t="str">
        <x:f>IF(B468="","",E468-F468)</x:f>
      </x:c>
      <x:c r="H468" s="100" t="str">
        <x:f>IF(B468="","",IF(D468="TL",1,IF(D468="USD",KURLAR!$C$9,IF(D468="EUR",KURLAR!$C$10,0))))</x:f>
      </x:c>
      <x:c r="I468" s="68" t="str">
        <x:f>IF(B468="","",G468*H468)</x:f>
      </x:c>
      <x:c r="J468" s="52" t="str">
        <x:f>IF(B468="","",IF(G468&lt;0,"NEGATİF BAKİYE","UYGUN"))</x:f>
      </x:c>
    </x:row>
    <x:row r="469">
      <x:c r="B469" s="46"/>
      <x:c r="C469" s="46"/>
      <x:c r="D469" s="46"/>
      <x:c r="E469" s="92"/>
      <x:c r="F469" s="92"/>
      <x:c r="G469" s="93" t="str">
        <x:f>IF(B469="","",E469-F469)</x:f>
      </x:c>
      <x:c r="H469" s="100" t="str">
        <x:f>IF(B469="","",IF(D469="TL",1,IF(D469="USD",KURLAR!$C$9,IF(D469="EUR",KURLAR!$C$10,0))))</x:f>
      </x:c>
      <x:c r="I469" s="68" t="str">
        <x:f>IF(B469="","",G469*H469)</x:f>
      </x:c>
      <x:c r="J469" s="52" t="str">
        <x:f>IF(B469="","",IF(G469&lt;0,"NEGATİF BAKİYE","UYGUN"))</x:f>
      </x:c>
    </x:row>
    <x:row r="470">
      <x:c r="B470" s="46"/>
      <x:c r="C470" s="46"/>
      <x:c r="D470" s="46"/>
      <x:c r="E470" s="92"/>
      <x:c r="F470" s="92"/>
      <x:c r="G470" s="93" t="str">
        <x:f>IF(B470="","",E470-F470)</x:f>
      </x:c>
      <x:c r="H470" s="100" t="str">
        <x:f>IF(B470="","",IF(D470="TL",1,IF(D470="USD",KURLAR!$C$9,IF(D470="EUR",KURLAR!$C$10,0))))</x:f>
      </x:c>
      <x:c r="I470" s="68" t="str">
        <x:f>IF(B470="","",G470*H470)</x:f>
      </x:c>
      <x:c r="J470" s="52" t="str">
        <x:f>IF(B470="","",IF(G470&lt;0,"NEGATİF BAKİYE","UYGUN"))</x:f>
      </x:c>
    </x:row>
    <x:row r="471">
      <x:c r="B471" s="46"/>
      <x:c r="C471" s="46"/>
      <x:c r="D471" s="46"/>
      <x:c r="E471" s="92"/>
      <x:c r="F471" s="92"/>
      <x:c r="G471" s="93" t="str">
        <x:f>IF(B471="","",E471-F471)</x:f>
      </x:c>
      <x:c r="H471" s="100" t="str">
        <x:f>IF(B471="","",IF(D471="TL",1,IF(D471="USD",KURLAR!$C$9,IF(D471="EUR",KURLAR!$C$10,0))))</x:f>
      </x:c>
      <x:c r="I471" s="68" t="str">
        <x:f>IF(B471="","",G471*H471)</x:f>
      </x:c>
      <x:c r="J471" s="52" t="str">
        <x:f>IF(B471="","",IF(G471&lt;0,"NEGATİF BAKİYE","UYGUN"))</x:f>
      </x:c>
    </x:row>
    <x:row r="472">
      <x:c r="B472" s="46"/>
      <x:c r="C472" s="46"/>
      <x:c r="D472" s="46"/>
      <x:c r="E472" s="92"/>
      <x:c r="F472" s="92"/>
      <x:c r="G472" s="93" t="str">
        <x:f>IF(B472="","",E472-F472)</x:f>
      </x:c>
      <x:c r="H472" s="100" t="str">
        <x:f>IF(B472="","",IF(D472="TL",1,IF(D472="USD",KURLAR!$C$9,IF(D472="EUR",KURLAR!$C$10,0))))</x:f>
      </x:c>
      <x:c r="I472" s="68" t="str">
        <x:f>IF(B472="","",G472*H472)</x:f>
      </x:c>
      <x:c r="J472" s="52" t="str">
        <x:f>IF(B472="","",IF(G472&lt;0,"NEGATİF BAKİYE","UYGUN"))</x:f>
      </x:c>
    </x:row>
    <x:row r="473">
      <x:c r="B473" s="46"/>
      <x:c r="C473" s="46"/>
      <x:c r="D473" s="46"/>
      <x:c r="E473" s="92"/>
      <x:c r="F473" s="92"/>
      <x:c r="G473" s="93" t="str">
        <x:f>IF(B473="","",E473-F473)</x:f>
      </x:c>
      <x:c r="H473" s="100" t="str">
        <x:f>IF(B473="","",IF(D473="TL",1,IF(D473="USD",KURLAR!$C$9,IF(D473="EUR",KURLAR!$C$10,0))))</x:f>
      </x:c>
      <x:c r="I473" s="68" t="str">
        <x:f>IF(B473="","",G473*H473)</x:f>
      </x:c>
      <x:c r="J473" s="52" t="str">
        <x:f>IF(B473="","",IF(G473&lt;0,"NEGATİF BAKİYE","UYGUN"))</x:f>
      </x:c>
    </x:row>
    <x:row r="474">
      <x:c r="B474" s="46"/>
      <x:c r="C474" s="46"/>
      <x:c r="D474" s="46"/>
      <x:c r="E474" s="92"/>
      <x:c r="F474" s="92"/>
      <x:c r="G474" s="93" t="str">
        <x:f>IF(B474="","",E474-F474)</x:f>
      </x:c>
      <x:c r="H474" s="100" t="str">
        <x:f>IF(B474="","",IF(D474="TL",1,IF(D474="USD",KURLAR!$C$9,IF(D474="EUR",KURLAR!$C$10,0))))</x:f>
      </x:c>
      <x:c r="I474" s="68" t="str">
        <x:f>IF(B474="","",G474*H474)</x:f>
      </x:c>
      <x:c r="J474" s="52" t="str">
        <x:f>IF(B474="","",IF(G474&lt;0,"NEGATİF BAKİYE","UYGUN"))</x:f>
      </x:c>
    </x:row>
    <x:row r="475">
      <x:c r="B475" s="46"/>
      <x:c r="C475" s="46"/>
      <x:c r="D475" s="46"/>
      <x:c r="E475" s="92"/>
      <x:c r="F475" s="92"/>
      <x:c r="G475" s="93" t="str">
        <x:f>IF(B475="","",E475-F475)</x:f>
      </x:c>
      <x:c r="H475" s="100" t="str">
        <x:f>IF(B475="","",IF(D475="TL",1,IF(D475="USD",KURLAR!$C$9,IF(D475="EUR",KURLAR!$C$10,0))))</x:f>
      </x:c>
      <x:c r="I475" s="68" t="str">
        <x:f>IF(B475="","",G475*H475)</x:f>
      </x:c>
      <x:c r="J475" s="52" t="str">
        <x:f>IF(B475="","",IF(G475&lt;0,"NEGATİF BAKİYE","UYGUN"))</x:f>
      </x:c>
    </x:row>
    <x:row r="476">
      <x:c r="B476" s="46"/>
      <x:c r="C476" s="46"/>
      <x:c r="D476" s="46"/>
      <x:c r="E476" s="92"/>
      <x:c r="F476" s="92"/>
      <x:c r="G476" s="93" t="str">
        <x:f>IF(B476="","",E476-F476)</x:f>
      </x:c>
      <x:c r="H476" s="100" t="str">
        <x:f>IF(B476="","",IF(D476="TL",1,IF(D476="USD",KURLAR!$C$9,IF(D476="EUR",KURLAR!$C$10,0))))</x:f>
      </x:c>
      <x:c r="I476" s="68" t="str">
        <x:f>IF(B476="","",G476*H476)</x:f>
      </x:c>
      <x:c r="J476" s="52" t="str">
        <x:f>IF(B476="","",IF(G476&lt;0,"NEGATİF BAKİYE","UYGUN"))</x:f>
      </x:c>
    </x:row>
    <x:row r="477">
      <x:c r="B477" s="46"/>
      <x:c r="C477" s="46"/>
      <x:c r="D477" s="46"/>
      <x:c r="E477" s="92"/>
      <x:c r="F477" s="92"/>
      <x:c r="G477" s="93" t="str">
        <x:f>IF(B477="","",E477-F477)</x:f>
      </x:c>
      <x:c r="H477" s="100" t="str">
        <x:f>IF(B477="","",IF(D477="TL",1,IF(D477="USD",KURLAR!$C$9,IF(D477="EUR",KURLAR!$C$10,0))))</x:f>
      </x:c>
      <x:c r="I477" s="68" t="str">
        <x:f>IF(B477="","",G477*H477)</x:f>
      </x:c>
      <x:c r="J477" s="52" t="str">
        <x:f>IF(B477="","",IF(G477&lt;0,"NEGATİF BAKİYE","UYGUN"))</x:f>
      </x:c>
    </x:row>
    <x:row r="478">
      <x:c r="B478" s="46"/>
      <x:c r="C478" s="46"/>
      <x:c r="D478" s="46"/>
      <x:c r="E478" s="92"/>
      <x:c r="F478" s="92"/>
      <x:c r="G478" s="93" t="str">
        <x:f>IF(B478="","",E478-F478)</x:f>
      </x:c>
      <x:c r="H478" s="100" t="str">
        <x:f>IF(B478="","",IF(D478="TL",1,IF(D478="USD",KURLAR!$C$9,IF(D478="EUR",KURLAR!$C$10,0))))</x:f>
      </x:c>
      <x:c r="I478" s="68" t="str">
        <x:f>IF(B478="","",G478*H478)</x:f>
      </x:c>
      <x:c r="J478" s="52" t="str">
        <x:f>IF(B478="","",IF(G478&lt;0,"NEGATİF BAKİYE","UYGUN"))</x:f>
      </x:c>
    </x:row>
    <x:row r="479">
      <x:c r="B479" s="46"/>
      <x:c r="C479" s="46"/>
      <x:c r="D479" s="46"/>
      <x:c r="E479" s="92"/>
      <x:c r="F479" s="92"/>
      <x:c r="G479" s="93" t="str">
        <x:f>IF(B479="","",E479-F479)</x:f>
      </x:c>
      <x:c r="H479" s="100" t="str">
        <x:f>IF(B479="","",IF(D479="TL",1,IF(D479="USD",KURLAR!$C$9,IF(D479="EUR",KURLAR!$C$10,0))))</x:f>
      </x:c>
      <x:c r="I479" s="68" t="str">
        <x:f>IF(B479="","",G479*H479)</x:f>
      </x:c>
      <x:c r="J479" s="52" t="str">
        <x:f>IF(B479="","",IF(G479&lt;0,"NEGATİF BAKİYE","UYGUN"))</x:f>
      </x:c>
    </x:row>
    <x:row r="480">
      <x:c r="B480" s="46"/>
      <x:c r="C480" s="46"/>
      <x:c r="D480" s="46"/>
      <x:c r="E480" s="92"/>
      <x:c r="F480" s="92"/>
      <x:c r="G480" s="93" t="str">
        <x:f>IF(B480="","",E480-F480)</x:f>
      </x:c>
      <x:c r="H480" s="100" t="str">
        <x:f>IF(B480="","",IF(D480="TL",1,IF(D480="USD",KURLAR!$C$9,IF(D480="EUR",KURLAR!$C$10,0))))</x:f>
      </x:c>
      <x:c r="I480" s="68" t="str">
        <x:f>IF(B480="","",G480*H480)</x:f>
      </x:c>
      <x:c r="J480" s="52" t="str">
        <x:f>IF(B480="","",IF(G480&lt;0,"NEGATİF BAKİYE","UYGUN"))</x:f>
      </x:c>
    </x:row>
    <x:row r="481">
      <x:c r="B481" s="46"/>
      <x:c r="C481" s="46"/>
      <x:c r="D481" s="46"/>
      <x:c r="E481" s="92"/>
      <x:c r="F481" s="92"/>
      <x:c r="G481" s="93" t="str">
        <x:f>IF(B481="","",E481-F481)</x:f>
      </x:c>
      <x:c r="H481" s="100" t="str">
        <x:f>IF(B481="","",IF(D481="TL",1,IF(D481="USD",KURLAR!$C$9,IF(D481="EUR",KURLAR!$C$10,0))))</x:f>
      </x:c>
      <x:c r="I481" s="68" t="str">
        <x:f>IF(B481="","",G481*H481)</x:f>
      </x:c>
      <x:c r="J481" s="52" t="str">
        <x:f>IF(B481="","",IF(G481&lt;0,"NEGATİF BAKİYE","UYGUN"))</x:f>
      </x:c>
    </x:row>
    <x:row r="482">
      <x:c r="B482" s="46"/>
      <x:c r="C482" s="46"/>
      <x:c r="D482" s="46"/>
      <x:c r="E482" s="92"/>
      <x:c r="F482" s="92"/>
      <x:c r="G482" s="93" t="str">
        <x:f>IF(B482="","",E482-F482)</x:f>
      </x:c>
      <x:c r="H482" s="100" t="str">
        <x:f>IF(B482="","",IF(D482="TL",1,IF(D482="USD",KURLAR!$C$9,IF(D482="EUR",KURLAR!$C$10,0))))</x:f>
      </x:c>
      <x:c r="I482" s="68" t="str">
        <x:f>IF(B482="","",G482*H482)</x:f>
      </x:c>
      <x:c r="J482" s="52" t="str">
        <x:f>IF(B482="","",IF(G482&lt;0,"NEGATİF BAKİYE","UYGUN"))</x:f>
      </x:c>
    </x:row>
    <x:row r="483">
      <x:c r="B483" s="46"/>
      <x:c r="C483" s="46"/>
      <x:c r="D483" s="46"/>
      <x:c r="E483" s="92"/>
      <x:c r="F483" s="92"/>
      <x:c r="G483" s="93" t="str">
        <x:f>IF(B483="","",E483-F483)</x:f>
      </x:c>
      <x:c r="H483" s="100" t="str">
        <x:f>IF(B483="","",IF(D483="TL",1,IF(D483="USD",KURLAR!$C$9,IF(D483="EUR",KURLAR!$C$10,0))))</x:f>
      </x:c>
      <x:c r="I483" s="68" t="str">
        <x:f>IF(B483="","",G483*H483)</x:f>
      </x:c>
      <x:c r="J483" s="52" t="str">
        <x:f>IF(B483="","",IF(G483&lt;0,"NEGATİF BAKİYE","UYGUN"))</x:f>
      </x:c>
    </x:row>
    <x:row r="484">
      <x:c r="B484" s="46"/>
      <x:c r="C484" s="46"/>
      <x:c r="D484" s="46"/>
      <x:c r="E484" s="92"/>
      <x:c r="F484" s="92"/>
      <x:c r="G484" s="93" t="str">
        <x:f>IF(B484="","",E484-F484)</x:f>
      </x:c>
      <x:c r="H484" s="100" t="str">
        <x:f>IF(B484="","",IF(D484="TL",1,IF(D484="USD",KURLAR!$C$9,IF(D484="EUR",KURLAR!$C$10,0))))</x:f>
      </x:c>
      <x:c r="I484" s="68" t="str">
        <x:f>IF(B484="","",G484*H484)</x:f>
      </x:c>
      <x:c r="J484" s="52" t="str">
        <x:f>IF(B484="","",IF(G484&lt;0,"NEGATİF BAKİYE","UYGUN"))</x:f>
      </x:c>
    </x:row>
    <x:row r="485">
      <x:c r="B485" s="46"/>
      <x:c r="C485" s="46"/>
      <x:c r="D485" s="46"/>
      <x:c r="E485" s="92"/>
      <x:c r="F485" s="92"/>
      <x:c r="G485" s="93" t="str">
        <x:f>IF(B485="","",E485-F485)</x:f>
      </x:c>
      <x:c r="H485" s="100" t="str">
        <x:f>IF(B485="","",IF(D485="TL",1,IF(D485="USD",KURLAR!$C$9,IF(D485="EUR",KURLAR!$C$10,0))))</x:f>
      </x:c>
      <x:c r="I485" s="68" t="str">
        <x:f>IF(B485="","",G485*H485)</x:f>
      </x:c>
      <x:c r="J485" s="52" t="str">
        <x:f>IF(B485="","",IF(G485&lt;0,"NEGATİF BAKİYE","UYGUN"))</x:f>
      </x:c>
    </x:row>
    <x:row r="486">
      <x:c r="B486" s="46"/>
      <x:c r="C486" s="46"/>
      <x:c r="D486" s="46"/>
      <x:c r="E486" s="92"/>
      <x:c r="F486" s="92"/>
      <x:c r="G486" s="93" t="str">
        <x:f>IF(B486="","",E486-F486)</x:f>
      </x:c>
      <x:c r="H486" s="100" t="str">
        <x:f>IF(B486="","",IF(D486="TL",1,IF(D486="USD",KURLAR!$C$9,IF(D486="EUR",KURLAR!$C$10,0))))</x:f>
      </x:c>
      <x:c r="I486" s="68" t="str">
        <x:f>IF(B486="","",G486*H486)</x:f>
      </x:c>
      <x:c r="J486" s="52" t="str">
        <x:f>IF(B486="","",IF(G486&lt;0,"NEGATİF BAKİYE","UYGUN"))</x:f>
      </x:c>
    </x:row>
    <x:row r="487">
      <x:c r="B487" s="46"/>
      <x:c r="C487" s="46"/>
      <x:c r="D487" s="46"/>
      <x:c r="E487" s="92"/>
      <x:c r="F487" s="92"/>
      <x:c r="G487" s="93" t="str">
        <x:f>IF(B487="","",E487-F487)</x:f>
      </x:c>
      <x:c r="H487" s="100" t="str">
        <x:f>IF(B487="","",IF(D487="TL",1,IF(D487="USD",KURLAR!$C$9,IF(D487="EUR",KURLAR!$C$10,0))))</x:f>
      </x:c>
      <x:c r="I487" s="68" t="str">
        <x:f>IF(B487="","",G487*H487)</x:f>
      </x:c>
      <x:c r="J487" s="52" t="str">
        <x:f>IF(B487="","",IF(G487&lt;0,"NEGATİF BAKİYE","UYGUN"))</x:f>
      </x:c>
    </x:row>
    <x:row r="488">
      <x:c r="B488" s="46"/>
      <x:c r="C488" s="46"/>
      <x:c r="D488" s="46"/>
      <x:c r="E488" s="92"/>
      <x:c r="F488" s="92"/>
      <x:c r="G488" s="93" t="str">
        <x:f>IF(B488="","",E488-F488)</x:f>
      </x:c>
      <x:c r="H488" s="100" t="str">
        <x:f>IF(B488="","",IF(D488="TL",1,IF(D488="USD",KURLAR!$C$9,IF(D488="EUR",KURLAR!$C$10,0))))</x:f>
      </x:c>
      <x:c r="I488" s="68" t="str">
        <x:f>IF(B488="","",G488*H488)</x:f>
      </x:c>
      <x:c r="J488" s="52" t="str">
        <x:f>IF(B488="","",IF(G488&lt;0,"NEGATİF BAKİYE","UYGUN"))</x:f>
      </x:c>
    </x:row>
    <x:row r="489">
      <x:c r="B489" s="46"/>
      <x:c r="C489" s="46"/>
      <x:c r="D489" s="46"/>
      <x:c r="E489" s="92"/>
      <x:c r="F489" s="92"/>
      <x:c r="G489" s="93" t="str">
        <x:f>IF(B489="","",E489-F489)</x:f>
      </x:c>
      <x:c r="H489" s="100" t="str">
        <x:f>IF(B489="","",IF(D489="TL",1,IF(D489="USD",KURLAR!$C$9,IF(D489="EUR",KURLAR!$C$10,0))))</x:f>
      </x:c>
      <x:c r="I489" s="68" t="str">
        <x:f>IF(B489="","",G489*H489)</x:f>
      </x:c>
      <x:c r="J489" s="52" t="str">
        <x:f>IF(B489="","",IF(G489&lt;0,"NEGATİF BAKİYE","UYGUN"))</x:f>
      </x:c>
    </x:row>
    <x:row r="490">
      <x:c r="B490" s="46"/>
      <x:c r="C490" s="46"/>
      <x:c r="D490" s="46"/>
      <x:c r="E490" s="92"/>
      <x:c r="F490" s="92"/>
      <x:c r="G490" s="93" t="str">
        <x:f>IF(B490="","",E490-F490)</x:f>
      </x:c>
      <x:c r="H490" s="100" t="str">
        <x:f>IF(B490="","",IF(D490="TL",1,IF(D490="USD",KURLAR!$C$9,IF(D490="EUR",KURLAR!$C$10,0))))</x:f>
      </x:c>
      <x:c r="I490" s="68" t="str">
        <x:f>IF(B490="","",G490*H490)</x:f>
      </x:c>
      <x:c r="J490" s="52" t="str">
        <x:f>IF(B490="","",IF(G490&lt;0,"NEGATİF BAKİYE","UYGUN"))</x:f>
      </x:c>
    </x:row>
    <x:row r="491">
      <x:c r="B491" s="46"/>
      <x:c r="C491" s="46"/>
      <x:c r="D491" s="46"/>
      <x:c r="E491" s="92"/>
      <x:c r="F491" s="92"/>
      <x:c r="G491" s="93" t="str">
        <x:f>IF(B491="","",E491-F491)</x:f>
      </x:c>
      <x:c r="H491" s="100" t="str">
        <x:f>IF(B491="","",IF(D491="TL",1,IF(D491="USD",KURLAR!$C$9,IF(D491="EUR",KURLAR!$C$10,0))))</x:f>
      </x:c>
      <x:c r="I491" s="68" t="str">
        <x:f>IF(B491="","",G491*H491)</x:f>
      </x:c>
      <x:c r="J491" s="52" t="str">
        <x:f>IF(B491="","",IF(G491&lt;0,"NEGATİF BAKİYE","UYGUN"))</x:f>
      </x:c>
    </x:row>
    <x:row r="492">
      <x:c r="B492" s="46"/>
      <x:c r="C492" s="46"/>
      <x:c r="D492" s="46"/>
      <x:c r="E492" s="92"/>
      <x:c r="F492" s="92"/>
      <x:c r="G492" s="93" t="str">
        <x:f>IF(B492="","",E492-F492)</x:f>
      </x:c>
      <x:c r="H492" s="100" t="str">
        <x:f>IF(B492="","",IF(D492="TL",1,IF(D492="USD",KURLAR!$C$9,IF(D492="EUR",KURLAR!$C$10,0))))</x:f>
      </x:c>
      <x:c r="I492" s="68" t="str">
        <x:f>IF(B492="","",G492*H492)</x:f>
      </x:c>
      <x:c r="J492" s="52" t="str">
        <x:f>IF(B492="","",IF(G492&lt;0,"NEGATİF BAKİYE","UYGUN"))</x:f>
      </x:c>
    </x:row>
    <x:row r="493">
      <x:c r="B493" s="46"/>
      <x:c r="C493" s="46"/>
      <x:c r="D493" s="46"/>
      <x:c r="E493" s="92"/>
      <x:c r="F493" s="92"/>
      <x:c r="G493" s="93" t="str">
        <x:f>IF(B493="","",E493-F493)</x:f>
      </x:c>
      <x:c r="H493" s="100" t="str">
        <x:f>IF(B493="","",IF(D493="TL",1,IF(D493="USD",KURLAR!$C$9,IF(D493="EUR",KURLAR!$C$10,0))))</x:f>
      </x:c>
      <x:c r="I493" s="68" t="str">
        <x:f>IF(B493="","",G493*H493)</x:f>
      </x:c>
      <x:c r="J493" s="52" t="str">
        <x:f>IF(B493="","",IF(G493&lt;0,"NEGATİF BAKİYE","UYGUN"))</x:f>
      </x:c>
    </x:row>
    <x:row r="494">
      <x:c r="B494" s="46"/>
      <x:c r="C494" s="46"/>
      <x:c r="D494" s="46"/>
      <x:c r="E494" s="92"/>
      <x:c r="F494" s="92"/>
      <x:c r="G494" s="93" t="str">
        <x:f>IF(B494="","",E494-F494)</x:f>
      </x:c>
      <x:c r="H494" s="100" t="str">
        <x:f>IF(B494="","",IF(D494="TL",1,IF(D494="USD",KURLAR!$C$9,IF(D494="EUR",KURLAR!$C$10,0))))</x:f>
      </x:c>
      <x:c r="I494" s="68" t="str">
        <x:f>IF(B494="","",G494*H494)</x:f>
      </x:c>
      <x:c r="J494" s="52" t="str">
        <x:f>IF(B494="","",IF(G494&lt;0,"NEGATİF BAKİYE","UYGUN"))</x:f>
      </x:c>
    </x:row>
    <x:row r="495">
      <x:c r="B495" s="46"/>
      <x:c r="C495" s="46"/>
      <x:c r="D495" s="46"/>
      <x:c r="E495" s="92"/>
      <x:c r="F495" s="92"/>
      <x:c r="G495" s="93" t="str">
        <x:f>IF(B495="","",E495-F495)</x:f>
      </x:c>
      <x:c r="H495" s="100" t="str">
        <x:f>IF(B495="","",IF(D495="TL",1,IF(D495="USD",KURLAR!$C$9,IF(D495="EUR",KURLAR!$C$10,0))))</x:f>
      </x:c>
      <x:c r="I495" s="68" t="str">
        <x:f>IF(B495="","",G495*H495)</x:f>
      </x:c>
      <x:c r="J495" s="52" t="str">
        <x:f>IF(B495="","",IF(G495&lt;0,"NEGATİF BAKİYE","UYGUN"))</x:f>
      </x:c>
    </x:row>
    <x:row r="496">
      <x:c r="B496" s="46"/>
      <x:c r="C496" s="46"/>
      <x:c r="D496" s="46"/>
      <x:c r="E496" s="92"/>
      <x:c r="F496" s="92"/>
      <x:c r="G496" s="93" t="str">
        <x:f>IF(B496="","",E496-F496)</x:f>
      </x:c>
      <x:c r="H496" s="100" t="str">
        <x:f>IF(B496="","",IF(D496="TL",1,IF(D496="USD",KURLAR!$C$9,IF(D496="EUR",KURLAR!$C$10,0))))</x:f>
      </x:c>
      <x:c r="I496" s="68" t="str">
        <x:f>IF(B496="","",G496*H496)</x:f>
      </x:c>
      <x:c r="J496" s="52" t="str">
        <x:f>IF(B496="","",IF(G496&lt;0,"NEGATİF BAKİYE","UYGUN"))</x:f>
      </x:c>
    </x:row>
    <x:row r="497">
      <x:c r="B497" s="46"/>
      <x:c r="C497" s="46"/>
      <x:c r="D497" s="46"/>
      <x:c r="E497" s="92"/>
      <x:c r="F497" s="92"/>
      <x:c r="G497" s="93" t="str">
        <x:f>IF(B497="","",E497-F497)</x:f>
      </x:c>
      <x:c r="H497" s="100" t="str">
        <x:f>IF(B497="","",IF(D497="TL",1,IF(D497="USD",KURLAR!$C$9,IF(D497="EUR",KURLAR!$C$10,0))))</x:f>
      </x:c>
      <x:c r="I497" s="68" t="str">
        <x:f>IF(B497="","",G497*H497)</x:f>
      </x:c>
      <x:c r="J497" s="52" t="str">
        <x:f>IF(B497="","",IF(G497&lt;0,"NEGATİF BAKİYE","UYGUN"))</x:f>
      </x:c>
    </x:row>
    <x:row r="498">
      <x:c r="B498" s="46"/>
      <x:c r="C498" s="46"/>
      <x:c r="D498" s="46"/>
      <x:c r="E498" s="92"/>
      <x:c r="F498" s="92"/>
      <x:c r="G498" s="93" t="str">
        <x:f>IF(B498="","",E498-F498)</x:f>
      </x:c>
      <x:c r="H498" s="100" t="str">
        <x:f>IF(B498="","",IF(D498="TL",1,IF(D498="USD",KURLAR!$C$9,IF(D498="EUR",KURLAR!$C$10,0))))</x:f>
      </x:c>
      <x:c r="I498" s="68" t="str">
        <x:f>IF(B498="","",G498*H498)</x:f>
      </x:c>
      <x:c r="J498" s="52" t="str">
        <x:f>IF(B498="","",IF(G498&lt;0,"NEGATİF BAKİYE","UYGUN"))</x:f>
      </x:c>
    </x:row>
    <x:row r="499">
      <x:c r="B499" s="46"/>
      <x:c r="C499" s="46"/>
      <x:c r="D499" s="46"/>
      <x:c r="E499" s="92"/>
      <x:c r="F499" s="92"/>
      <x:c r="G499" s="93" t="str">
        <x:f>IF(B499="","",E499-F499)</x:f>
      </x:c>
      <x:c r="H499" s="100" t="str">
        <x:f>IF(B499="","",IF(D499="TL",1,IF(D499="USD",KURLAR!$C$9,IF(D499="EUR",KURLAR!$C$10,0))))</x:f>
      </x:c>
      <x:c r="I499" s="68" t="str">
        <x:f>IF(B499="","",G499*H499)</x:f>
      </x:c>
      <x:c r="J499" s="52" t="str">
        <x:f>IF(B499="","",IF(G499&lt;0,"NEGATİF BAKİYE","UYGUN"))</x:f>
      </x:c>
    </x:row>
    <x:row r="500">
      <x:c r="B500" s="46"/>
      <x:c r="C500" s="46"/>
      <x:c r="D500" s="46"/>
      <x:c r="E500" s="92"/>
      <x:c r="F500" s="92"/>
      <x:c r="G500" s="93" t="str">
        <x:f>IF(B500="","",E500-F500)</x:f>
      </x:c>
      <x:c r="H500" s="100" t="str">
        <x:f>IF(B500="","",IF(D500="TL",1,IF(D500="USD",KURLAR!$C$9,IF(D500="EUR",KURLAR!$C$10,0))))</x:f>
      </x:c>
      <x:c r="I500" s="68" t="str">
        <x:f>IF(B500="","",G500*H500)</x:f>
      </x:c>
      <x:c r="J500" s="52" t="str">
        <x:f>IF(B500="","",IF(G500&lt;0,"NEGATİF BAKİYE","UYGUN"))</x:f>
      </x:c>
    </x:row>
    <x:row r="501">
      <x:c r="B501" s="46"/>
      <x:c r="C501" s="46"/>
      <x:c r="D501" s="46"/>
      <x:c r="E501" s="92"/>
      <x:c r="F501" s="92"/>
      <x:c r="G501" s="93" t="str">
        <x:f>IF(B501="","",E501-F501)</x:f>
      </x:c>
      <x:c r="H501" s="100" t="str">
        <x:f>IF(B501="","",IF(D501="TL",1,IF(D501="USD",KURLAR!$C$9,IF(D501="EUR",KURLAR!$C$10,0))))</x:f>
      </x:c>
      <x:c r="I501" s="68" t="str">
        <x:f>IF(B501="","",G501*H501)</x:f>
      </x:c>
      <x:c r="J501" s="52" t="str">
        <x:f>IF(B501="","",IF(G501&lt;0,"NEGATİF BAKİYE","UYGUN"))</x:f>
      </x:c>
    </x:row>
    <x:row r="502">
      <x:c r="B502" s="46"/>
      <x:c r="C502" s="46"/>
      <x:c r="D502" s="46"/>
      <x:c r="E502" s="92"/>
      <x:c r="F502" s="92"/>
      <x:c r="G502" s="93" t="str">
        <x:f>IF(B502="","",E502-F502)</x:f>
      </x:c>
      <x:c r="H502" s="100" t="str">
        <x:f>IF(B502="","",IF(D502="TL",1,IF(D502="USD",KURLAR!$C$9,IF(D502="EUR",KURLAR!$C$10,0))))</x:f>
      </x:c>
      <x:c r="I502" s="68" t="str">
        <x:f>IF(B502="","",G502*H502)</x:f>
      </x:c>
      <x:c r="J502" s="52" t="str">
        <x:f>IF(B502="","",IF(G502&lt;0,"NEGATİF BAKİYE","UYGUN"))</x:f>
      </x:c>
    </x:row>
    <x:row r="503">
      <x:c r="B503" s="46"/>
      <x:c r="C503" s="46"/>
      <x:c r="D503" s="46"/>
      <x:c r="E503" s="92"/>
      <x:c r="F503" s="92"/>
      <x:c r="G503" s="93" t="str">
        <x:f>IF(B503="","",E503-F503)</x:f>
      </x:c>
      <x:c r="H503" s="100" t="str">
        <x:f>IF(B503="","",IF(D503="TL",1,IF(D503="USD",KURLAR!$C$9,IF(D503="EUR",KURLAR!$C$10,0))))</x:f>
      </x:c>
      <x:c r="I503" s="68" t="str">
        <x:f>IF(B503="","",G503*H503)</x:f>
      </x:c>
      <x:c r="J503" s="52" t="str">
        <x:f>IF(B503="","",IF(G503&lt;0,"NEGATİF BAKİYE","UYGUN"))</x:f>
      </x:c>
    </x:row>
    <x:row r="504">
      <x:c r="B504" s="46"/>
      <x:c r="C504" s="46"/>
      <x:c r="D504" s="46"/>
      <x:c r="E504" s="92"/>
      <x:c r="F504" s="92"/>
      <x:c r="G504" s="93" t="str">
        <x:f>IF(B504="","",E504-F504)</x:f>
      </x:c>
      <x:c r="H504" s="100" t="str">
        <x:f>IF(B504="","",IF(D504="TL",1,IF(D504="USD",KURLAR!$C$9,IF(D504="EUR",KURLAR!$C$10,0))))</x:f>
      </x:c>
      <x:c r="I504" s="68" t="str">
        <x:f>IF(B504="","",G504*H504)</x:f>
      </x:c>
      <x:c r="J504" s="52" t="str">
        <x:f>IF(B504="","",IF(G504&lt;0,"NEGATİF BAKİYE","UYGUN"))</x:f>
      </x:c>
    </x:row>
    <x:row r="505">
      <x:c r="B505" s="46"/>
      <x:c r="C505" s="46"/>
      <x:c r="D505" s="46"/>
      <x:c r="E505" s="92"/>
      <x:c r="F505" s="92"/>
      <x:c r="G505" s="93" t="str">
        <x:f>IF(B505="","",E505-F505)</x:f>
      </x:c>
      <x:c r="H505" s="100" t="str">
        <x:f>IF(B505="","",IF(D505="TL",1,IF(D505="USD",KURLAR!$C$9,IF(D505="EUR",KURLAR!$C$10,0))))</x:f>
      </x:c>
      <x:c r="I505" s="68" t="str">
        <x:f>IF(B505="","",G505*H505)</x:f>
      </x:c>
      <x:c r="J505" s="52" t="str">
        <x:f>IF(B505="","",IF(G505&lt;0,"NEGATİF BAKİYE","UYGUN"))</x:f>
      </x:c>
    </x:row>
    <x:row r="506">
      <x:c r="B506" s="46"/>
      <x:c r="C506" s="46"/>
      <x:c r="D506" s="46"/>
      <x:c r="E506" s="92"/>
      <x:c r="F506" s="92"/>
      <x:c r="G506" s="93" t="str">
        <x:f>IF(B506="","",E506-F506)</x:f>
      </x:c>
      <x:c r="H506" s="100" t="str">
        <x:f>IF(B506="","",IF(D506="TL",1,IF(D506="USD",KURLAR!$C$9,IF(D506="EUR",KURLAR!$C$10,0))))</x:f>
      </x:c>
      <x:c r="I506" s="68" t="str">
        <x:f>IF(B506="","",G506*H506)</x:f>
      </x:c>
      <x:c r="J506" s="52" t="str">
        <x:f>IF(B506="","",IF(G506&lt;0,"NEGATİF BAKİYE","UYGUN"))</x:f>
      </x:c>
    </x:row>
    <x:row r="507">
      <x:c r="B507" s="46"/>
      <x:c r="C507" s="46"/>
      <x:c r="D507" s="46"/>
      <x:c r="E507" s="92"/>
      <x:c r="F507" s="92"/>
      <x:c r="G507" s="93" t="str">
        <x:f>IF(B507="","",E507-F507)</x:f>
      </x:c>
      <x:c r="H507" s="100" t="str">
        <x:f>IF(B507="","",IF(D507="TL",1,IF(D507="USD",KURLAR!$C$9,IF(D507="EUR",KURLAR!$C$10,0))))</x:f>
      </x:c>
      <x:c r="I507" s="68" t="str">
        <x:f>IF(B507="","",G507*H507)</x:f>
      </x:c>
      <x:c r="J507" s="52" t="str">
        <x:f>IF(B507="","",IF(G507&lt;0,"NEGATİF BAKİYE","UYGUN"))</x:f>
      </x:c>
    </x:row>
    <x:row r="508">
      <x:c r="B508" s="46"/>
      <x:c r="C508" s="46"/>
      <x:c r="D508" s="46"/>
      <x:c r="E508" s="92"/>
      <x:c r="F508" s="92"/>
      <x:c r="G508" s="93" t="str">
        <x:f>IF(B508="","",E508-F508)</x:f>
      </x:c>
      <x:c r="H508" s="100" t="str">
        <x:f>IF(B508="","",IF(D508="TL",1,IF(D508="USD",KURLAR!$C$9,IF(D508="EUR",KURLAR!$C$10,0))))</x:f>
      </x:c>
      <x:c r="I508" s="68" t="str">
        <x:f>IF(B508="","",G508*H508)</x:f>
      </x:c>
      <x:c r="J508" s="52" t="str">
        <x:f>IF(B508="","",IF(G508&lt;0,"NEGATİF BAKİYE","UYGUN"))</x:f>
      </x:c>
    </x:row>
    <x:row r="509">
      <x:c r="B509" s="46"/>
      <x:c r="C509" s="46"/>
      <x:c r="D509" s="46"/>
      <x:c r="E509" s="92"/>
      <x:c r="F509" s="92"/>
      <x:c r="G509" s="93" t="str">
        <x:f>IF(B509="","",E509-F509)</x:f>
      </x:c>
      <x:c r="H509" s="100" t="str">
        <x:f>IF(B509="","",IF(D509="TL",1,IF(D509="USD",KURLAR!$C$9,IF(D509="EUR",KURLAR!$C$10,0))))</x:f>
      </x:c>
      <x:c r="I509" s="68" t="str">
        <x:f>IF(B509="","",G509*H509)</x:f>
      </x:c>
      <x:c r="J509" s="52" t="str">
        <x:f>IF(B509="","",IF(G509&lt;0,"NEGATİF BAKİYE","UYGUN"))</x:f>
      </x:c>
    </x:row>
    <x:row r="510">
      <x:c r="B510" s="46"/>
      <x:c r="C510" s="46"/>
      <x:c r="D510" s="46"/>
      <x:c r="E510" s="92"/>
      <x:c r="F510" s="92"/>
      <x:c r="G510" s="93" t="str">
        <x:f>IF(B510="","",E510-F510)</x:f>
      </x:c>
      <x:c r="H510" s="100" t="str">
        <x:f>IF(B510="","",IF(D510="TL",1,IF(D510="USD",KURLAR!$C$9,IF(D510="EUR",KURLAR!$C$10,0))))</x:f>
      </x:c>
      <x:c r="I510" s="68" t="str">
        <x:f>IF(B510="","",G510*H510)</x:f>
      </x:c>
      <x:c r="J510" s="52" t="str">
        <x:f>IF(B510="","",IF(G510&lt;0,"NEGATİF BAKİYE","UYGUN"))</x:f>
      </x:c>
    </x:row>
    <x:row r="511">
      <x:c r="B511" s="46"/>
      <x:c r="C511" s="46"/>
      <x:c r="D511" s="46"/>
      <x:c r="E511" s="92"/>
      <x:c r="F511" s="92"/>
      <x:c r="G511" s="93" t="str">
        <x:f>IF(B511="","",E511-F511)</x:f>
      </x:c>
      <x:c r="H511" s="100" t="str">
        <x:f>IF(B511="","",IF(D511="TL",1,IF(D511="USD",KURLAR!$C$9,IF(D511="EUR",KURLAR!$C$10,0))))</x:f>
      </x:c>
      <x:c r="I511" s="68" t="str">
        <x:f>IF(B511="","",G511*H511)</x:f>
      </x:c>
      <x:c r="J511" s="52" t="str">
        <x:f>IF(B511="","",IF(G511&lt;0,"NEGATİF BAKİYE","UYGUN"))</x:f>
      </x:c>
    </x:row>
    <x:row r="512">
      <x:c r="B512" s="46"/>
      <x:c r="C512" s="46"/>
      <x:c r="D512" s="46"/>
      <x:c r="E512" s="92"/>
      <x:c r="F512" s="92"/>
      <x:c r="G512" s="93" t="str">
        <x:f>IF(B512="","",E512-F512)</x:f>
      </x:c>
      <x:c r="H512" s="100" t="str">
        <x:f>IF(B512="","",IF(D512="TL",1,IF(D512="USD",KURLAR!$C$9,IF(D512="EUR",KURLAR!$C$10,0))))</x:f>
      </x:c>
      <x:c r="I512" s="68" t="str">
        <x:f>IF(B512="","",G512*H512)</x:f>
      </x:c>
      <x:c r="J512" s="52" t="str">
        <x:f>IF(B512="","",IF(G512&lt;0,"NEGATİF BAKİYE","UYGUN"))</x:f>
      </x:c>
    </x:row>
    <x:row r="513">
      <x:c r="B513" s="46"/>
      <x:c r="C513" s="46"/>
      <x:c r="D513" s="46"/>
      <x:c r="E513" s="92"/>
      <x:c r="F513" s="92"/>
      <x:c r="G513" s="93" t="str">
        <x:f>IF(B513="","",E513-F513)</x:f>
      </x:c>
      <x:c r="H513" s="100" t="str">
        <x:f>IF(B513="","",IF(D513="TL",1,IF(D513="USD",KURLAR!$C$9,IF(D513="EUR",KURLAR!$C$10,0))))</x:f>
      </x:c>
      <x:c r="I513" s="68" t="str">
        <x:f>IF(B513="","",G513*H513)</x:f>
      </x:c>
      <x:c r="J513" s="52" t="str">
        <x:f>IF(B513="","",IF(G513&lt;0,"NEGATİF BAKİYE","UYGUN"))</x:f>
      </x:c>
    </x:row>
    <x:row r="514">
      <x:c r="B514" s="46"/>
      <x:c r="C514" s="46"/>
      <x:c r="D514" s="46"/>
      <x:c r="E514" s="92"/>
      <x:c r="F514" s="92"/>
      <x:c r="G514" s="93" t="str">
        <x:f>IF(B514="","",E514-F514)</x:f>
      </x:c>
      <x:c r="H514" s="100" t="str">
        <x:f>IF(B514="","",IF(D514="TL",1,IF(D514="USD",KURLAR!$C$9,IF(D514="EUR",KURLAR!$C$10,0))))</x:f>
      </x:c>
      <x:c r="I514" s="68" t="str">
        <x:f>IF(B514="","",G514*H514)</x:f>
      </x:c>
      <x:c r="J514" s="52" t="str">
        <x:f>IF(B514="","",IF(G514&lt;0,"NEGATİF BAKİYE","UYGUN"))</x:f>
      </x:c>
    </x:row>
    <x:row r="515">
      <x:c r="B515" s="46"/>
      <x:c r="C515" s="46"/>
      <x:c r="D515" s="46"/>
      <x:c r="E515" s="92"/>
      <x:c r="F515" s="92"/>
      <x:c r="G515" s="93" t="str">
        <x:f>IF(B515="","",E515-F515)</x:f>
      </x:c>
      <x:c r="H515" s="100" t="str">
        <x:f>IF(B515="","",IF(D515="TL",1,IF(D515="USD",KURLAR!$C$9,IF(D515="EUR",KURLAR!$C$10,0))))</x:f>
      </x:c>
      <x:c r="I515" s="68" t="str">
        <x:f>IF(B515="","",G515*H515)</x:f>
      </x:c>
      <x:c r="J515" s="52" t="str">
        <x:f>IF(B515="","",IF(G515&lt;0,"NEGATİF BAKİYE","UYGUN"))</x:f>
      </x:c>
    </x:row>
    <x:row r="516">
      <x:c r="B516" s="46"/>
      <x:c r="C516" s="46"/>
      <x:c r="D516" s="46"/>
      <x:c r="E516" s="92"/>
      <x:c r="F516" s="92"/>
      <x:c r="G516" s="93" t="str">
        <x:f>IF(B516="","",E516-F516)</x:f>
      </x:c>
      <x:c r="H516" s="100" t="str">
        <x:f>IF(B516="","",IF(D516="TL",1,IF(D516="USD",KURLAR!$C$9,IF(D516="EUR",KURLAR!$C$10,0))))</x:f>
      </x:c>
      <x:c r="I516" s="68" t="str">
        <x:f>IF(B516="","",G516*H516)</x:f>
      </x:c>
      <x:c r="J516" s="52" t="str">
        <x:f>IF(B516="","",IF(G516&lt;0,"NEGATİF BAKİYE","UYGUN"))</x:f>
      </x:c>
    </x:row>
    <x:row r="517">
      <x:c r="B517" s="46"/>
      <x:c r="C517" s="46"/>
      <x:c r="D517" s="46"/>
      <x:c r="E517" s="92"/>
      <x:c r="F517" s="92"/>
      <x:c r="G517" s="93" t="str">
        <x:f>IF(B517="","",E517-F517)</x:f>
      </x:c>
      <x:c r="H517" s="100" t="str">
        <x:f>IF(B517="","",IF(D517="TL",1,IF(D517="USD",KURLAR!$C$9,IF(D517="EUR",KURLAR!$C$10,0))))</x:f>
      </x:c>
      <x:c r="I517" s="68" t="str">
        <x:f>IF(B517="","",G517*H517)</x:f>
      </x:c>
      <x:c r="J517" s="52" t="str">
        <x:f>IF(B517="","",IF(G517&lt;0,"NEGATİF BAKİYE","UYGUN"))</x:f>
      </x:c>
    </x:row>
    <x:row r="518">
      <x:c r="B518" s="46"/>
      <x:c r="C518" s="46"/>
      <x:c r="D518" s="46"/>
      <x:c r="E518" s="92"/>
      <x:c r="F518" s="92"/>
      <x:c r="G518" s="93" t="str">
        <x:f>IF(B518="","",E518-F518)</x:f>
      </x:c>
      <x:c r="H518" s="100" t="str">
        <x:f>IF(B518="","",IF(D518="TL",1,IF(D518="USD",KURLAR!$C$9,IF(D518="EUR",KURLAR!$C$10,0))))</x:f>
      </x:c>
      <x:c r="I518" s="68" t="str">
        <x:f>IF(B518="","",G518*H518)</x:f>
      </x:c>
      <x:c r="J518" s="52" t="str">
        <x:f>IF(B518="","",IF(G518&lt;0,"NEGATİF BAKİYE","UYGUN"))</x:f>
      </x:c>
    </x:row>
    <x:row r="519">
      <x:c r="B519" s="46"/>
      <x:c r="C519" s="46"/>
      <x:c r="D519" s="46"/>
      <x:c r="E519" s="92"/>
      <x:c r="F519" s="92"/>
      <x:c r="G519" s="93" t="str">
        <x:f>IF(B519="","",E519-F519)</x:f>
      </x:c>
      <x:c r="H519" s="100" t="str">
        <x:f>IF(B519="","",IF(D519="TL",1,IF(D519="USD",KURLAR!$C$9,IF(D519="EUR",KURLAR!$C$10,0))))</x:f>
      </x:c>
      <x:c r="I519" s="68" t="str">
        <x:f>IF(B519="","",G519*H519)</x:f>
      </x:c>
      <x:c r="J519" s="52" t="str">
        <x:f>IF(B519="","",IF(G519&lt;0,"NEGATİF BAKİYE","UYGUN"))</x:f>
      </x:c>
    </x:row>
    <x:row r="520">
      <x:c r="B520" s="46"/>
      <x:c r="C520" s="46"/>
      <x:c r="D520" s="46"/>
      <x:c r="E520" s="92"/>
      <x:c r="F520" s="92"/>
      <x:c r="G520" s="93" t="str">
        <x:f>IF(B520="","",E520-F520)</x:f>
      </x:c>
      <x:c r="H520" s="100" t="str">
        <x:f>IF(B520="","",IF(D520="TL",1,IF(D520="USD",KURLAR!$C$9,IF(D520="EUR",KURLAR!$C$10,0))))</x:f>
      </x:c>
      <x:c r="I520" s="68" t="str">
        <x:f>IF(B520="","",G520*H520)</x:f>
      </x:c>
      <x:c r="J520" s="52" t="str">
        <x:f>IF(B520="","",IF(G520&lt;0,"NEGATİF BAKİYE","UYGUN"))</x:f>
      </x:c>
    </x:row>
    <x:row r="521">
      <x:c r="B521" s="46"/>
      <x:c r="C521" s="46"/>
      <x:c r="D521" s="46"/>
      <x:c r="E521" s="92"/>
      <x:c r="F521" s="92"/>
      <x:c r="G521" s="93" t="str">
        <x:f>IF(B521="","",E521-F521)</x:f>
      </x:c>
      <x:c r="H521" s="100" t="str">
        <x:f>IF(B521="","",IF(D521="TL",1,IF(D521="USD",KURLAR!$C$9,IF(D521="EUR",KURLAR!$C$10,0))))</x:f>
      </x:c>
      <x:c r="I521" s="68" t="str">
        <x:f>IF(B521="","",G521*H521)</x:f>
      </x:c>
      <x:c r="J521" s="52" t="str">
        <x:f>IF(B521="","",IF(G521&lt;0,"NEGATİF BAKİYE","UYGUN"))</x:f>
      </x:c>
    </x:row>
    <x:row r="522">
      <x:c r="B522" s="46"/>
      <x:c r="C522" s="46"/>
      <x:c r="D522" s="46"/>
      <x:c r="E522" s="92"/>
      <x:c r="F522" s="92"/>
      <x:c r="G522" s="93" t="str">
        <x:f>IF(B522="","",E522-F522)</x:f>
      </x:c>
      <x:c r="H522" s="100" t="str">
        <x:f>IF(B522="","",IF(D522="TL",1,IF(D522="USD",KURLAR!$C$9,IF(D522="EUR",KURLAR!$C$10,0))))</x:f>
      </x:c>
      <x:c r="I522" s="68" t="str">
        <x:f>IF(B522="","",G522*H522)</x:f>
      </x:c>
      <x:c r="J522" s="52" t="str">
        <x:f>IF(B522="","",IF(G522&lt;0,"NEGATİF BAKİYE","UYGUN"))</x:f>
      </x:c>
    </x:row>
    <x:row r="523">
      <x:c r="B523" s="46"/>
      <x:c r="C523" s="46"/>
      <x:c r="D523" s="46"/>
      <x:c r="E523" s="92"/>
      <x:c r="F523" s="92"/>
      <x:c r="G523" s="93" t="str">
        <x:f>IF(B523="","",E523-F523)</x:f>
      </x:c>
      <x:c r="H523" s="100" t="str">
        <x:f>IF(B523="","",IF(D523="TL",1,IF(D523="USD",KURLAR!$C$9,IF(D523="EUR",KURLAR!$C$10,0))))</x:f>
      </x:c>
      <x:c r="I523" s="68" t="str">
        <x:f>IF(B523="","",G523*H523)</x:f>
      </x:c>
      <x:c r="J523" s="52" t="str">
        <x:f>IF(B523="","",IF(G523&lt;0,"NEGATİF BAKİYE","UYGUN"))</x:f>
      </x:c>
    </x:row>
    <x:row r="524">
      <x:c r="B524" s="46"/>
      <x:c r="C524" s="46"/>
      <x:c r="D524" s="46"/>
      <x:c r="E524" s="92"/>
      <x:c r="F524" s="92"/>
      <x:c r="G524" s="93" t="str">
        <x:f>IF(B524="","",E524-F524)</x:f>
      </x:c>
      <x:c r="H524" s="100" t="str">
        <x:f>IF(B524="","",IF(D524="TL",1,IF(D524="USD",KURLAR!$C$9,IF(D524="EUR",KURLAR!$C$10,0))))</x:f>
      </x:c>
      <x:c r="I524" s="68" t="str">
        <x:f>IF(B524="","",G524*H524)</x:f>
      </x:c>
      <x:c r="J524" s="52" t="str">
        <x:f>IF(B524="","",IF(G524&lt;0,"NEGATİF BAKİYE","UYGUN"))</x:f>
      </x:c>
    </x:row>
    <x:row r="525">
      <x:c r="B525" s="46"/>
      <x:c r="C525" s="46"/>
      <x:c r="D525" s="46"/>
      <x:c r="E525" s="92"/>
      <x:c r="F525" s="92"/>
      <x:c r="G525" s="93" t="str">
        <x:f>IF(B525="","",E525-F525)</x:f>
      </x:c>
      <x:c r="H525" s="100" t="str">
        <x:f>IF(B525="","",IF(D525="TL",1,IF(D525="USD",KURLAR!$C$9,IF(D525="EUR",KURLAR!$C$10,0))))</x:f>
      </x:c>
      <x:c r="I525" s="68" t="str">
        <x:f>IF(B525="","",G525*H525)</x:f>
      </x:c>
      <x:c r="J525" s="52" t="str">
        <x:f>IF(B525="","",IF(G525&lt;0,"NEGATİF BAKİYE","UYGUN"))</x:f>
      </x:c>
    </x:row>
    <x:row r="526">
      <x:c r="B526" s="46"/>
      <x:c r="C526" s="46"/>
      <x:c r="D526" s="46"/>
      <x:c r="E526" s="92"/>
      <x:c r="F526" s="92"/>
      <x:c r="G526" s="93" t="str">
        <x:f>IF(B526="","",E526-F526)</x:f>
      </x:c>
      <x:c r="H526" s="100" t="str">
        <x:f>IF(B526="","",IF(D526="TL",1,IF(D526="USD",KURLAR!$C$9,IF(D526="EUR",KURLAR!$C$10,0))))</x:f>
      </x:c>
      <x:c r="I526" s="68" t="str">
        <x:f>IF(B526="","",G526*H526)</x:f>
      </x:c>
      <x:c r="J526" s="52" t="str">
        <x:f>IF(B526="","",IF(G526&lt;0,"NEGATİF BAKİYE","UYGUN"))</x:f>
      </x:c>
    </x:row>
    <x:row r="527">
      <x:c r="B527" s="46"/>
      <x:c r="C527" s="46"/>
      <x:c r="D527" s="46"/>
      <x:c r="E527" s="92"/>
      <x:c r="F527" s="92"/>
      <x:c r="G527" s="93" t="str">
        <x:f>IF(B527="","",E527-F527)</x:f>
      </x:c>
      <x:c r="H527" s="100" t="str">
        <x:f>IF(B527="","",IF(D527="TL",1,IF(D527="USD",KURLAR!$C$9,IF(D527="EUR",KURLAR!$C$10,0))))</x:f>
      </x:c>
      <x:c r="I527" s="68" t="str">
        <x:f>IF(B527="","",G527*H527)</x:f>
      </x:c>
      <x:c r="J527" s="52" t="str">
        <x:f>IF(B527="","",IF(G527&lt;0,"NEGATİF BAKİYE","UYGUN"))</x:f>
      </x:c>
    </x:row>
    <x:row r="528">
      <x:c r="B528" s="46"/>
      <x:c r="C528" s="46"/>
      <x:c r="D528" s="46"/>
      <x:c r="E528" s="92"/>
      <x:c r="F528" s="92"/>
      <x:c r="G528" s="93" t="str">
        <x:f>IF(B528="","",E528-F528)</x:f>
      </x:c>
      <x:c r="H528" s="100" t="str">
        <x:f>IF(B528="","",IF(D528="TL",1,IF(D528="USD",KURLAR!$C$9,IF(D528="EUR",KURLAR!$C$10,0))))</x:f>
      </x:c>
      <x:c r="I528" s="68" t="str">
        <x:f>IF(B528="","",G528*H528)</x:f>
      </x:c>
      <x:c r="J528" s="52" t="str">
        <x:f>IF(B528="","",IF(G528&lt;0,"NEGATİF BAKİYE","UYGUN"))</x:f>
      </x:c>
    </x:row>
    <x:row r="529">
      <x:c r="B529" s="46"/>
      <x:c r="C529" s="46"/>
      <x:c r="D529" s="46"/>
      <x:c r="E529" s="92"/>
      <x:c r="F529" s="92"/>
      <x:c r="G529" s="93" t="str">
        <x:f>IF(B529="","",E529-F529)</x:f>
      </x:c>
      <x:c r="H529" s="100" t="str">
        <x:f>IF(B529="","",IF(D529="TL",1,IF(D529="USD",KURLAR!$C$9,IF(D529="EUR",KURLAR!$C$10,0))))</x:f>
      </x:c>
      <x:c r="I529" s="68" t="str">
        <x:f>IF(B529="","",G529*H529)</x:f>
      </x:c>
      <x:c r="J529" s="52" t="str">
        <x:f>IF(B529="","",IF(G529&lt;0,"NEGATİF BAKİYE","UYGUN"))</x:f>
      </x:c>
    </x:row>
    <x:row r="530">
      <x:c r="B530" s="46"/>
      <x:c r="C530" s="46"/>
      <x:c r="D530" s="46"/>
      <x:c r="E530" s="92"/>
      <x:c r="F530" s="92"/>
      <x:c r="G530" s="93" t="str">
        <x:f>IF(B530="","",E530-F530)</x:f>
      </x:c>
      <x:c r="H530" s="100" t="str">
        <x:f>IF(B530="","",IF(D530="TL",1,IF(D530="USD",KURLAR!$C$9,IF(D530="EUR",KURLAR!$C$10,0))))</x:f>
      </x:c>
      <x:c r="I530" s="68" t="str">
        <x:f>IF(B530="","",G530*H530)</x:f>
      </x:c>
      <x:c r="J530" s="52" t="str">
        <x:f>IF(B530="","",IF(G530&lt;0,"NEGATİF BAKİYE","UYGUN"))</x:f>
      </x:c>
    </x:row>
    <x:row r="531">
      <x:c r="B531" s="46"/>
      <x:c r="C531" s="46"/>
      <x:c r="D531" s="46"/>
      <x:c r="E531" s="92"/>
      <x:c r="F531" s="92"/>
      <x:c r="G531" s="93" t="str">
        <x:f>IF(B531="","",E531-F531)</x:f>
      </x:c>
      <x:c r="H531" s="100" t="str">
        <x:f>IF(B531="","",IF(D531="TL",1,IF(D531="USD",KURLAR!$C$9,IF(D531="EUR",KURLAR!$C$10,0))))</x:f>
      </x:c>
      <x:c r="I531" s="68" t="str">
        <x:f>IF(B531="","",G531*H531)</x:f>
      </x:c>
      <x:c r="J531" s="52" t="str">
        <x:f>IF(B531="","",IF(G531&lt;0,"NEGATİF BAKİYE","UYGUN"))</x:f>
      </x:c>
    </x:row>
    <x:row r="532">
      <x:c r="B532" s="46"/>
      <x:c r="C532" s="46"/>
      <x:c r="D532" s="46"/>
      <x:c r="E532" s="92"/>
      <x:c r="F532" s="92"/>
      <x:c r="G532" s="93" t="str">
        <x:f>IF(B532="","",E532-F532)</x:f>
      </x:c>
      <x:c r="H532" s="100" t="str">
        <x:f>IF(B532="","",IF(D532="TL",1,IF(D532="USD",KURLAR!$C$9,IF(D532="EUR",KURLAR!$C$10,0))))</x:f>
      </x:c>
      <x:c r="I532" s="68" t="str">
        <x:f>IF(B532="","",G532*H532)</x:f>
      </x:c>
      <x:c r="J532" s="52" t="str">
        <x:f>IF(B532="","",IF(G532&lt;0,"NEGATİF BAKİYE","UYGUN"))</x:f>
      </x:c>
    </x:row>
    <x:row r="533">
      <x:c r="B533" s="46"/>
      <x:c r="C533" s="46"/>
      <x:c r="D533" s="46"/>
      <x:c r="E533" s="92"/>
      <x:c r="F533" s="92"/>
      <x:c r="G533" s="93" t="str">
        <x:f>IF(B533="","",E533-F533)</x:f>
      </x:c>
      <x:c r="H533" s="100" t="str">
        <x:f>IF(B533="","",IF(D533="TL",1,IF(D533="USD",KURLAR!$C$9,IF(D533="EUR",KURLAR!$C$10,0))))</x:f>
      </x:c>
      <x:c r="I533" s="68" t="str">
        <x:f>IF(B533="","",G533*H533)</x:f>
      </x:c>
      <x:c r="J533" s="52" t="str">
        <x:f>IF(B533="","",IF(G533&lt;0,"NEGATİF BAKİYE","UYGUN"))</x:f>
      </x:c>
    </x:row>
    <x:row r="534">
      <x:c r="B534" s="46"/>
      <x:c r="C534" s="46"/>
      <x:c r="D534" s="46"/>
      <x:c r="E534" s="92"/>
      <x:c r="F534" s="92"/>
      <x:c r="G534" s="93" t="str">
        <x:f>IF(B534="","",E534-F534)</x:f>
      </x:c>
      <x:c r="H534" s="100" t="str">
        <x:f>IF(B534="","",IF(D534="TL",1,IF(D534="USD",KURLAR!$C$9,IF(D534="EUR",KURLAR!$C$10,0))))</x:f>
      </x:c>
      <x:c r="I534" s="68" t="str">
        <x:f>IF(B534="","",G534*H534)</x:f>
      </x:c>
      <x:c r="J534" s="52" t="str">
        <x:f>IF(B534="","",IF(G534&lt;0,"NEGATİF BAKİYE","UYGUN"))</x:f>
      </x:c>
    </x:row>
    <x:row r="535">
      <x:c r="B535" s="46"/>
      <x:c r="C535" s="46"/>
      <x:c r="D535" s="46"/>
      <x:c r="E535" s="92"/>
      <x:c r="F535" s="92"/>
      <x:c r="G535" s="93" t="str">
        <x:f>IF(B535="","",E535-F535)</x:f>
      </x:c>
      <x:c r="H535" s="100" t="str">
        <x:f>IF(B535="","",IF(D535="TL",1,IF(D535="USD",KURLAR!$C$9,IF(D535="EUR",KURLAR!$C$10,0))))</x:f>
      </x:c>
      <x:c r="I535" s="68" t="str">
        <x:f>IF(B535="","",G535*H535)</x:f>
      </x:c>
      <x:c r="J535" s="52" t="str">
        <x:f>IF(B535="","",IF(G535&lt;0,"NEGATİF BAKİYE","UYGUN"))</x:f>
      </x:c>
    </x:row>
    <x:row r="536">
      <x:c r="B536" s="46"/>
      <x:c r="C536" s="46"/>
      <x:c r="D536" s="46"/>
      <x:c r="E536" s="92"/>
      <x:c r="F536" s="92"/>
      <x:c r="G536" s="93" t="str">
        <x:f>IF(B536="","",E536-F536)</x:f>
      </x:c>
      <x:c r="H536" s="100" t="str">
        <x:f>IF(B536="","",IF(D536="TL",1,IF(D536="USD",KURLAR!$C$9,IF(D536="EUR",KURLAR!$C$10,0))))</x:f>
      </x:c>
      <x:c r="I536" s="68" t="str">
        <x:f>IF(B536="","",G536*H536)</x:f>
      </x:c>
      <x:c r="J536" s="52" t="str">
        <x:f>IF(B536="","",IF(G536&lt;0,"NEGATİF BAKİYE","UYGUN"))</x:f>
      </x:c>
    </x:row>
    <x:row r="537">
      <x:c r="B537" s="46"/>
      <x:c r="C537" s="46"/>
      <x:c r="D537" s="46"/>
      <x:c r="E537" s="92"/>
      <x:c r="F537" s="92"/>
      <x:c r="G537" s="93" t="str">
        <x:f>IF(B537="","",E537-F537)</x:f>
      </x:c>
      <x:c r="H537" s="100" t="str">
        <x:f>IF(B537="","",IF(D537="TL",1,IF(D537="USD",KURLAR!$C$9,IF(D537="EUR",KURLAR!$C$10,0))))</x:f>
      </x:c>
      <x:c r="I537" s="68" t="str">
        <x:f>IF(B537="","",G537*H537)</x:f>
      </x:c>
      <x:c r="J537" s="52" t="str">
        <x:f>IF(B537="","",IF(G537&lt;0,"NEGATİF BAKİYE","UYGUN"))</x:f>
      </x:c>
    </x:row>
    <x:row r="538">
      <x:c r="B538" s="46"/>
      <x:c r="C538" s="46"/>
      <x:c r="D538" s="46"/>
      <x:c r="E538" s="92"/>
      <x:c r="F538" s="92"/>
      <x:c r="G538" s="93" t="str">
        <x:f>IF(B538="","",E538-F538)</x:f>
      </x:c>
      <x:c r="H538" s="100" t="str">
        <x:f>IF(B538="","",IF(D538="TL",1,IF(D538="USD",KURLAR!$C$9,IF(D538="EUR",KURLAR!$C$10,0))))</x:f>
      </x:c>
      <x:c r="I538" s="68" t="str">
        <x:f>IF(B538="","",G538*H538)</x:f>
      </x:c>
      <x:c r="J538" s="52" t="str">
        <x:f>IF(B538="","",IF(G538&lt;0,"NEGATİF BAKİYE","UYGUN"))</x:f>
      </x:c>
    </x:row>
    <x:row r="539">
      <x:c r="B539" s="46"/>
      <x:c r="C539" s="46"/>
      <x:c r="D539" s="46"/>
      <x:c r="E539" s="92"/>
      <x:c r="F539" s="92"/>
      <x:c r="G539" s="93" t="str">
        <x:f>IF(B539="","",E539-F539)</x:f>
      </x:c>
      <x:c r="H539" s="100" t="str">
        <x:f>IF(B539="","",IF(D539="TL",1,IF(D539="USD",KURLAR!$C$9,IF(D539="EUR",KURLAR!$C$10,0))))</x:f>
      </x:c>
      <x:c r="I539" s="68" t="str">
        <x:f>IF(B539="","",G539*H539)</x:f>
      </x:c>
      <x:c r="J539" s="52" t="str">
        <x:f>IF(B539="","",IF(G539&lt;0,"NEGATİF BAKİYE","UYGUN"))</x:f>
      </x:c>
    </x:row>
    <x:row r="540">
      <x:c r="B540" s="46"/>
      <x:c r="C540" s="46"/>
      <x:c r="D540" s="46"/>
      <x:c r="E540" s="92"/>
      <x:c r="F540" s="92"/>
      <x:c r="G540" s="93" t="str">
        <x:f>IF(B540="","",E540-F540)</x:f>
      </x:c>
      <x:c r="H540" s="100" t="str">
        <x:f>IF(B540="","",IF(D540="TL",1,IF(D540="USD",KURLAR!$C$9,IF(D540="EUR",KURLAR!$C$10,0))))</x:f>
      </x:c>
      <x:c r="I540" s="68" t="str">
        <x:f>IF(B540="","",G540*H540)</x:f>
      </x:c>
      <x:c r="J540" s="52" t="str">
        <x:f>IF(B540="","",IF(G540&lt;0,"NEGATİF BAKİYE","UYGUN"))</x:f>
      </x:c>
    </x:row>
    <x:row r="541">
      <x:c r="B541" s="46"/>
      <x:c r="C541" s="46"/>
      <x:c r="D541" s="46"/>
      <x:c r="E541" s="92"/>
      <x:c r="F541" s="92"/>
      <x:c r="G541" s="93" t="str">
        <x:f>IF(B541="","",E541-F541)</x:f>
      </x:c>
      <x:c r="H541" s="100" t="str">
        <x:f>IF(B541="","",IF(D541="TL",1,IF(D541="USD",KURLAR!$C$9,IF(D541="EUR",KURLAR!$C$10,0))))</x:f>
      </x:c>
      <x:c r="I541" s="68" t="str">
        <x:f>IF(B541="","",G541*H541)</x:f>
      </x:c>
      <x:c r="J541" s="52" t="str">
        <x:f>IF(B541="","",IF(G541&lt;0,"NEGATİF BAKİYE","UYGUN"))</x:f>
      </x:c>
    </x:row>
    <x:row r="542">
      <x:c r="B542" s="46"/>
      <x:c r="C542" s="46"/>
      <x:c r="D542" s="46"/>
      <x:c r="E542" s="92"/>
      <x:c r="F542" s="92"/>
      <x:c r="G542" s="93" t="str">
        <x:f>IF(B542="","",E542-F542)</x:f>
      </x:c>
      <x:c r="H542" s="100" t="str">
        <x:f>IF(B542="","",IF(D542="TL",1,IF(D542="USD",KURLAR!$C$9,IF(D542="EUR",KURLAR!$C$10,0))))</x:f>
      </x:c>
      <x:c r="I542" s="68" t="str">
        <x:f>IF(B542="","",G542*H542)</x:f>
      </x:c>
      <x:c r="J542" s="52" t="str">
        <x:f>IF(B542="","",IF(G542&lt;0,"NEGATİF BAKİYE","UYGUN"))</x:f>
      </x:c>
    </x:row>
    <x:row r="543">
      <x:c r="B543" s="46"/>
      <x:c r="C543" s="46"/>
      <x:c r="D543" s="46"/>
      <x:c r="E543" s="92"/>
      <x:c r="F543" s="92"/>
      <x:c r="G543" s="93" t="str">
        <x:f>IF(B543="","",E543-F543)</x:f>
      </x:c>
      <x:c r="H543" s="100" t="str">
        <x:f>IF(B543="","",IF(D543="TL",1,IF(D543="USD",KURLAR!$C$9,IF(D543="EUR",KURLAR!$C$10,0))))</x:f>
      </x:c>
      <x:c r="I543" s="68" t="str">
        <x:f>IF(B543="","",G543*H543)</x:f>
      </x:c>
      <x:c r="J543" s="52" t="str">
        <x:f>IF(B543="","",IF(G543&lt;0,"NEGATİF BAKİYE","UYGUN"))</x:f>
      </x:c>
    </x:row>
    <x:row r="544">
      <x:c r="B544" s="46"/>
      <x:c r="C544" s="46"/>
      <x:c r="D544" s="46"/>
      <x:c r="E544" s="92"/>
      <x:c r="F544" s="92"/>
      <x:c r="G544" s="93" t="str">
        <x:f>IF(B544="","",E544-F544)</x:f>
      </x:c>
      <x:c r="H544" s="100" t="str">
        <x:f>IF(B544="","",IF(D544="TL",1,IF(D544="USD",KURLAR!$C$9,IF(D544="EUR",KURLAR!$C$10,0))))</x:f>
      </x:c>
      <x:c r="I544" s="68" t="str">
        <x:f>IF(B544="","",G544*H544)</x:f>
      </x:c>
      <x:c r="J544" s="52" t="str">
        <x:f>IF(B544="","",IF(G544&lt;0,"NEGATİF BAKİYE","UYGUN"))</x:f>
      </x:c>
    </x:row>
    <x:row r="545">
      <x:c r="B545" s="46"/>
      <x:c r="C545" s="46"/>
      <x:c r="D545" s="46"/>
      <x:c r="E545" s="92"/>
      <x:c r="F545" s="92"/>
      <x:c r="G545" s="93" t="str">
        <x:f>IF(B545="","",E545-F545)</x:f>
      </x:c>
      <x:c r="H545" s="100" t="str">
        <x:f>IF(B545="","",IF(D545="TL",1,IF(D545="USD",KURLAR!$C$9,IF(D545="EUR",KURLAR!$C$10,0))))</x:f>
      </x:c>
      <x:c r="I545" s="68" t="str">
        <x:f>IF(B545="","",G545*H545)</x:f>
      </x:c>
      <x:c r="J545" s="52" t="str">
        <x:f>IF(B545="","",IF(G545&lt;0,"NEGATİF BAKİYE","UYGUN"))</x:f>
      </x:c>
    </x:row>
    <x:row r="546">
      <x:c r="B546" s="46"/>
      <x:c r="C546" s="46"/>
      <x:c r="D546" s="46"/>
      <x:c r="E546" s="92"/>
      <x:c r="F546" s="92"/>
      <x:c r="G546" s="93" t="str">
        <x:f>IF(B546="","",E546-F546)</x:f>
      </x:c>
      <x:c r="H546" s="100" t="str">
        <x:f>IF(B546="","",IF(D546="TL",1,IF(D546="USD",KURLAR!$C$9,IF(D546="EUR",KURLAR!$C$10,0))))</x:f>
      </x:c>
      <x:c r="I546" s="68" t="str">
        <x:f>IF(B546="","",G546*H546)</x:f>
      </x:c>
      <x:c r="J546" s="52" t="str">
        <x:f>IF(B546="","",IF(G546&lt;0,"NEGATİF BAKİYE","UYGUN"))</x:f>
      </x:c>
    </x:row>
    <x:row r="547">
      <x:c r="B547" s="46"/>
      <x:c r="C547" s="46"/>
      <x:c r="D547" s="46"/>
      <x:c r="E547" s="92"/>
      <x:c r="F547" s="92"/>
      <x:c r="G547" s="93" t="str">
        <x:f>IF(B547="","",E547-F547)</x:f>
      </x:c>
      <x:c r="H547" s="100" t="str">
        <x:f>IF(B547="","",IF(D547="TL",1,IF(D547="USD",KURLAR!$C$9,IF(D547="EUR",KURLAR!$C$10,0))))</x:f>
      </x:c>
      <x:c r="I547" s="68" t="str">
        <x:f>IF(B547="","",G547*H547)</x:f>
      </x:c>
      <x:c r="J547" s="52" t="str">
        <x:f>IF(B547="","",IF(G547&lt;0,"NEGATİF BAKİYE","UYGUN"))</x:f>
      </x:c>
    </x:row>
    <x:row r="548">
      <x:c r="B548" s="46"/>
      <x:c r="C548" s="46"/>
      <x:c r="D548" s="46"/>
      <x:c r="E548" s="92"/>
      <x:c r="F548" s="92"/>
      <x:c r="G548" s="93" t="str">
        <x:f>IF(B548="","",E548-F548)</x:f>
      </x:c>
      <x:c r="H548" s="100" t="str">
        <x:f>IF(B548="","",IF(D548="TL",1,IF(D548="USD",KURLAR!$C$9,IF(D548="EUR",KURLAR!$C$10,0))))</x:f>
      </x:c>
      <x:c r="I548" s="68" t="str">
        <x:f>IF(B548="","",G548*H548)</x:f>
      </x:c>
      <x:c r="J548" s="52" t="str">
        <x:f>IF(B548="","",IF(G548&lt;0,"NEGATİF BAKİYE","UYGUN"))</x:f>
      </x:c>
    </x:row>
    <x:row r="549">
      <x:c r="B549" s="46"/>
      <x:c r="C549" s="46"/>
      <x:c r="D549" s="46"/>
      <x:c r="E549" s="92"/>
      <x:c r="F549" s="92"/>
      <x:c r="G549" s="93" t="str">
        <x:f>IF(B549="","",E549-F549)</x:f>
      </x:c>
      <x:c r="H549" s="100" t="str">
        <x:f>IF(B549="","",IF(D549="TL",1,IF(D549="USD",KURLAR!$C$9,IF(D549="EUR",KURLAR!$C$10,0))))</x:f>
      </x:c>
      <x:c r="I549" s="68" t="str">
        <x:f>IF(B549="","",G549*H549)</x:f>
      </x:c>
      <x:c r="J549" s="52" t="str">
        <x:f>IF(B549="","",IF(G549&lt;0,"NEGATİF BAKİYE","UYGUN"))</x:f>
      </x:c>
    </x:row>
    <x:row r="550">
      <x:c r="B550" s="46"/>
      <x:c r="C550" s="46"/>
      <x:c r="D550" s="46"/>
      <x:c r="E550" s="92"/>
      <x:c r="F550" s="92"/>
      <x:c r="G550" s="93" t="str">
        <x:f>IF(B550="","",E550-F550)</x:f>
      </x:c>
      <x:c r="H550" s="100" t="str">
        <x:f>IF(B550="","",IF(D550="TL",1,IF(D550="USD",KURLAR!$C$9,IF(D550="EUR",KURLAR!$C$10,0))))</x:f>
      </x:c>
      <x:c r="I550" s="68" t="str">
        <x:f>IF(B550="","",G550*H550)</x:f>
      </x:c>
      <x:c r="J550" s="52" t="str">
        <x:f>IF(B550="","",IF(G550&lt;0,"NEGATİF BAKİYE","UYGUN"))</x:f>
      </x:c>
    </x:row>
    <x:row r="551">
      <x:c r="B551" s="46"/>
      <x:c r="C551" s="46"/>
      <x:c r="D551" s="46"/>
      <x:c r="E551" s="92"/>
      <x:c r="F551" s="92"/>
      <x:c r="G551" s="93" t="str">
        <x:f>IF(B551="","",E551-F551)</x:f>
      </x:c>
      <x:c r="H551" s="100" t="str">
        <x:f>IF(B551="","",IF(D551="TL",1,IF(D551="USD",KURLAR!$C$9,IF(D551="EUR",KURLAR!$C$10,0))))</x:f>
      </x:c>
      <x:c r="I551" s="68" t="str">
        <x:f>IF(B551="","",G551*H551)</x:f>
      </x:c>
      <x:c r="J551" s="52" t="str">
        <x:f>IF(B551="","",IF(G551&lt;0,"NEGATİF BAKİYE","UYGUN"))</x:f>
      </x:c>
    </x:row>
    <x:row r="552">
      <x:c r="B552" s="46"/>
      <x:c r="C552" s="46"/>
      <x:c r="D552" s="46"/>
      <x:c r="E552" s="92"/>
      <x:c r="F552" s="92"/>
      <x:c r="G552" s="93" t="str">
        <x:f>IF(B552="","",E552-F552)</x:f>
      </x:c>
      <x:c r="H552" s="100" t="str">
        <x:f>IF(B552="","",IF(D552="TL",1,IF(D552="USD",KURLAR!$C$9,IF(D552="EUR",KURLAR!$C$10,0))))</x:f>
      </x:c>
      <x:c r="I552" s="68" t="str">
        <x:f>IF(B552="","",G552*H552)</x:f>
      </x:c>
      <x:c r="J552" s="52" t="str">
        <x:f>IF(B552="","",IF(G552&lt;0,"NEGATİF BAKİYE","UYGUN"))</x:f>
      </x:c>
    </x:row>
    <x:row r="553">
      <x:c r="B553" s="46"/>
      <x:c r="C553" s="46"/>
      <x:c r="D553" s="46"/>
      <x:c r="E553" s="92"/>
      <x:c r="F553" s="92"/>
      <x:c r="G553" s="93" t="str">
        <x:f>IF(B553="","",E553-F553)</x:f>
      </x:c>
      <x:c r="H553" s="100" t="str">
        <x:f>IF(B553="","",IF(D553="TL",1,IF(D553="USD",KURLAR!$C$9,IF(D553="EUR",KURLAR!$C$10,0))))</x:f>
      </x:c>
      <x:c r="I553" s="68" t="str">
        <x:f>IF(B553="","",G553*H553)</x:f>
      </x:c>
      <x:c r="J553" s="52" t="str">
        <x:f>IF(B553="","",IF(G553&lt;0,"NEGATİF BAKİYE","UYGUN"))</x:f>
      </x:c>
    </x:row>
    <x:row r="554">
      <x:c r="B554" s="46"/>
      <x:c r="C554" s="46"/>
      <x:c r="D554" s="46"/>
      <x:c r="E554" s="92"/>
      <x:c r="F554" s="92"/>
      <x:c r="G554" s="93" t="str">
        <x:f>IF(B554="","",E554-F554)</x:f>
      </x:c>
      <x:c r="H554" s="100" t="str">
        <x:f>IF(B554="","",IF(D554="TL",1,IF(D554="USD",KURLAR!$C$9,IF(D554="EUR",KURLAR!$C$10,0))))</x:f>
      </x:c>
      <x:c r="I554" s="68" t="str">
        <x:f>IF(B554="","",G554*H554)</x:f>
      </x:c>
      <x:c r="J554" s="52" t="str">
        <x:f>IF(B554="","",IF(G554&lt;0,"NEGATİF BAKİYE","UYGUN"))</x:f>
      </x:c>
    </x:row>
    <x:row r="555">
      <x:c r="B555" s="46"/>
      <x:c r="C555" s="46"/>
      <x:c r="D555" s="46"/>
      <x:c r="E555" s="92"/>
      <x:c r="F555" s="92"/>
      <x:c r="G555" s="93" t="str">
        <x:f>IF(B555="","",E555-F555)</x:f>
      </x:c>
      <x:c r="H555" s="100" t="str">
        <x:f>IF(B555="","",IF(D555="TL",1,IF(D555="USD",KURLAR!$C$9,IF(D555="EUR",KURLAR!$C$10,0))))</x:f>
      </x:c>
      <x:c r="I555" s="68" t="str">
        <x:f>IF(B555="","",G555*H555)</x:f>
      </x:c>
      <x:c r="J555" s="52" t="str">
        <x:f>IF(B555="","",IF(G555&lt;0,"NEGATİF BAKİYE","UYGUN"))</x:f>
      </x:c>
    </x:row>
    <x:row r="556">
      <x:c r="B556" s="46"/>
      <x:c r="C556" s="46"/>
      <x:c r="D556" s="46"/>
      <x:c r="E556" s="92"/>
      <x:c r="F556" s="92"/>
      <x:c r="G556" s="93" t="str">
        <x:f>IF(B556="","",E556-F556)</x:f>
      </x:c>
      <x:c r="H556" s="100" t="str">
        <x:f>IF(B556="","",IF(D556="TL",1,IF(D556="USD",KURLAR!$C$9,IF(D556="EUR",KURLAR!$C$10,0))))</x:f>
      </x:c>
      <x:c r="I556" s="68" t="str">
        <x:f>IF(B556="","",G556*H556)</x:f>
      </x:c>
      <x:c r="J556" s="52" t="str">
        <x:f>IF(B556="","",IF(G556&lt;0,"NEGATİF BAKİYE","UYGUN"))</x:f>
      </x:c>
    </x:row>
    <x:row r="557">
      <x:c r="B557" s="46"/>
      <x:c r="C557" s="46"/>
      <x:c r="D557" s="46"/>
      <x:c r="E557" s="92"/>
      <x:c r="F557" s="92"/>
      <x:c r="G557" s="93" t="str">
        <x:f>IF(B557="","",E557-F557)</x:f>
      </x:c>
      <x:c r="H557" s="100" t="str">
        <x:f>IF(B557="","",IF(D557="TL",1,IF(D557="USD",KURLAR!$C$9,IF(D557="EUR",KURLAR!$C$10,0))))</x:f>
      </x:c>
      <x:c r="I557" s="68" t="str">
        <x:f>IF(B557="","",G557*H557)</x:f>
      </x:c>
      <x:c r="J557" s="52" t="str">
        <x:f>IF(B557="","",IF(G557&lt;0,"NEGATİF BAKİYE","UYGUN"))</x:f>
      </x:c>
    </x:row>
    <x:row r="558">
      <x:c r="B558" s="46"/>
      <x:c r="C558" s="46"/>
      <x:c r="D558" s="46"/>
      <x:c r="E558" s="92"/>
      <x:c r="F558" s="92"/>
      <x:c r="G558" s="93" t="str">
        <x:f>IF(B558="","",E558-F558)</x:f>
      </x:c>
      <x:c r="H558" s="100" t="str">
        <x:f>IF(B558="","",IF(D558="TL",1,IF(D558="USD",KURLAR!$C$9,IF(D558="EUR",KURLAR!$C$10,0))))</x:f>
      </x:c>
      <x:c r="I558" s="68" t="str">
        <x:f>IF(B558="","",G558*H558)</x:f>
      </x:c>
      <x:c r="J558" s="52" t="str">
        <x:f>IF(B558="","",IF(G558&lt;0,"NEGATİF BAKİYE","UYGUN"))</x:f>
      </x:c>
    </x:row>
    <x:row r="559">
      <x:c r="B559" s="46"/>
      <x:c r="C559" s="46"/>
      <x:c r="D559" s="46"/>
      <x:c r="E559" s="92"/>
      <x:c r="F559" s="92"/>
      <x:c r="G559" s="93" t="str">
        <x:f>IF(B559="","",E559-F559)</x:f>
      </x:c>
      <x:c r="H559" s="100" t="str">
        <x:f>IF(B559="","",IF(D559="TL",1,IF(D559="USD",KURLAR!$C$9,IF(D559="EUR",KURLAR!$C$10,0))))</x:f>
      </x:c>
      <x:c r="I559" s="68" t="str">
        <x:f>IF(B559="","",G559*H559)</x:f>
      </x:c>
      <x:c r="J559" s="52" t="str">
        <x:f>IF(B559="","",IF(G559&lt;0,"NEGATİF BAKİYE","UYGUN"))</x:f>
      </x:c>
    </x:row>
    <x:row r="560">
      <x:c r="B560" s="46"/>
      <x:c r="C560" s="46"/>
      <x:c r="D560" s="46"/>
      <x:c r="E560" s="92"/>
      <x:c r="F560" s="92"/>
      <x:c r="G560" s="93" t="str">
        <x:f>IF(B560="","",E560-F560)</x:f>
      </x:c>
      <x:c r="H560" s="100" t="str">
        <x:f>IF(B560="","",IF(D560="TL",1,IF(D560="USD",KURLAR!$C$9,IF(D560="EUR",KURLAR!$C$10,0))))</x:f>
      </x:c>
      <x:c r="I560" s="68" t="str">
        <x:f>IF(B560="","",G560*H560)</x:f>
      </x:c>
      <x:c r="J560" s="52" t="str">
        <x:f>IF(B560="","",IF(G560&lt;0,"NEGATİF BAKİYE","UYGUN"))</x:f>
      </x:c>
    </x:row>
    <x:row r="561">
      <x:c r="B561" s="46"/>
      <x:c r="C561" s="46"/>
      <x:c r="D561" s="46"/>
      <x:c r="E561" s="92"/>
      <x:c r="F561" s="92"/>
      <x:c r="G561" s="93" t="str">
        <x:f>IF(B561="","",E561-F561)</x:f>
      </x:c>
      <x:c r="H561" s="100" t="str">
        <x:f>IF(B561="","",IF(D561="TL",1,IF(D561="USD",KURLAR!$C$9,IF(D561="EUR",KURLAR!$C$10,0))))</x:f>
      </x:c>
      <x:c r="I561" s="68" t="str">
        <x:f>IF(B561="","",G561*H561)</x:f>
      </x:c>
      <x:c r="J561" s="52" t="str">
        <x:f>IF(B561="","",IF(G561&lt;0,"NEGATİF BAKİYE","UYGUN"))</x:f>
      </x:c>
    </x:row>
    <x:row r="562">
      <x:c r="B562" s="46"/>
      <x:c r="C562" s="46"/>
      <x:c r="D562" s="46"/>
      <x:c r="E562" s="92"/>
      <x:c r="F562" s="92"/>
      <x:c r="G562" s="93" t="str">
        <x:f>IF(B562="","",E562-F562)</x:f>
      </x:c>
      <x:c r="H562" s="100" t="str">
        <x:f>IF(B562="","",IF(D562="TL",1,IF(D562="USD",KURLAR!$C$9,IF(D562="EUR",KURLAR!$C$10,0))))</x:f>
      </x:c>
      <x:c r="I562" s="68" t="str">
        <x:f>IF(B562="","",G562*H562)</x:f>
      </x:c>
      <x:c r="J562" s="52" t="str">
        <x:f>IF(B562="","",IF(G562&lt;0,"NEGATİF BAKİYE","UYGUN"))</x:f>
      </x:c>
    </x:row>
    <x:row r="563">
      <x:c r="B563" s="46"/>
      <x:c r="C563" s="46"/>
      <x:c r="D563" s="46"/>
      <x:c r="E563" s="92"/>
      <x:c r="F563" s="92"/>
      <x:c r="G563" s="93" t="str">
        <x:f>IF(B563="","",E563-F563)</x:f>
      </x:c>
      <x:c r="H563" s="100" t="str">
        <x:f>IF(B563="","",IF(D563="TL",1,IF(D563="USD",KURLAR!$C$9,IF(D563="EUR",KURLAR!$C$10,0))))</x:f>
      </x:c>
      <x:c r="I563" s="68" t="str">
        <x:f>IF(B563="","",G563*H563)</x:f>
      </x:c>
      <x:c r="J563" s="52" t="str">
        <x:f>IF(B563="","",IF(G563&lt;0,"NEGATİF BAKİYE","UYGUN"))</x:f>
      </x:c>
    </x:row>
    <x:row r="564">
      <x:c r="B564" s="46"/>
      <x:c r="C564" s="46"/>
      <x:c r="D564" s="46"/>
      <x:c r="E564" s="92"/>
      <x:c r="F564" s="92"/>
      <x:c r="G564" s="93" t="str">
        <x:f>IF(B564="","",E564-F564)</x:f>
      </x:c>
      <x:c r="H564" s="100" t="str">
        <x:f>IF(B564="","",IF(D564="TL",1,IF(D564="USD",KURLAR!$C$9,IF(D564="EUR",KURLAR!$C$10,0))))</x:f>
      </x:c>
      <x:c r="I564" s="68" t="str">
        <x:f>IF(B564="","",G564*H564)</x:f>
      </x:c>
      <x:c r="J564" s="52" t="str">
        <x:f>IF(B564="","",IF(G564&lt;0,"NEGATİF BAKİYE","UYGUN"))</x:f>
      </x:c>
    </x:row>
    <x:row r="565">
      <x:c r="B565" s="46"/>
      <x:c r="C565" s="46"/>
      <x:c r="D565" s="46"/>
      <x:c r="E565" s="92"/>
      <x:c r="F565" s="92"/>
      <x:c r="G565" s="93" t="str">
        <x:f>IF(B565="","",E565-F565)</x:f>
      </x:c>
      <x:c r="H565" s="100" t="str">
        <x:f>IF(B565="","",IF(D565="TL",1,IF(D565="USD",KURLAR!$C$9,IF(D565="EUR",KURLAR!$C$10,0))))</x:f>
      </x:c>
      <x:c r="I565" s="68" t="str">
        <x:f>IF(B565="","",G565*H565)</x:f>
      </x:c>
      <x:c r="J565" s="52" t="str">
        <x:f>IF(B565="","",IF(G565&lt;0,"NEGATİF BAKİYE","UYGUN"))</x:f>
      </x:c>
    </x:row>
    <x:row r="566">
      <x:c r="B566" s="46"/>
      <x:c r="C566" s="46"/>
      <x:c r="D566" s="46"/>
      <x:c r="E566" s="92"/>
      <x:c r="F566" s="92"/>
      <x:c r="G566" s="93" t="str">
        <x:f>IF(B566="","",E566-F566)</x:f>
      </x:c>
      <x:c r="H566" s="100" t="str">
        <x:f>IF(B566="","",IF(D566="TL",1,IF(D566="USD",KURLAR!$C$9,IF(D566="EUR",KURLAR!$C$10,0))))</x:f>
      </x:c>
      <x:c r="I566" s="68" t="str">
        <x:f>IF(B566="","",G566*H566)</x:f>
      </x:c>
      <x:c r="J566" s="52" t="str">
        <x:f>IF(B566="","",IF(G566&lt;0,"NEGATİF BAKİYE","UYGUN"))</x:f>
      </x:c>
    </x:row>
    <x:row r="567">
      <x:c r="B567" s="46"/>
      <x:c r="C567" s="46"/>
      <x:c r="D567" s="46"/>
      <x:c r="E567" s="92"/>
      <x:c r="F567" s="92"/>
      <x:c r="G567" s="93" t="str">
        <x:f>IF(B567="","",E567-F567)</x:f>
      </x:c>
      <x:c r="H567" s="100" t="str">
        <x:f>IF(B567="","",IF(D567="TL",1,IF(D567="USD",KURLAR!$C$9,IF(D567="EUR",KURLAR!$C$10,0))))</x:f>
      </x:c>
      <x:c r="I567" s="68" t="str">
        <x:f>IF(B567="","",G567*H567)</x:f>
      </x:c>
      <x:c r="J567" s="52" t="str">
        <x:f>IF(B567="","",IF(G567&lt;0,"NEGATİF BAKİYE","UYGUN"))</x:f>
      </x:c>
    </x:row>
    <x:row r="568">
      <x:c r="B568" s="46"/>
      <x:c r="C568" s="46"/>
      <x:c r="D568" s="46"/>
      <x:c r="E568" s="92"/>
      <x:c r="F568" s="92"/>
      <x:c r="G568" s="93" t="str">
        <x:f>IF(B568="","",E568-F568)</x:f>
      </x:c>
      <x:c r="H568" s="100" t="str">
        <x:f>IF(B568="","",IF(D568="TL",1,IF(D568="USD",KURLAR!$C$9,IF(D568="EUR",KURLAR!$C$10,0))))</x:f>
      </x:c>
      <x:c r="I568" s="68" t="str">
        <x:f>IF(B568="","",G568*H568)</x:f>
      </x:c>
      <x:c r="J568" s="52" t="str">
        <x:f>IF(B568="","",IF(G568&lt;0,"NEGATİF BAKİYE","UYGUN"))</x:f>
      </x:c>
    </x:row>
    <x:row r="569">
      <x:c r="B569" s="46"/>
      <x:c r="C569" s="46"/>
      <x:c r="D569" s="46"/>
      <x:c r="E569" s="92"/>
      <x:c r="F569" s="92"/>
      <x:c r="G569" s="93" t="str">
        <x:f>IF(B569="","",E569-F569)</x:f>
      </x:c>
      <x:c r="H569" s="100" t="str">
        <x:f>IF(B569="","",IF(D569="TL",1,IF(D569="USD",KURLAR!$C$9,IF(D569="EUR",KURLAR!$C$10,0))))</x:f>
      </x:c>
      <x:c r="I569" s="68" t="str">
        <x:f>IF(B569="","",G569*H569)</x:f>
      </x:c>
      <x:c r="J569" s="52" t="str">
        <x:f>IF(B569="","",IF(G569&lt;0,"NEGATİF BAKİYE","UYGUN"))</x:f>
      </x:c>
    </x:row>
    <x:row r="570">
      <x:c r="B570" s="46"/>
      <x:c r="C570" s="46"/>
      <x:c r="D570" s="46"/>
      <x:c r="E570" s="92"/>
      <x:c r="F570" s="92"/>
      <x:c r="G570" s="93" t="str">
        <x:f>IF(B570="","",E570-F570)</x:f>
      </x:c>
      <x:c r="H570" s="100" t="str">
        <x:f>IF(B570="","",IF(D570="TL",1,IF(D570="USD",KURLAR!$C$9,IF(D570="EUR",KURLAR!$C$10,0))))</x:f>
      </x:c>
      <x:c r="I570" s="68" t="str">
        <x:f>IF(B570="","",G570*H570)</x:f>
      </x:c>
      <x:c r="J570" s="52" t="str">
        <x:f>IF(B570="","",IF(G570&lt;0,"NEGATİF BAKİYE","UYGUN"))</x:f>
      </x:c>
    </x:row>
    <x:row r="571">
      <x:c r="B571" s="46"/>
      <x:c r="C571" s="46"/>
      <x:c r="D571" s="46"/>
      <x:c r="E571" s="92"/>
      <x:c r="F571" s="92"/>
      <x:c r="G571" s="93" t="str">
        <x:f>IF(B571="","",E571-F571)</x:f>
      </x:c>
      <x:c r="H571" s="100" t="str">
        <x:f>IF(B571="","",IF(D571="TL",1,IF(D571="USD",KURLAR!$C$9,IF(D571="EUR",KURLAR!$C$10,0))))</x:f>
      </x:c>
      <x:c r="I571" s="68" t="str">
        <x:f>IF(B571="","",G571*H571)</x:f>
      </x:c>
      <x:c r="J571" s="52" t="str">
        <x:f>IF(B571="","",IF(G571&lt;0,"NEGATİF BAKİYE","UYGUN"))</x:f>
      </x:c>
    </x:row>
    <x:row r="572">
      <x:c r="B572" s="46"/>
      <x:c r="C572" s="46"/>
      <x:c r="D572" s="46"/>
      <x:c r="E572" s="92"/>
      <x:c r="F572" s="92"/>
      <x:c r="G572" s="93" t="str">
        <x:f>IF(B572="","",E572-F572)</x:f>
      </x:c>
      <x:c r="H572" s="100" t="str">
        <x:f>IF(B572="","",IF(D572="TL",1,IF(D572="USD",KURLAR!$C$9,IF(D572="EUR",KURLAR!$C$10,0))))</x:f>
      </x:c>
      <x:c r="I572" s="68" t="str">
        <x:f>IF(B572="","",G572*H572)</x:f>
      </x:c>
      <x:c r="J572" s="52" t="str">
        <x:f>IF(B572="","",IF(G572&lt;0,"NEGATİF BAKİYE","UYGUN"))</x:f>
      </x:c>
    </x:row>
    <x:row r="573">
      <x:c r="B573" s="46"/>
      <x:c r="C573" s="46"/>
      <x:c r="D573" s="46"/>
      <x:c r="E573" s="92"/>
      <x:c r="F573" s="92"/>
      <x:c r="G573" s="93" t="str">
        <x:f>IF(B573="","",E573-F573)</x:f>
      </x:c>
      <x:c r="H573" s="100" t="str">
        <x:f>IF(B573="","",IF(D573="TL",1,IF(D573="USD",KURLAR!$C$9,IF(D573="EUR",KURLAR!$C$10,0))))</x:f>
      </x:c>
      <x:c r="I573" s="68" t="str">
        <x:f>IF(B573="","",G573*H573)</x:f>
      </x:c>
      <x:c r="J573" s="52" t="str">
        <x:f>IF(B573="","",IF(G573&lt;0,"NEGATİF BAKİYE","UYGUN"))</x:f>
      </x:c>
    </x:row>
    <x:row r="574">
      <x:c r="B574" s="46"/>
      <x:c r="C574" s="46"/>
      <x:c r="D574" s="46"/>
      <x:c r="E574" s="92"/>
      <x:c r="F574" s="92"/>
      <x:c r="G574" s="93" t="str">
        <x:f>IF(B574="","",E574-F574)</x:f>
      </x:c>
      <x:c r="H574" s="100" t="str">
        <x:f>IF(B574="","",IF(D574="TL",1,IF(D574="USD",KURLAR!$C$9,IF(D574="EUR",KURLAR!$C$10,0))))</x:f>
      </x:c>
      <x:c r="I574" s="68" t="str">
        <x:f>IF(B574="","",G574*H574)</x:f>
      </x:c>
      <x:c r="J574" s="52" t="str">
        <x:f>IF(B574="","",IF(G574&lt;0,"NEGATİF BAKİYE","UYGUN"))</x:f>
      </x:c>
    </x:row>
    <x:row r="575">
      <x:c r="B575" s="46"/>
      <x:c r="C575" s="46"/>
      <x:c r="D575" s="46"/>
      <x:c r="E575" s="92"/>
      <x:c r="F575" s="92"/>
      <x:c r="G575" s="93" t="str">
        <x:f>IF(B575="","",E575-F575)</x:f>
      </x:c>
      <x:c r="H575" s="100" t="str">
        <x:f>IF(B575="","",IF(D575="TL",1,IF(D575="USD",KURLAR!$C$9,IF(D575="EUR",KURLAR!$C$10,0))))</x:f>
      </x:c>
      <x:c r="I575" s="68" t="str">
        <x:f>IF(B575="","",G575*H575)</x:f>
      </x:c>
      <x:c r="J575" s="52" t="str">
        <x:f>IF(B575="","",IF(G575&lt;0,"NEGATİF BAKİYE","UYGUN"))</x:f>
      </x:c>
    </x:row>
    <x:row r="576">
      <x:c r="B576" s="46"/>
      <x:c r="C576" s="46"/>
      <x:c r="D576" s="46"/>
      <x:c r="E576" s="92"/>
      <x:c r="F576" s="92"/>
      <x:c r="G576" s="93" t="str">
        <x:f>IF(B576="","",E576-F576)</x:f>
      </x:c>
      <x:c r="H576" s="100" t="str">
        <x:f>IF(B576="","",IF(D576="TL",1,IF(D576="USD",KURLAR!$C$9,IF(D576="EUR",KURLAR!$C$10,0))))</x:f>
      </x:c>
      <x:c r="I576" s="68" t="str">
        <x:f>IF(B576="","",G576*H576)</x:f>
      </x:c>
      <x:c r="J576" s="52" t="str">
        <x:f>IF(B576="","",IF(G576&lt;0,"NEGATİF BAKİYE","UYGUN"))</x:f>
      </x:c>
    </x:row>
    <x:row r="577">
      <x:c r="B577" s="46"/>
      <x:c r="C577" s="46"/>
      <x:c r="D577" s="46"/>
      <x:c r="E577" s="92"/>
      <x:c r="F577" s="92"/>
      <x:c r="G577" s="93" t="str">
        <x:f>IF(B577="","",E577-F577)</x:f>
      </x:c>
      <x:c r="H577" s="100" t="str">
        <x:f>IF(B577="","",IF(D577="TL",1,IF(D577="USD",KURLAR!$C$9,IF(D577="EUR",KURLAR!$C$10,0))))</x:f>
      </x:c>
      <x:c r="I577" s="68" t="str">
        <x:f>IF(B577="","",G577*H577)</x:f>
      </x:c>
      <x:c r="J577" s="52" t="str">
        <x:f>IF(B577="","",IF(G577&lt;0,"NEGATİF BAKİYE","UYGUN"))</x:f>
      </x:c>
    </x:row>
    <x:row r="578">
      <x:c r="B578" s="46"/>
      <x:c r="C578" s="46"/>
      <x:c r="D578" s="46"/>
      <x:c r="E578" s="92"/>
      <x:c r="F578" s="92"/>
      <x:c r="G578" s="93" t="str">
        <x:f>IF(B578="","",E578-F578)</x:f>
      </x:c>
      <x:c r="H578" s="100" t="str">
        <x:f>IF(B578="","",IF(D578="TL",1,IF(D578="USD",KURLAR!$C$9,IF(D578="EUR",KURLAR!$C$10,0))))</x:f>
      </x:c>
      <x:c r="I578" s="68" t="str">
        <x:f>IF(B578="","",G578*H578)</x:f>
      </x:c>
      <x:c r="J578" s="52" t="str">
        <x:f>IF(B578="","",IF(G578&lt;0,"NEGATİF BAKİYE","UYGUN"))</x:f>
      </x:c>
    </x:row>
    <x:row r="579">
      <x:c r="B579" s="46"/>
      <x:c r="C579" s="46"/>
      <x:c r="D579" s="46"/>
      <x:c r="E579" s="92"/>
      <x:c r="F579" s="92"/>
      <x:c r="G579" s="93" t="str">
        <x:f>IF(B579="","",E579-F579)</x:f>
      </x:c>
      <x:c r="H579" s="100" t="str">
        <x:f>IF(B579="","",IF(D579="TL",1,IF(D579="USD",KURLAR!$C$9,IF(D579="EUR",KURLAR!$C$10,0))))</x:f>
      </x:c>
      <x:c r="I579" s="68" t="str">
        <x:f>IF(B579="","",G579*H579)</x:f>
      </x:c>
      <x:c r="J579" s="52" t="str">
        <x:f>IF(B579="","",IF(G579&lt;0,"NEGATİF BAKİYE","UYGUN"))</x:f>
      </x:c>
    </x:row>
    <x:row r="580">
      <x:c r="B580" s="46"/>
      <x:c r="C580" s="46"/>
      <x:c r="D580" s="46"/>
      <x:c r="E580" s="92"/>
      <x:c r="F580" s="92"/>
      <x:c r="G580" s="93" t="str">
        <x:f>IF(B580="","",E580-F580)</x:f>
      </x:c>
      <x:c r="H580" s="100" t="str">
        <x:f>IF(B580="","",IF(D580="TL",1,IF(D580="USD",KURLAR!$C$9,IF(D580="EUR",KURLAR!$C$10,0))))</x:f>
      </x:c>
      <x:c r="I580" s="68" t="str">
        <x:f>IF(B580="","",G580*H580)</x:f>
      </x:c>
      <x:c r="J580" s="52" t="str">
        <x:f>IF(B580="","",IF(G580&lt;0,"NEGATİF BAKİYE","UYGUN"))</x:f>
      </x:c>
    </x:row>
    <x:row r="581">
      <x:c r="B581" s="46"/>
      <x:c r="C581" s="46"/>
      <x:c r="D581" s="46"/>
      <x:c r="E581" s="92"/>
      <x:c r="F581" s="92"/>
      <x:c r="G581" s="93" t="str">
        <x:f>IF(B581="","",E581-F581)</x:f>
      </x:c>
      <x:c r="H581" s="100" t="str">
        <x:f>IF(B581="","",IF(D581="TL",1,IF(D581="USD",KURLAR!$C$9,IF(D581="EUR",KURLAR!$C$10,0))))</x:f>
      </x:c>
      <x:c r="I581" s="68" t="str">
        <x:f>IF(B581="","",G581*H581)</x:f>
      </x:c>
      <x:c r="J581" s="52" t="str">
        <x:f>IF(B581="","",IF(G581&lt;0,"NEGATİF BAKİYE","UYGUN"))</x:f>
      </x:c>
    </x:row>
    <x:row r="582">
      <x:c r="B582" s="46"/>
      <x:c r="C582" s="46"/>
      <x:c r="D582" s="46"/>
      <x:c r="E582" s="92"/>
      <x:c r="F582" s="92"/>
      <x:c r="G582" s="93" t="str">
        <x:f>IF(B582="","",E582-F582)</x:f>
      </x:c>
      <x:c r="H582" s="100" t="str">
        <x:f>IF(B582="","",IF(D582="TL",1,IF(D582="USD",KURLAR!$C$9,IF(D582="EUR",KURLAR!$C$10,0))))</x:f>
      </x:c>
      <x:c r="I582" s="68" t="str">
        <x:f>IF(B582="","",G582*H582)</x:f>
      </x:c>
      <x:c r="J582" s="52" t="str">
        <x:f>IF(B582="","",IF(G582&lt;0,"NEGATİF BAKİYE","UYGUN"))</x:f>
      </x:c>
    </x:row>
    <x:row r="583">
      <x:c r="B583" s="46"/>
      <x:c r="C583" s="46"/>
      <x:c r="D583" s="46"/>
      <x:c r="E583" s="92"/>
      <x:c r="F583" s="92"/>
      <x:c r="G583" s="93" t="str">
        <x:f>IF(B583="","",E583-F583)</x:f>
      </x:c>
      <x:c r="H583" s="100" t="str">
        <x:f>IF(B583="","",IF(D583="TL",1,IF(D583="USD",KURLAR!$C$9,IF(D583="EUR",KURLAR!$C$10,0))))</x:f>
      </x:c>
      <x:c r="I583" s="68" t="str">
        <x:f>IF(B583="","",G583*H583)</x:f>
      </x:c>
      <x:c r="J583" s="52" t="str">
        <x:f>IF(B583="","",IF(G583&lt;0,"NEGATİF BAKİYE","UYGUN"))</x:f>
      </x:c>
    </x:row>
    <x:row r="584">
      <x:c r="B584" s="46"/>
      <x:c r="C584" s="46"/>
      <x:c r="D584" s="46"/>
      <x:c r="E584" s="92"/>
      <x:c r="F584" s="92"/>
      <x:c r="G584" s="93" t="str">
        <x:f>IF(B584="","",E584-F584)</x:f>
      </x:c>
      <x:c r="H584" s="100" t="str">
        <x:f>IF(B584="","",IF(D584="TL",1,IF(D584="USD",KURLAR!$C$9,IF(D584="EUR",KURLAR!$C$10,0))))</x:f>
      </x:c>
      <x:c r="I584" s="68" t="str">
        <x:f>IF(B584="","",G584*H584)</x:f>
      </x:c>
      <x:c r="J584" s="52" t="str">
        <x:f>IF(B584="","",IF(G584&lt;0,"NEGATİF BAKİYE","UYGUN"))</x:f>
      </x:c>
    </x:row>
    <x:row r="585">
      <x:c r="B585" s="46"/>
      <x:c r="C585" s="46"/>
      <x:c r="D585" s="46"/>
      <x:c r="E585" s="92"/>
      <x:c r="F585" s="92"/>
      <x:c r="G585" s="93" t="str">
        <x:f>IF(B585="","",E585-F585)</x:f>
      </x:c>
      <x:c r="H585" s="100" t="str">
        <x:f>IF(B585="","",IF(D585="TL",1,IF(D585="USD",KURLAR!$C$9,IF(D585="EUR",KURLAR!$C$10,0))))</x:f>
      </x:c>
      <x:c r="I585" s="68" t="str">
        <x:f>IF(B585="","",G585*H585)</x:f>
      </x:c>
      <x:c r="J585" s="52" t="str">
        <x:f>IF(B585="","",IF(G585&lt;0,"NEGATİF BAKİYE","UYGUN"))</x:f>
      </x:c>
    </x:row>
    <x:row r="586">
      <x:c r="B586" s="46"/>
      <x:c r="C586" s="46"/>
      <x:c r="D586" s="46"/>
      <x:c r="E586" s="92"/>
      <x:c r="F586" s="92"/>
      <x:c r="G586" s="93" t="str">
        <x:f>IF(B586="","",E586-F586)</x:f>
      </x:c>
      <x:c r="H586" s="100" t="str">
        <x:f>IF(B586="","",IF(D586="TL",1,IF(D586="USD",KURLAR!$C$9,IF(D586="EUR",KURLAR!$C$10,0))))</x:f>
      </x:c>
      <x:c r="I586" s="68" t="str">
        <x:f>IF(B586="","",G586*H586)</x:f>
      </x:c>
      <x:c r="J586" s="52" t="str">
        <x:f>IF(B586="","",IF(G586&lt;0,"NEGATİF BAKİYE","UYGUN"))</x:f>
      </x:c>
    </x:row>
    <x:row r="587">
      <x:c r="B587" s="46"/>
      <x:c r="C587" s="46"/>
      <x:c r="D587" s="46"/>
      <x:c r="E587" s="92"/>
      <x:c r="F587" s="92"/>
      <x:c r="G587" s="93" t="str">
        <x:f>IF(B587="","",E587-F587)</x:f>
      </x:c>
      <x:c r="H587" s="100" t="str">
        <x:f>IF(B587="","",IF(D587="TL",1,IF(D587="USD",KURLAR!$C$9,IF(D587="EUR",KURLAR!$C$10,0))))</x:f>
      </x:c>
      <x:c r="I587" s="68" t="str">
        <x:f>IF(B587="","",G587*H587)</x:f>
      </x:c>
      <x:c r="J587" s="52" t="str">
        <x:f>IF(B587="","",IF(G587&lt;0,"NEGATİF BAKİYE","UYGUN"))</x:f>
      </x:c>
    </x:row>
    <x:row r="588">
      <x:c r="B588" s="46"/>
      <x:c r="C588" s="46"/>
      <x:c r="D588" s="46"/>
      <x:c r="E588" s="92"/>
      <x:c r="F588" s="92"/>
      <x:c r="G588" s="93" t="str">
        <x:f>IF(B588="","",E588-F588)</x:f>
      </x:c>
      <x:c r="H588" s="100" t="str">
        <x:f>IF(B588="","",IF(D588="TL",1,IF(D588="USD",KURLAR!$C$9,IF(D588="EUR",KURLAR!$C$10,0))))</x:f>
      </x:c>
      <x:c r="I588" s="68" t="str">
        <x:f>IF(B588="","",G588*H588)</x:f>
      </x:c>
      <x:c r="J588" s="52" t="str">
        <x:f>IF(B588="","",IF(G588&lt;0,"NEGATİF BAKİYE","UYGUN"))</x:f>
      </x:c>
    </x:row>
    <x:row r="589">
      <x:c r="B589" s="46"/>
      <x:c r="C589" s="46"/>
      <x:c r="D589" s="46"/>
      <x:c r="E589" s="92"/>
      <x:c r="F589" s="92"/>
      <x:c r="G589" s="93" t="str">
        <x:f>IF(B589="","",E589-F589)</x:f>
      </x:c>
      <x:c r="H589" s="100" t="str">
        <x:f>IF(B589="","",IF(D589="TL",1,IF(D589="USD",KURLAR!$C$9,IF(D589="EUR",KURLAR!$C$10,0))))</x:f>
      </x:c>
      <x:c r="I589" s="68" t="str">
        <x:f>IF(B589="","",G589*H589)</x:f>
      </x:c>
      <x:c r="J589" s="52" t="str">
        <x:f>IF(B589="","",IF(G589&lt;0,"NEGATİF BAKİYE","UYGUN"))</x:f>
      </x:c>
    </x:row>
    <x:row r="590">
      <x:c r="B590" s="46"/>
      <x:c r="C590" s="46"/>
      <x:c r="D590" s="46"/>
      <x:c r="E590" s="92"/>
      <x:c r="F590" s="92"/>
      <x:c r="G590" s="93" t="str">
        <x:f>IF(B590="","",E590-F590)</x:f>
      </x:c>
      <x:c r="H590" s="100" t="str">
        <x:f>IF(B590="","",IF(D590="TL",1,IF(D590="USD",KURLAR!$C$9,IF(D590="EUR",KURLAR!$C$10,0))))</x:f>
      </x:c>
      <x:c r="I590" s="68" t="str">
        <x:f>IF(B590="","",G590*H590)</x:f>
      </x:c>
      <x:c r="J590" s="52" t="str">
        <x:f>IF(B590="","",IF(G590&lt;0,"NEGATİF BAKİYE","UYGUN"))</x:f>
      </x:c>
    </x:row>
    <x:row r="591">
      <x:c r="B591" s="46"/>
      <x:c r="C591" s="46"/>
      <x:c r="D591" s="46"/>
      <x:c r="E591" s="92"/>
      <x:c r="F591" s="92"/>
      <x:c r="G591" s="93" t="str">
        <x:f>IF(B591="","",E591-F591)</x:f>
      </x:c>
      <x:c r="H591" s="100" t="str">
        <x:f>IF(B591="","",IF(D591="TL",1,IF(D591="USD",KURLAR!$C$9,IF(D591="EUR",KURLAR!$C$10,0))))</x:f>
      </x:c>
      <x:c r="I591" s="68" t="str">
        <x:f>IF(B591="","",G591*H591)</x:f>
      </x:c>
      <x:c r="J591" s="52" t="str">
        <x:f>IF(B591="","",IF(G591&lt;0,"NEGATİF BAKİYE","UYGUN"))</x:f>
      </x:c>
    </x:row>
    <x:row r="592">
      <x:c r="B592" s="46"/>
      <x:c r="C592" s="46"/>
      <x:c r="D592" s="46"/>
      <x:c r="E592" s="92"/>
      <x:c r="F592" s="92"/>
      <x:c r="G592" s="93" t="str">
        <x:f>IF(B592="","",E592-F592)</x:f>
      </x:c>
      <x:c r="H592" s="100" t="str">
        <x:f>IF(B592="","",IF(D592="TL",1,IF(D592="USD",KURLAR!$C$9,IF(D592="EUR",KURLAR!$C$10,0))))</x:f>
      </x:c>
      <x:c r="I592" s="68" t="str">
        <x:f>IF(B592="","",G592*H592)</x:f>
      </x:c>
      <x:c r="J592" s="52" t="str">
        <x:f>IF(B592="","",IF(G592&lt;0,"NEGATİF BAKİYE","UYGUN"))</x:f>
      </x:c>
    </x:row>
    <x:row r="593">
      <x:c r="B593" s="46"/>
      <x:c r="C593" s="46"/>
      <x:c r="D593" s="46"/>
      <x:c r="E593" s="92"/>
      <x:c r="F593" s="92"/>
      <x:c r="G593" s="93" t="str">
        <x:f>IF(B593="","",E593-F593)</x:f>
      </x:c>
      <x:c r="H593" s="100" t="str">
        <x:f>IF(B593="","",IF(D593="TL",1,IF(D593="USD",KURLAR!$C$9,IF(D593="EUR",KURLAR!$C$10,0))))</x:f>
      </x:c>
      <x:c r="I593" s="68" t="str">
        <x:f>IF(B593="","",G593*H593)</x:f>
      </x:c>
      <x:c r="J593" s="52" t="str">
        <x:f>IF(B593="","",IF(G593&lt;0,"NEGATİF BAKİYE","UYGUN"))</x:f>
      </x:c>
    </x:row>
    <x:row r="594">
      <x:c r="B594" s="46"/>
      <x:c r="C594" s="46"/>
      <x:c r="D594" s="46"/>
      <x:c r="E594" s="92"/>
      <x:c r="F594" s="92"/>
      <x:c r="G594" s="93" t="str">
        <x:f>IF(B594="","",E594-F594)</x:f>
      </x:c>
      <x:c r="H594" s="100" t="str">
        <x:f>IF(B594="","",IF(D594="TL",1,IF(D594="USD",KURLAR!$C$9,IF(D594="EUR",KURLAR!$C$10,0))))</x:f>
      </x:c>
      <x:c r="I594" s="68" t="str">
        <x:f>IF(B594="","",G594*H594)</x:f>
      </x:c>
      <x:c r="J594" s="52" t="str">
        <x:f>IF(B594="","",IF(G594&lt;0,"NEGATİF BAKİYE","UYGUN"))</x:f>
      </x:c>
    </x:row>
    <x:row r="595">
      <x:c r="B595" s="46"/>
      <x:c r="C595" s="46"/>
      <x:c r="D595" s="46"/>
      <x:c r="E595" s="92"/>
      <x:c r="F595" s="92"/>
      <x:c r="G595" s="93" t="str">
        <x:f>IF(B595="","",E595-F595)</x:f>
      </x:c>
      <x:c r="H595" s="100" t="str">
        <x:f>IF(B595="","",IF(D595="TL",1,IF(D595="USD",KURLAR!$C$9,IF(D595="EUR",KURLAR!$C$10,0))))</x:f>
      </x:c>
      <x:c r="I595" s="68" t="str">
        <x:f>IF(B595="","",G595*H595)</x:f>
      </x:c>
      <x:c r="J595" s="52" t="str">
        <x:f>IF(B595="","",IF(G595&lt;0,"NEGATİF BAKİYE","UYGUN"))</x:f>
      </x:c>
    </x:row>
    <x:row r="596">
      <x:c r="B596" s="46"/>
      <x:c r="C596" s="46"/>
      <x:c r="D596" s="46"/>
      <x:c r="E596" s="92"/>
      <x:c r="F596" s="92"/>
      <x:c r="G596" s="93" t="str">
        <x:f>IF(B596="","",E596-F596)</x:f>
      </x:c>
      <x:c r="H596" s="100" t="str">
        <x:f>IF(B596="","",IF(D596="TL",1,IF(D596="USD",KURLAR!$C$9,IF(D596="EUR",KURLAR!$C$10,0))))</x:f>
      </x:c>
      <x:c r="I596" s="68" t="str">
        <x:f>IF(B596="","",G596*H596)</x:f>
      </x:c>
      <x:c r="J596" s="52" t="str">
        <x:f>IF(B596="","",IF(G596&lt;0,"NEGATİF BAKİYE","UYGUN"))</x:f>
      </x:c>
    </x:row>
    <x:row r="597">
      <x:c r="B597" s="46"/>
      <x:c r="C597" s="46"/>
      <x:c r="D597" s="46"/>
      <x:c r="E597" s="92"/>
      <x:c r="F597" s="92"/>
      <x:c r="G597" s="93" t="str">
        <x:f>IF(B597="","",E597-F597)</x:f>
      </x:c>
      <x:c r="H597" s="100" t="str">
        <x:f>IF(B597="","",IF(D597="TL",1,IF(D597="USD",KURLAR!$C$9,IF(D597="EUR",KURLAR!$C$10,0))))</x:f>
      </x:c>
      <x:c r="I597" s="68" t="str">
        <x:f>IF(B597="","",G597*H597)</x:f>
      </x:c>
      <x:c r="J597" s="52" t="str">
        <x:f>IF(B597="","",IF(G597&lt;0,"NEGATİF BAKİYE","UYGUN"))</x:f>
      </x:c>
    </x:row>
    <x:row r="598">
      <x:c r="B598" s="46"/>
      <x:c r="C598" s="46"/>
      <x:c r="D598" s="46"/>
      <x:c r="E598" s="92"/>
      <x:c r="F598" s="92"/>
      <x:c r="G598" s="93" t="str">
        <x:f>IF(B598="","",E598-F598)</x:f>
      </x:c>
      <x:c r="H598" s="100" t="str">
        <x:f>IF(B598="","",IF(D598="TL",1,IF(D598="USD",KURLAR!$C$9,IF(D598="EUR",KURLAR!$C$10,0))))</x:f>
      </x:c>
      <x:c r="I598" s="68" t="str">
        <x:f>IF(B598="","",G598*H598)</x:f>
      </x:c>
      <x:c r="J598" s="52" t="str">
        <x:f>IF(B598="","",IF(G598&lt;0,"NEGATİF BAKİYE","UYGUN"))</x:f>
      </x:c>
    </x:row>
    <x:row r="599">
      <x:c r="B599" s="46"/>
      <x:c r="C599" s="46"/>
      <x:c r="D599" s="46"/>
      <x:c r="E599" s="92"/>
      <x:c r="F599" s="92"/>
      <x:c r="G599" s="93" t="str">
        <x:f>IF(B599="","",E599-F599)</x:f>
      </x:c>
      <x:c r="H599" s="100" t="str">
        <x:f>IF(B599="","",IF(D599="TL",1,IF(D599="USD",KURLAR!$C$9,IF(D599="EUR",KURLAR!$C$10,0))))</x:f>
      </x:c>
      <x:c r="I599" s="68" t="str">
        <x:f>IF(B599="","",G599*H599)</x:f>
      </x:c>
      <x:c r="J599" s="52" t="str">
        <x:f>IF(B599="","",IF(G599&lt;0,"NEGATİF BAKİYE","UYGUN"))</x:f>
      </x:c>
    </x:row>
    <x:row r="600">
      <x:c r="B600" s="46"/>
      <x:c r="C600" s="46"/>
      <x:c r="D600" s="46"/>
      <x:c r="E600" s="92"/>
      <x:c r="F600" s="92"/>
      <x:c r="G600" s="93" t="str">
        <x:f>IF(B600="","",E600-F600)</x:f>
      </x:c>
      <x:c r="H600" s="100" t="str">
        <x:f>IF(B600="","",IF(D600="TL",1,IF(D600="USD",KURLAR!$C$9,IF(D600="EUR",KURLAR!$C$10,0))))</x:f>
      </x:c>
      <x:c r="I600" s="68" t="str">
        <x:f>IF(B600="","",G600*H600)</x:f>
      </x:c>
      <x:c r="J600" s="52" t="str">
        <x:f>IF(B600="","",IF(G600&lt;0,"NEGATİF BAKİYE","UYGUN"))</x:f>
      </x:c>
    </x:row>
    <x:row r="601">
      <x:c r="B601" s="46"/>
      <x:c r="C601" s="46"/>
      <x:c r="D601" s="46"/>
      <x:c r="E601" s="92"/>
      <x:c r="F601" s="92"/>
      <x:c r="G601" s="93" t="str">
        <x:f>IF(B601="","",E601-F601)</x:f>
      </x:c>
      <x:c r="H601" s="100" t="str">
        <x:f>IF(B601="","",IF(D601="TL",1,IF(D601="USD",KURLAR!$C$9,IF(D601="EUR",KURLAR!$C$10,0))))</x:f>
      </x:c>
      <x:c r="I601" s="68" t="str">
        <x:f>IF(B601="","",G601*H601)</x:f>
      </x:c>
      <x:c r="J601" s="52" t="str">
        <x:f>IF(B601="","",IF(G601&lt;0,"NEGATİF BAKİYE","UYGUN"))</x:f>
      </x:c>
    </x:row>
    <x:row r="602">
      <x:c r="B602" s="46"/>
      <x:c r="C602" s="46"/>
      <x:c r="D602" s="46"/>
      <x:c r="E602" s="92"/>
      <x:c r="F602" s="92"/>
      <x:c r="G602" s="93" t="str">
        <x:f>IF(B602="","",E602-F602)</x:f>
      </x:c>
      <x:c r="H602" s="100" t="str">
        <x:f>IF(B602="","",IF(D602="TL",1,IF(D602="USD",KURLAR!$C$9,IF(D602="EUR",KURLAR!$C$10,0))))</x:f>
      </x:c>
      <x:c r="I602" s="68" t="str">
        <x:f>IF(B602="","",G602*H602)</x:f>
      </x:c>
      <x:c r="J602" s="52" t="str">
        <x:f>IF(B602="","",IF(G602&lt;0,"NEGATİF BAKİYE","UYGUN"))</x:f>
      </x:c>
    </x:row>
    <x:row r="603">
      <x:c r="B603" s="46"/>
      <x:c r="C603" s="46"/>
      <x:c r="D603" s="46"/>
      <x:c r="E603" s="92"/>
      <x:c r="F603" s="92"/>
      <x:c r="G603" s="93" t="str">
        <x:f>IF(B603="","",E603-F603)</x:f>
      </x:c>
      <x:c r="H603" s="100" t="str">
        <x:f>IF(B603="","",IF(D603="TL",1,IF(D603="USD",KURLAR!$C$9,IF(D603="EUR",KURLAR!$C$10,0))))</x:f>
      </x:c>
      <x:c r="I603" s="68" t="str">
        <x:f>IF(B603="","",G603*H603)</x:f>
      </x:c>
      <x:c r="J603" s="52" t="str">
        <x:f>IF(B603="","",IF(G603&lt;0,"NEGATİF BAKİYE","UYGUN"))</x:f>
      </x:c>
    </x:row>
    <x:row r="604">
      <x:c r="B604" s="46"/>
      <x:c r="C604" s="46"/>
      <x:c r="D604" s="46"/>
      <x:c r="E604" s="92"/>
      <x:c r="F604" s="92"/>
      <x:c r="G604" s="93" t="str">
        <x:f>IF(B604="","",E604-F604)</x:f>
      </x:c>
      <x:c r="H604" s="100" t="str">
        <x:f>IF(B604="","",IF(D604="TL",1,IF(D604="USD",KURLAR!$C$9,IF(D604="EUR",KURLAR!$C$10,0))))</x:f>
      </x:c>
      <x:c r="I604" s="68" t="str">
        <x:f>IF(B604="","",G604*H604)</x:f>
      </x:c>
      <x:c r="J604" s="52" t="str">
        <x:f>IF(B604="","",IF(G604&lt;0,"NEGATİF BAKİYE","UYGUN"))</x:f>
      </x:c>
    </x:row>
    <x:row r="605">
      <x:c r="B605" s="46"/>
      <x:c r="C605" s="46"/>
      <x:c r="D605" s="46"/>
      <x:c r="E605" s="92"/>
      <x:c r="F605" s="92"/>
      <x:c r="G605" s="93" t="str">
        <x:f>IF(B605="","",E605-F605)</x:f>
      </x:c>
      <x:c r="H605" s="100" t="str">
        <x:f>IF(B605="","",IF(D605="TL",1,IF(D605="USD",KURLAR!$C$9,IF(D605="EUR",KURLAR!$C$10,0))))</x:f>
      </x:c>
      <x:c r="I605" s="68" t="str">
        <x:f>IF(B605="","",G605*H605)</x:f>
      </x:c>
      <x:c r="J605" s="52" t="str">
        <x:f>IF(B605="","",IF(G605&lt;0,"NEGATİF BAKİYE","UYGUN"))</x:f>
      </x:c>
    </x:row>
    <x:row r="606">
      <x:c r="B606" s="46"/>
      <x:c r="C606" s="46"/>
      <x:c r="D606" s="46"/>
      <x:c r="E606" s="92"/>
      <x:c r="F606" s="92"/>
      <x:c r="G606" s="93" t="str">
        <x:f>IF(B606="","",E606-F606)</x:f>
      </x:c>
      <x:c r="H606" s="100" t="str">
        <x:f>IF(B606="","",IF(D606="TL",1,IF(D606="USD",KURLAR!$C$9,IF(D606="EUR",KURLAR!$C$10,0))))</x:f>
      </x:c>
      <x:c r="I606" s="68" t="str">
        <x:f>IF(B606="","",G606*H606)</x:f>
      </x:c>
      <x:c r="J606" s="52" t="str">
        <x:f>IF(B606="","",IF(G606&lt;0,"NEGATİF BAKİYE","UYGUN"))</x:f>
      </x:c>
    </x:row>
    <x:row r="607">
      <x:c r="B607" s="46"/>
      <x:c r="C607" s="46"/>
      <x:c r="D607" s="46"/>
      <x:c r="E607" s="92"/>
      <x:c r="F607" s="92"/>
      <x:c r="G607" s="93" t="str">
        <x:f>IF(B607="","",E607-F607)</x:f>
      </x:c>
      <x:c r="H607" s="100" t="str">
        <x:f>IF(B607="","",IF(D607="TL",1,IF(D607="USD",KURLAR!$C$9,IF(D607="EUR",KURLAR!$C$10,0))))</x:f>
      </x:c>
      <x:c r="I607" s="68" t="str">
        <x:f>IF(B607="","",G607*H607)</x:f>
      </x:c>
      <x:c r="J607" s="52" t="str">
        <x:f>IF(B607="","",IF(G607&lt;0,"NEGATİF BAKİYE","UYGUN"))</x:f>
      </x:c>
    </x:row>
    <x:row r="608">
      <x:c r="B608" s="46"/>
      <x:c r="C608" s="46"/>
      <x:c r="D608" s="46"/>
      <x:c r="E608" s="92"/>
      <x:c r="F608" s="92"/>
      <x:c r="G608" s="93" t="str">
        <x:f>IF(B608="","",E608-F608)</x:f>
      </x:c>
      <x:c r="H608" s="100" t="str">
        <x:f>IF(B608="","",IF(D608="TL",1,IF(D608="USD",KURLAR!$C$9,IF(D608="EUR",KURLAR!$C$10,0))))</x:f>
      </x:c>
      <x:c r="I608" s="68" t="str">
        <x:f>IF(B608="","",G608*H608)</x:f>
      </x:c>
      <x:c r="J608" s="52" t="str">
        <x:f>IF(B608="","",IF(G608&lt;0,"NEGATİF BAKİYE","UYGUN"))</x:f>
      </x:c>
    </x:row>
    <x:row r="609">
      <x:c r="B609" s="46"/>
      <x:c r="C609" s="46"/>
      <x:c r="D609" s="46"/>
      <x:c r="E609" s="92"/>
      <x:c r="F609" s="92"/>
      <x:c r="G609" s="93" t="str">
        <x:f>IF(B609="","",E609-F609)</x:f>
      </x:c>
      <x:c r="H609" s="100" t="str">
        <x:f>IF(B609="","",IF(D609="TL",1,IF(D609="USD",KURLAR!$C$9,IF(D609="EUR",KURLAR!$C$10,0))))</x:f>
      </x:c>
      <x:c r="I609" s="68" t="str">
        <x:f>IF(B609="","",G609*H609)</x:f>
      </x:c>
      <x:c r="J609" s="52" t="str">
        <x:f>IF(B609="","",IF(G609&lt;0,"NEGATİF BAKİYE","UYGUN"))</x:f>
      </x:c>
    </x:row>
    <x:row r="610">
      <x:c r="B610" s="46"/>
      <x:c r="C610" s="46"/>
      <x:c r="D610" s="46"/>
      <x:c r="E610" s="92"/>
      <x:c r="F610" s="92"/>
      <x:c r="G610" s="93" t="str">
        <x:f>IF(B610="","",E610-F610)</x:f>
      </x:c>
      <x:c r="H610" s="100" t="str">
        <x:f>IF(B610="","",IF(D610="TL",1,IF(D610="USD",KURLAR!$C$9,IF(D610="EUR",KURLAR!$C$10,0))))</x:f>
      </x:c>
      <x:c r="I610" s="68" t="str">
        <x:f>IF(B610="","",G610*H610)</x:f>
      </x:c>
      <x:c r="J610" s="52" t="str">
        <x:f>IF(B610="","",IF(G610&lt;0,"NEGATİF BAKİYE","UYGUN"))</x:f>
      </x:c>
    </x:row>
    <x:row r="611">
      <x:c r="B611" s="46"/>
      <x:c r="C611" s="46"/>
      <x:c r="D611" s="46"/>
      <x:c r="E611" s="92"/>
      <x:c r="F611" s="92"/>
      <x:c r="G611" s="93" t="str">
        <x:f>IF(B611="","",E611-F611)</x:f>
      </x:c>
      <x:c r="H611" s="100" t="str">
        <x:f>IF(B611="","",IF(D611="TL",1,IF(D611="USD",KURLAR!$C$9,IF(D611="EUR",KURLAR!$C$10,0))))</x:f>
      </x:c>
      <x:c r="I611" s="68" t="str">
        <x:f>IF(B611="","",G611*H611)</x:f>
      </x:c>
      <x:c r="J611" s="52" t="str">
        <x:f>IF(B611="","",IF(G611&lt;0,"NEGATİF BAKİYE","UYGUN"))</x:f>
      </x:c>
    </x:row>
    <x:row r="612">
      <x:c r="B612" s="46"/>
      <x:c r="C612" s="46"/>
      <x:c r="D612" s="46"/>
      <x:c r="E612" s="92"/>
      <x:c r="F612" s="92"/>
      <x:c r="G612" s="93" t="str">
        <x:f>IF(B612="","",E612-F612)</x:f>
      </x:c>
      <x:c r="H612" s="100" t="str">
        <x:f>IF(B612="","",IF(D612="TL",1,IF(D612="USD",KURLAR!$C$9,IF(D612="EUR",KURLAR!$C$10,0))))</x:f>
      </x:c>
      <x:c r="I612" s="68" t="str">
        <x:f>IF(B612="","",G612*H612)</x:f>
      </x:c>
      <x:c r="J612" s="52" t="str">
        <x:f>IF(B612="","",IF(G612&lt;0,"NEGATİF BAKİYE","UYGUN"))</x:f>
      </x:c>
    </x:row>
    <x:row r="613">
      <x:c r="B613" s="46"/>
      <x:c r="C613" s="46"/>
      <x:c r="D613" s="46"/>
      <x:c r="E613" s="92"/>
      <x:c r="F613" s="92"/>
      <x:c r="G613" s="93" t="str">
        <x:f>IF(B613="","",E613-F613)</x:f>
      </x:c>
      <x:c r="H613" s="100" t="str">
        <x:f>IF(B613="","",IF(D613="TL",1,IF(D613="USD",KURLAR!$C$9,IF(D613="EUR",KURLAR!$C$10,0))))</x:f>
      </x:c>
      <x:c r="I613" s="68" t="str">
        <x:f>IF(B613="","",G613*H613)</x:f>
      </x:c>
      <x:c r="J613" s="52" t="str">
        <x:f>IF(B613="","",IF(G613&lt;0,"NEGATİF BAKİYE","UYGUN"))</x:f>
      </x:c>
    </x:row>
    <x:row r="614">
      <x:c r="B614" s="46"/>
      <x:c r="C614" s="46"/>
      <x:c r="D614" s="46"/>
      <x:c r="E614" s="92"/>
      <x:c r="F614" s="92"/>
      <x:c r="G614" s="93" t="str">
        <x:f>IF(B614="","",E614-F614)</x:f>
      </x:c>
      <x:c r="H614" s="100" t="str">
        <x:f>IF(B614="","",IF(D614="TL",1,IF(D614="USD",KURLAR!$C$9,IF(D614="EUR",KURLAR!$C$10,0))))</x:f>
      </x:c>
      <x:c r="I614" s="68" t="str">
        <x:f>IF(B614="","",G614*H614)</x:f>
      </x:c>
      <x:c r="J614" s="52" t="str">
        <x:f>IF(B614="","",IF(G614&lt;0,"NEGATİF BAKİYE","UYGUN"))</x:f>
      </x:c>
    </x:row>
    <x:row r="615">
      <x:c r="B615" s="46"/>
      <x:c r="C615" s="46"/>
      <x:c r="D615" s="46"/>
      <x:c r="E615" s="92"/>
      <x:c r="F615" s="92"/>
      <x:c r="G615" s="93" t="str">
        <x:f>IF(B615="","",E615-F615)</x:f>
      </x:c>
      <x:c r="H615" s="100" t="str">
        <x:f>IF(B615="","",IF(D615="TL",1,IF(D615="USD",KURLAR!$C$9,IF(D615="EUR",KURLAR!$C$10,0))))</x:f>
      </x:c>
      <x:c r="I615" s="68" t="str">
        <x:f>IF(B615="","",G615*H615)</x:f>
      </x:c>
      <x:c r="J615" s="52" t="str">
        <x:f>IF(B615="","",IF(G615&lt;0,"NEGATİF BAKİYE","UYGUN"))</x:f>
      </x:c>
    </x:row>
    <x:row r="616">
      <x:c r="B616" s="46"/>
      <x:c r="C616" s="46"/>
      <x:c r="D616" s="46"/>
      <x:c r="E616" s="92"/>
      <x:c r="F616" s="92"/>
      <x:c r="G616" s="93" t="str">
        <x:f>IF(B616="","",E616-F616)</x:f>
      </x:c>
      <x:c r="H616" s="100" t="str">
        <x:f>IF(B616="","",IF(D616="TL",1,IF(D616="USD",KURLAR!$C$9,IF(D616="EUR",KURLAR!$C$10,0))))</x:f>
      </x:c>
      <x:c r="I616" s="68" t="str">
        <x:f>IF(B616="","",G616*H616)</x:f>
      </x:c>
      <x:c r="J616" s="52" t="str">
        <x:f>IF(B616="","",IF(G616&lt;0,"NEGATİF BAKİYE","UYGUN"))</x:f>
      </x:c>
    </x:row>
    <x:row r="617">
      <x:c r="B617" s="46"/>
      <x:c r="C617" s="46"/>
      <x:c r="D617" s="46"/>
      <x:c r="E617" s="92"/>
      <x:c r="F617" s="92"/>
      <x:c r="G617" s="93" t="str">
        <x:f>IF(B617="","",E617-F617)</x:f>
      </x:c>
      <x:c r="H617" s="100" t="str">
        <x:f>IF(B617="","",IF(D617="TL",1,IF(D617="USD",KURLAR!$C$9,IF(D617="EUR",KURLAR!$C$10,0))))</x:f>
      </x:c>
      <x:c r="I617" s="68" t="str">
        <x:f>IF(B617="","",G617*H617)</x:f>
      </x:c>
      <x:c r="J617" s="52" t="str">
        <x:f>IF(B617="","",IF(G617&lt;0,"NEGATİF BAKİYE","UYGUN"))</x:f>
      </x:c>
    </x:row>
    <x:row r="618">
      <x:c r="B618" s="46"/>
      <x:c r="C618" s="46"/>
      <x:c r="D618" s="46"/>
      <x:c r="E618" s="92"/>
      <x:c r="F618" s="92"/>
      <x:c r="G618" s="93" t="str">
        <x:f>IF(B618="","",E618-F618)</x:f>
      </x:c>
      <x:c r="H618" s="100" t="str">
        <x:f>IF(B618="","",IF(D618="TL",1,IF(D618="USD",KURLAR!$C$9,IF(D618="EUR",KURLAR!$C$10,0))))</x:f>
      </x:c>
      <x:c r="I618" s="68" t="str">
        <x:f>IF(B618="","",G618*H618)</x:f>
      </x:c>
      <x:c r="J618" s="52" t="str">
        <x:f>IF(B618="","",IF(G618&lt;0,"NEGATİF BAKİYE","UYGUN"))</x:f>
      </x:c>
    </x:row>
    <x:row r="619">
      <x:c r="B619" s="46"/>
      <x:c r="C619" s="46"/>
      <x:c r="D619" s="46"/>
      <x:c r="E619" s="92"/>
      <x:c r="F619" s="92"/>
      <x:c r="G619" s="93" t="str">
        <x:f>IF(B619="","",E619-F619)</x:f>
      </x:c>
      <x:c r="H619" s="100" t="str">
        <x:f>IF(B619="","",IF(D619="TL",1,IF(D619="USD",KURLAR!$C$9,IF(D619="EUR",KURLAR!$C$10,0))))</x:f>
      </x:c>
      <x:c r="I619" s="68" t="str">
        <x:f>IF(B619="","",G619*H619)</x:f>
      </x:c>
      <x:c r="J619" s="52" t="str">
        <x:f>IF(B619="","",IF(G619&lt;0,"NEGATİF BAKİYE","UYGUN"))</x:f>
      </x:c>
    </x:row>
    <x:row r="620">
      <x:c r="B620" s="46"/>
      <x:c r="C620" s="46"/>
      <x:c r="D620" s="46"/>
      <x:c r="E620" s="92"/>
      <x:c r="F620" s="92"/>
      <x:c r="G620" s="93" t="str">
        <x:f>IF(B620="","",E620-F620)</x:f>
      </x:c>
      <x:c r="H620" s="100" t="str">
        <x:f>IF(B620="","",IF(D620="TL",1,IF(D620="USD",KURLAR!$C$9,IF(D620="EUR",KURLAR!$C$10,0))))</x:f>
      </x:c>
      <x:c r="I620" s="68" t="str">
        <x:f>IF(B620="","",G620*H620)</x:f>
      </x:c>
      <x:c r="J620" s="52" t="str">
        <x:f>IF(B620="","",IF(G620&lt;0,"NEGATİF BAKİYE","UYGUN"))</x:f>
      </x:c>
    </x:row>
    <x:row r="621">
      <x:c r="B621" s="46"/>
      <x:c r="C621" s="46"/>
      <x:c r="D621" s="46"/>
      <x:c r="E621" s="92"/>
      <x:c r="F621" s="92"/>
      <x:c r="G621" s="93" t="str">
        <x:f>IF(B621="","",E621-F621)</x:f>
      </x:c>
      <x:c r="H621" s="100" t="str">
        <x:f>IF(B621="","",IF(D621="TL",1,IF(D621="USD",KURLAR!$C$9,IF(D621="EUR",KURLAR!$C$10,0))))</x:f>
      </x:c>
      <x:c r="I621" s="68" t="str">
        <x:f>IF(B621="","",G621*H621)</x:f>
      </x:c>
      <x:c r="J621" s="52" t="str">
        <x:f>IF(B621="","",IF(G621&lt;0,"NEGATİF BAKİYE","UYGUN"))</x:f>
      </x:c>
    </x:row>
    <x:row r="622">
      <x:c r="B622" s="46"/>
      <x:c r="C622" s="46"/>
      <x:c r="D622" s="46"/>
      <x:c r="E622" s="92"/>
      <x:c r="F622" s="92"/>
      <x:c r="G622" s="93" t="str">
        <x:f>IF(B622="","",E622-F622)</x:f>
      </x:c>
      <x:c r="H622" s="100" t="str">
        <x:f>IF(B622="","",IF(D622="TL",1,IF(D622="USD",KURLAR!$C$9,IF(D622="EUR",KURLAR!$C$10,0))))</x:f>
      </x:c>
      <x:c r="I622" s="68" t="str">
        <x:f>IF(B622="","",G622*H622)</x:f>
      </x:c>
      <x:c r="J622" s="52" t="str">
        <x:f>IF(B622="","",IF(G622&lt;0,"NEGATİF BAKİYE","UYGUN"))</x:f>
      </x:c>
    </x:row>
    <x:row r="623">
      <x:c r="B623" s="46"/>
      <x:c r="C623" s="46"/>
      <x:c r="D623" s="46"/>
      <x:c r="E623" s="92"/>
      <x:c r="F623" s="92"/>
      <x:c r="G623" s="93" t="str">
        <x:f>IF(B623="","",E623-F623)</x:f>
      </x:c>
      <x:c r="H623" s="100" t="str">
        <x:f>IF(B623="","",IF(D623="TL",1,IF(D623="USD",KURLAR!$C$9,IF(D623="EUR",KURLAR!$C$10,0))))</x:f>
      </x:c>
      <x:c r="I623" s="68" t="str">
        <x:f>IF(B623="","",G623*H623)</x:f>
      </x:c>
      <x:c r="J623" s="52" t="str">
        <x:f>IF(B623="","",IF(G623&lt;0,"NEGATİF BAKİYE","UYGUN"))</x:f>
      </x:c>
    </x:row>
    <x:row r="624">
      <x:c r="B624" s="46"/>
      <x:c r="C624" s="46"/>
      <x:c r="D624" s="46"/>
      <x:c r="E624" s="92"/>
      <x:c r="F624" s="92"/>
      <x:c r="G624" s="93" t="str">
        <x:f>IF(B624="","",E624-F624)</x:f>
      </x:c>
      <x:c r="H624" s="100" t="str">
        <x:f>IF(B624="","",IF(D624="TL",1,IF(D624="USD",KURLAR!$C$9,IF(D624="EUR",KURLAR!$C$10,0))))</x:f>
      </x:c>
      <x:c r="I624" s="68" t="str">
        <x:f>IF(B624="","",G624*H624)</x:f>
      </x:c>
      <x:c r="J624" s="52" t="str">
        <x:f>IF(B624="","",IF(G624&lt;0,"NEGATİF BAKİYE","UYGUN"))</x:f>
      </x:c>
    </x:row>
    <x:row r="625">
      <x:c r="B625" s="46"/>
      <x:c r="C625" s="46"/>
      <x:c r="D625" s="46"/>
      <x:c r="E625" s="92"/>
      <x:c r="F625" s="92"/>
      <x:c r="G625" s="93" t="str">
        <x:f>IF(B625="","",E625-F625)</x:f>
      </x:c>
      <x:c r="H625" s="100" t="str">
        <x:f>IF(B625="","",IF(D625="TL",1,IF(D625="USD",KURLAR!$C$9,IF(D625="EUR",KURLAR!$C$10,0))))</x:f>
      </x:c>
      <x:c r="I625" s="68" t="str">
        <x:f>IF(B625="","",G625*H625)</x:f>
      </x:c>
      <x:c r="J625" s="52" t="str">
        <x:f>IF(B625="","",IF(G625&lt;0,"NEGATİF BAKİYE","UYGUN"))</x:f>
      </x:c>
    </x:row>
    <x:row r="626">
      <x:c r="B626" s="46"/>
      <x:c r="C626" s="46"/>
      <x:c r="D626" s="46"/>
      <x:c r="E626" s="92"/>
      <x:c r="F626" s="92"/>
      <x:c r="G626" s="93" t="str">
        <x:f>IF(B626="","",E626-F626)</x:f>
      </x:c>
      <x:c r="H626" s="100" t="str">
        <x:f>IF(B626="","",IF(D626="TL",1,IF(D626="USD",KURLAR!$C$9,IF(D626="EUR",KURLAR!$C$10,0))))</x:f>
      </x:c>
      <x:c r="I626" s="68" t="str">
        <x:f>IF(B626="","",G626*H626)</x:f>
      </x:c>
      <x:c r="J626" s="52" t="str">
        <x:f>IF(B626="","",IF(G626&lt;0,"NEGATİF BAKİYE","UYGUN"))</x:f>
      </x:c>
    </x:row>
    <x:row r="627">
      <x:c r="B627" s="46"/>
      <x:c r="C627" s="46"/>
      <x:c r="D627" s="46"/>
      <x:c r="E627" s="92"/>
      <x:c r="F627" s="92"/>
      <x:c r="G627" s="93" t="str">
        <x:f>IF(B627="","",E627-F627)</x:f>
      </x:c>
      <x:c r="H627" s="100" t="str">
        <x:f>IF(B627="","",IF(D627="TL",1,IF(D627="USD",KURLAR!$C$9,IF(D627="EUR",KURLAR!$C$10,0))))</x:f>
      </x:c>
      <x:c r="I627" s="68" t="str">
        <x:f>IF(B627="","",G627*H627)</x:f>
      </x:c>
      <x:c r="J627" s="52" t="str">
        <x:f>IF(B627="","",IF(G627&lt;0,"NEGATİF BAKİYE","UYGUN"))</x:f>
      </x:c>
    </x:row>
    <x:row r="628">
      <x:c r="B628" s="46"/>
      <x:c r="C628" s="46"/>
      <x:c r="D628" s="46"/>
      <x:c r="E628" s="92"/>
      <x:c r="F628" s="92"/>
      <x:c r="G628" s="93" t="str">
        <x:f>IF(B628="","",E628-F628)</x:f>
      </x:c>
      <x:c r="H628" s="100" t="str">
        <x:f>IF(B628="","",IF(D628="TL",1,IF(D628="USD",KURLAR!$C$9,IF(D628="EUR",KURLAR!$C$10,0))))</x:f>
      </x:c>
      <x:c r="I628" s="68" t="str">
        <x:f>IF(B628="","",G628*H628)</x:f>
      </x:c>
      <x:c r="J628" s="52" t="str">
        <x:f>IF(B628="","",IF(G628&lt;0,"NEGATİF BAKİYE","UYGUN"))</x:f>
      </x:c>
    </x:row>
    <x:row r="629">
      <x:c r="B629" s="46"/>
      <x:c r="C629" s="46"/>
      <x:c r="D629" s="46"/>
      <x:c r="E629" s="92"/>
      <x:c r="F629" s="92"/>
      <x:c r="G629" s="93" t="str">
        <x:f>IF(B629="","",E629-F629)</x:f>
      </x:c>
      <x:c r="H629" s="100" t="str">
        <x:f>IF(B629="","",IF(D629="TL",1,IF(D629="USD",KURLAR!$C$9,IF(D629="EUR",KURLAR!$C$10,0))))</x:f>
      </x:c>
      <x:c r="I629" s="68" t="str">
        <x:f>IF(B629="","",G629*H629)</x:f>
      </x:c>
      <x:c r="J629" s="52" t="str">
        <x:f>IF(B629="","",IF(G629&lt;0,"NEGATİF BAKİYE","UYGUN"))</x:f>
      </x:c>
    </x:row>
    <x:row r="630">
      <x:c r="B630" s="46"/>
      <x:c r="C630" s="46"/>
      <x:c r="D630" s="46"/>
      <x:c r="E630" s="92"/>
      <x:c r="F630" s="92"/>
      <x:c r="G630" s="93" t="str">
        <x:f>IF(B630="","",E630-F630)</x:f>
      </x:c>
      <x:c r="H630" s="100" t="str">
        <x:f>IF(B630="","",IF(D630="TL",1,IF(D630="USD",KURLAR!$C$9,IF(D630="EUR",KURLAR!$C$10,0))))</x:f>
      </x:c>
      <x:c r="I630" s="68" t="str">
        <x:f>IF(B630="","",G630*H630)</x:f>
      </x:c>
      <x:c r="J630" s="52" t="str">
        <x:f>IF(B630="","",IF(G630&lt;0,"NEGATİF BAKİYE","UYGUN"))</x:f>
      </x:c>
    </x:row>
    <x:row r="631">
      <x:c r="B631" s="46"/>
      <x:c r="C631" s="46"/>
      <x:c r="D631" s="46"/>
      <x:c r="E631" s="92"/>
      <x:c r="F631" s="92"/>
      <x:c r="G631" s="93" t="str">
        <x:f>IF(B631="","",E631-F631)</x:f>
      </x:c>
      <x:c r="H631" s="100" t="str">
        <x:f>IF(B631="","",IF(D631="TL",1,IF(D631="USD",KURLAR!$C$9,IF(D631="EUR",KURLAR!$C$10,0))))</x:f>
      </x:c>
      <x:c r="I631" s="68" t="str">
        <x:f>IF(B631="","",G631*H631)</x:f>
      </x:c>
      <x:c r="J631" s="52" t="str">
        <x:f>IF(B631="","",IF(G631&lt;0,"NEGATİF BAKİYE","UYGUN"))</x:f>
      </x:c>
    </x:row>
    <x:row r="632">
      <x:c r="B632" s="46"/>
      <x:c r="C632" s="46"/>
      <x:c r="D632" s="46"/>
      <x:c r="E632" s="92"/>
      <x:c r="F632" s="92"/>
      <x:c r="G632" s="93" t="str">
        <x:f>IF(B632="","",E632-F632)</x:f>
      </x:c>
      <x:c r="H632" s="100" t="str">
        <x:f>IF(B632="","",IF(D632="TL",1,IF(D632="USD",KURLAR!$C$9,IF(D632="EUR",KURLAR!$C$10,0))))</x:f>
      </x:c>
      <x:c r="I632" s="68" t="str">
        <x:f>IF(B632="","",G632*H632)</x:f>
      </x:c>
      <x:c r="J632" s="52" t="str">
        <x:f>IF(B632="","",IF(G632&lt;0,"NEGATİF BAKİYE","UYGUN"))</x:f>
      </x:c>
    </x:row>
    <x:row r="633">
      <x:c r="B633" s="46"/>
      <x:c r="C633" s="46"/>
      <x:c r="D633" s="46"/>
      <x:c r="E633" s="92"/>
      <x:c r="F633" s="92"/>
      <x:c r="G633" s="93" t="str">
        <x:f>IF(B633="","",E633-F633)</x:f>
      </x:c>
      <x:c r="H633" s="100" t="str">
        <x:f>IF(B633="","",IF(D633="TL",1,IF(D633="USD",KURLAR!$C$9,IF(D633="EUR",KURLAR!$C$10,0))))</x:f>
      </x:c>
      <x:c r="I633" s="68" t="str">
        <x:f>IF(B633="","",G633*H633)</x:f>
      </x:c>
      <x:c r="J633" s="52" t="str">
        <x:f>IF(B633="","",IF(G633&lt;0,"NEGATİF BAKİYE","UYGUN"))</x:f>
      </x:c>
    </x:row>
    <x:row r="634">
      <x:c r="B634" s="46"/>
      <x:c r="C634" s="46"/>
      <x:c r="D634" s="46"/>
      <x:c r="E634" s="92"/>
      <x:c r="F634" s="92"/>
      <x:c r="G634" s="93" t="str">
        <x:f>IF(B634="","",E634-F634)</x:f>
      </x:c>
      <x:c r="H634" s="100" t="str">
        <x:f>IF(B634="","",IF(D634="TL",1,IF(D634="USD",KURLAR!$C$9,IF(D634="EUR",KURLAR!$C$10,0))))</x:f>
      </x:c>
      <x:c r="I634" s="68" t="str">
        <x:f>IF(B634="","",G634*H634)</x:f>
      </x:c>
      <x:c r="J634" s="52" t="str">
        <x:f>IF(B634="","",IF(G634&lt;0,"NEGATİF BAKİYE","UYGUN"))</x:f>
      </x:c>
    </x:row>
    <x:row r="635">
      <x:c r="B635" s="46"/>
      <x:c r="C635" s="46"/>
      <x:c r="D635" s="46"/>
      <x:c r="E635" s="92"/>
      <x:c r="F635" s="92"/>
      <x:c r="G635" s="93" t="str">
        <x:f>IF(B635="","",E635-F635)</x:f>
      </x:c>
      <x:c r="H635" s="100" t="str">
        <x:f>IF(B635="","",IF(D635="TL",1,IF(D635="USD",KURLAR!$C$9,IF(D635="EUR",KURLAR!$C$10,0))))</x:f>
      </x:c>
      <x:c r="I635" s="68" t="str">
        <x:f>IF(B635="","",G635*H635)</x:f>
      </x:c>
      <x:c r="J635" s="52" t="str">
        <x:f>IF(B635="","",IF(G635&lt;0,"NEGATİF BAKİYE","UYGUN"))</x:f>
      </x:c>
    </x:row>
    <x:row r="636">
      <x:c r="B636" s="46"/>
      <x:c r="C636" s="46"/>
      <x:c r="D636" s="46"/>
      <x:c r="E636" s="92"/>
      <x:c r="F636" s="92"/>
      <x:c r="G636" s="93" t="str">
        <x:f>IF(B636="","",E636-F636)</x:f>
      </x:c>
      <x:c r="H636" s="100" t="str">
        <x:f>IF(B636="","",IF(D636="TL",1,IF(D636="USD",KURLAR!$C$9,IF(D636="EUR",KURLAR!$C$10,0))))</x:f>
      </x:c>
      <x:c r="I636" s="68" t="str">
        <x:f>IF(B636="","",G636*H636)</x:f>
      </x:c>
      <x:c r="J636" s="52" t="str">
        <x:f>IF(B636="","",IF(G636&lt;0,"NEGATİF BAKİYE","UYGUN"))</x:f>
      </x:c>
    </x:row>
    <x:row r="637">
      <x:c r="B637" s="46"/>
      <x:c r="C637" s="46"/>
      <x:c r="D637" s="46"/>
      <x:c r="E637" s="92"/>
      <x:c r="F637" s="92"/>
      <x:c r="G637" s="93" t="str">
        <x:f>IF(B637="","",E637-F637)</x:f>
      </x:c>
      <x:c r="H637" s="100" t="str">
        <x:f>IF(B637="","",IF(D637="TL",1,IF(D637="USD",KURLAR!$C$9,IF(D637="EUR",KURLAR!$C$10,0))))</x:f>
      </x:c>
      <x:c r="I637" s="68" t="str">
        <x:f>IF(B637="","",G637*H637)</x:f>
      </x:c>
      <x:c r="J637" s="52" t="str">
        <x:f>IF(B637="","",IF(G637&lt;0,"NEGATİF BAKİYE","UYGUN"))</x:f>
      </x:c>
    </x:row>
    <x:row r="638">
      <x:c r="B638" s="46"/>
      <x:c r="C638" s="46"/>
      <x:c r="D638" s="46"/>
      <x:c r="E638" s="92"/>
      <x:c r="F638" s="92"/>
      <x:c r="G638" s="93" t="str">
        <x:f>IF(B638="","",E638-F638)</x:f>
      </x:c>
      <x:c r="H638" s="100" t="str">
        <x:f>IF(B638="","",IF(D638="TL",1,IF(D638="USD",KURLAR!$C$9,IF(D638="EUR",KURLAR!$C$10,0))))</x:f>
      </x:c>
      <x:c r="I638" s="68" t="str">
        <x:f>IF(B638="","",G638*H638)</x:f>
      </x:c>
      <x:c r="J638" s="52" t="str">
        <x:f>IF(B638="","",IF(G638&lt;0,"NEGATİF BAKİYE","UYGUN"))</x:f>
      </x:c>
    </x:row>
    <x:row r="639">
      <x:c r="B639" s="46"/>
      <x:c r="C639" s="46"/>
      <x:c r="D639" s="46"/>
      <x:c r="E639" s="92"/>
      <x:c r="F639" s="92"/>
      <x:c r="G639" s="93" t="str">
        <x:f>IF(B639="","",E639-F639)</x:f>
      </x:c>
      <x:c r="H639" s="100" t="str">
        <x:f>IF(B639="","",IF(D639="TL",1,IF(D639="USD",KURLAR!$C$9,IF(D639="EUR",KURLAR!$C$10,0))))</x:f>
      </x:c>
      <x:c r="I639" s="68" t="str">
        <x:f>IF(B639="","",G639*H639)</x:f>
      </x:c>
      <x:c r="J639" s="52" t="str">
        <x:f>IF(B639="","",IF(G639&lt;0,"NEGATİF BAKİYE","UYGUN"))</x:f>
      </x:c>
    </x:row>
    <x:row r="640">
      <x:c r="B640" s="46"/>
      <x:c r="C640" s="46"/>
      <x:c r="D640" s="46"/>
      <x:c r="E640" s="92"/>
      <x:c r="F640" s="92"/>
      <x:c r="G640" s="93" t="str">
        <x:f>IF(B640="","",E640-F640)</x:f>
      </x:c>
      <x:c r="H640" s="100" t="str">
        <x:f>IF(B640="","",IF(D640="TL",1,IF(D640="USD",KURLAR!$C$9,IF(D640="EUR",KURLAR!$C$10,0))))</x:f>
      </x:c>
      <x:c r="I640" s="68" t="str">
        <x:f>IF(B640="","",G640*H640)</x:f>
      </x:c>
      <x:c r="J640" s="52" t="str">
        <x:f>IF(B640="","",IF(G640&lt;0,"NEGATİF BAKİYE","UYGUN"))</x:f>
      </x:c>
    </x:row>
    <x:row r="641">
      <x:c r="B641" s="46"/>
      <x:c r="C641" s="46"/>
      <x:c r="D641" s="46"/>
      <x:c r="E641" s="92"/>
      <x:c r="F641" s="92"/>
      <x:c r="G641" s="93" t="str">
        <x:f>IF(B641="","",E641-F641)</x:f>
      </x:c>
      <x:c r="H641" s="100" t="str">
        <x:f>IF(B641="","",IF(D641="TL",1,IF(D641="USD",KURLAR!$C$9,IF(D641="EUR",KURLAR!$C$10,0))))</x:f>
      </x:c>
      <x:c r="I641" s="68" t="str">
        <x:f>IF(B641="","",G641*H641)</x:f>
      </x:c>
      <x:c r="J641" s="52" t="str">
        <x:f>IF(B641="","",IF(G641&lt;0,"NEGATİF BAKİYE","UYGUN"))</x:f>
      </x:c>
    </x:row>
    <x:row r="642">
      <x:c r="B642" s="46"/>
      <x:c r="C642" s="46"/>
      <x:c r="D642" s="46"/>
      <x:c r="E642" s="92"/>
      <x:c r="F642" s="92"/>
      <x:c r="G642" s="93" t="str">
        <x:f>IF(B642="","",E642-F642)</x:f>
      </x:c>
      <x:c r="H642" s="100" t="str">
        <x:f>IF(B642="","",IF(D642="TL",1,IF(D642="USD",KURLAR!$C$9,IF(D642="EUR",KURLAR!$C$10,0))))</x:f>
      </x:c>
      <x:c r="I642" s="68" t="str">
        <x:f>IF(B642="","",G642*H642)</x:f>
      </x:c>
      <x:c r="J642" s="52" t="str">
        <x:f>IF(B642="","",IF(G642&lt;0,"NEGATİF BAKİYE","UYGUN"))</x:f>
      </x:c>
    </x:row>
    <x:row r="643">
      <x:c r="B643" s="46"/>
      <x:c r="C643" s="46"/>
      <x:c r="D643" s="46"/>
      <x:c r="E643" s="92"/>
      <x:c r="F643" s="92"/>
      <x:c r="G643" s="93" t="str">
        <x:f>IF(B643="","",E643-F643)</x:f>
      </x:c>
      <x:c r="H643" s="100" t="str">
        <x:f>IF(B643="","",IF(D643="TL",1,IF(D643="USD",KURLAR!$C$9,IF(D643="EUR",KURLAR!$C$10,0))))</x:f>
      </x:c>
      <x:c r="I643" s="68" t="str">
        <x:f>IF(B643="","",G643*H643)</x:f>
      </x:c>
      <x:c r="J643" s="52" t="str">
        <x:f>IF(B643="","",IF(G643&lt;0,"NEGATİF BAKİYE","UYGUN"))</x:f>
      </x:c>
    </x:row>
    <x:row r="644">
      <x:c r="B644" s="46"/>
      <x:c r="C644" s="46"/>
      <x:c r="D644" s="46"/>
      <x:c r="E644" s="92"/>
      <x:c r="F644" s="92"/>
      <x:c r="G644" s="93" t="str">
        <x:f>IF(B644="","",E644-F644)</x:f>
      </x:c>
      <x:c r="H644" s="100" t="str">
        <x:f>IF(B644="","",IF(D644="TL",1,IF(D644="USD",KURLAR!$C$9,IF(D644="EUR",KURLAR!$C$10,0))))</x:f>
      </x:c>
      <x:c r="I644" s="68" t="str">
        <x:f>IF(B644="","",G644*H644)</x:f>
      </x:c>
      <x:c r="J644" s="52" t="str">
        <x:f>IF(B644="","",IF(G644&lt;0,"NEGATİF BAKİYE","UYGUN"))</x:f>
      </x:c>
    </x:row>
    <x:row r="645">
      <x:c r="B645" s="46"/>
      <x:c r="C645" s="46"/>
      <x:c r="D645" s="46"/>
      <x:c r="E645" s="92"/>
      <x:c r="F645" s="92"/>
      <x:c r="G645" s="93" t="str">
        <x:f>IF(B645="","",E645-F645)</x:f>
      </x:c>
      <x:c r="H645" s="100" t="str">
        <x:f>IF(B645="","",IF(D645="TL",1,IF(D645="USD",KURLAR!$C$9,IF(D645="EUR",KURLAR!$C$10,0))))</x:f>
      </x:c>
      <x:c r="I645" s="68" t="str">
        <x:f>IF(B645="","",G645*H645)</x:f>
      </x:c>
      <x:c r="J645" s="52" t="str">
        <x:f>IF(B645="","",IF(G645&lt;0,"NEGATİF BAKİYE","UYGUN"))</x:f>
      </x:c>
    </x:row>
    <x:row r="646">
      <x:c r="B646" s="46"/>
      <x:c r="C646" s="46"/>
      <x:c r="D646" s="46"/>
      <x:c r="E646" s="92"/>
      <x:c r="F646" s="92"/>
      <x:c r="G646" s="93" t="str">
        <x:f>IF(B646="","",E646-F646)</x:f>
      </x:c>
      <x:c r="H646" s="100" t="str">
        <x:f>IF(B646="","",IF(D646="TL",1,IF(D646="USD",KURLAR!$C$9,IF(D646="EUR",KURLAR!$C$10,0))))</x:f>
      </x:c>
      <x:c r="I646" s="68" t="str">
        <x:f>IF(B646="","",G646*H646)</x:f>
      </x:c>
      <x:c r="J646" s="52" t="str">
        <x:f>IF(B646="","",IF(G646&lt;0,"NEGATİF BAKİYE","UYGUN"))</x:f>
      </x:c>
    </x:row>
    <x:row r="647">
      <x:c r="B647" s="46"/>
      <x:c r="C647" s="46"/>
      <x:c r="D647" s="46"/>
      <x:c r="E647" s="92"/>
      <x:c r="F647" s="92"/>
      <x:c r="G647" s="93" t="str">
        <x:f>IF(B647="","",E647-F647)</x:f>
      </x:c>
      <x:c r="H647" s="100" t="str">
        <x:f>IF(B647="","",IF(D647="TL",1,IF(D647="USD",KURLAR!$C$9,IF(D647="EUR",KURLAR!$C$10,0))))</x:f>
      </x:c>
      <x:c r="I647" s="68" t="str">
        <x:f>IF(B647="","",G647*H647)</x:f>
      </x:c>
      <x:c r="J647" s="52" t="str">
        <x:f>IF(B647="","",IF(G647&lt;0,"NEGATİF BAKİYE","UYGUN"))</x:f>
      </x:c>
    </x:row>
    <x:row r="648">
      <x:c r="B648" s="46"/>
      <x:c r="C648" s="46"/>
      <x:c r="D648" s="46"/>
      <x:c r="E648" s="92"/>
      <x:c r="F648" s="92"/>
      <x:c r="G648" s="93" t="str">
        <x:f>IF(B648="","",E648-F648)</x:f>
      </x:c>
      <x:c r="H648" s="100" t="str">
        <x:f>IF(B648="","",IF(D648="TL",1,IF(D648="USD",KURLAR!$C$9,IF(D648="EUR",KURLAR!$C$10,0))))</x:f>
      </x:c>
      <x:c r="I648" s="68" t="str">
        <x:f>IF(B648="","",G648*H648)</x:f>
      </x:c>
      <x:c r="J648" s="52" t="str">
        <x:f>IF(B648="","",IF(G648&lt;0,"NEGATİF BAKİYE","UYGUN"))</x:f>
      </x:c>
    </x:row>
    <x:row r="649">
      <x:c r="B649" s="46"/>
      <x:c r="C649" s="46"/>
      <x:c r="D649" s="46"/>
      <x:c r="E649" s="92"/>
      <x:c r="F649" s="92"/>
      <x:c r="G649" s="93" t="str">
        <x:f>IF(B649="","",E649-F649)</x:f>
      </x:c>
      <x:c r="H649" s="100" t="str">
        <x:f>IF(B649="","",IF(D649="TL",1,IF(D649="USD",KURLAR!$C$9,IF(D649="EUR",KURLAR!$C$10,0))))</x:f>
      </x:c>
      <x:c r="I649" s="68" t="str">
        <x:f>IF(B649="","",G649*H649)</x:f>
      </x:c>
      <x:c r="J649" s="52" t="str">
        <x:f>IF(B649="","",IF(G649&lt;0,"NEGATİF BAKİYE","UYGUN"))</x:f>
      </x:c>
    </x:row>
    <x:row r="650">
      <x:c r="B650" s="46"/>
      <x:c r="C650" s="46"/>
      <x:c r="D650" s="46"/>
      <x:c r="E650" s="92"/>
      <x:c r="F650" s="92"/>
      <x:c r="G650" s="93" t="str">
        <x:f>IF(B650="","",E650-F650)</x:f>
      </x:c>
      <x:c r="H650" s="100" t="str">
        <x:f>IF(B650="","",IF(D650="TL",1,IF(D650="USD",KURLAR!$C$9,IF(D650="EUR",KURLAR!$C$10,0))))</x:f>
      </x:c>
      <x:c r="I650" s="68" t="str">
        <x:f>IF(B650="","",G650*H650)</x:f>
      </x:c>
      <x:c r="J650" s="52" t="str">
        <x:f>IF(B650="","",IF(G650&lt;0,"NEGATİF BAKİYE","UYGUN"))</x:f>
      </x:c>
    </x:row>
    <x:row r="651">
      <x:c r="B651" s="46"/>
      <x:c r="C651" s="46"/>
      <x:c r="D651" s="46"/>
      <x:c r="E651" s="92"/>
      <x:c r="F651" s="92"/>
      <x:c r="G651" s="93" t="str">
        <x:f>IF(B651="","",E651-F651)</x:f>
      </x:c>
      <x:c r="H651" s="100" t="str">
        <x:f>IF(B651="","",IF(D651="TL",1,IF(D651="USD",KURLAR!$C$9,IF(D651="EUR",KURLAR!$C$10,0))))</x:f>
      </x:c>
      <x:c r="I651" s="68" t="str">
        <x:f>IF(B651="","",G651*H651)</x:f>
      </x:c>
      <x:c r="J651" s="52" t="str">
        <x:f>IF(B651="","",IF(G651&lt;0,"NEGATİF BAKİYE","UYGUN"))</x:f>
      </x:c>
    </x:row>
    <x:row r="652">
      <x:c r="B652" s="46"/>
      <x:c r="C652" s="46"/>
      <x:c r="D652" s="46"/>
      <x:c r="E652" s="92"/>
      <x:c r="F652" s="92"/>
      <x:c r="G652" s="93" t="str">
        <x:f>IF(B652="","",E652-F652)</x:f>
      </x:c>
      <x:c r="H652" s="100" t="str">
        <x:f>IF(B652="","",IF(D652="TL",1,IF(D652="USD",KURLAR!$C$9,IF(D652="EUR",KURLAR!$C$10,0))))</x:f>
      </x:c>
      <x:c r="I652" s="68" t="str">
        <x:f>IF(B652="","",G652*H652)</x:f>
      </x:c>
      <x:c r="J652" s="52" t="str">
        <x:f>IF(B652="","",IF(G652&lt;0,"NEGATİF BAKİYE","UYGUN"))</x:f>
      </x:c>
    </x:row>
    <x:row r="653">
      <x:c r="B653" s="46"/>
      <x:c r="C653" s="46"/>
      <x:c r="D653" s="46"/>
      <x:c r="E653" s="92"/>
      <x:c r="F653" s="92"/>
      <x:c r="G653" s="93" t="str">
        <x:f>IF(B653="","",E653-F653)</x:f>
      </x:c>
      <x:c r="H653" s="100" t="str">
        <x:f>IF(B653="","",IF(D653="TL",1,IF(D653="USD",KURLAR!$C$9,IF(D653="EUR",KURLAR!$C$10,0))))</x:f>
      </x:c>
      <x:c r="I653" s="68" t="str">
        <x:f>IF(B653="","",G653*H653)</x:f>
      </x:c>
      <x:c r="J653" s="52" t="str">
        <x:f>IF(B653="","",IF(G653&lt;0,"NEGATİF BAKİYE","UYGUN"))</x:f>
      </x:c>
    </x:row>
    <x:row r="654">
      <x:c r="B654" s="46"/>
      <x:c r="C654" s="46"/>
      <x:c r="D654" s="46"/>
      <x:c r="E654" s="92"/>
      <x:c r="F654" s="92"/>
      <x:c r="G654" s="93" t="str">
        <x:f>IF(B654="","",E654-F654)</x:f>
      </x:c>
      <x:c r="H654" s="100" t="str">
        <x:f>IF(B654="","",IF(D654="TL",1,IF(D654="USD",KURLAR!$C$9,IF(D654="EUR",KURLAR!$C$10,0))))</x:f>
      </x:c>
      <x:c r="I654" s="68" t="str">
        <x:f>IF(B654="","",G654*H654)</x:f>
      </x:c>
      <x:c r="J654" s="52" t="str">
        <x:f>IF(B654="","",IF(G654&lt;0,"NEGATİF BAKİYE","UYGUN"))</x:f>
      </x:c>
    </x:row>
    <x:row r="655">
      <x:c r="B655" s="46"/>
      <x:c r="C655" s="46"/>
      <x:c r="D655" s="46"/>
      <x:c r="E655" s="92"/>
      <x:c r="F655" s="92"/>
      <x:c r="G655" s="93" t="str">
        <x:f>IF(B655="","",E655-F655)</x:f>
      </x:c>
      <x:c r="H655" s="100" t="str">
        <x:f>IF(B655="","",IF(D655="TL",1,IF(D655="USD",KURLAR!$C$9,IF(D655="EUR",KURLAR!$C$10,0))))</x:f>
      </x:c>
      <x:c r="I655" s="68" t="str">
        <x:f>IF(B655="","",G655*H655)</x:f>
      </x:c>
      <x:c r="J655" s="52" t="str">
        <x:f>IF(B655="","",IF(G655&lt;0,"NEGATİF BAKİYE","UYGUN"))</x:f>
      </x:c>
    </x:row>
    <x:row r="656">
      <x:c r="B656" s="46"/>
      <x:c r="C656" s="46"/>
      <x:c r="D656" s="46"/>
      <x:c r="E656" s="92"/>
      <x:c r="F656" s="92"/>
      <x:c r="G656" s="93" t="str">
        <x:f>IF(B656="","",E656-F656)</x:f>
      </x:c>
      <x:c r="H656" s="100" t="str">
        <x:f>IF(B656="","",IF(D656="TL",1,IF(D656="USD",KURLAR!$C$9,IF(D656="EUR",KURLAR!$C$10,0))))</x:f>
      </x:c>
      <x:c r="I656" s="68" t="str">
        <x:f>IF(B656="","",G656*H656)</x:f>
      </x:c>
      <x:c r="J656" s="52" t="str">
        <x:f>IF(B656="","",IF(G656&lt;0,"NEGATİF BAKİYE","UYGUN"))</x:f>
      </x:c>
    </x:row>
    <x:row r="657">
      <x:c r="B657" s="46"/>
      <x:c r="C657" s="46"/>
      <x:c r="D657" s="46"/>
      <x:c r="E657" s="92"/>
      <x:c r="F657" s="92"/>
      <x:c r="G657" s="93" t="str">
        <x:f>IF(B657="","",E657-F657)</x:f>
      </x:c>
      <x:c r="H657" s="100" t="str">
        <x:f>IF(B657="","",IF(D657="TL",1,IF(D657="USD",KURLAR!$C$9,IF(D657="EUR",KURLAR!$C$10,0))))</x:f>
      </x:c>
      <x:c r="I657" s="68" t="str">
        <x:f>IF(B657="","",G657*H657)</x:f>
      </x:c>
      <x:c r="J657" s="52" t="str">
        <x:f>IF(B657="","",IF(G657&lt;0,"NEGATİF BAKİYE","UYGUN"))</x:f>
      </x:c>
    </x:row>
    <x:row r="658">
      <x:c r="B658" s="46"/>
      <x:c r="C658" s="46"/>
      <x:c r="D658" s="46"/>
      <x:c r="E658" s="92"/>
      <x:c r="F658" s="92"/>
      <x:c r="G658" s="93" t="str">
        <x:f>IF(B658="","",E658-F658)</x:f>
      </x:c>
      <x:c r="H658" s="100" t="str">
        <x:f>IF(B658="","",IF(D658="TL",1,IF(D658="USD",KURLAR!$C$9,IF(D658="EUR",KURLAR!$C$10,0))))</x:f>
      </x:c>
      <x:c r="I658" s="68" t="str">
        <x:f>IF(B658="","",G658*H658)</x:f>
      </x:c>
      <x:c r="J658" s="52" t="str">
        <x:f>IF(B658="","",IF(G658&lt;0,"NEGATİF BAKİYE","UYGUN"))</x:f>
      </x:c>
    </x:row>
    <x:row r="659">
      <x:c r="B659" s="46"/>
      <x:c r="C659" s="46"/>
      <x:c r="D659" s="46"/>
      <x:c r="E659" s="92"/>
      <x:c r="F659" s="92"/>
      <x:c r="G659" s="93" t="str">
        <x:f>IF(B659="","",E659-F659)</x:f>
      </x:c>
      <x:c r="H659" s="100" t="str">
        <x:f>IF(B659="","",IF(D659="TL",1,IF(D659="USD",KURLAR!$C$9,IF(D659="EUR",KURLAR!$C$10,0))))</x:f>
      </x:c>
      <x:c r="I659" s="68" t="str">
        <x:f>IF(B659="","",G659*H659)</x:f>
      </x:c>
      <x:c r="J659" s="52" t="str">
        <x:f>IF(B659="","",IF(G659&lt;0,"NEGATİF BAKİYE","UYGUN"))</x:f>
      </x:c>
    </x:row>
    <x:row r="660">
      <x:c r="B660" s="46"/>
      <x:c r="C660" s="46"/>
      <x:c r="D660" s="46"/>
      <x:c r="E660" s="92"/>
      <x:c r="F660" s="92"/>
      <x:c r="G660" s="93" t="str">
        <x:f>IF(B660="","",E660-F660)</x:f>
      </x:c>
      <x:c r="H660" s="100" t="str">
        <x:f>IF(B660="","",IF(D660="TL",1,IF(D660="USD",KURLAR!$C$9,IF(D660="EUR",KURLAR!$C$10,0))))</x:f>
      </x:c>
      <x:c r="I660" s="68" t="str">
        <x:f>IF(B660="","",G660*H660)</x:f>
      </x:c>
      <x:c r="J660" s="52" t="str">
        <x:f>IF(B660="","",IF(G660&lt;0,"NEGATİF BAKİYE","UYGUN"))</x:f>
      </x:c>
    </x:row>
    <x:row r="661">
      <x:c r="B661" s="46"/>
      <x:c r="C661" s="46"/>
      <x:c r="D661" s="46"/>
      <x:c r="E661" s="92"/>
      <x:c r="F661" s="92"/>
      <x:c r="G661" s="93" t="str">
        <x:f>IF(B661="","",E661-F661)</x:f>
      </x:c>
      <x:c r="H661" s="100" t="str">
        <x:f>IF(B661="","",IF(D661="TL",1,IF(D661="USD",KURLAR!$C$9,IF(D661="EUR",KURLAR!$C$10,0))))</x:f>
      </x:c>
      <x:c r="I661" s="68" t="str">
        <x:f>IF(B661="","",G661*H661)</x:f>
      </x:c>
      <x:c r="J661" s="52" t="str">
        <x:f>IF(B661="","",IF(G661&lt;0,"NEGATİF BAKİYE","UYGUN"))</x:f>
      </x:c>
    </x:row>
    <x:row r="662">
      <x:c r="B662" s="46"/>
      <x:c r="C662" s="46"/>
      <x:c r="D662" s="46"/>
      <x:c r="E662" s="92"/>
      <x:c r="F662" s="92"/>
      <x:c r="G662" s="93" t="str">
        <x:f>IF(B662="","",E662-F662)</x:f>
      </x:c>
      <x:c r="H662" s="100" t="str">
        <x:f>IF(B662="","",IF(D662="TL",1,IF(D662="USD",KURLAR!$C$9,IF(D662="EUR",KURLAR!$C$10,0))))</x:f>
      </x:c>
      <x:c r="I662" s="68" t="str">
        <x:f>IF(B662="","",G662*H662)</x:f>
      </x:c>
      <x:c r="J662" s="52" t="str">
        <x:f>IF(B662="","",IF(G662&lt;0,"NEGATİF BAKİYE","UYGUN"))</x:f>
      </x:c>
    </x:row>
    <x:row r="663">
      <x:c r="B663" s="46"/>
      <x:c r="C663" s="46"/>
      <x:c r="D663" s="46"/>
      <x:c r="E663" s="92"/>
      <x:c r="F663" s="92"/>
      <x:c r="G663" s="93" t="str">
        <x:f>IF(B663="","",E663-F663)</x:f>
      </x:c>
      <x:c r="H663" s="100" t="str">
        <x:f>IF(B663="","",IF(D663="TL",1,IF(D663="USD",KURLAR!$C$9,IF(D663="EUR",KURLAR!$C$10,0))))</x:f>
      </x:c>
      <x:c r="I663" s="68" t="str">
        <x:f>IF(B663="","",G663*H663)</x:f>
      </x:c>
      <x:c r="J663" s="52" t="str">
        <x:f>IF(B663="","",IF(G663&lt;0,"NEGATİF BAKİYE","UYGUN"))</x:f>
      </x:c>
    </x:row>
    <x:row r="664">
      <x:c r="B664" s="46"/>
      <x:c r="C664" s="46"/>
      <x:c r="D664" s="46"/>
      <x:c r="E664" s="92"/>
      <x:c r="F664" s="92"/>
      <x:c r="G664" s="93" t="str">
        <x:f>IF(B664="","",E664-F664)</x:f>
      </x:c>
      <x:c r="H664" s="100" t="str">
        <x:f>IF(B664="","",IF(D664="TL",1,IF(D664="USD",KURLAR!$C$9,IF(D664="EUR",KURLAR!$C$10,0))))</x:f>
      </x:c>
      <x:c r="I664" s="68" t="str">
        <x:f>IF(B664="","",G664*H664)</x:f>
      </x:c>
      <x:c r="J664" s="52" t="str">
        <x:f>IF(B664="","",IF(G664&lt;0,"NEGATİF BAKİYE","UYGUN"))</x:f>
      </x:c>
    </x:row>
    <x:row r="665">
      <x:c r="B665" s="46"/>
      <x:c r="C665" s="46"/>
      <x:c r="D665" s="46"/>
      <x:c r="E665" s="92"/>
      <x:c r="F665" s="92"/>
      <x:c r="G665" s="93" t="str">
        <x:f>IF(B665="","",E665-F665)</x:f>
      </x:c>
      <x:c r="H665" s="100" t="str">
        <x:f>IF(B665="","",IF(D665="TL",1,IF(D665="USD",KURLAR!$C$9,IF(D665="EUR",KURLAR!$C$10,0))))</x:f>
      </x:c>
      <x:c r="I665" s="68" t="str">
        <x:f>IF(B665="","",G665*H665)</x:f>
      </x:c>
      <x:c r="J665" s="52" t="str">
        <x:f>IF(B665="","",IF(G665&lt;0,"NEGATİF BAKİYE","UYGUN"))</x:f>
      </x:c>
    </x:row>
    <x:row r="666">
      <x:c r="B666" s="46"/>
      <x:c r="C666" s="46"/>
      <x:c r="D666" s="46"/>
      <x:c r="E666" s="92"/>
      <x:c r="F666" s="92"/>
      <x:c r="G666" s="93" t="str">
        <x:f>IF(B666="","",E666-F666)</x:f>
      </x:c>
      <x:c r="H666" s="100" t="str">
        <x:f>IF(B666="","",IF(D666="TL",1,IF(D666="USD",KURLAR!$C$9,IF(D666="EUR",KURLAR!$C$10,0))))</x:f>
      </x:c>
      <x:c r="I666" s="68" t="str">
        <x:f>IF(B666="","",G666*H666)</x:f>
      </x:c>
      <x:c r="J666" s="52" t="str">
        <x:f>IF(B666="","",IF(G666&lt;0,"NEGATİF BAKİYE","UYGUN"))</x:f>
      </x:c>
    </x:row>
    <x:row r="667">
      <x:c r="B667" s="46"/>
      <x:c r="C667" s="46"/>
      <x:c r="D667" s="46"/>
      <x:c r="E667" s="92"/>
      <x:c r="F667" s="92"/>
      <x:c r="G667" s="93" t="str">
        <x:f>IF(B667="","",E667-F667)</x:f>
      </x:c>
      <x:c r="H667" s="100" t="str">
        <x:f>IF(B667="","",IF(D667="TL",1,IF(D667="USD",KURLAR!$C$9,IF(D667="EUR",KURLAR!$C$10,0))))</x:f>
      </x:c>
      <x:c r="I667" s="68" t="str">
        <x:f>IF(B667="","",G667*H667)</x:f>
      </x:c>
      <x:c r="J667" s="52" t="str">
        <x:f>IF(B667="","",IF(G667&lt;0,"NEGATİF BAKİYE","UYGUN"))</x:f>
      </x:c>
    </x:row>
    <x:row r="668">
      <x:c r="B668" s="46"/>
      <x:c r="C668" s="46"/>
      <x:c r="D668" s="46"/>
      <x:c r="E668" s="92"/>
      <x:c r="F668" s="92"/>
      <x:c r="G668" s="93" t="str">
        <x:f>IF(B668="","",E668-F668)</x:f>
      </x:c>
      <x:c r="H668" s="100" t="str">
        <x:f>IF(B668="","",IF(D668="TL",1,IF(D668="USD",KURLAR!$C$9,IF(D668="EUR",KURLAR!$C$10,0))))</x:f>
      </x:c>
      <x:c r="I668" s="68" t="str">
        <x:f>IF(B668="","",G668*H668)</x:f>
      </x:c>
      <x:c r="J668" s="52" t="str">
        <x:f>IF(B668="","",IF(G668&lt;0,"NEGATİF BAKİYE","UYGUN"))</x:f>
      </x:c>
    </x:row>
    <x:row r="669">
      <x:c r="B669" s="46"/>
      <x:c r="C669" s="46"/>
      <x:c r="D669" s="46"/>
      <x:c r="E669" s="92"/>
      <x:c r="F669" s="92"/>
      <x:c r="G669" s="93" t="str">
        <x:f>IF(B669="","",E669-F669)</x:f>
      </x:c>
      <x:c r="H669" s="100" t="str">
        <x:f>IF(B669="","",IF(D669="TL",1,IF(D669="USD",KURLAR!$C$9,IF(D669="EUR",KURLAR!$C$10,0))))</x:f>
      </x:c>
      <x:c r="I669" s="68" t="str">
        <x:f>IF(B669="","",G669*H669)</x:f>
      </x:c>
      <x:c r="J669" s="52" t="str">
        <x:f>IF(B669="","",IF(G669&lt;0,"NEGATİF BAKİYE","UYGUN"))</x:f>
      </x:c>
    </x:row>
    <x:row r="670">
      <x:c r="B670" s="46"/>
      <x:c r="C670" s="46"/>
      <x:c r="D670" s="46"/>
      <x:c r="E670" s="92"/>
      <x:c r="F670" s="92"/>
      <x:c r="G670" s="93" t="str">
        <x:f>IF(B670="","",E670-F670)</x:f>
      </x:c>
      <x:c r="H670" s="100" t="str">
        <x:f>IF(B670="","",IF(D670="TL",1,IF(D670="USD",KURLAR!$C$9,IF(D670="EUR",KURLAR!$C$10,0))))</x:f>
      </x:c>
      <x:c r="I670" s="68" t="str">
        <x:f>IF(B670="","",G670*H670)</x:f>
      </x:c>
      <x:c r="J670" s="52" t="str">
        <x:f>IF(B670="","",IF(G670&lt;0,"NEGATİF BAKİYE","UYGUN"))</x:f>
      </x:c>
    </x:row>
    <x:row r="671">
      <x:c r="B671" s="46"/>
      <x:c r="C671" s="46"/>
      <x:c r="D671" s="46"/>
      <x:c r="E671" s="92"/>
      <x:c r="F671" s="92"/>
      <x:c r="G671" s="93" t="str">
        <x:f>IF(B671="","",E671-F671)</x:f>
      </x:c>
      <x:c r="H671" s="100" t="str">
        <x:f>IF(B671="","",IF(D671="TL",1,IF(D671="USD",KURLAR!$C$9,IF(D671="EUR",KURLAR!$C$10,0))))</x:f>
      </x:c>
      <x:c r="I671" s="68" t="str">
        <x:f>IF(B671="","",G671*H671)</x:f>
      </x:c>
      <x:c r="J671" s="52" t="str">
        <x:f>IF(B671="","",IF(G671&lt;0,"NEGATİF BAKİYE","UYGUN"))</x:f>
      </x:c>
    </x:row>
    <x:row r="672">
      <x:c r="B672" s="46"/>
      <x:c r="C672" s="46"/>
      <x:c r="D672" s="46"/>
      <x:c r="E672" s="92"/>
      <x:c r="F672" s="92"/>
      <x:c r="G672" s="93" t="str">
        <x:f>IF(B672="","",E672-F672)</x:f>
      </x:c>
      <x:c r="H672" s="100" t="str">
        <x:f>IF(B672="","",IF(D672="TL",1,IF(D672="USD",KURLAR!$C$9,IF(D672="EUR",KURLAR!$C$10,0))))</x:f>
      </x:c>
      <x:c r="I672" s="68" t="str">
        <x:f>IF(B672="","",G672*H672)</x:f>
      </x:c>
      <x:c r="J672" s="52" t="str">
        <x:f>IF(B672="","",IF(G672&lt;0,"NEGATİF BAKİYE","UYGUN"))</x:f>
      </x:c>
    </x:row>
    <x:row r="673">
      <x:c r="B673" s="46"/>
      <x:c r="C673" s="46"/>
      <x:c r="D673" s="46"/>
      <x:c r="E673" s="92"/>
      <x:c r="F673" s="92"/>
      <x:c r="G673" s="93" t="str">
        <x:f>IF(B673="","",E673-F673)</x:f>
      </x:c>
      <x:c r="H673" s="100" t="str">
        <x:f>IF(B673="","",IF(D673="TL",1,IF(D673="USD",KURLAR!$C$9,IF(D673="EUR",KURLAR!$C$10,0))))</x:f>
      </x:c>
      <x:c r="I673" s="68" t="str">
        <x:f>IF(B673="","",G673*H673)</x:f>
      </x:c>
      <x:c r="J673" s="52" t="str">
        <x:f>IF(B673="","",IF(G673&lt;0,"NEGATİF BAKİYE","UYGUN"))</x:f>
      </x:c>
    </x:row>
    <x:row r="674">
      <x:c r="B674" s="46"/>
      <x:c r="C674" s="46"/>
      <x:c r="D674" s="46"/>
      <x:c r="E674" s="92"/>
      <x:c r="F674" s="92"/>
      <x:c r="G674" s="93" t="str">
        <x:f>IF(B674="","",E674-F674)</x:f>
      </x:c>
      <x:c r="H674" s="100" t="str">
        <x:f>IF(B674="","",IF(D674="TL",1,IF(D674="USD",KURLAR!$C$9,IF(D674="EUR",KURLAR!$C$10,0))))</x:f>
      </x:c>
      <x:c r="I674" s="68" t="str">
        <x:f>IF(B674="","",G674*H674)</x:f>
      </x:c>
      <x:c r="J674" s="52" t="str">
        <x:f>IF(B674="","",IF(G674&lt;0,"NEGATİF BAKİYE","UYGUN"))</x:f>
      </x:c>
    </x:row>
    <x:row r="675">
      <x:c r="B675" s="46"/>
      <x:c r="C675" s="46"/>
      <x:c r="D675" s="46"/>
      <x:c r="E675" s="92"/>
      <x:c r="F675" s="92"/>
      <x:c r="G675" s="93" t="str">
        <x:f>IF(B675="","",E675-F675)</x:f>
      </x:c>
      <x:c r="H675" s="100" t="str">
        <x:f>IF(B675="","",IF(D675="TL",1,IF(D675="USD",KURLAR!$C$9,IF(D675="EUR",KURLAR!$C$10,0))))</x:f>
      </x:c>
      <x:c r="I675" s="68" t="str">
        <x:f>IF(B675="","",G675*H675)</x:f>
      </x:c>
      <x:c r="J675" s="52" t="str">
        <x:f>IF(B675="","",IF(G675&lt;0,"NEGATİF BAKİYE","UYGUN"))</x:f>
      </x:c>
    </x:row>
    <x:row r="676">
      <x:c r="B676" s="46"/>
      <x:c r="C676" s="46"/>
      <x:c r="D676" s="46"/>
      <x:c r="E676" s="92"/>
      <x:c r="F676" s="92"/>
      <x:c r="G676" s="93" t="str">
        <x:f>IF(B676="","",E676-F676)</x:f>
      </x:c>
      <x:c r="H676" s="100" t="str">
        <x:f>IF(B676="","",IF(D676="TL",1,IF(D676="USD",KURLAR!$C$9,IF(D676="EUR",KURLAR!$C$10,0))))</x:f>
      </x:c>
      <x:c r="I676" s="68" t="str">
        <x:f>IF(B676="","",G676*H676)</x:f>
      </x:c>
      <x:c r="J676" s="52" t="str">
        <x:f>IF(B676="","",IF(G676&lt;0,"NEGATİF BAKİYE","UYGUN"))</x:f>
      </x:c>
    </x:row>
    <x:row r="677">
      <x:c r="B677" s="46"/>
      <x:c r="C677" s="46"/>
      <x:c r="D677" s="46"/>
      <x:c r="E677" s="92"/>
      <x:c r="F677" s="92"/>
      <x:c r="G677" s="93" t="str">
        <x:f>IF(B677="","",E677-F677)</x:f>
      </x:c>
      <x:c r="H677" s="100" t="str">
        <x:f>IF(B677="","",IF(D677="TL",1,IF(D677="USD",KURLAR!$C$9,IF(D677="EUR",KURLAR!$C$10,0))))</x:f>
      </x:c>
      <x:c r="I677" s="68" t="str">
        <x:f>IF(B677="","",G677*H677)</x:f>
      </x:c>
      <x:c r="J677" s="52" t="str">
        <x:f>IF(B677="","",IF(G677&lt;0,"NEGATİF BAKİYE","UYGUN"))</x:f>
      </x:c>
    </x:row>
    <x:row r="678">
      <x:c r="B678" s="46"/>
      <x:c r="C678" s="46"/>
      <x:c r="D678" s="46"/>
      <x:c r="E678" s="92"/>
      <x:c r="F678" s="92"/>
      <x:c r="G678" s="93" t="str">
        <x:f>IF(B678="","",E678-F678)</x:f>
      </x:c>
      <x:c r="H678" s="100" t="str">
        <x:f>IF(B678="","",IF(D678="TL",1,IF(D678="USD",KURLAR!$C$9,IF(D678="EUR",KURLAR!$C$10,0))))</x:f>
      </x:c>
      <x:c r="I678" s="68" t="str">
        <x:f>IF(B678="","",G678*H678)</x:f>
      </x:c>
      <x:c r="J678" s="52" t="str">
        <x:f>IF(B678="","",IF(G678&lt;0,"NEGATİF BAKİYE","UYGUN"))</x:f>
      </x:c>
    </x:row>
    <x:row r="679">
      <x:c r="B679" s="46"/>
      <x:c r="C679" s="46"/>
      <x:c r="D679" s="46"/>
      <x:c r="E679" s="92"/>
      <x:c r="F679" s="92"/>
      <x:c r="G679" s="93" t="str">
        <x:f>IF(B679="","",E679-F679)</x:f>
      </x:c>
      <x:c r="H679" s="100" t="str">
        <x:f>IF(B679="","",IF(D679="TL",1,IF(D679="USD",KURLAR!$C$9,IF(D679="EUR",KURLAR!$C$10,0))))</x:f>
      </x:c>
      <x:c r="I679" s="68" t="str">
        <x:f>IF(B679="","",G679*H679)</x:f>
      </x:c>
      <x:c r="J679" s="52" t="str">
        <x:f>IF(B679="","",IF(G679&lt;0,"NEGATİF BAKİYE","UYGUN"))</x:f>
      </x:c>
    </x:row>
    <x:row r="680">
      <x:c r="B680" s="46"/>
      <x:c r="C680" s="46"/>
      <x:c r="D680" s="46"/>
      <x:c r="E680" s="92"/>
      <x:c r="F680" s="92"/>
      <x:c r="G680" s="93" t="str">
        <x:f>IF(B680="","",E680-F680)</x:f>
      </x:c>
      <x:c r="H680" s="100" t="str">
        <x:f>IF(B680="","",IF(D680="TL",1,IF(D680="USD",KURLAR!$C$9,IF(D680="EUR",KURLAR!$C$10,0))))</x:f>
      </x:c>
      <x:c r="I680" s="68" t="str">
        <x:f>IF(B680="","",G680*H680)</x:f>
      </x:c>
      <x:c r="J680" s="52" t="str">
        <x:f>IF(B680="","",IF(G680&lt;0,"NEGATİF BAKİYE","UYGUN"))</x:f>
      </x:c>
    </x:row>
    <x:row r="681">
      <x:c r="B681" s="46"/>
      <x:c r="C681" s="46"/>
      <x:c r="D681" s="46"/>
      <x:c r="E681" s="92"/>
      <x:c r="F681" s="92"/>
      <x:c r="G681" s="93" t="str">
        <x:f>IF(B681="","",E681-F681)</x:f>
      </x:c>
      <x:c r="H681" s="100" t="str">
        <x:f>IF(B681="","",IF(D681="TL",1,IF(D681="USD",KURLAR!$C$9,IF(D681="EUR",KURLAR!$C$10,0))))</x:f>
      </x:c>
      <x:c r="I681" s="68" t="str">
        <x:f>IF(B681="","",G681*H681)</x:f>
      </x:c>
      <x:c r="J681" s="52" t="str">
        <x:f>IF(B681="","",IF(G681&lt;0,"NEGATİF BAKİYE","UYGUN"))</x:f>
      </x:c>
    </x:row>
    <x:row r="682">
      <x:c r="B682" s="46"/>
      <x:c r="C682" s="46"/>
      <x:c r="D682" s="46"/>
      <x:c r="E682" s="92"/>
      <x:c r="F682" s="92"/>
      <x:c r="G682" s="93" t="str">
        <x:f>IF(B682="","",E682-F682)</x:f>
      </x:c>
      <x:c r="H682" s="100" t="str">
        <x:f>IF(B682="","",IF(D682="TL",1,IF(D682="USD",KURLAR!$C$9,IF(D682="EUR",KURLAR!$C$10,0))))</x:f>
      </x:c>
      <x:c r="I682" s="68" t="str">
        <x:f>IF(B682="","",G682*H682)</x:f>
      </x:c>
      <x:c r="J682" s="52" t="str">
        <x:f>IF(B682="","",IF(G682&lt;0,"NEGATİF BAKİYE","UYGUN"))</x:f>
      </x:c>
    </x:row>
    <x:row r="683">
      <x:c r="B683" s="46"/>
      <x:c r="C683" s="46"/>
      <x:c r="D683" s="46"/>
      <x:c r="E683" s="92"/>
      <x:c r="F683" s="92"/>
      <x:c r="G683" s="93" t="str">
        <x:f>IF(B683="","",E683-F683)</x:f>
      </x:c>
      <x:c r="H683" s="100" t="str">
        <x:f>IF(B683="","",IF(D683="TL",1,IF(D683="USD",KURLAR!$C$9,IF(D683="EUR",KURLAR!$C$10,0))))</x:f>
      </x:c>
      <x:c r="I683" s="68" t="str">
        <x:f>IF(B683="","",G683*H683)</x:f>
      </x:c>
      <x:c r="J683" s="52" t="str">
        <x:f>IF(B683="","",IF(G683&lt;0,"NEGATİF BAKİYE","UYGUN"))</x:f>
      </x:c>
    </x:row>
    <x:row r="684">
      <x:c r="B684" s="46"/>
      <x:c r="C684" s="46"/>
      <x:c r="D684" s="46"/>
      <x:c r="E684" s="92"/>
      <x:c r="F684" s="92"/>
      <x:c r="G684" s="93" t="str">
        <x:f>IF(B684="","",E684-F684)</x:f>
      </x:c>
      <x:c r="H684" s="100" t="str">
        <x:f>IF(B684="","",IF(D684="TL",1,IF(D684="USD",KURLAR!$C$9,IF(D684="EUR",KURLAR!$C$10,0))))</x:f>
      </x:c>
      <x:c r="I684" s="68" t="str">
        <x:f>IF(B684="","",G684*H684)</x:f>
      </x:c>
      <x:c r="J684" s="52" t="str">
        <x:f>IF(B684="","",IF(G684&lt;0,"NEGATİF BAKİYE","UYGUN"))</x:f>
      </x:c>
    </x:row>
    <x:row r="685">
      <x:c r="B685" s="46"/>
      <x:c r="C685" s="46"/>
      <x:c r="D685" s="46"/>
      <x:c r="E685" s="92"/>
      <x:c r="F685" s="92"/>
      <x:c r="G685" s="93" t="str">
        <x:f>IF(B685="","",E685-F685)</x:f>
      </x:c>
      <x:c r="H685" s="100" t="str">
        <x:f>IF(B685="","",IF(D685="TL",1,IF(D685="USD",KURLAR!$C$9,IF(D685="EUR",KURLAR!$C$10,0))))</x:f>
      </x:c>
      <x:c r="I685" s="68" t="str">
        <x:f>IF(B685="","",G685*H685)</x:f>
      </x:c>
      <x:c r="J685" s="52" t="str">
        <x:f>IF(B685="","",IF(G685&lt;0,"NEGATİF BAKİYE","UYGUN"))</x:f>
      </x:c>
    </x:row>
    <x:row r="686">
      <x:c r="B686" s="46"/>
      <x:c r="C686" s="46"/>
      <x:c r="D686" s="46"/>
      <x:c r="E686" s="92"/>
      <x:c r="F686" s="92"/>
      <x:c r="G686" s="93" t="str">
        <x:f>IF(B686="","",E686-F686)</x:f>
      </x:c>
      <x:c r="H686" s="100" t="str">
        <x:f>IF(B686="","",IF(D686="TL",1,IF(D686="USD",KURLAR!$C$9,IF(D686="EUR",KURLAR!$C$10,0))))</x:f>
      </x:c>
      <x:c r="I686" s="68" t="str">
        <x:f>IF(B686="","",G686*H686)</x:f>
      </x:c>
      <x:c r="J686" s="52" t="str">
        <x:f>IF(B686="","",IF(G686&lt;0,"NEGATİF BAKİYE","UYGUN"))</x:f>
      </x:c>
    </x:row>
    <x:row r="687">
      <x:c r="B687" s="46"/>
      <x:c r="C687" s="46"/>
      <x:c r="D687" s="46"/>
      <x:c r="E687" s="92"/>
      <x:c r="F687" s="92"/>
      <x:c r="G687" s="93" t="str">
        <x:f>IF(B687="","",E687-F687)</x:f>
      </x:c>
      <x:c r="H687" s="100" t="str">
        <x:f>IF(B687="","",IF(D687="TL",1,IF(D687="USD",KURLAR!$C$9,IF(D687="EUR",KURLAR!$C$10,0))))</x:f>
      </x:c>
      <x:c r="I687" s="68" t="str">
        <x:f>IF(B687="","",G687*H687)</x:f>
      </x:c>
      <x:c r="J687" s="52" t="str">
        <x:f>IF(B687="","",IF(G687&lt;0,"NEGATİF BAKİYE","UYGUN"))</x:f>
      </x:c>
    </x:row>
    <x:row r="688">
      <x:c r="B688" s="46"/>
      <x:c r="C688" s="46"/>
      <x:c r="D688" s="46"/>
      <x:c r="E688" s="92"/>
      <x:c r="F688" s="92"/>
      <x:c r="G688" s="93" t="str">
        <x:f>IF(B688="","",E688-F688)</x:f>
      </x:c>
      <x:c r="H688" s="100" t="str">
        <x:f>IF(B688="","",IF(D688="TL",1,IF(D688="USD",KURLAR!$C$9,IF(D688="EUR",KURLAR!$C$10,0))))</x:f>
      </x:c>
      <x:c r="I688" s="68" t="str">
        <x:f>IF(B688="","",G688*H688)</x:f>
      </x:c>
      <x:c r="J688" s="52" t="str">
        <x:f>IF(B688="","",IF(G688&lt;0,"NEGATİF BAKİYE","UYGUN"))</x:f>
      </x:c>
    </x:row>
    <x:row r="689">
      <x:c r="B689" s="46"/>
      <x:c r="C689" s="46"/>
      <x:c r="D689" s="46"/>
      <x:c r="E689" s="92"/>
      <x:c r="F689" s="92"/>
      <x:c r="G689" s="93" t="str">
        <x:f>IF(B689="","",E689-F689)</x:f>
      </x:c>
      <x:c r="H689" s="100" t="str">
        <x:f>IF(B689="","",IF(D689="TL",1,IF(D689="USD",KURLAR!$C$9,IF(D689="EUR",KURLAR!$C$10,0))))</x:f>
      </x:c>
      <x:c r="I689" s="68" t="str">
        <x:f>IF(B689="","",G689*H689)</x:f>
      </x:c>
      <x:c r="J689" s="52" t="str">
        <x:f>IF(B689="","",IF(G689&lt;0,"NEGATİF BAKİYE","UYGUN"))</x:f>
      </x:c>
    </x:row>
    <x:row r="690">
      <x:c r="B690" s="46"/>
      <x:c r="C690" s="46"/>
      <x:c r="D690" s="46"/>
      <x:c r="E690" s="92"/>
      <x:c r="F690" s="92"/>
      <x:c r="G690" s="93" t="str">
        <x:f>IF(B690="","",E690-F690)</x:f>
      </x:c>
      <x:c r="H690" s="100" t="str">
        <x:f>IF(B690="","",IF(D690="TL",1,IF(D690="USD",KURLAR!$C$9,IF(D690="EUR",KURLAR!$C$10,0))))</x:f>
      </x:c>
      <x:c r="I690" s="68" t="str">
        <x:f>IF(B690="","",G690*H690)</x:f>
      </x:c>
      <x:c r="J690" s="52" t="str">
        <x:f>IF(B690="","",IF(G690&lt;0,"NEGATİF BAKİYE","UYGUN"))</x:f>
      </x:c>
    </x:row>
    <x:row r="691">
      <x:c r="B691" s="46"/>
      <x:c r="C691" s="46"/>
      <x:c r="D691" s="46"/>
      <x:c r="E691" s="92"/>
      <x:c r="F691" s="92"/>
      <x:c r="G691" s="93" t="str">
        <x:f>IF(B691="","",E691-F691)</x:f>
      </x:c>
      <x:c r="H691" s="100" t="str">
        <x:f>IF(B691="","",IF(D691="TL",1,IF(D691="USD",KURLAR!$C$9,IF(D691="EUR",KURLAR!$C$10,0))))</x:f>
      </x:c>
      <x:c r="I691" s="68" t="str">
        <x:f>IF(B691="","",G691*H691)</x:f>
      </x:c>
      <x:c r="J691" s="52" t="str">
        <x:f>IF(B691="","",IF(G691&lt;0,"NEGATİF BAKİYE","UYGUN"))</x:f>
      </x:c>
    </x:row>
    <x:row r="692">
      <x:c r="B692" s="46"/>
      <x:c r="C692" s="46"/>
      <x:c r="D692" s="46"/>
      <x:c r="E692" s="92"/>
      <x:c r="F692" s="92"/>
      <x:c r="G692" s="93" t="str">
        <x:f>IF(B692="","",E692-F692)</x:f>
      </x:c>
      <x:c r="H692" s="100" t="str">
        <x:f>IF(B692="","",IF(D692="TL",1,IF(D692="USD",KURLAR!$C$9,IF(D692="EUR",KURLAR!$C$10,0))))</x:f>
      </x:c>
      <x:c r="I692" s="68" t="str">
        <x:f>IF(B692="","",G692*H692)</x:f>
      </x:c>
      <x:c r="J692" s="52" t="str">
        <x:f>IF(B692="","",IF(G692&lt;0,"NEGATİF BAKİYE","UYGUN"))</x:f>
      </x:c>
    </x:row>
    <x:row r="693">
      <x:c r="B693" s="46"/>
      <x:c r="C693" s="46"/>
      <x:c r="D693" s="46"/>
      <x:c r="E693" s="92"/>
      <x:c r="F693" s="92"/>
      <x:c r="G693" s="93" t="str">
        <x:f>IF(B693="","",E693-F693)</x:f>
      </x:c>
      <x:c r="H693" s="100" t="str">
        <x:f>IF(B693="","",IF(D693="TL",1,IF(D693="USD",KURLAR!$C$9,IF(D693="EUR",KURLAR!$C$10,0))))</x:f>
      </x:c>
      <x:c r="I693" s="68" t="str">
        <x:f>IF(B693="","",G693*H693)</x:f>
      </x:c>
      <x:c r="J693" s="52" t="str">
        <x:f>IF(B693="","",IF(G693&lt;0,"NEGATİF BAKİYE","UYGUN"))</x:f>
      </x:c>
    </x:row>
    <x:row r="694">
      <x:c r="B694" s="46"/>
      <x:c r="C694" s="46"/>
      <x:c r="D694" s="46"/>
      <x:c r="E694" s="92"/>
      <x:c r="F694" s="92"/>
      <x:c r="G694" s="93" t="str">
        <x:f>IF(B694="","",E694-F694)</x:f>
      </x:c>
      <x:c r="H694" s="100" t="str">
        <x:f>IF(B694="","",IF(D694="TL",1,IF(D694="USD",KURLAR!$C$9,IF(D694="EUR",KURLAR!$C$10,0))))</x:f>
      </x:c>
      <x:c r="I694" s="68" t="str">
        <x:f>IF(B694="","",G694*H694)</x:f>
      </x:c>
      <x:c r="J694" s="52" t="str">
        <x:f>IF(B694="","",IF(G694&lt;0,"NEGATİF BAKİYE","UYGUN"))</x:f>
      </x:c>
    </x:row>
    <x:row r="695">
      <x:c r="B695" s="46"/>
      <x:c r="C695" s="46"/>
      <x:c r="D695" s="46"/>
      <x:c r="E695" s="92"/>
      <x:c r="F695" s="92"/>
      <x:c r="G695" s="93" t="str">
        <x:f>IF(B695="","",E695-F695)</x:f>
      </x:c>
      <x:c r="H695" s="100" t="str">
        <x:f>IF(B695="","",IF(D695="TL",1,IF(D695="USD",KURLAR!$C$9,IF(D695="EUR",KURLAR!$C$10,0))))</x:f>
      </x:c>
      <x:c r="I695" s="68" t="str">
        <x:f>IF(B695="","",G695*H695)</x:f>
      </x:c>
      <x:c r="J695" s="52" t="str">
        <x:f>IF(B695="","",IF(G695&lt;0,"NEGATİF BAKİYE","UYGUN"))</x:f>
      </x:c>
    </x:row>
    <x:row r="696">
      <x:c r="B696" s="46"/>
      <x:c r="C696" s="46"/>
      <x:c r="D696" s="46"/>
      <x:c r="E696" s="92"/>
      <x:c r="F696" s="92"/>
      <x:c r="G696" s="93" t="str">
        <x:f>IF(B696="","",E696-F696)</x:f>
      </x:c>
      <x:c r="H696" s="100" t="str">
        <x:f>IF(B696="","",IF(D696="TL",1,IF(D696="USD",KURLAR!$C$9,IF(D696="EUR",KURLAR!$C$10,0))))</x:f>
      </x:c>
      <x:c r="I696" s="68" t="str">
        <x:f>IF(B696="","",G696*H696)</x:f>
      </x:c>
      <x:c r="J696" s="52" t="str">
        <x:f>IF(B696="","",IF(G696&lt;0,"NEGATİF BAKİYE","UYGUN"))</x:f>
      </x:c>
    </x:row>
    <x:row r="697">
      <x:c r="B697" s="46"/>
      <x:c r="C697" s="46"/>
      <x:c r="D697" s="46"/>
      <x:c r="E697" s="92"/>
      <x:c r="F697" s="92"/>
      <x:c r="G697" s="93" t="str">
        <x:f>IF(B697="","",E697-F697)</x:f>
      </x:c>
      <x:c r="H697" s="100" t="str">
        <x:f>IF(B697="","",IF(D697="TL",1,IF(D697="USD",KURLAR!$C$9,IF(D697="EUR",KURLAR!$C$10,0))))</x:f>
      </x:c>
      <x:c r="I697" s="68" t="str">
        <x:f>IF(B697="","",G697*H697)</x:f>
      </x:c>
      <x:c r="J697" s="52" t="str">
        <x:f>IF(B697="","",IF(G697&lt;0,"NEGATİF BAKİYE","UYGUN"))</x:f>
      </x:c>
    </x:row>
    <x:row r="698">
      <x:c r="B698" s="46"/>
      <x:c r="C698" s="46"/>
      <x:c r="D698" s="46"/>
      <x:c r="E698" s="92"/>
      <x:c r="F698" s="92"/>
      <x:c r="G698" s="93" t="str">
        <x:f>IF(B698="","",E698-F698)</x:f>
      </x:c>
      <x:c r="H698" s="100" t="str">
        <x:f>IF(B698="","",IF(D698="TL",1,IF(D698="USD",KURLAR!$C$9,IF(D698="EUR",KURLAR!$C$10,0))))</x:f>
      </x:c>
      <x:c r="I698" s="68" t="str">
        <x:f>IF(B698="","",G698*H698)</x:f>
      </x:c>
      <x:c r="J698" s="52" t="str">
        <x:f>IF(B698="","",IF(G698&lt;0,"NEGATİF BAKİYE","UYGUN"))</x:f>
      </x:c>
    </x:row>
    <x:row r="699">
      <x:c r="B699" s="46"/>
      <x:c r="C699" s="46"/>
      <x:c r="D699" s="46"/>
      <x:c r="E699" s="92"/>
      <x:c r="F699" s="92"/>
      <x:c r="G699" s="93" t="str">
        <x:f>IF(B699="","",E699-F699)</x:f>
      </x:c>
      <x:c r="H699" s="100" t="str">
        <x:f>IF(B699="","",IF(D699="TL",1,IF(D699="USD",KURLAR!$C$9,IF(D699="EUR",KURLAR!$C$10,0))))</x:f>
      </x:c>
      <x:c r="I699" s="68" t="str">
        <x:f>IF(B699="","",G699*H699)</x:f>
      </x:c>
      <x:c r="J699" s="52" t="str">
        <x:f>IF(B699="","",IF(G699&lt;0,"NEGATİF BAKİYE","UYGUN"))</x:f>
      </x:c>
    </x:row>
    <x:row r="700">
      <x:c r="B700" s="46"/>
      <x:c r="C700" s="46"/>
      <x:c r="D700" s="46"/>
      <x:c r="E700" s="92"/>
      <x:c r="F700" s="92"/>
      <x:c r="G700" s="93" t="str">
        <x:f>IF(B700="","",E700-F700)</x:f>
      </x:c>
      <x:c r="H700" s="100" t="str">
        <x:f>IF(B700="","",IF(D700="TL",1,IF(D700="USD",KURLAR!$C$9,IF(D700="EUR",KURLAR!$C$10,0))))</x:f>
      </x:c>
      <x:c r="I700" s="68" t="str">
        <x:f>IF(B700="","",G700*H700)</x:f>
      </x:c>
      <x:c r="J700" s="52" t="str">
        <x:f>IF(B700="","",IF(G700&lt;0,"NEGATİF BAKİYE","UYGUN"))</x:f>
      </x:c>
    </x:row>
    <x:row r="701">
      <x:c r="B701" s="46"/>
      <x:c r="C701" s="46"/>
      <x:c r="D701" s="46"/>
      <x:c r="E701" s="92"/>
      <x:c r="F701" s="92"/>
      <x:c r="G701" s="93" t="str">
        <x:f>IF(B701="","",E701-F701)</x:f>
      </x:c>
      <x:c r="H701" s="100" t="str">
        <x:f>IF(B701="","",IF(D701="TL",1,IF(D701="USD",KURLAR!$C$9,IF(D701="EUR",KURLAR!$C$10,0))))</x:f>
      </x:c>
      <x:c r="I701" s="68" t="str">
        <x:f>IF(B701="","",G701*H701)</x:f>
      </x:c>
      <x:c r="J701" s="52" t="str">
        <x:f>IF(B701="","",IF(G701&lt;0,"NEGATİF BAKİYE","UYGUN"))</x:f>
      </x:c>
    </x:row>
    <x:row r="702">
      <x:c r="B702" s="46"/>
      <x:c r="C702" s="46"/>
      <x:c r="D702" s="46"/>
      <x:c r="E702" s="92"/>
      <x:c r="F702" s="92"/>
      <x:c r="G702" s="93" t="str">
        <x:f>IF(B702="","",E702-F702)</x:f>
      </x:c>
      <x:c r="H702" s="100" t="str">
        <x:f>IF(B702="","",IF(D702="TL",1,IF(D702="USD",KURLAR!$C$9,IF(D702="EUR",KURLAR!$C$10,0))))</x:f>
      </x:c>
      <x:c r="I702" s="68" t="str">
        <x:f>IF(B702="","",G702*H702)</x:f>
      </x:c>
      <x:c r="J702" s="52" t="str">
        <x:f>IF(B702="","",IF(G702&lt;0,"NEGATİF BAKİYE","UYGUN"))</x:f>
      </x:c>
    </x:row>
    <x:row r="703">
      <x:c r="B703" s="46"/>
      <x:c r="C703" s="46"/>
      <x:c r="D703" s="46"/>
      <x:c r="E703" s="92"/>
      <x:c r="F703" s="92"/>
      <x:c r="G703" s="93" t="str">
        <x:f>IF(B703="","",E703-F703)</x:f>
      </x:c>
      <x:c r="H703" s="100" t="str">
        <x:f>IF(B703="","",IF(D703="TL",1,IF(D703="USD",KURLAR!$C$9,IF(D703="EUR",KURLAR!$C$10,0))))</x:f>
      </x:c>
      <x:c r="I703" s="68" t="str">
        <x:f>IF(B703="","",G703*H703)</x:f>
      </x:c>
      <x:c r="J703" s="52" t="str">
        <x:f>IF(B703="","",IF(G703&lt;0,"NEGATİF BAKİYE","UYGUN"))</x:f>
      </x:c>
    </x:row>
    <x:row r="704">
      <x:c r="B704" s="46"/>
      <x:c r="C704" s="46"/>
      <x:c r="D704" s="46"/>
      <x:c r="E704" s="92"/>
      <x:c r="F704" s="92"/>
      <x:c r="G704" s="93" t="str">
        <x:f>IF(B704="","",E704-F704)</x:f>
      </x:c>
      <x:c r="H704" s="100" t="str">
        <x:f>IF(B704="","",IF(D704="TL",1,IF(D704="USD",KURLAR!$C$9,IF(D704="EUR",KURLAR!$C$10,0))))</x:f>
      </x:c>
      <x:c r="I704" s="68" t="str">
        <x:f>IF(B704="","",G704*H704)</x:f>
      </x:c>
      <x:c r="J704" s="52" t="str">
        <x:f>IF(B704="","",IF(G704&lt;0,"NEGATİF BAKİYE","UYGUN"))</x:f>
      </x:c>
    </x:row>
    <x:row r="705">
      <x:c r="B705" s="46"/>
      <x:c r="C705" s="46"/>
      <x:c r="D705" s="46"/>
      <x:c r="E705" s="92"/>
      <x:c r="F705" s="92"/>
      <x:c r="G705" s="93" t="str">
        <x:f>IF(B705="","",E705-F705)</x:f>
      </x:c>
      <x:c r="H705" s="100" t="str">
        <x:f>IF(B705="","",IF(D705="TL",1,IF(D705="USD",KURLAR!$C$9,IF(D705="EUR",KURLAR!$C$10,0))))</x:f>
      </x:c>
      <x:c r="I705" s="68" t="str">
        <x:f>IF(B705="","",G705*H705)</x:f>
      </x:c>
      <x:c r="J705" s="52" t="str">
        <x:f>IF(B705="","",IF(G705&lt;0,"NEGATİF BAKİYE","UYGUN"))</x:f>
      </x:c>
    </x:row>
    <x:row r="706">
      <x:c r="B706" s="46"/>
      <x:c r="C706" s="46"/>
      <x:c r="D706" s="46"/>
      <x:c r="E706" s="92"/>
      <x:c r="F706" s="92"/>
      <x:c r="G706" s="93" t="str">
        <x:f>IF(B706="","",E706-F706)</x:f>
      </x:c>
      <x:c r="H706" s="100" t="str">
        <x:f>IF(B706="","",IF(D706="TL",1,IF(D706="USD",KURLAR!$C$9,IF(D706="EUR",KURLAR!$C$10,0))))</x:f>
      </x:c>
      <x:c r="I706" s="68" t="str">
        <x:f>IF(B706="","",G706*H706)</x:f>
      </x:c>
      <x:c r="J706" s="52" t="str">
        <x:f>IF(B706="","",IF(G706&lt;0,"NEGATİF BAKİYE","UYGUN"))</x:f>
      </x:c>
    </x:row>
    <x:row r="707">
      <x:c r="B707" s="46"/>
      <x:c r="C707" s="46"/>
      <x:c r="D707" s="46"/>
      <x:c r="E707" s="92"/>
      <x:c r="F707" s="92"/>
      <x:c r="G707" s="93" t="str">
        <x:f>IF(B707="","",E707-F707)</x:f>
      </x:c>
      <x:c r="H707" s="100" t="str">
        <x:f>IF(B707="","",IF(D707="TL",1,IF(D707="USD",KURLAR!$C$9,IF(D707="EUR",KURLAR!$C$10,0))))</x:f>
      </x:c>
      <x:c r="I707" s="68" t="str">
        <x:f>IF(B707="","",G707*H707)</x:f>
      </x:c>
      <x:c r="J707" s="52" t="str">
        <x:f>IF(B707="","",IF(G707&lt;0,"NEGATİF BAKİYE","UYGUN"))</x:f>
      </x:c>
    </x:row>
    <x:row r="708">
      <x:c r="B708" s="46"/>
      <x:c r="C708" s="46"/>
      <x:c r="D708" s="46"/>
      <x:c r="E708" s="92"/>
      <x:c r="F708" s="92"/>
      <x:c r="G708" s="93" t="str">
        <x:f>IF(B708="","",E708-F708)</x:f>
      </x:c>
      <x:c r="H708" s="100" t="str">
        <x:f>IF(B708="","",IF(D708="TL",1,IF(D708="USD",KURLAR!$C$9,IF(D708="EUR",KURLAR!$C$10,0))))</x:f>
      </x:c>
      <x:c r="I708" s="68" t="str">
        <x:f>IF(B708="","",G708*H708)</x:f>
      </x:c>
      <x:c r="J708" s="52" t="str">
        <x:f>IF(B708="","",IF(G708&lt;0,"NEGATİF BAKİYE","UYGUN"))</x:f>
      </x:c>
    </x:row>
    <x:row r="709">
      <x:c r="B709" s="46"/>
      <x:c r="C709" s="46"/>
      <x:c r="D709" s="46"/>
      <x:c r="E709" s="92"/>
      <x:c r="F709" s="92"/>
      <x:c r="G709" s="93" t="str">
        <x:f>IF(B709="","",E709-F709)</x:f>
      </x:c>
      <x:c r="H709" s="100" t="str">
        <x:f>IF(B709="","",IF(D709="TL",1,IF(D709="USD",KURLAR!$C$9,IF(D709="EUR",KURLAR!$C$10,0))))</x:f>
      </x:c>
      <x:c r="I709" s="68" t="str">
        <x:f>IF(B709="","",G709*H709)</x:f>
      </x:c>
      <x:c r="J709" s="52" t="str">
        <x:f>IF(B709="","",IF(G709&lt;0,"NEGATİF BAKİYE","UYGUN"))</x:f>
      </x:c>
    </x:row>
    <x:row r="710">
      <x:c r="B710" s="46"/>
      <x:c r="C710" s="46"/>
      <x:c r="D710" s="46"/>
      <x:c r="E710" s="92"/>
      <x:c r="F710" s="92"/>
      <x:c r="G710" s="93" t="str">
        <x:f>IF(B710="","",E710-F710)</x:f>
      </x:c>
      <x:c r="H710" s="100" t="str">
        <x:f>IF(B710="","",IF(D710="TL",1,IF(D710="USD",KURLAR!$C$9,IF(D710="EUR",KURLAR!$C$10,0))))</x:f>
      </x:c>
      <x:c r="I710" s="68" t="str">
        <x:f>IF(B710="","",G710*H710)</x:f>
      </x:c>
      <x:c r="J710" s="52" t="str">
        <x:f>IF(B710="","",IF(G710&lt;0,"NEGATİF BAKİYE","UYGUN"))</x:f>
      </x:c>
    </x:row>
    <x:row r="711">
      <x:c r="B711" s="46"/>
      <x:c r="C711" s="46"/>
      <x:c r="D711" s="46"/>
      <x:c r="E711" s="92"/>
      <x:c r="F711" s="92"/>
      <x:c r="G711" s="93" t="str">
        <x:f>IF(B711="","",E711-F711)</x:f>
      </x:c>
      <x:c r="H711" s="100" t="str">
        <x:f>IF(B711="","",IF(D711="TL",1,IF(D711="USD",KURLAR!$C$9,IF(D711="EUR",KURLAR!$C$10,0))))</x:f>
      </x:c>
      <x:c r="I711" s="68" t="str">
        <x:f>IF(B711="","",G711*H711)</x:f>
      </x:c>
      <x:c r="J711" s="52" t="str">
        <x:f>IF(B711="","",IF(G711&lt;0,"NEGATİF BAKİYE","UYGUN"))</x:f>
      </x:c>
    </x:row>
    <x:row r="712">
      <x:c r="B712" s="46"/>
      <x:c r="C712" s="46"/>
      <x:c r="D712" s="46"/>
      <x:c r="E712" s="92"/>
      <x:c r="F712" s="92"/>
      <x:c r="G712" s="93" t="str">
        <x:f>IF(B712="","",E712-F712)</x:f>
      </x:c>
      <x:c r="H712" s="100" t="str">
        <x:f>IF(B712="","",IF(D712="TL",1,IF(D712="USD",KURLAR!$C$9,IF(D712="EUR",KURLAR!$C$10,0))))</x:f>
      </x:c>
      <x:c r="I712" s="68" t="str">
        <x:f>IF(B712="","",G712*H712)</x:f>
      </x:c>
      <x:c r="J712" s="52" t="str">
        <x:f>IF(B712="","",IF(G712&lt;0,"NEGATİF BAKİYE","UYGUN"))</x:f>
      </x:c>
    </x:row>
    <x:row r="713">
      <x:c r="B713" s="46"/>
      <x:c r="C713" s="46"/>
      <x:c r="D713" s="46"/>
      <x:c r="E713" s="92"/>
      <x:c r="F713" s="92"/>
      <x:c r="G713" s="93" t="str">
        <x:f>IF(B713="","",E713-F713)</x:f>
      </x:c>
      <x:c r="H713" s="100" t="str">
        <x:f>IF(B713="","",IF(D713="TL",1,IF(D713="USD",KURLAR!$C$9,IF(D713="EUR",KURLAR!$C$10,0))))</x:f>
      </x:c>
      <x:c r="I713" s="68" t="str">
        <x:f>IF(B713="","",G713*H713)</x:f>
      </x:c>
      <x:c r="J713" s="52" t="str">
        <x:f>IF(B713="","",IF(G713&lt;0,"NEGATİF BAKİYE","UYGUN"))</x:f>
      </x:c>
    </x:row>
    <x:row r="714">
      <x:c r="B714" s="46"/>
      <x:c r="C714" s="46"/>
      <x:c r="D714" s="46"/>
      <x:c r="E714" s="92"/>
      <x:c r="F714" s="92"/>
      <x:c r="G714" s="93" t="str">
        <x:f>IF(B714="","",E714-F714)</x:f>
      </x:c>
      <x:c r="H714" s="100" t="str">
        <x:f>IF(B714="","",IF(D714="TL",1,IF(D714="USD",KURLAR!$C$9,IF(D714="EUR",KURLAR!$C$10,0))))</x:f>
      </x:c>
      <x:c r="I714" s="68" t="str">
        <x:f>IF(B714="","",G714*H714)</x:f>
      </x:c>
      <x:c r="J714" s="52" t="str">
        <x:f>IF(B714="","",IF(G714&lt;0,"NEGATİF BAKİYE","UYGUN"))</x:f>
      </x:c>
    </x:row>
    <x:row r="715">
      <x:c r="B715" s="46"/>
      <x:c r="C715" s="46"/>
      <x:c r="D715" s="46"/>
      <x:c r="E715" s="92"/>
      <x:c r="F715" s="92"/>
      <x:c r="G715" s="93" t="str">
        <x:f>IF(B715="","",E715-F715)</x:f>
      </x:c>
      <x:c r="H715" s="100" t="str">
        <x:f>IF(B715="","",IF(D715="TL",1,IF(D715="USD",KURLAR!$C$9,IF(D715="EUR",KURLAR!$C$10,0))))</x:f>
      </x:c>
      <x:c r="I715" s="68" t="str">
        <x:f>IF(B715="","",G715*H715)</x:f>
      </x:c>
      <x:c r="J715" s="52" t="str">
        <x:f>IF(B715="","",IF(G715&lt;0,"NEGATİF BAKİYE","UYGUN"))</x:f>
      </x:c>
    </x:row>
    <x:row r="716">
      <x:c r="B716" s="46"/>
      <x:c r="C716" s="46"/>
      <x:c r="D716" s="46"/>
      <x:c r="E716" s="92"/>
      <x:c r="F716" s="92"/>
      <x:c r="G716" s="93" t="str">
        <x:f>IF(B716="","",E716-F716)</x:f>
      </x:c>
      <x:c r="H716" s="100" t="str">
        <x:f>IF(B716="","",IF(D716="TL",1,IF(D716="USD",KURLAR!$C$9,IF(D716="EUR",KURLAR!$C$10,0))))</x:f>
      </x:c>
      <x:c r="I716" s="68" t="str">
        <x:f>IF(B716="","",G716*H716)</x:f>
      </x:c>
      <x:c r="J716" s="52" t="str">
        <x:f>IF(B716="","",IF(G716&lt;0,"NEGATİF BAKİYE","UYGUN"))</x:f>
      </x:c>
    </x:row>
    <x:row r="717">
      <x:c r="B717" s="46"/>
      <x:c r="C717" s="46"/>
      <x:c r="D717" s="46"/>
      <x:c r="E717" s="92"/>
      <x:c r="F717" s="92"/>
      <x:c r="G717" s="93" t="str">
        <x:f>IF(B717="","",E717-F717)</x:f>
      </x:c>
      <x:c r="H717" s="100" t="str">
        <x:f>IF(B717="","",IF(D717="TL",1,IF(D717="USD",KURLAR!$C$9,IF(D717="EUR",KURLAR!$C$10,0))))</x:f>
      </x:c>
      <x:c r="I717" s="68" t="str">
        <x:f>IF(B717="","",G717*H717)</x:f>
      </x:c>
      <x:c r="J717" s="52" t="str">
        <x:f>IF(B717="","",IF(G717&lt;0,"NEGATİF BAKİYE","UYGUN"))</x:f>
      </x:c>
    </x:row>
    <x:row r="718">
      <x:c r="B718" s="46"/>
      <x:c r="C718" s="46"/>
      <x:c r="D718" s="46"/>
      <x:c r="E718" s="92"/>
      <x:c r="F718" s="92"/>
      <x:c r="G718" s="93" t="str">
        <x:f>IF(B718="","",E718-F718)</x:f>
      </x:c>
      <x:c r="H718" s="100" t="str">
        <x:f>IF(B718="","",IF(D718="TL",1,IF(D718="USD",KURLAR!$C$9,IF(D718="EUR",KURLAR!$C$10,0))))</x:f>
      </x:c>
      <x:c r="I718" s="68" t="str">
        <x:f>IF(B718="","",G718*H718)</x:f>
      </x:c>
      <x:c r="J718" s="52" t="str">
        <x:f>IF(B718="","",IF(G718&lt;0,"NEGATİF BAKİYE","UYGUN"))</x:f>
      </x:c>
    </x:row>
    <x:row r="719">
      <x:c r="B719" s="46"/>
      <x:c r="C719" s="46"/>
      <x:c r="D719" s="46"/>
      <x:c r="E719" s="92"/>
      <x:c r="F719" s="92"/>
      <x:c r="G719" s="93" t="str">
        <x:f>IF(B719="","",E719-F719)</x:f>
      </x:c>
      <x:c r="H719" s="100" t="str">
        <x:f>IF(B719="","",IF(D719="TL",1,IF(D719="USD",KURLAR!$C$9,IF(D719="EUR",KURLAR!$C$10,0))))</x:f>
      </x:c>
      <x:c r="I719" s="68" t="str">
        <x:f>IF(B719="","",G719*H719)</x:f>
      </x:c>
      <x:c r="J719" s="52" t="str">
        <x:f>IF(B719="","",IF(G719&lt;0,"NEGATİF BAKİYE","UYGUN"))</x:f>
      </x:c>
    </x:row>
    <x:row r="720">
      <x:c r="B720" s="46"/>
      <x:c r="C720" s="46"/>
      <x:c r="D720" s="46"/>
      <x:c r="E720" s="92"/>
      <x:c r="F720" s="92"/>
      <x:c r="G720" s="93" t="str">
        <x:f>IF(B720="","",E720-F720)</x:f>
      </x:c>
      <x:c r="H720" s="100" t="str">
        <x:f>IF(B720="","",IF(D720="TL",1,IF(D720="USD",KURLAR!$C$9,IF(D720="EUR",KURLAR!$C$10,0))))</x:f>
      </x:c>
      <x:c r="I720" s="68" t="str">
        <x:f>IF(B720="","",G720*H720)</x:f>
      </x:c>
      <x:c r="J720" s="52" t="str">
        <x:f>IF(B720="","",IF(G720&lt;0,"NEGATİF BAKİYE","UYGUN"))</x:f>
      </x:c>
    </x:row>
    <x:row r="721">
      <x:c r="B721" s="46"/>
      <x:c r="C721" s="46"/>
      <x:c r="D721" s="46"/>
      <x:c r="E721" s="92"/>
      <x:c r="F721" s="92"/>
      <x:c r="G721" s="93" t="str">
        <x:f>IF(B721="","",E721-F721)</x:f>
      </x:c>
      <x:c r="H721" s="100" t="str">
        <x:f>IF(B721="","",IF(D721="TL",1,IF(D721="USD",KURLAR!$C$9,IF(D721="EUR",KURLAR!$C$10,0))))</x:f>
      </x:c>
      <x:c r="I721" s="68" t="str">
        <x:f>IF(B721="","",G721*H721)</x:f>
      </x:c>
      <x:c r="J721" s="52" t="str">
        <x:f>IF(B721="","",IF(G721&lt;0,"NEGATİF BAKİYE","UYGUN"))</x:f>
      </x:c>
    </x:row>
    <x:row r="722">
      <x:c r="B722" s="46"/>
      <x:c r="C722" s="46"/>
      <x:c r="D722" s="46"/>
      <x:c r="E722" s="92"/>
      <x:c r="F722" s="92"/>
      <x:c r="G722" s="93" t="str">
        <x:f>IF(B722="","",E722-F722)</x:f>
      </x:c>
      <x:c r="H722" s="100" t="str">
        <x:f>IF(B722="","",IF(D722="TL",1,IF(D722="USD",KURLAR!$C$9,IF(D722="EUR",KURLAR!$C$10,0))))</x:f>
      </x:c>
      <x:c r="I722" s="68" t="str">
        <x:f>IF(B722="","",G722*H722)</x:f>
      </x:c>
      <x:c r="J722" s="52" t="str">
        <x:f>IF(B722="","",IF(G722&lt;0,"NEGATİF BAKİYE","UYGUN"))</x:f>
      </x:c>
    </x:row>
    <x:row r="723">
      <x:c r="B723" s="46"/>
      <x:c r="C723" s="46"/>
      <x:c r="D723" s="46"/>
      <x:c r="E723" s="92"/>
      <x:c r="F723" s="92"/>
      <x:c r="G723" s="93" t="str">
        <x:f>IF(B723="","",E723-F723)</x:f>
      </x:c>
      <x:c r="H723" s="100" t="str">
        <x:f>IF(B723="","",IF(D723="TL",1,IF(D723="USD",KURLAR!$C$9,IF(D723="EUR",KURLAR!$C$10,0))))</x:f>
      </x:c>
      <x:c r="I723" s="68" t="str">
        <x:f>IF(B723="","",G723*H723)</x:f>
      </x:c>
      <x:c r="J723" s="52" t="str">
        <x:f>IF(B723="","",IF(G723&lt;0,"NEGATİF BAKİYE","UYGUN"))</x:f>
      </x:c>
    </x:row>
    <x:row r="724">
      <x:c r="B724" s="46"/>
      <x:c r="C724" s="46"/>
      <x:c r="D724" s="46"/>
      <x:c r="E724" s="92"/>
      <x:c r="F724" s="92"/>
      <x:c r="G724" s="93" t="str">
        <x:f>IF(B724="","",E724-F724)</x:f>
      </x:c>
      <x:c r="H724" s="100" t="str">
        <x:f>IF(B724="","",IF(D724="TL",1,IF(D724="USD",KURLAR!$C$9,IF(D724="EUR",KURLAR!$C$10,0))))</x:f>
      </x:c>
      <x:c r="I724" s="68" t="str">
        <x:f>IF(B724="","",G724*H724)</x:f>
      </x:c>
      <x:c r="J724" s="52" t="str">
        <x:f>IF(B724="","",IF(G724&lt;0,"NEGATİF BAKİYE","UYGUN"))</x:f>
      </x:c>
    </x:row>
    <x:row r="725">
      <x:c r="B725" s="46"/>
      <x:c r="C725" s="46"/>
      <x:c r="D725" s="46"/>
      <x:c r="E725" s="92"/>
      <x:c r="F725" s="92"/>
      <x:c r="G725" s="93" t="str">
        <x:f>IF(B725="","",E725-F725)</x:f>
      </x:c>
      <x:c r="H725" s="100" t="str">
        <x:f>IF(B725="","",IF(D725="TL",1,IF(D725="USD",KURLAR!$C$9,IF(D725="EUR",KURLAR!$C$10,0))))</x:f>
      </x:c>
      <x:c r="I725" s="68" t="str">
        <x:f>IF(B725="","",G725*H725)</x:f>
      </x:c>
      <x:c r="J725" s="52" t="str">
        <x:f>IF(B725="","",IF(G725&lt;0,"NEGATİF BAKİYE","UYGUN"))</x:f>
      </x:c>
    </x:row>
    <x:row r="726">
      <x:c r="B726" s="46"/>
      <x:c r="C726" s="46"/>
      <x:c r="D726" s="46"/>
      <x:c r="E726" s="92"/>
      <x:c r="F726" s="92"/>
      <x:c r="G726" s="93" t="str">
        <x:f>IF(B726="","",E726-F726)</x:f>
      </x:c>
      <x:c r="H726" s="100" t="str">
        <x:f>IF(B726="","",IF(D726="TL",1,IF(D726="USD",KURLAR!$C$9,IF(D726="EUR",KURLAR!$C$10,0))))</x:f>
      </x:c>
      <x:c r="I726" s="68" t="str">
        <x:f>IF(B726="","",G726*H726)</x:f>
      </x:c>
      <x:c r="J726" s="52" t="str">
        <x:f>IF(B726="","",IF(G726&lt;0,"NEGATİF BAKİYE","UYGUN"))</x:f>
      </x:c>
    </x:row>
    <x:row r="727">
      <x:c r="B727" s="46"/>
      <x:c r="C727" s="46"/>
      <x:c r="D727" s="46"/>
      <x:c r="E727" s="92"/>
      <x:c r="F727" s="92"/>
      <x:c r="G727" s="93" t="str">
        <x:f>IF(B727="","",E727-F727)</x:f>
      </x:c>
      <x:c r="H727" s="100" t="str">
        <x:f>IF(B727="","",IF(D727="TL",1,IF(D727="USD",KURLAR!$C$9,IF(D727="EUR",KURLAR!$C$10,0))))</x:f>
      </x:c>
      <x:c r="I727" s="68" t="str">
        <x:f>IF(B727="","",G727*H727)</x:f>
      </x:c>
      <x:c r="J727" s="52" t="str">
        <x:f>IF(B727="","",IF(G727&lt;0,"NEGATİF BAKİYE","UYGUN"))</x:f>
      </x:c>
    </x:row>
    <x:row r="728">
      <x:c r="B728" s="46"/>
      <x:c r="C728" s="46"/>
      <x:c r="D728" s="46"/>
      <x:c r="E728" s="92"/>
      <x:c r="F728" s="92"/>
      <x:c r="G728" s="93" t="str">
        <x:f>IF(B728="","",E728-F728)</x:f>
      </x:c>
      <x:c r="H728" s="100" t="str">
        <x:f>IF(B728="","",IF(D728="TL",1,IF(D728="USD",KURLAR!$C$9,IF(D728="EUR",KURLAR!$C$10,0))))</x:f>
      </x:c>
      <x:c r="I728" s="68" t="str">
        <x:f>IF(B728="","",G728*H728)</x:f>
      </x:c>
      <x:c r="J728" s="52" t="str">
        <x:f>IF(B728="","",IF(G728&lt;0,"NEGATİF BAKİYE","UYGUN"))</x:f>
      </x:c>
    </x:row>
    <x:row r="729">
      <x:c r="B729" s="46"/>
      <x:c r="C729" s="46"/>
      <x:c r="D729" s="46"/>
      <x:c r="E729" s="92"/>
      <x:c r="F729" s="92"/>
      <x:c r="G729" s="93" t="str">
        <x:f>IF(B729="","",E729-F729)</x:f>
      </x:c>
      <x:c r="H729" s="100" t="str">
        <x:f>IF(B729="","",IF(D729="TL",1,IF(D729="USD",KURLAR!$C$9,IF(D729="EUR",KURLAR!$C$10,0))))</x:f>
      </x:c>
      <x:c r="I729" s="68" t="str">
        <x:f>IF(B729="","",G729*H729)</x:f>
      </x:c>
      <x:c r="J729" s="52" t="str">
        <x:f>IF(B729="","",IF(G729&lt;0,"NEGATİF BAKİYE","UYGUN"))</x:f>
      </x:c>
    </x:row>
    <x:row r="730">
      <x:c r="B730" s="46"/>
      <x:c r="C730" s="46"/>
      <x:c r="D730" s="46"/>
      <x:c r="E730" s="92"/>
      <x:c r="F730" s="92"/>
      <x:c r="G730" s="93" t="str">
        <x:f>IF(B730="","",E730-F730)</x:f>
      </x:c>
      <x:c r="H730" s="100" t="str">
        <x:f>IF(B730="","",IF(D730="TL",1,IF(D730="USD",KURLAR!$C$9,IF(D730="EUR",KURLAR!$C$10,0))))</x:f>
      </x:c>
      <x:c r="I730" s="68" t="str">
        <x:f>IF(B730="","",G730*H730)</x:f>
      </x:c>
      <x:c r="J730" s="52" t="str">
        <x:f>IF(B730="","",IF(G730&lt;0,"NEGATİF BAKİYE","UYGUN"))</x:f>
      </x:c>
    </x:row>
    <x:row r="731">
      <x:c r="B731" s="46"/>
      <x:c r="C731" s="46"/>
      <x:c r="D731" s="46"/>
      <x:c r="E731" s="92"/>
      <x:c r="F731" s="92"/>
      <x:c r="G731" s="93" t="str">
        <x:f>IF(B731="","",E731-F731)</x:f>
      </x:c>
      <x:c r="H731" s="100" t="str">
        <x:f>IF(B731="","",IF(D731="TL",1,IF(D731="USD",KURLAR!$C$9,IF(D731="EUR",KURLAR!$C$10,0))))</x:f>
      </x:c>
      <x:c r="I731" s="68" t="str">
        <x:f>IF(B731="","",G731*H731)</x:f>
      </x:c>
      <x:c r="J731" s="52" t="str">
        <x:f>IF(B731="","",IF(G731&lt;0,"NEGATİF BAKİYE","UYGUN"))</x:f>
      </x:c>
    </x:row>
    <x:row r="732">
      <x:c r="B732" s="46"/>
      <x:c r="C732" s="46"/>
      <x:c r="D732" s="46"/>
      <x:c r="E732" s="92"/>
      <x:c r="F732" s="92"/>
      <x:c r="G732" s="93" t="str">
        <x:f>IF(B732="","",E732-F732)</x:f>
      </x:c>
      <x:c r="H732" s="100" t="str">
        <x:f>IF(B732="","",IF(D732="TL",1,IF(D732="USD",KURLAR!$C$9,IF(D732="EUR",KURLAR!$C$10,0))))</x:f>
      </x:c>
      <x:c r="I732" s="68" t="str">
        <x:f>IF(B732="","",G732*H732)</x:f>
      </x:c>
      <x:c r="J732" s="52" t="str">
        <x:f>IF(B732="","",IF(G732&lt;0,"NEGATİF BAKİYE","UYGUN"))</x:f>
      </x:c>
    </x:row>
    <x:row r="733">
      <x:c r="B733" s="46"/>
      <x:c r="C733" s="46"/>
      <x:c r="D733" s="46"/>
      <x:c r="E733" s="92"/>
      <x:c r="F733" s="92"/>
      <x:c r="G733" s="93" t="str">
        <x:f>IF(B733="","",E733-F733)</x:f>
      </x:c>
      <x:c r="H733" s="100" t="str">
        <x:f>IF(B733="","",IF(D733="TL",1,IF(D733="USD",KURLAR!$C$9,IF(D733="EUR",KURLAR!$C$10,0))))</x:f>
      </x:c>
      <x:c r="I733" s="68" t="str">
        <x:f>IF(B733="","",G733*H733)</x:f>
      </x:c>
      <x:c r="J733" s="52" t="str">
        <x:f>IF(B733="","",IF(G733&lt;0,"NEGATİF BAKİYE","UYGUN"))</x:f>
      </x:c>
    </x:row>
    <x:row r="734">
      <x:c r="B734" s="46"/>
      <x:c r="C734" s="46"/>
      <x:c r="D734" s="46"/>
      <x:c r="E734" s="92"/>
      <x:c r="F734" s="92"/>
      <x:c r="G734" s="93" t="str">
        <x:f>IF(B734="","",E734-F734)</x:f>
      </x:c>
      <x:c r="H734" s="100" t="str">
        <x:f>IF(B734="","",IF(D734="TL",1,IF(D734="USD",KURLAR!$C$9,IF(D734="EUR",KURLAR!$C$10,0))))</x:f>
      </x:c>
      <x:c r="I734" s="68" t="str">
        <x:f>IF(B734="","",G734*H734)</x:f>
      </x:c>
      <x:c r="J734" s="52" t="str">
        <x:f>IF(B734="","",IF(G734&lt;0,"NEGATİF BAKİYE","UYGUN"))</x:f>
      </x:c>
    </x:row>
    <x:row r="735">
      <x:c r="B735" s="46"/>
      <x:c r="C735" s="46"/>
      <x:c r="D735" s="46"/>
      <x:c r="E735" s="92"/>
      <x:c r="F735" s="92"/>
      <x:c r="G735" s="93" t="str">
        <x:f>IF(B735="","",E735-F735)</x:f>
      </x:c>
      <x:c r="H735" s="100" t="str">
        <x:f>IF(B735="","",IF(D735="TL",1,IF(D735="USD",KURLAR!$C$9,IF(D735="EUR",KURLAR!$C$10,0))))</x:f>
      </x:c>
      <x:c r="I735" s="68" t="str">
        <x:f>IF(B735="","",G735*H735)</x:f>
      </x:c>
      <x:c r="J735" s="52" t="str">
        <x:f>IF(B735="","",IF(G735&lt;0,"NEGATİF BAKİYE","UYGUN"))</x:f>
      </x:c>
    </x:row>
    <x:row r="736">
      <x:c r="B736" s="46"/>
      <x:c r="C736" s="46"/>
      <x:c r="D736" s="46"/>
      <x:c r="E736" s="92"/>
      <x:c r="F736" s="92"/>
      <x:c r="G736" s="93" t="str">
        <x:f>IF(B736="","",E736-F736)</x:f>
      </x:c>
      <x:c r="H736" s="100" t="str">
        <x:f>IF(B736="","",IF(D736="TL",1,IF(D736="USD",KURLAR!$C$9,IF(D736="EUR",KURLAR!$C$10,0))))</x:f>
      </x:c>
      <x:c r="I736" s="68" t="str">
        <x:f>IF(B736="","",G736*H736)</x:f>
      </x:c>
      <x:c r="J736" s="52" t="str">
        <x:f>IF(B736="","",IF(G736&lt;0,"NEGATİF BAKİYE","UYGUN"))</x:f>
      </x:c>
    </x:row>
    <x:row r="737">
      <x:c r="B737" s="46"/>
      <x:c r="C737" s="46"/>
      <x:c r="D737" s="46"/>
      <x:c r="E737" s="92"/>
      <x:c r="F737" s="92"/>
      <x:c r="G737" s="93" t="str">
        <x:f>IF(B737="","",E737-F737)</x:f>
      </x:c>
      <x:c r="H737" s="100" t="str">
        <x:f>IF(B737="","",IF(D737="TL",1,IF(D737="USD",KURLAR!$C$9,IF(D737="EUR",KURLAR!$C$10,0))))</x:f>
      </x:c>
      <x:c r="I737" s="68" t="str">
        <x:f>IF(B737="","",G737*H737)</x:f>
      </x:c>
      <x:c r="J737" s="52" t="str">
        <x:f>IF(B737="","",IF(G737&lt;0,"NEGATİF BAKİYE","UYGUN"))</x:f>
      </x:c>
    </x:row>
    <x:row r="738">
      <x:c r="B738" s="46"/>
      <x:c r="C738" s="46"/>
      <x:c r="D738" s="46"/>
      <x:c r="E738" s="92"/>
      <x:c r="F738" s="92"/>
      <x:c r="G738" s="93" t="str">
        <x:f>IF(B738="","",E738-F738)</x:f>
      </x:c>
      <x:c r="H738" s="100" t="str">
        <x:f>IF(B738="","",IF(D738="TL",1,IF(D738="USD",KURLAR!$C$9,IF(D738="EUR",KURLAR!$C$10,0))))</x:f>
      </x:c>
      <x:c r="I738" s="68" t="str">
        <x:f>IF(B738="","",G738*H738)</x:f>
      </x:c>
      <x:c r="J738" s="52" t="str">
        <x:f>IF(B738="","",IF(G738&lt;0,"NEGATİF BAKİYE","UYGUN"))</x:f>
      </x:c>
    </x:row>
    <x:row r="739">
      <x:c r="B739" s="46"/>
      <x:c r="C739" s="46"/>
      <x:c r="D739" s="46"/>
      <x:c r="E739" s="92"/>
      <x:c r="F739" s="92"/>
      <x:c r="G739" s="93" t="str">
        <x:f>IF(B739="","",E739-F739)</x:f>
      </x:c>
      <x:c r="H739" s="100" t="str">
        <x:f>IF(B739="","",IF(D739="TL",1,IF(D739="USD",KURLAR!$C$9,IF(D739="EUR",KURLAR!$C$10,0))))</x:f>
      </x:c>
      <x:c r="I739" s="68" t="str">
        <x:f>IF(B739="","",G739*H739)</x:f>
      </x:c>
      <x:c r="J739" s="52" t="str">
        <x:f>IF(B739="","",IF(G739&lt;0,"NEGATİF BAKİYE","UYGUN"))</x:f>
      </x:c>
    </x:row>
    <x:row r="740">
      <x:c r="B740" s="46"/>
      <x:c r="C740" s="46"/>
      <x:c r="D740" s="46"/>
      <x:c r="E740" s="92"/>
      <x:c r="F740" s="92"/>
      <x:c r="G740" s="93" t="str">
        <x:f>IF(B740="","",E740-F740)</x:f>
      </x:c>
      <x:c r="H740" s="100" t="str">
        <x:f>IF(B740="","",IF(D740="TL",1,IF(D740="USD",KURLAR!$C$9,IF(D740="EUR",KURLAR!$C$10,0))))</x:f>
      </x:c>
      <x:c r="I740" s="68" t="str">
        <x:f>IF(B740="","",G740*H740)</x:f>
      </x:c>
      <x:c r="J740" s="52" t="str">
        <x:f>IF(B740="","",IF(G740&lt;0,"NEGATİF BAKİYE","UYGUN"))</x:f>
      </x:c>
    </x:row>
    <x:row r="741">
      <x:c r="B741" s="46"/>
      <x:c r="C741" s="46"/>
      <x:c r="D741" s="46"/>
      <x:c r="E741" s="92"/>
      <x:c r="F741" s="92"/>
      <x:c r="G741" s="93" t="str">
        <x:f>IF(B741="","",E741-F741)</x:f>
      </x:c>
      <x:c r="H741" s="100" t="str">
        <x:f>IF(B741="","",IF(D741="TL",1,IF(D741="USD",KURLAR!$C$9,IF(D741="EUR",KURLAR!$C$10,0))))</x:f>
      </x:c>
      <x:c r="I741" s="68" t="str">
        <x:f>IF(B741="","",G741*H741)</x:f>
      </x:c>
      <x:c r="J741" s="52" t="str">
        <x:f>IF(B741="","",IF(G741&lt;0,"NEGATİF BAKİYE","UYGUN"))</x:f>
      </x:c>
    </x:row>
    <x:row r="742">
      <x:c r="B742" s="46"/>
      <x:c r="C742" s="46"/>
      <x:c r="D742" s="46"/>
      <x:c r="E742" s="92"/>
      <x:c r="F742" s="92"/>
      <x:c r="G742" s="93" t="str">
        <x:f>IF(B742="","",E742-F742)</x:f>
      </x:c>
      <x:c r="H742" s="100" t="str">
        <x:f>IF(B742="","",IF(D742="TL",1,IF(D742="USD",KURLAR!$C$9,IF(D742="EUR",KURLAR!$C$10,0))))</x:f>
      </x:c>
      <x:c r="I742" s="68" t="str">
        <x:f>IF(B742="","",G742*H742)</x:f>
      </x:c>
      <x:c r="J742" s="52" t="str">
        <x:f>IF(B742="","",IF(G742&lt;0,"NEGATİF BAKİYE","UYGUN"))</x:f>
      </x:c>
    </x:row>
    <x:row r="743">
      <x:c r="B743" s="46"/>
      <x:c r="C743" s="46"/>
      <x:c r="D743" s="46"/>
      <x:c r="E743" s="92"/>
      <x:c r="F743" s="92"/>
      <x:c r="G743" s="93" t="str">
        <x:f>IF(B743="","",E743-F743)</x:f>
      </x:c>
      <x:c r="H743" s="100" t="str">
        <x:f>IF(B743="","",IF(D743="TL",1,IF(D743="USD",KURLAR!$C$9,IF(D743="EUR",KURLAR!$C$10,0))))</x:f>
      </x:c>
      <x:c r="I743" s="68" t="str">
        <x:f>IF(B743="","",G743*H743)</x:f>
      </x:c>
      <x:c r="J743" s="52" t="str">
        <x:f>IF(B743="","",IF(G743&lt;0,"NEGATİF BAKİYE","UYGUN"))</x:f>
      </x:c>
    </x:row>
    <x:row r="744">
      <x:c r="B744" s="46"/>
      <x:c r="C744" s="46"/>
      <x:c r="D744" s="46"/>
      <x:c r="E744" s="92"/>
      <x:c r="F744" s="92"/>
      <x:c r="G744" s="93" t="str">
        <x:f>IF(B744="","",E744-F744)</x:f>
      </x:c>
      <x:c r="H744" s="100" t="str">
        <x:f>IF(B744="","",IF(D744="TL",1,IF(D744="USD",KURLAR!$C$9,IF(D744="EUR",KURLAR!$C$10,0))))</x:f>
      </x:c>
      <x:c r="I744" s="68" t="str">
        <x:f>IF(B744="","",G744*H744)</x:f>
      </x:c>
      <x:c r="J744" s="52" t="str">
        <x:f>IF(B744="","",IF(G744&lt;0,"NEGATİF BAKİYE","UYGUN"))</x:f>
      </x:c>
    </x:row>
    <x:row r="745">
      <x:c r="B745" s="46"/>
      <x:c r="C745" s="46"/>
      <x:c r="D745" s="46"/>
      <x:c r="E745" s="92"/>
      <x:c r="F745" s="92"/>
      <x:c r="G745" s="93" t="str">
        <x:f>IF(B745="","",E745-F745)</x:f>
      </x:c>
      <x:c r="H745" s="100" t="str">
        <x:f>IF(B745="","",IF(D745="TL",1,IF(D745="USD",KURLAR!$C$9,IF(D745="EUR",KURLAR!$C$10,0))))</x:f>
      </x:c>
      <x:c r="I745" s="68" t="str">
        <x:f>IF(B745="","",G745*H745)</x:f>
      </x:c>
      <x:c r="J745" s="52" t="str">
        <x:f>IF(B745="","",IF(G745&lt;0,"NEGATİF BAKİYE","UYGUN"))</x:f>
      </x:c>
    </x:row>
    <x:row r="746">
      <x:c r="B746" s="46"/>
      <x:c r="C746" s="46"/>
      <x:c r="D746" s="46"/>
      <x:c r="E746" s="92"/>
      <x:c r="F746" s="92"/>
      <x:c r="G746" s="93" t="str">
        <x:f>IF(B746="","",E746-F746)</x:f>
      </x:c>
      <x:c r="H746" s="100" t="str">
        <x:f>IF(B746="","",IF(D746="TL",1,IF(D746="USD",KURLAR!$C$9,IF(D746="EUR",KURLAR!$C$10,0))))</x:f>
      </x:c>
      <x:c r="I746" s="68" t="str">
        <x:f>IF(B746="","",G746*H746)</x:f>
      </x:c>
      <x:c r="J746" s="52" t="str">
        <x:f>IF(B746="","",IF(G746&lt;0,"NEGATİF BAKİYE","UYGUN"))</x:f>
      </x:c>
    </x:row>
    <x:row r="747">
      <x:c r="B747" s="46"/>
      <x:c r="C747" s="46"/>
      <x:c r="D747" s="46"/>
      <x:c r="E747" s="92"/>
      <x:c r="F747" s="92"/>
      <x:c r="G747" s="93" t="str">
        <x:f>IF(B747="","",E747-F747)</x:f>
      </x:c>
      <x:c r="H747" s="100" t="str">
        <x:f>IF(B747="","",IF(D747="TL",1,IF(D747="USD",KURLAR!$C$9,IF(D747="EUR",KURLAR!$C$10,0))))</x:f>
      </x:c>
      <x:c r="I747" s="68" t="str">
        <x:f>IF(B747="","",G747*H747)</x:f>
      </x:c>
      <x:c r="J747" s="52" t="str">
        <x:f>IF(B747="","",IF(G747&lt;0,"NEGATİF BAKİYE","UYGUN"))</x:f>
      </x:c>
    </x:row>
    <x:row r="748">
      <x:c r="B748" s="46"/>
      <x:c r="C748" s="46"/>
      <x:c r="D748" s="46"/>
      <x:c r="E748" s="92"/>
      <x:c r="F748" s="92"/>
      <x:c r="G748" s="93" t="str">
        <x:f>IF(B748="","",E748-F748)</x:f>
      </x:c>
      <x:c r="H748" s="100" t="str">
        <x:f>IF(B748="","",IF(D748="TL",1,IF(D748="USD",KURLAR!$C$9,IF(D748="EUR",KURLAR!$C$10,0))))</x:f>
      </x:c>
      <x:c r="I748" s="68" t="str">
        <x:f>IF(B748="","",G748*H748)</x:f>
      </x:c>
      <x:c r="J748" s="52" t="str">
        <x:f>IF(B748="","",IF(G748&lt;0,"NEGATİF BAKİYE","UYGUN"))</x:f>
      </x:c>
    </x:row>
    <x:row r="749">
      <x:c r="B749" s="46"/>
      <x:c r="C749" s="46"/>
      <x:c r="D749" s="46"/>
      <x:c r="E749" s="92"/>
      <x:c r="F749" s="92"/>
      <x:c r="G749" s="93" t="str">
        <x:f>IF(B749="","",E749-F749)</x:f>
      </x:c>
      <x:c r="H749" s="100" t="str">
        <x:f>IF(B749="","",IF(D749="TL",1,IF(D749="USD",KURLAR!$C$9,IF(D749="EUR",KURLAR!$C$10,0))))</x:f>
      </x:c>
      <x:c r="I749" s="68" t="str">
        <x:f>IF(B749="","",G749*H749)</x:f>
      </x:c>
      <x:c r="J749" s="52" t="str">
        <x:f>IF(B749="","",IF(G749&lt;0,"NEGATİF BAKİYE","UYGUN"))</x:f>
      </x:c>
    </x:row>
    <x:row r="750">
      <x:c r="B750" s="46"/>
      <x:c r="C750" s="46"/>
      <x:c r="D750" s="46"/>
      <x:c r="E750" s="92"/>
      <x:c r="F750" s="92"/>
      <x:c r="G750" s="93" t="str">
        <x:f>IF(B750="","",E750-F750)</x:f>
      </x:c>
      <x:c r="H750" s="100" t="str">
        <x:f>IF(B750="","",IF(D750="TL",1,IF(D750="USD",KURLAR!$C$9,IF(D750="EUR",KURLAR!$C$10,0))))</x:f>
      </x:c>
      <x:c r="I750" s="68" t="str">
        <x:f>IF(B750="","",G750*H750)</x:f>
      </x:c>
      <x:c r="J750" s="52" t="str">
        <x:f>IF(B750="","",IF(G750&lt;0,"NEGATİF BAKİYE","UYGUN"))</x:f>
      </x:c>
    </x:row>
    <x:row r="751">
      <x:c r="B751" s="46"/>
      <x:c r="C751" s="46"/>
      <x:c r="D751" s="46"/>
      <x:c r="E751" s="92"/>
      <x:c r="F751" s="92"/>
      <x:c r="G751" s="93" t="str">
        <x:f>IF(B751="","",E751-F751)</x:f>
      </x:c>
      <x:c r="H751" s="100" t="str">
        <x:f>IF(B751="","",IF(D751="TL",1,IF(D751="USD",KURLAR!$C$9,IF(D751="EUR",KURLAR!$C$10,0))))</x:f>
      </x:c>
      <x:c r="I751" s="68" t="str">
        <x:f>IF(B751="","",G751*H751)</x:f>
      </x:c>
      <x:c r="J751" s="52" t="str">
        <x:f>IF(B751="","",IF(G751&lt;0,"NEGATİF BAKİYE","UYGUN"))</x:f>
      </x:c>
    </x:row>
    <x:row r="752">
      <x:c r="B752" s="46"/>
      <x:c r="C752" s="46"/>
      <x:c r="D752" s="46"/>
      <x:c r="E752" s="92"/>
      <x:c r="F752" s="92"/>
      <x:c r="G752" s="93" t="str">
        <x:f>IF(B752="","",E752-F752)</x:f>
      </x:c>
      <x:c r="H752" s="100" t="str">
        <x:f>IF(B752="","",IF(D752="TL",1,IF(D752="USD",KURLAR!$C$9,IF(D752="EUR",KURLAR!$C$10,0))))</x:f>
      </x:c>
      <x:c r="I752" s="68" t="str">
        <x:f>IF(B752="","",G752*H752)</x:f>
      </x:c>
      <x:c r="J752" s="52" t="str">
        <x:f>IF(B752="","",IF(G752&lt;0,"NEGATİF BAKİYE","UYGUN"))</x:f>
      </x:c>
    </x:row>
    <x:row r="753">
      <x:c r="B753" s="46"/>
      <x:c r="C753" s="46"/>
      <x:c r="D753" s="46"/>
      <x:c r="E753" s="92"/>
      <x:c r="F753" s="92"/>
      <x:c r="G753" s="93" t="str">
        <x:f>IF(B753="","",E753-F753)</x:f>
      </x:c>
      <x:c r="H753" s="100" t="str">
        <x:f>IF(B753="","",IF(D753="TL",1,IF(D753="USD",KURLAR!$C$9,IF(D753="EUR",KURLAR!$C$10,0))))</x:f>
      </x:c>
      <x:c r="I753" s="68" t="str">
        <x:f>IF(B753="","",G753*H753)</x:f>
      </x:c>
      <x:c r="J753" s="52" t="str">
        <x:f>IF(B753="","",IF(G753&lt;0,"NEGATİF BAKİYE","UYGUN"))</x:f>
      </x:c>
    </x:row>
    <x:row r="754">
      <x:c r="B754" s="46"/>
      <x:c r="C754" s="46"/>
      <x:c r="D754" s="46"/>
      <x:c r="E754" s="92"/>
      <x:c r="F754" s="92"/>
      <x:c r="G754" s="93" t="str">
        <x:f>IF(B754="","",E754-F754)</x:f>
      </x:c>
      <x:c r="H754" s="100" t="str">
        <x:f>IF(B754="","",IF(D754="TL",1,IF(D754="USD",KURLAR!$C$9,IF(D754="EUR",KURLAR!$C$10,0))))</x:f>
      </x:c>
      <x:c r="I754" s="68" t="str">
        <x:f>IF(B754="","",G754*H754)</x:f>
      </x:c>
      <x:c r="J754" s="52" t="str">
        <x:f>IF(B754="","",IF(G754&lt;0,"NEGATİF BAKİYE","UYGUN"))</x:f>
      </x:c>
    </x:row>
    <x:row r="755">
      <x:c r="B755" s="46"/>
      <x:c r="C755" s="46"/>
      <x:c r="D755" s="46"/>
      <x:c r="E755" s="92"/>
      <x:c r="F755" s="92"/>
      <x:c r="G755" s="93" t="str">
        <x:f>IF(B755="","",E755-F755)</x:f>
      </x:c>
      <x:c r="H755" s="100" t="str">
        <x:f>IF(B755="","",IF(D755="TL",1,IF(D755="USD",KURLAR!$C$9,IF(D755="EUR",KURLAR!$C$10,0))))</x:f>
      </x:c>
      <x:c r="I755" s="68" t="str">
        <x:f>IF(B755="","",G755*H755)</x:f>
      </x:c>
      <x:c r="J755" s="52" t="str">
        <x:f>IF(B755="","",IF(G755&lt;0,"NEGATİF BAKİYE","UYGUN"))</x:f>
      </x:c>
    </x:row>
    <x:row r="756">
      <x:c r="B756" s="46"/>
      <x:c r="C756" s="46"/>
      <x:c r="D756" s="46"/>
      <x:c r="E756" s="92"/>
      <x:c r="F756" s="92"/>
      <x:c r="G756" s="93" t="str">
        <x:f>IF(B756="","",E756-F756)</x:f>
      </x:c>
      <x:c r="H756" s="100" t="str">
        <x:f>IF(B756="","",IF(D756="TL",1,IF(D756="USD",KURLAR!$C$9,IF(D756="EUR",KURLAR!$C$10,0))))</x:f>
      </x:c>
      <x:c r="I756" s="68" t="str">
        <x:f>IF(B756="","",G756*H756)</x:f>
      </x:c>
      <x:c r="J756" s="52" t="str">
        <x:f>IF(B756="","",IF(G756&lt;0,"NEGATİF BAKİYE","UYGUN"))</x:f>
      </x:c>
    </x:row>
    <x:row r="757">
      <x:c r="B757" s="46"/>
      <x:c r="C757" s="46"/>
      <x:c r="D757" s="46"/>
      <x:c r="E757" s="92"/>
      <x:c r="F757" s="92"/>
      <x:c r="G757" s="93" t="str">
        <x:f>IF(B757="","",E757-F757)</x:f>
      </x:c>
      <x:c r="H757" s="100" t="str">
        <x:f>IF(B757="","",IF(D757="TL",1,IF(D757="USD",KURLAR!$C$9,IF(D757="EUR",KURLAR!$C$10,0))))</x:f>
      </x:c>
      <x:c r="I757" s="68" t="str">
        <x:f>IF(B757="","",G757*H757)</x:f>
      </x:c>
      <x:c r="J757" s="52" t="str">
        <x:f>IF(B757="","",IF(G757&lt;0,"NEGATİF BAKİYE","UYGUN"))</x:f>
      </x:c>
    </x:row>
    <x:row r="758">
      <x:c r="B758" s="46"/>
      <x:c r="C758" s="46"/>
      <x:c r="D758" s="46"/>
      <x:c r="E758" s="92"/>
      <x:c r="F758" s="92"/>
      <x:c r="G758" s="93" t="str">
        <x:f>IF(B758="","",E758-F758)</x:f>
      </x:c>
      <x:c r="H758" s="100" t="str">
        <x:f>IF(B758="","",IF(D758="TL",1,IF(D758="USD",KURLAR!$C$9,IF(D758="EUR",KURLAR!$C$10,0))))</x:f>
      </x:c>
      <x:c r="I758" s="68" t="str">
        <x:f>IF(B758="","",G758*H758)</x:f>
      </x:c>
      <x:c r="J758" s="52" t="str">
        <x:f>IF(B758="","",IF(G758&lt;0,"NEGATİF BAKİYE","UYGUN"))</x:f>
      </x:c>
    </x:row>
    <x:row r="759">
      <x:c r="B759" s="46"/>
      <x:c r="C759" s="46"/>
      <x:c r="D759" s="46"/>
      <x:c r="E759" s="92"/>
      <x:c r="F759" s="92"/>
      <x:c r="G759" s="93" t="str">
        <x:f>IF(B759="","",E759-F759)</x:f>
      </x:c>
      <x:c r="H759" s="100" t="str">
        <x:f>IF(B759="","",IF(D759="TL",1,IF(D759="USD",KURLAR!$C$9,IF(D759="EUR",KURLAR!$C$10,0))))</x:f>
      </x:c>
      <x:c r="I759" s="68" t="str">
        <x:f>IF(B759="","",G759*H759)</x:f>
      </x:c>
      <x:c r="J759" s="52" t="str">
        <x:f>IF(B759="","",IF(G759&lt;0,"NEGATİF BAKİYE","UYGUN"))</x:f>
      </x:c>
    </x:row>
    <x:row r="760">
      <x:c r="B760" s="46"/>
      <x:c r="C760" s="46"/>
      <x:c r="D760" s="46"/>
      <x:c r="E760" s="92"/>
      <x:c r="F760" s="92"/>
      <x:c r="G760" s="93" t="str">
        <x:f>IF(B760="","",E760-F760)</x:f>
      </x:c>
      <x:c r="H760" s="100" t="str">
        <x:f>IF(B760="","",IF(D760="TL",1,IF(D760="USD",KURLAR!$C$9,IF(D760="EUR",KURLAR!$C$10,0))))</x:f>
      </x:c>
      <x:c r="I760" s="68" t="str">
        <x:f>IF(B760="","",G760*H760)</x:f>
      </x:c>
      <x:c r="J760" s="52" t="str">
        <x:f>IF(B760="","",IF(G760&lt;0,"NEGATİF BAKİYE","UYGUN"))</x:f>
      </x:c>
    </x:row>
    <x:row r="761">
      <x:c r="B761" s="46"/>
      <x:c r="C761" s="46"/>
      <x:c r="D761" s="46"/>
      <x:c r="E761" s="92"/>
      <x:c r="F761" s="92"/>
      <x:c r="G761" s="93" t="str">
        <x:f>IF(B761="","",E761-F761)</x:f>
      </x:c>
      <x:c r="H761" s="100" t="str">
        <x:f>IF(B761="","",IF(D761="TL",1,IF(D761="USD",KURLAR!$C$9,IF(D761="EUR",KURLAR!$C$10,0))))</x:f>
      </x:c>
      <x:c r="I761" s="68" t="str">
        <x:f>IF(B761="","",G761*H761)</x:f>
      </x:c>
      <x:c r="J761" s="52" t="str">
        <x:f>IF(B761="","",IF(G761&lt;0,"NEGATİF BAKİYE","UYGUN"))</x:f>
      </x:c>
    </x:row>
    <x:row r="762">
      <x:c r="B762" s="46"/>
      <x:c r="C762" s="46"/>
      <x:c r="D762" s="46"/>
      <x:c r="E762" s="92"/>
      <x:c r="F762" s="92"/>
      <x:c r="G762" s="93" t="str">
        <x:f>IF(B762="","",E762-F762)</x:f>
      </x:c>
      <x:c r="H762" s="100" t="str">
        <x:f>IF(B762="","",IF(D762="TL",1,IF(D762="USD",KURLAR!$C$9,IF(D762="EUR",KURLAR!$C$10,0))))</x:f>
      </x:c>
      <x:c r="I762" s="68" t="str">
        <x:f>IF(B762="","",G762*H762)</x:f>
      </x:c>
      <x:c r="J762" s="52" t="str">
        <x:f>IF(B762="","",IF(G762&lt;0,"NEGATİF BAKİYE","UYGUN"))</x:f>
      </x:c>
    </x:row>
    <x:row r="763">
      <x:c r="B763" s="46"/>
      <x:c r="C763" s="46"/>
      <x:c r="D763" s="46"/>
      <x:c r="E763" s="92"/>
      <x:c r="F763" s="92"/>
      <x:c r="G763" s="93" t="str">
        <x:f>IF(B763="","",E763-F763)</x:f>
      </x:c>
      <x:c r="H763" s="100" t="str">
        <x:f>IF(B763="","",IF(D763="TL",1,IF(D763="USD",KURLAR!$C$9,IF(D763="EUR",KURLAR!$C$10,0))))</x:f>
      </x:c>
      <x:c r="I763" s="68" t="str">
        <x:f>IF(B763="","",G763*H763)</x:f>
      </x:c>
      <x:c r="J763" s="52" t="str">
        <x:f>IF(B763="","",IF(G763&lt;0,"NEGATİF BAKİYE","UYGUN"))</x:f>
      </x:c>
    </x:row>
    <x:row r="764">
      <x:c r="B764" s="46"/>
      <x:c r="C764" s="46"/>
      <x:c r="D764" s="46"/>
      <x:c r="E764" s="92"/>
      <x:c r="F764" s="92"/>
      <x:c r="G764" s="93" t="str">
        <x:f>IF(B764="","",E764-F764)</x:f>
      </x:c>
      <x:c r="H764" s="100" t="str">
        <x:f>IF(B764="","",IF(D764="TL",1,IF(D764="USD",KURLAR!$C$9,IF(D764="EUR",KURLAR!$C$10,0))))</x:f>
      </x:c>
      <x:c r="I764" s="68" t="str">
        <x:f>IF(B764="","",G764*H764)</x:f>
      </x:c>
      <x:c r="J764" s="52" t="str">
        <x:f>IF(B764="","",IF(G764&lt;0,"NEGATİF BAKİYE","UYGUN"))</x:f>
      </x:c>
    </x:row>
    <x:row r="765">
      <x:c r="B765" s="46"/>
      <x:c r="C765" s="46"/>
      <x:c r="D765" s="46"/>
      <x:c r="E765" s="92"/>
      <x:c r="F765" s="92"/>
      <x:c r="G765" s="93" t="str">
        <x:f>IF(B765="","",E765-F765)</x:f>
      </x:c>
      <x:c r="H765" s="100" t="str">
        <x:f>IF(B765="","",IF(D765="TL",1,IF(D765="USD",KURLAR!$C$9,IF(D765="EUR",KURLAR!$C$10,0))))</x:f>
      </x:c>
      <x:c r="I765" s="68" t="str">
        <x:f>IF(B765="","",G765*H765)</x:f>
      </x:c>
      <x:c r="J765" s="52" t="str">
        <x:f>IF(B765="","",IF(G765&lt;0,"NEGATİF BAKİYE","UYGUN"))</x:f>
      </x:c>
    </x:row>
    <x:row r="766">
      <x:c r="B766" s="46"/>
      <x:c r="C766" s="46"/>
      <x:c r="D766" s="46"/>
      <x:c r="E766" s="92"/>
      <x:c r="F766" s="92"/>
      <x:c r="G766" s="93" t="str">
        <x:f>IF(B766="","",E766-F766)</x:f>
      </x:c>
      <x:c r="H766" s="100" t="str">
        <x:f>IF(B766="","",IF(D766="TL",1,IF(D766="USD",KURLAR!$C$9,IF(D766="EUR",KURLAR!$C$10,0))))</x:f>
      </x:c>
      <x:c r="I766" s="68" t="str">
        <x:f>IF(B766="","",G766*H766)</x:f>
      </x:c>
      <x:c r="J766" s="52" t="str">
        <x:f>IF(B766="","",IF(G766&lt;0,"NEGATİF BAKİYE","UYGUN"))</x:f>
      </x:c>
    </x:row>
    <x:row r="767">
      <x:c r="B767" s="46"/>
      <x:c r="C767" s="46"/>
      <x:c r="D767" s="46"/>
      <x:c r="E767" s="92"/>
      <x:c r="F767" s="92"/>
      <x:c r="G767" s="93" t="str">
        <x:f>IF(B767="","",E767-F767)</x:f>
      </x:c>
      <x:c r="H767" s="100" t="str">
        <x:f>IF(B767="","",IF(D767="TL",1,IF(D767="USD",KURLAR!$C$9,IF(D767="EUR",KURLAR!$C$10,0))))</x:f>
      </x:c>
      <x:c r="I767" s="68" t="str">
        <x:f>IF(B767="","",G767*H767)</x:f>
      </x:c>
      <x:c r="J767" s="52" t="str">
        <x:f>IF(B767="","",IF(G767&lt;0,"NEGATİF BAKİYE","UYGUN"))</x:f>
      </x:c>
    </x:row>
    <x:row r="768">
      <x:c r="B768" s="46"/>
      <x:c r="C768" s="46"/>
      <x:c r="D768" s="46"/>
      <x:c r="E768" s="92"/>
      <x:c r="F768" s="92"/>
      <x:c r="G768" s="93" t="str">
        <x:f>IF(B768="","",E768-F768)</x:f>
      </x:c>
      <x:c r="H768" s="100" t="str">
        <x:f>IF(B768="","",IF(D768="TL",1,IF(D768="USD",KURLAR!$C$9,IF(D768="EUR",KURLAR!$C$10,0))))</x:f>
      </x:c>
      <x:c r="I768" s="68" t="str">
        <x:f>IF(B768="","",G768*H768)</x:f>
      </x:c>
      <x:c r="J768" s="52" t="str">
        <x:f>IF(B768="","",IF(G768&lt;0,"NEGATİF BAKİYE","UYGUN"))</x:f>
      </x:c>
    </x:row>
    <x:row r="769">
      <x:c r="B769" s="46"/>
      <x:c r="C769" s="46"/>
      <x:c r="D769" s="46"/>
      <x:c r="E769" s="92"/>
      <x:c r="F769" s="92"/>
      <x:c r="G769" s="93" t="str">
        <x:f>IF(B769="","",E769-F769)</x:f>
      </x:c>
      <x:c r="H769" s="100" t="str">
        <x:f>IF(B769="","",IF(D769="TL",1,IF(D769="USD",KURLAR!$C$9,IF(D769="EUR",KURLAR!$C$10,0))))</x:f>
      </x:c>
      <x:c r="I769" s="68" t="str">
        <x:f>IF(B769="","",G769*H769)</x:f>
      </x:c>
      <x:c r="J769" s="52" t="str">
        <x:f>IF(B769="","",IF(G769&lt;0,"NEGATİF BAKİYE","UYGUN"))</x:f>
      </x:c>
    </x:row>
    <x:row r="770">
      <x:c r="B770" s="46"/>
      <x:c r="C770" s="46"/>
      <x:c r="D770" s="46"/>
      <x:c r="E770" s="92"/>
      <x:c r="F770" s="92"/>
      <x:c r="G770" s="93" t="str">
        <x:f>IF(B770="","",E770-F770)</x:f>
      </x:c>
      <x:c r="H770" s="100" t="str">
        <x:f>IF(B770="","",IF(D770="TL",1,IF(D770="USD",KURLAR!$C$9,IF(D770="EUR",KURLAR!$C$10,0))))</x:f>
      </x:c>
      <x:c r="I770" s="68" t="str">
        <x:f>IF(B770="","",G770*H770)</x:f>
      </x:c>
      <x:c r="J770" s="52" t="str">
        <x:f>IF(B770="","",IF(G770&lt;0,"NEGATİF BAKİYE","UYGUN"))</x:f>
      </x:c>
    </x:row>
    <x:row r="771">
      <x:c r="B771" s="46"/>
      <x:c r="C771" s="46"/>
      <x:c r="D771" s="46"/>
      <x:c r="E771" s="92"/>
      <x:c r="F771" s="92"/>
      <x:c r="G771" s="93" t="str">
        <x:f>IF(B771="","",E771-F771)</x:f>
      </x:c>
      <x:c r="H771" s="100" t="str">
        <x:f>IF(B771="","",IF(D771="TL",1,IF(D771="USD",KURLAR!$C$9,IF(D771="EUR",KURLAR!$C$10,0))))</x:f>
      </x:c>
      <x:c r="I771" s="68" t="str">
        <x:f>IF(B771="","",G771*H771)</x:f>
      </x:c>
      <x:c r="J771" s="52" t="str">
        <x:f>IF(B771="","",IF(G771&lt;0,"NEGATİF BAKİYE","UYGUN"))</x:f>
      </x:c>
    </x:row>
    <x:row r="772">
      <x:c r="B772" s="46"/>
      <x:c r="C772" s="46"/>
      <x:c r="D772" s="46"/>
      <x:c r="E772" s="92"/>
      <x:c r="F772" s="92"/>
      <x:c r="G772" s="93" t="str">
        <x:f>IF(B772="","",E772-F772)</x:f>
      </x:c>
      <x:c r="H772" s="100" t="str">
        <x:f>IF(B772="","",IF(D772="TL",1,IF(D772="USD",KURLAR!$C$9,IF(D772="EUR",KURLAR!$C$10,0))))</x:f>
      </x:c>
      <x:c r="I772" s="68" t="str">
        <x:f>IF(B772="","",G772*H772)</x:f>
      </x:c>
      <x:c r="J772" s="52" t="str">
        <x:f>IF(B772="","",IF(G772&lt;0,"NEGATİF BAKİYE","UYGUN"))</x:f>
      </x:c>
    </x:row>
    <x:row r="773">
      <x:c r="B773" s="46"/>
      <x:c r="C773" s="46"/>
      <x:c r="D773" s="46"/>
      <x:c r="E773" s="92"/>
      <x:c r="F773" s="92"/>
      <x:c r="G773" s="93" t="str">
        <x:f>IF(B773="","",E773-F773)</x:f>
      </x:c>
      <x:c r="H773" s="100" t="str">
        <x:f>IF(B773="","",IF(D773="TL",1,IF(D773="USD",KURLAR!$C$9,IF(D773="EUR",KURLAR!$C$10,0))))</x:f>
      </x:c>
      <x:c r="I773" s="68" t="str">
        <x:f>IF(B773="","",G773*H773)</x:f>
      </x:c>
      <x:c r="J773" s="52" t="str">
        <x:f>IF(B773="","",IF(G773&lt;0,"NEGATİF BAKİYE","UYGUN"))</x:f>
      </x:c>
    </x:row>
    <x:row r="774">
      <x:c r="B774" s="46"/>
      <x:c r="C774" s="46"/>
      <x:c r="D774" s="46"/>
      <x:c r="E774" s="92"/>
      <x:c r="F774" s="92"/>
      <x:c r="G774" s="93" t="str">
        <x:f>IF(B774="","",E774-F774)</x:f>
      </x:c>
      <x:c r="H774" s="100" t="str">
        <x:f>IF(B774="","",IF(D774="TL",1,IF(D774="USD",KURLAR!$C$9,IF(D774="EUR",KURLAR!$C$10,0))))</x:f>
      </x:c>
      <x:c r="I774" s="68" t="str">
        <x:f>IF(B774="","",G774*H774)</x:f>
      </x:c>
      <x:c r="J774" s="52" t="str">
        <x:f>IF(B774="","",IF(G774&lt;0,"NEGATİF BAKİYE","UYGUN"))</x:f>
      </x:c>
    </x:row>
    <x:row r="775">
      <x:c r="B775" s="46"/>
      <x:c r="C775" s="46"/>
      <x:c r="D775" s="46"/>
      <x:c r="E775" s="92"/>
      <x:c r="F775" s="92"/>
      <x:c r="G775" s="93" t="str">
        <x:f>IF(B775="","",E775-F775)</x:f>
      </x:c>
      <x:c r="H775" s="100" t="str">
        <x:f>IF(B775="","",IF(D775="TL",1,IF(D775="USD",KURLAR!$C$9,IF(D775="EUR",KURLAR!$C$10,0))))</x:f>
      </x:c>
      <x:c r="I775" s="68" t="str">
        <x:f>IF(B775="","",G775*H775)</x:f>
      </x:c>
      <x:c r="J775" s="52" t="str">
        <x:f>IF(B775="","",IF(G775&lt;0,"NEGATİF BAKİYE","UYGUN"))</x:f>
      </x:c>
    </x:row>
    <x:row r="776">
      <x:c r="B776" s="46"/>
      <x:c r="C776" s="46"/>
      <x:c r="D776" s="46"/>
      <x:c r="E776" s="92"/>
      <x:c r="F776" s="92"/>
      <x:c r="G776" s="93" t="str">
        <x:f>IF(B776="","",E776-F776)</x:f>
      </x:c>
      <x:c r="H776" s="100" t="str">
        <x:f>IF(B776="","",IF(D776="TL",1,IF(D776="USD",KURLAR!$C$9,IF(D776="EUR",KURLAR!$C$10,0))))</x:f>
      </x:c>
      <x:c r="I776" s="68" t="str">
        <x:f>IF(B776="","",G776*H776)</x:f>
      </x:c>
      <x:c r="J776" s="52" t="str">
        <x:f>IF(B776="","",IF(G776&lt;0,"NEGATİF BAKİYE","UYGUN"))</x:f>
      </x:c>
    </x:row>
    <x:row r="777">
      <x:c r="B777" s="46"/>
      <x:c r="C777" s="46"/>
      <x:c r="D777" s="46"/>
      <x:c r="E777" s="92"/>
      <x:c r="F777" s="92"/>
      <x:c r="G777" s="93" t="str">
        <x:f>IF(B777="","",E777-F777)</x:f>
      </x:c>
      <x:c r="H777" s="100" t="str">
        <x:f>IF(B777="","",IF(D777="TL",1,IF(D777="USD",KURLAR!$C$9,IF(D777="EUR",KURLAR!$C$10,0))))</x:f>
      </x:c>
      <x:c r="I777" s="68" t="str">
        <x:f>IF(B777="","",G777*H777)</x:f>
      </x:c>
      <x:c r="J777" s="52" t="str">
        <x:f>IF(B777="","",IF(G777&lt;0,"NEGATİF BAKİYE","UYGUN"))</x:f>
      </x:c>
    </x:row>
    <x:row r="778">
      <x:c r="B778" s="46"/>
      <x:c r="C778" s="46"/>
      <x:c r="D778" s="46"/>
      <x:c r="E778" s="92"/>
      <x:c r="F778" s="92"/>
      <x:c r="G778" s="93" t="str">
        <x:f>IF(B778="","",E778-F778)</x:f>
      </x:c>
      <x:c r="H778" s="100" t="str">
        <x:f>IF(B778="","",IF(D778="TL",1,IF(D778="USD",KURLAR!$C$9,IF(D778="EUR",KURLAR!$C$10,0))))</x:f>
      </x:c>
      <x:c r="I778" s="68" t="str">
        <x:f>IF(B778="","",G778*H778)</x:f>
      </x:c>
      <x:c r="J778" s="52" t="str">
        <x:f>IF(B778="","",IF(G778&lt;0,"NEGATİF BAKİYE","UYGUN"))</x:f>
      </x:c>
    </x:row>
    <x:row r="779">
      <x:c r="B779" s="46"/>
      <x:c r="C779" s="46"/>
      <x:c r="D779" s="46"/>
      <x:c r="E779" s="92"/>
      <x:c r="F779" s="92"/>
      <x:c r="G779" s="93" t="str">
        <x:f>IF(B779="","",E779-F779)</x:f>
      </x:c>
      <x:c r="H779" s="100" t="str">
        <x:f>IF(B779="","",IF(D779="TL",1,IF(D779="USD",KURLAR!$C$9,IF(D779="EUR",KURLAR!$C$10,0))))</x:f>
      </x:c>
      <x:c r="I779" s="68" t="str">
        <x:f>IF(B779="","",G779*H779)</x:f>
      </x:c>
      <x:c r="J779" s="52" t="str">
        <x:f>IF(B779="","",IF(G779&lt;0,"NEGATİF BAKİYE","UYGUN"))</x:f>
      </x:c>
    </x:row>
    <x:row r="780">
      <x:c r="B780" s="46"/>
      <x:c r="C780" s="46"/>
      <x:c r="D780" s="46"/>
      <x:c r="E780" s="92"/>
      <x:c r="F780" s="92"/>
      <x:c r="G780" s="93" t="str">
        <x:f>IF(B780="","",E780-F780)</x:f>
      </x:c>
      <x:c r="H780" s="100" t="str">
        <x:f>IF(B780="","",IF(D780="TL",1,IF(D780="USD",KURLAR!$C$9,IF(D780="EUR",KURLAR!$C$10,0))))</x:f>
      </x:c>
      <x:c r="I780" s="68" t="str">
        <x:f>IF(B780="","",G780*H780)</x:f>
      </x:c>
      <x:c r="J780" s="52" t="str">
        <x:f>IF(B780="","",IF(G780&lt;0,"NEGATİF BAKİYE","UYGUN"))</x:f>
      </x:c>
    </x:row>
    <x:row r="781">
      <x:c r="B781" s="46"/>
      <x:c r="C781" s="46"/>
      <x:c r="D781" s="46"/>
      <x:c r="E781" s="92"/>
      <x:c r="F781" s="92"/>
      <x:c r="G781" s="93" t="str">
        <x:f>IF(B781="","",E781-F781)</x:f>
      </x:c>
      <x:c r="H781" s="100" t="str">
        <x:f>IF(B781="","",IF(D781="TL",1,IF(D781="USD",KURLAR!$C$9,IF(D781="EUR",KURLAR!$C$10,0))))</x:f>
      </x:c>
      <x:c r="I781" s="68" t="str">
        <x:f>IF(B781="","",G781*H781)</x:f>
      </x:c>
      <x:c r="J781" s="52" t="str">
        <x:f>IF(B781="","",IF(G781&lt;0,"NEGATİF BAKİYE","UYGUN"))</x:f>
      </x:c>
    </x:row>
    <x:row r="782">
      <x:c r="B782" s="46"/>
      <x:c r="C782" s="46"/>
      <x:c r="D782" s="46"/>
      <x:c r="E782" s="92"/>
      <x:c r="F782" s="92"/>
      <x:c r="G782" s="93" t="str">
        <x:f>IF(B782="","",E782-F782)</x:f>
      </x:c>
      <x:c r="H782" s="100" t="str">
        <x:f>IF(B782="","",IF(D782="TL",1,IF(D782="USD",KURLAR!$C$9,IF(D782="EUR",KURLAR!$C$10,0))))</x:f>
      </x:c>
      <x:c r="I782" s="68" t="str">
        <x:f>IF(B782="","",G782*H782)</x:f>
      </x:c>
      <x:c r="J782" s="52" t="str">
        <x:f>IF(B782="","",IF(G782&lt;0,"NEGATİF BAKİYE","UYGUN"))</x:f>
      </x:c>
    </x:row>
    <x:row r="783">
      <x:c r="B783" s="46"/>
      <x:c r="C783" s="46"/>
      <x:c r="D783" s="46"/>
      <x:c r="E783" s="92"/>
      <x:c r="F783" s="92"/>
      <x:c r="G783" s="93" t="str">
        <x:f>IF(B783="","",E783-F783)</x:f>
      </x:c>
      <x:c r="H783" s="100" t="str">
        <x:f>IF(B783="","",IF(D783="TL",1,IF(D783="USD",KURLAR!$C$9,IF(D783="EUR",KURLAR!$C$10,0))))</x:f>
      </x:c>
      <x:c r="I783" s="68" t="str">
        <x:f>IF(B783="","",G783*H783)</x:f>
      </x:c>
      <x:c r="J783" s="52" t="str">
        <x:f>IF(B783="","",IF(G783&lt;0,"NEGATİF BAKİYE","UYGUN"))</x:f>
      </x:c>
    </x:row>
    <x:row r="784">
      <x:c r="B784" s="46"/>
      <x:c r="C784" s="46"/>
      <x:c r="D784" s="46"/>
      <x:c r="E784" s="92"/>
      <x:c r="F784" s="92"/>
      <x:c r="G784" s="93" t="str">
        <x:f>IF(B784="","",E784-F784)</x:f>
      </x:c>
      <x:c r="H784" s="100" t="str">
        <x:f>IF(B784="","",IF(D784="TL",1,IF(D784="USD",KURLAR!$C$9,IF(D784="EUR",KURLAR!$C$10,0))))</x:f>
      </x:c>
      <x:c r="I784" s="68" t="str">
        <x:f>IF(B784="","",G784*H784)</x:f>
      </x:c>
      <x:c r="J784" s="52" t="str">
        <x:f>IF(B784="","",IF(G784&lt;0,"NEGATİF BAKİYE","UYGUN"))</x:f>
      </x:c>
    </x:row>
    <x:row r="785">
      <x:c r="B785" s="46"/>
      <x:c r="C785" s="46"/>
      <x:c r="D785" s="46"/>
      <x:c r="E785" s="92"/>
      <x:c r="F785" s="92"/>
      <x:c r="G785" s="93" t="str">
        <x:f>IF(B785="","",E785-F785)</x:f>
      </x:c>
      <x:c r="H785" s="100" t="str">
        <x:f>IF(B785="","",IF(D785="TL",1,IF(D785="USD",KURLAR!$C$9,IF(D785="EUR",KURLAR!$C$10,0))))</x:f>
      </x:c>
      <x:c r="I785" s="68" t="str">
        <x:f>IF(B785="","",G785*H785)</x:f>
      </x:c>
      <x:c r="J785" s="52" t="str">
        <x:f>IF(B785="","",IF(G785&lt;0,"NEGATİF BAKİYE","UYGUN"))</x:f>
      </x:c>
    </x:row>
    <x:row r="786">
      <x:c r="B786" s="46"/>
      <x:c r="C786" s="46"/>
      <x:c r="D786" s="46"/>
      <x:c r="E786" s="92"/>
      <x:c r="F786" s="92"/>
      <x:c r="G786" s="93" t="str">
        <x:f>IF(B786="","",E786-F786)</x:f>
      </x:c>
      <x:c r="H786" s="100" t="str">
        <x:f>IF(B786="","",IF(D786="TL",1,IF(D786="USD",KURLAR!$C$9,IF(D786="EUR",KURLAR!$C$10,0))))</x:f>
      </x:c>
      <x:c r="I786" s="68" t="str">
        <x:f>IF(B786="","",G786*H786)</x:f>
      </x:c>
      <x:c r="J786" s="52" t="str">
        <x:f>IF(B786="","",IF(G786&lt;0,"NEGATİF BAKİYE","UYGUN"))</x:f>
      </x:c>
    </x:row>
    <x:row r="787">
      <x:c r="B787" s="46"/>
      <x:c r="C787" s="46"/>
      <x:c r="D787" s="46"/>
      <x:c r="E787" s="92"/>
      <x:c r="F787" s="92"/>
      <x:c r="G787" s="93" t="str">
        <x:f>IF(B787="","",E787-F787)</x:f>
      </x:c>
      <x:c r="H787" s="100" t="str">
        <x:f>IF(B787="","",IF(D787="TL",1,IF(D787="USD",KURLAR!$C$9,IF(D787="EUR",KURLAR!$C$10,0))))</x:f>
      </x:c>
      <x:c r="I787" s="68" t="str">
        <x:f>IF(B787="","",G787*H787)</x:f>
      </x:c>
      <x:c r="J787" s="52" t="str">
        <x:f>IF(B787="","",IF(G787&lt;0,"NEGATİF BAKİYE","UYGUN"))</x:f>
      </x:c>
    </x:row>
    <x:row r="788">
      <x:c r="B788" s="46"/>
      <x:c r="C788" s="46"/>
      <x:c r="D788" s="46"/>
      <x:c r="E788" s="92"/>
      <x:c r="F788" s="92"/>
      <x:c r="G788" s="93" t="str">
        <x:f>IF(B788="","",E788-F788)</x:f>
      </x:c>
      <x:c r="H788" s="100" t="str">
        <x:f>IF(B788="","",IF(D788="TL",1,IF(D788="USD",KURLAR!$C$9,IF(D788="EUR",KURLAR!$C$10,0))))</x:f>
      </x:c>
      <x:c r="I788" s="68" t="str">
        <x:f>IF(B788="","",G788*H788)</x:f>
      </x:c>
      <x:c r="J788" s="52" t="str">
        <x:f>IF(B788="","",IF(G788&lt;0,"NEGATİF BAKİYE","UYGUN"))</x:f>
      </x:c>
    </x:row>
    <x:row r="789">
      <x:c r="B789" s="46"/>
      <x:c r="C789" s="46"/>
      <x:c r="D789" s="46"/>
      <x:c r="E789" s="92"/>
      <x:c r="F789" s="92"/>
      <x:c r="G789" s="93" t="str">
        <x:f>IF(B789="","",E789-F789)</x:f>
      </x:c>
      <x:c r="H789" s="100" t="str">
        <x:f>IF(B789="","",IF(D789="TL",1,IF(D789="USD",KURLAR!$C$9,IF(D789="EUR",KURLAR!$C$10,0))))</x:f>
      </x:c>
      <x:c r="I789" s="68" t="str">
        <x:f>IF(B789="","",G789*H789)</x:f>
      </x:c>
      <x:c r="J789" s="52" t="str">
        <x:f>IF(B789="","",IF(G789&lt;0,"NEGATİF BAKİYE","UYGUN"))</x:f>
      </x:c>
    </x:row>
    <x:row r="790">
      <x:c r="B790" s="46"/>
      <x:c r="C790" s="46"/>
      <x:c r="D790" s="46"/>
      <x:c r="E790" s="92"/>
      <x:c r="F790" s="92"/>
      <x:c r="G790" s="93" t="str">
        <x:f>IF(B790="","",E790-F790)</x:f>
      </x:c>
      <x:c r="H790" s="100" t="str">
        <x:f>IF(B790="","",IF(D790="TL",1,IF(D790="USD",KURLAR!$C$9,IF(D790="EUR",KURLAR!$C$10,0))))</x:f>
      </x:c>
      <x:c r="I790" s="68" t="str">
        <x:f>IF(B790="","",G790*H790)</x:f>
      </x:c>
      <x:c r="J790" s="52" t="str">
        <x:f>IF(B790="","",IF(G790&lt;0,"NEGATİF BAKİYE","UYGUN"))</x:f>
      </x:c>
    </x:row>
    <x:row r="791">
      <x:c r="B791" s="46"/>
      <x:c r="C791" s="46"/>
      <x:c r="D791" s="46"/>
      <x:c r="E791" s="92"/>
      <x:c r="F791" s="92"/>
      <x:c r="G791" s="93" t="str">
        <x:f>IF(B791="","",E791-F791)</x:f>
      </x:c>
      <x:c r="H791" s="100" t="str">
        <x:f>IF(B791="","",IF(D791="TL",1,IF(D791="USD",KURLAR!$C$9,IF(D791="EUR",KURLAR!$C$10,0))))</x:f>
      </x:c>
      <x:c r="I791" s="68" t="str">
        <x:f>IF(B791="","",G791*H791)</x:f>
      </x:c>
      <x:c r="J791" s="52" t="str">
        <x:f>IF(B791="","",IF(G791&lt;0,"NEGATİF BAKİYE","UYGUN"))</x:f>
      </x:c>
    </x:row>
    <x:row r="792">
      <x:c r="B792" s="46"/>
      <x:c r="C792" s="46"/>
      <x:c r="D792" s="46"/>
      <x:c r="E792" s="92"/>
      <x:c r="F792" s="92"/>
      <x:c r="G792" s="93" t="str">
        <x:f>IF(B792="","",E792-F792)</x:f>
      </x:c>
      <x:c r="H792" s="100" t="str">
        <x:f>IF(B792="","",IF(D792="TL",1,IF(D792="USD",KURLAR!$C$9,IF(D792="EUR",KURLAR!$C$10,0))))</x:f>
      </x:c>
      <x:c r="I792" s="68" t="str">
        <x:f>IF(B792="","",G792*H792)</x:f>
      </x:c>
      <x:c r="J792" s="52" t="str">
        <x:f>IF(B792="","",IF(G792&lt;0,"NEGATİF BAKİYE","UYGUN"))</x:f>
      </x:c>
    </x:row>
    <x:row r="793">
      <x:c r="B793" s="46"/>
      <x:c r="C793" s="46"/>
      <x:c r="D793" s="46"/>
      <x:c r="E793" s="92"/>
      <x:c r="F793" s="92"/>
      <x:c r="G793" s="93" t="str">
        <x:f>IF(B793="","",E793-F793)</x:f>
      </x:c>
      <x:c r="H793" s="100" t="str">
        <x:f>IF(B793="","",IF(D793="TL",1,IF(D793="USD",KURLAR!$C$9,IF(D793="EUR",KURLAR!$C$10,0))))</x:f>
      </x:c>
      <x:c r="I793" s="68" t="str">
        <x:f>IF(B793="","",G793*H793)</x:f>
      </x:c>
      <x:c r="J793" s="52" t="str">
        <x:f>IF(B793="","",IF(G793&lt;0,"NEGATİF BAKİYE","UYGUN"))</x:f>
      </x:c>
    </x:row>
    <x:row r="794">
      <x:c r="B794" s="46"/>
      <x:c r="C794" s="46"/>
      <x:c r="D794" s="46"/>
      <x:c r="E794" s="92"/>
      <x:c r="F794" s="92"/>
      <x:c r="G794" s="93" t="str">
        <x:f>IF(B794="","",E794-F794)</x:f>
      </x:c>
      <x:c r="H794" s="100" t="str">
        <x:f>IF(B794="","",IF(D794="TL",1,IF(D794="USD",KURLAR!$C$9,IF(D794="EUR",KURLAR!$C$10,0))))</x:f>
      </x:c>
      <x:c r="I794" s="68" t="str">
        <x:f>IF(B794="","",G794*H794)</x:f>
      </x:c>
      <x:c r="J794" s="52" t="str">
        <x:f>IF(B794="","",IF(G794&lt;0,"NEGATİF BAKİYE","UYGUN"))</x:f>
      </x:c>
    </x:row>
    <x:row r="795">
      <x:c r="B795" s="46"/>
      <x:c r="C795" s="46"/>
      <x:c r="D795" s="46"/>
      <x:c r="E795" s="92"/>
      <x:c r="F795" s="92"/>
      <x:c r="G795" s="93" t="str">
        <x:f>IF(B795="","",E795-F795)</x:f>
      </x:c>
      <x:c r="H795" s="100" t="str">
        <x:f>IF(B795="","",IF(D795="TL",1,IF(D795="USD",KURLAR!$C$9,IF(D795="EUR",KURLAR!$C$10,0))))</x:f>
      </x:c>
      <x:c r="I795" s="68" t="str">
        <x:f>IF(B795="","",G795*H795)</x:f>
      </x:c>
      <x:c r="J795" s="52" t="str">
        <x:f>IF(B795="","",IF(G795&lt;0,"NEGATİF BAKİYE","UYGUN"))</x:f>
      </x:c>
    </x:row>
    <x:row r="796">
      <x:c r="B796" s="46"/>
      <x:c r="C796" s="46"/>
      <x:c r="D796" s="46"/>
      <x:c r="E796" s="92"/>
      <x:c r="F796" s="92"/>
      <x:c r="G796" s="93" t="str">
        <x:f>IF(B796="","",E796-F796)</x:f>
      </x:c>
      <x:c r="H796" s="100" t="str">
        <x:f>IF(B796="","",IF(D796="TL",1,IF(D796="USD",KURLAR!$C$9,IF(D796="EUR",KURLAR!$C$10,0))))</x:f>
      </x:c>
      <x:c r="I796" s="68" t="str">
        <x:f>IF(B796="","",G796*H796)</x:f>
      </x:c>
      <x:c r="J796" s="52" t="str">
        <x:f>IF(B796="","",IF(G796&lt;0,"NEGATİF BAKİYE","UYGUN"))</x:f>
      </x:c>
    </x:row>
    <x:row r="797">
      <x:c r="B797" s="46"/>
      <x:c r="C797" s="46"/>
      <x:c r="D797" s="46"/>
      <x:c r="E797" s="92"/>
      <x:c r="F797" s="92"/>
      <x:c r="G797" s="93" t="str">
        <x:f>IF(B797="","",E797-F797)</x:f>
      </x:c>
      <x:c r="H797" s="100" t="str">
        <x:f>IF(B797="","",IF(D797="TL",1,IF(D797="USD",KURLAR!$C$9,IF(D797="EUR",KURLAR!$C$10,0))))</x:f>
      </x:c>
      <x:c r="I797" s="68" t="str">
        <x:f>IF(B797="","",G797*H797)</x:f>
      </x:c>
      <x:c r="J797" s="52" t="str">
        <x:f>IF(B797="","",IF(G797&lt;0,"NEGATİF BAKİYE","UYGUN"))</x:f>
      </x:c>
    </x:row>
    <x:row r="798">
      <x:c r="B798" s="46"/>
      <x:c r="C798" s="46"/>
      <x:c r="D798" s="46"/>
      <x:c r="E798" s="92"/>
      <x:c r="F798" s="92"/>
      <x:c r="G798" s="93" t="str">
        <x:f>IF(B798="","",E798-F798)</x:f>
      </x:c>
      <x:c r="H798" s="100" t="str">
        <x:f>IF(B798="","",IF(D798="TL",1,IF(D798="USD",KURLAR!$C$9,IF(D798="EUR",KURLAR!$C$10,0))))</x:f>
      </x:c>
      <x:c r="I798" s="68" t="str">
        <x:f>IF(B798="","",G798*H798)</x:f>
      </x:c>
      <x:c r="J798" s="52" t="str">
        <x:f>IF(B798="","",IF(G798&lt;0,"NEGATİF BAKİYE","UYGUN"))</x:f>
      </x:c>
    </x:row>
    <x:row r="799">
      <x:c r="B799" s="46"/>
      <x:c r="C799" s="46"/>
      <x:c r="D799" s="46"/>
      <x:c r="E799" s="92"/>
      <x:c r="F799" s="92"/>
      <x:c r="G799" s="93" t="str">
        <x:f>IF(B799="","",E799-F799)</x:f>
      </x:c>
      <x:c r="H799" s="100" t="str">
        <x:f>IF(B799="","",IF(D799="TL",1,IF(D799="USD",KURLAR!$C$9,IF(D799="EUR",KURLAR!$C$10,0))))</x:f>
      </x:c>
      <x:c r="I799" s="68" t="str">
        <x:f>IF(B799="","",G799*H799)</x:f>
      </x:c>
      <x:c r="J799" s="52" t="str">
        <x:f>IF(B799="","",IF(G799&lt;0,"NEGATİF BAKİYE","UYGUN"))</x:f>
      </x:c>
    </x:row>
    <x:row r="800">
      <x:c r="B800" s="46"/>
      <x:c r="C800" s="46"/>
      <x:c r="D800" s="46"/>
      <x:c r="E800" s="92"/>
      <x:c r="F800" s="92"/>
      <x:c r="G800" s="93" t="str">
        <x:f>IF(B800="","",E800-F800)</x:f>
      </x:c>
      <x:c r="H800" s="100" t="str">
        <x:f>IF(B800="","",IF(D800="TL",1,IF(D800="USD",KURLAR!$C$9,IF(D800="EUR",KURLAR!$C$10,0))))</x:f>
      </x:c>
      <x:c r="I800" s="68" t="str">
        <x:f>IF(B800="","",G800*H800)</x:f>
      </x:c>
      <x:c r="J800" s="52" t="str">
        <x:f>IF(B800="","",IF(G800&lt;0,"NEGATİF BAKİYE","UYGUN"))</x:f>
      </x:c>
    </x:row>
    <x:row r="801">
      <x:c r="B801" s="46"/>
      <x:c r="C801" s="46"/>
      <x:c r="D801" s="46"/>
      <x:c r="E801" s="92"/>
      <x:c r="F801" s="92"/>
      <x:c r="G801" s="93" t="str">
        <x:f>IF(B801="","",E801-F801)</x:f>
      </x:c>
      <x:c r="H801" s="100" t="str">
        <x:f>IF(B801="","",IF(D801="TL",1,IF(D801="USD",KURLAR!$C$9,IF(D801="EUR",KURLAR!$C$10,0))))</x:f>
      </x:c>
      <x:c r="I801" s="68" t="str">
        <x:f>IF(B801="","",G801*H801)</x:f>
      </x:c>
      <x:c r="J801" s="52" t="str">
        <x:f>IF(B801="","",IF(G801&lt;0,"NEGATİF BAKİYE","UYGUN"))</x:f>
      </x:c>
    </x:row>
    <x:row r="802">
      <x:c r="B802" s="46"/>
      <x:c r="C802" s="46"/>
      <x:c r="D802" s="46"/>
      <x:c r="E802" s="92"/>
      <x:c r="F802" s="92"/>
      <x:c r="G802" s="93" t="str">
        <x:f>IF(B802="","",E802-F802)</x:f>
      </x:c>
      <x:c r="H802" s="100" t="str">
        <x:f>IF(B802="","",IF(D802="TL",1,IF(D802="USD",KURLAR!$C$9,IF(D802="EUR",KURLAR!$C$10,0))))</x:f>
      </x:c>
      <x:c r="I802" s="68" t="str">
        <x:f>IF(B802="","",G802*H802)</x:f>
      </x:c>
      <x:c r="J802" s="52" t="str">
        <x:f>IF(B802="","",IF(G802&lt;0,"NEGATİF BAKİYE","UYGUN"))</x:f>
      </x:c>
    </x:row>
    <x:row r="803">
      <x:c r="B803" s="46"/>
      <x:c r="C803" s="46"/>
      <x:c r="D803" s="46"/>
      <x:c r="E803" s="92"/>
      <x:c r="F803" s="92"/>
      <x:c r="G803" s="93" t="str">
        <x:f>IF(B803="","",E803-F803)</x:f>
      </x:c>
      <x:c r="H803" s="100" t="str">
        <x:f>IF(B803="","",IF(D803="TL",1,IF(D803="USD",KURLAR!$C$9,IF(D803="EUR",KURLAR!$C$10,0))))</x:f>
      </x:c>
      <x:c r="I803" s="68" t="str">
        <x:f>IF(B803="","",G803*H803)</x:f>
      </x:c>
      <x:c r="J803" s="52" t="str">
        <x:f>IF(B803="","",IF(G803&lt;0,"NEGATİF BAKİYE","UYGUN"))</x:f>
      </x:c>
    </x:row>
    <x:row r="804">
      <x:c r="B804" s="46"/>
      <x:c r="C804" s="46"/>
      <x:c r="D804" s="46"/>
      <x:c r="E804" s="92"/>
      <x:c r="F804" s="92"/>
      <x:c r="G804" s="93" t="str">
        <x:f>IF(B804="","",E804-F804)</x:f>
      </x:c>
      <x:c r="H804" s="100" t="str">
        <x:f>IF(B804="","",IF(D804="TL",1,IF(D804="USD",KURLAR!$C$9,IF(D804="EUR",KURLAR!$C$10,0))))</x:f>
      </x:c>
      <x:c r="I804" s="68" t="str">
        <x:f>IF(B804="","",G804*H804)</x:f>
      </x:c>
      <x:c r="J804" s="52" t="str">
        <x:f>IF(B804="","",IF(G804&lt;0,"NEGATİF BAKİYE","UYGUN"))</x:f>
      </x:c>
    </x:row>
    <x:row r="805">
      <x:c r="B805" s="46"/>
      <x:c r="C805" s="46"/>
      <x:c r="D805" s="46"/>
      <x:c r="E805" s="92"/>
      <x:c r="F805" s="92"/>
      <x:c r="G805" s="93" t="str">
        <x:f>IF(B805="","",E805-F805)</x:f>
      </x:c>
      <x:c r="H805" s="100" t="str">
        <x:f>IF(B805="","",IF(D805="TL",1,IF(D805="USD",KURLAR!$C$9,IF(D805="EUR",KURLAR!$C$10,0))))</x:f>
      </x:c>
      <x:c r="I805" s="68" t="str">
        <x:f>IF(B805="","",G805*H805)</x:f>
      </x:c>
      <x:c r="J805" s="52" t="str">
        <x:f>IF(B805="","",IF(G805&lt;0,"NEGATİF BAKİYE","UYGUN"))</x:f>
      </x:c>
    </x:row>
    <x:row r="806">
      <x:c r="B806" s="46"/>
      <x:c r="C806" s="46"/>
      <x:c r="D806" s="46"/>
      <x:c r="E806" s="92"/>
      <x:c r="F806" s="92"/>
      <x:c r="G806" s="93" t="str">
        <x:f>IF(B806="","",E806-F806)</x:f>
      </x:c>
      <x:c r="H806" s="100" t="str">
        <x:f>IF(B806="","",IF(D806="TL",1,IF(D806="USD",KURLAR!$C$9,IF(D806="EUR",KURLAR!$C$10,0))))</x:f>
      </x:c>
      <x:c r="I806" s="68" t="str">
        <x:f>IF(B806="","",G806*H806)</x:f>
      </x:c>
      <x:c r="J806" s="52" t="str">
        <x:f>IF(B806="","",IF(G806&lt;0,"NEGATİF BAKİYE","UYGUN"))</x:f>
      </x:c>
    </x:row>
    <x:row r="807">
      <x:c r="B807" s="46"/>
      <x:c r="C807" s="46"/>
      <x:c r="D807" s="46"/>
      <x:c r="E807" s="92"/>
      <x:c r="F807" s="92"/>
      <x:c r="G807" s="93" t="str">
        <x:f>IF(B807="","",E807-F807)</x:f>
      </x:c>
      <x:c r="H807" s="100" t="str">
        <x:f>IF(B807="","",IF(D807="TL",1,IF(D807="USD",KURLAR!$C$9,IF(D807="EUR",KURLAR!$C$10,0))))</x:f>
      </x:c>
      <x:c r="I807" s="68" t="str">
        <x:f>IF(B807="","",G807*H807)</x:f>
      </x:c>
      <x:c r="J807" s="52" t="str">
        <x:f>IF(B807="","",IF(G807&lt;0,"NEGATİF BAKİYE","UYGUN"))</x:f>
      </x:c>
    </x:row>
    <x:row r="808">
      <x:c r="B808" s="46"/>
      <x:c r="C808" s="46"/>
      <x:c r="D808" s="46"/>
      <x:c r="E808" s="92"/>
      <x:c r="F808" s="92"/>
      <x:c r="G808" s="93" t="str">
        <x:f>IF(B808="","",E808-F808)</x:f>
      </x:c>
      <x:c r="H808" s="100" t="str">
        <x:f>IF(B808="","",IF(D808="TL",1,IF(D808="USD",KURLAR!$C$9,IF(D808="EUR",KURLAR!$C$10,0))))</x:f>
      </x:c>
      <x:c r="I808" s="68" t="str">
        <x:f>IF(B808="","",G808*H808)</x:f>
      </x:c>
      <x:c r="J808" s="52" t="str">
        <x:f>IF(B808="","",IF(G808&lt;0,"NEGATİF BAKİYE","UYGUN"))</x:f>
      </x:c>
    </x:row>
    <x:row r="809">
      <x:c r="B809" s="46"/>
      <x:c r="C809" s="46"/>
      <x:c r="D809" s="46"/>
      <x:c r="E809" s="92"/>
      <x:c r="F809" s="92"/>
      <x:c r="G809" s="93" t="str">
        <x:f>IF(B809="","",E809-F809)</x:f>
      </x:c>
      <x:c r="H809" s="100" t="str">
        <x:f>IF(B809="","",IF(D809="TL",1,IF(D809="USD",KURLAR!$C$9,IF(D809="EUR",KURLAR!$C$10,0))))</x:f>
      </x:c>
      <x:c r="I809" s="68" t="str">
        <x:f>IF(B809="","",G809*H809)</x:f>
      </x:c>
      <x:c r="J809" s="52" t="str">
        <x:f>IF(B809="","",IF(G809&lt;0,"NEGATİF BAKİYE","UYGUN"))</x:f>
      </x:c>
    </x:row>
    <x:row r="810">
      <x:c r="B810" s="46"/>
      <x:c r="C810" s="46"/>
      <x:c r="D810" s="46"/>
      <x:c r="E810" s="92"/>
      <x:c r="F810" s="92"/>
      <x:c r="G810" s="93" t="str">
        <x:f>IF(B810="","",E810-F810)</x:f>
      </x:c>
      <x:c r="H810" s="100" t="str">
        <x:f>IF(B810="","",IF(D810="TL",1,IF(D810="USD",KURLAR!$C$9,IF(D810="EUR",KURLAR!$C$10,0))))</x:f>
      </x:c>
      <x:c r="I810" s="68" t="str">
        <x:f>IF(B810="","",G810*H810)</x:f>
      </x:c>
      <x:c r="J810" s="52" t="str">
        <x:f>IF(B810="","",IF(G810&lt;0,"NEGATİF BAKİYE","UYGUN"))</x:f>
      </x:c>
    </x:row>
    <x:row r="811">
      <x:c r="B811" s="46"/>
      <x:c r="C811" s="46"/>
      <x:c r="D811" s="46"/>
      <x:c r="E811" s="92"/>
      <x:c r="F811" s="92"/>
      <x:c r="G811" s="93" t="str">
        <x:f>IF(B811="","",E811-F811)</x:f>
      </x:c>
      <x:c r="H811" s="100" t="str">
        <x:f>IF(B811="","",IF(D811="TL",1,IF(D811="USD",KURLAR!$C$9,IF(D811="EUR",KURLAR!$C$10,0))))</x:f>
      </x:c>
      <x:c r="I811" s="68" t="str">
        <x:f>IF(B811="","",G811*H811)</x:f>
      </x:c>
      <x:c r="J811" s="52" t="str">
        <x:f>IF(B811="","",IF(G811&lt;0,"NEGATİF BAKİYE","UYGUN"))</x:f>
      </x:c>
    </x:row>
    <x:row r="812">
      <x:c r="B812" s="46"/>
      <x:c r="C812" s="46"/>
      <x:c r="D812" s="46"/>
      <x:c r="E812" s="92"/>
      <x:c r="F812" s="92"/>
      <x:c r="G812" s="93" t="str">
        <x:f>IF(B812="","",E812-F812)</x:f>
      </x:c>
      <x:c r="H812" s="100" t="str">
        <x:f>IF(B812="","",IF(D812="TL",1,IF(D812="USD",KURLAR!$C$9,IF(D812="EUR",KURLAR!$C$10,0))))</x:f>
      </x:c>
      <x:c r="I812" s="68" t="str">
        <x:f>IF(B812="","",G812*H812)</x:f>
      </x:c>
      <x:c r="J812" s="52" t="str">
        <x:f>IF(B812="","",IF(G812&lt;0,"NEGATİF BAKİYE","UYGUN"))</x:f>
      </x:c>
    </x:row>
    <x:row r="813">
      <x:c r="B813" s="46"/>
      <x:c r="C813" s="46"/>
      <x:c r="D813" s="46"/>
      <x:c r="E813" s="92"/>
      <x:c r="F813" s="92"/>
      <x:c r="G813" s="93" t="str">
        <x:f>IF(B813="","",E813-F813)</x:f>
      </x:c>
      <x:c r="H813" s="100" t="str">
        <x:f>IF(B813="","",IF(D813="TL",1,IF(D813="USD",KURLAR!$C$9,IF(D813="EUR",KURLAR!$C$10,0))))</x:f>
      </x:c>
      <x:c r="I813" s="68" t="str">
        <x:f>IF(B813="","",G813*H813)</x:f>
      </x:c>
      <x:c r="J813" s="52" t="str">
        <x:f>IF(B813="","",IF(G813&lt;0,"NEGATİF BAKİYE","UYGUN"))</x:f>
      </x:c>
    </x:row>
    <x:row r="814">
      <x:c r="B814" s="46"/>
      <x:c r="C814" s="46"/>
      <x:c r="D814" s="46"/>
      <x:c r="E814" s="92"/>
      <x:c r="F814" s="92"/>
      <x:c r="G814" s="93" t="str">
        <x:f>IF(B814="","",E814-F814)</x:f>
      </x:c>
      <x:c r="H814" s="100" t="str">
        <x:f>IF(B814="","",IF(D814="TL",1,IF(D814="USD",KURLAR!$C$9,IF(D814="EUR",KURLAR!$C$10,0))))</x:f>
      </x:c>
      <x:c r="I814" s="68" t="str">
        <x:f>IF(B814="","",G814*H814)</x:f>
      </x:c>
      <x:c r="J814" s="52" t="str">
        <x:f>IF(B814="","",IF(G814&lt;0,"NEGATİF BAKİYE","UYGUN"))</x:f>
      </x:c>
    </x:row>
    <x:row r="815">
      <x:c r="B815" s="46"/>
      <x:c r="C815" s="46"/>
      <x:c r="D815" s="46"/>
      <x:c r="E815" s="92"/>
      <x:c r="F815" s="92"/>
      <x:c r="G815" s="93" t="str">
        <x:f>IF(B815="","",E815-F815)</x:f>
      </x:c>
      <x:c r="H815" s="100" t="str">
        <x:f>IF(B815="","",IF(D815="TL",1,IF(D815="USD",KURLAR!$C$9,IF(D815="EUR",KURLAR!$C$10,0))))</x:f>
      </x:c>
      <x:c r="I815" s="68" t="str">
        <x:f>IF(B815="","",G815*H815)</x:f>
      </x:c>
      <x:c r="J815" s="52" t="str">
        <x:f>IF(B815="","",IF(G815&lt;0,"NEGATİF BAKİYE","UYGUN"))</x:f>
      </x:c>
    </x:row>
    <x:row r="816">
      <x:c r="B816" s="46"/>
      <x:c r="C816" s="46"/>
      <x:c r="D816" s="46"/>
      <x:c r="E816" s="92"/>
      <x:c r="F816" s="92"/>
      <x:c r="G816" s="93" t="str">
        <x:f>IF(B816="","",E816-F816)</x:f>
      </x:c>
      <x:c r="H816" s="100" t="str">
        <x:f>IF(B816="","",IF(D816="TL",1,IF(D816="USD",KURLAR!$C$9,IF(D816="EUR",KURLAR!$C$10,0))))</x:f>
      </x:c>
      <x:c r="I816" s="68" t="str">
        <x:f>IF(B816="","",G816*H816)</x:f>
      </x:c>
      <x:c r="J816" s="52" t="str">
        <x:f>IF(B816="","",IF(G816&lt;0,"NEGATİF BAKİYE","UYGUN"))</x:f>
      </x:c>
    </x:row>
    <x:row r="817">
      <x:c r="B817" s="46"/>
      <x:c r="C817" s="46"/>
      <x:c r="D817" s="46"/>
      <x:c r="E817" s="92"/>
      <x:c r="F817" s="92"/>
      <x:c r="G817" s="93" t="str">
        <x:f>IF(B817="","",E817-F817)</x:f>
      </x:c>
      <x:c r="H817" s="100" t="str">
        <x:f>IF(B817="","",IF(D817="TL",1,IF(D817="USD",KURLAR!$C$9,IF(D817="EUR",KURLAR!$C$10,0))))</x:f>
      </x:c>
      <x:c r="I817" s="68" t="str">
        <x:f>IF(B817="","",G817*H817)</x:f>
      </x:c>
      <x:c r="J817" s="52" t="str">
        <x:f>IF(B817="","",IF(G817&lt;0,"NEGATİF BAKİYE","UYGUN"))</x:f>
      </x:c>
    </x:row>
    <x:row r="818">
      <x:c r="B818" s="46"/>
      <x:c r="C818" s="46"/>
      <x:c r="D818" s="46"/>
      <x:c r="E818" s="92"/>
      <x:c r="F818" s="92"/>
      <x:c r="G818" s="93" t="str">
        <x:f>IF(B818="","",E818-F818)</x:f>
      </x:c>
      <x:c r="H818" s="100" t="str">
        <x:f>IF(B818="","",IF(D818="TL",1,IF(D818="USD",KURLAR!$C$9,IF(D818="EUR",KURLAR!$C$10,0))))</x:f>
      </x:c>
      <x:c r="I818" s="68" t="str">
        <x:f>IF(B818="","",G818*H818)</x:f>
      </x:c>
      <x:c r="J818" s="52" t="str">
        <x:f>IF(B818="","",IF(G818&lt;0,"NEGATİF BAKİYE","UYGUN"))</x:f>
      </x:c>
    </x:row>
    <x:row r="819">
      <x:c r="B819" s="46"/>
      <x:c r="C819" s="46"/>
      <x:c r="D819" s="46"/>
      <x:c r="E819" s="92"/>
      <x:c r="F819" s="92"/>
      <x:c r="G819" s="93" t="str">
        <x:f>IF(B819="","",E819-F819)</x:f>
      </x:c>
      <x:c r="H819" s="100" t="str">
        <x:f>IF(B819="","",IF(D819="TL",1,IF(D819="USD",KURLAR!$C$9,IF(D819="EUR",KURLAR!$C$10,0))))</x:f>
      </x:c>
      <x:c r="I819" s="68" t="str">
        <x:f>IF(B819="","",G819*H819)</x:f>
      </x:c>
      <x:c r="J819" s="52" t="str">
        <x:f>IF(B819="","",IF(G819&lt;0,"NEGATİF BAKİYE","UYGUN"))</x:f>
      </x:c>
    </x:row>
    <x:row r="820">
      <x:c r="B820" s="46"/>
      <x:c r="C820" s="46"/>
      <x:c r="D820" s="46"/>
      <x:c r="E820" s="92"/>
      <x:c r="F820" s="92"/>
      <x:c r="G820" s="93" t="str">
        <x:f>IF(B820="","",E820-F820)</x:f>
      </x:c>
      <x:c r="H820" s="100" t="str">
        <x:f>IF(B820="","",IF(D820="TL",1,IF(D820="USD",KURLAR!$C$9,IF(D820="EUR",KURLAR!$C$10,0))))</x:f>
      </x:c>
      <x:c r="I820" s="68" t="str">
        <x:f>IF(B820="","",G820*H820)</x:f>
      </x:c>
      <x:c r="J820" s="52" t="str">
        <x:f>IF(B820="","",IF(G820&lt;0,"NEGATİF BAKİYE","UYGUN"))</x:f>
      </x:c>
    </x:row>
    <x:row r="821">
      <x:c r="B821" s="46"/>
      <x:c r="C821" s="46"/>
      <x:c r="D821" s="46"/>
      <x:c r="E821" s="92"/>
      <x:c r="F821" s="92"/>
      <x:c r="G821" s="93" t="str">
        <x:f>IF(B821="","",E821-F821)</x:f>
      </x:c>
      <x:c r="H821" s="100" t="str">
        <x:f>IF(B821="","",IF(D821="TL",1,IF(D821="USD",KURLAR!$C$9,IF(D821="EUR",KURLAR!$C$10,0))))</x:f>
      </x:c>
      <x:c r="I821" s="68" t="str">
        <x:f>IF(B821="","",G821*H821)</x:f>
      </x:c>
      <x:c r="J821" s="52" t="str">
        <x:f>IF(B821="","",IF(G821&lt;0,"NEGATİF BAKİYE","UYGUN"))</x:f>
      </x:c>
    </x:row>
    <x:row r="822">
      <x:c r="B822" s="46"/>
      <x:c r="C822" s="46"/>
      <x:c r="D822" s="46"/>
      <x:c r="E822" s="92"/>
      <x:c r="F822" s="92"/>
      <x:c r="G822" s="93" t="str">
        <x:f>IF(B822="","",E822-F822)</x:f>
      </x:c>
      <x:c r="H822" s="100" t="str">
        <x:f>IF(B822="","",IF(D822="TL",1,IF(D822="USD",KURLAR!$C$9,IF(D822="EUR",KURLAR!$C$10,0))))</x:f>
      </x:c>
      <x:c r="I822" s="68" t="str">
        <x:f>IF(B822="","",G822*H822)</x:f>
      </x:c>
      <x:c r="J822" s="52" t="str">
        <x:f>IF(B822="","",IF(G822&lt;0,"NEGATİF BAKİYE","UYGUN"))</x:f>
      </x:c>
    </x:row>
    <x:row r="823">
      <x:c r="B823" s="46"/>
      <x:c r="C823" s="46"/>
      <x:c r="D823" s="46"/>
      <x:c r="E823" s="92"/>
      <x:c r="F823" s="92"/>
      <x:c r="G823" s="93" t="str">
        <x:f>IF(B823="","",E823-F823)</x:f>
      </x:c>
      <x:c r="H823" s="100" t="str">
        <x:f>IF(B823="","",IF(D823="TL",1,IF(D823="USD",KURLAR!$C$9,IF(D823="EUR",KURLAR!$C$10,0))))</x:f>
      </x:c>
      <x:c r="I823" s="68" t="str">
        <x:f>IF(B823="","",G823*H823)</x:f>
      </x:c>
      <x:c r="J823" s="52" t="str">
        <x:f>IF(B823="","",IF(G823&lt;0,"NEGATİF BAKİYE","UYGUN"))</x:f>
      </x:c>
    </x:row>
    <x:row r="824">
      <x:c r="B824" s="46"/>
      <x:c r="C824" s="46"/>
      <x:c r="D824" s="46"/>
      <x:c r="E824" s="92"/>
      <x:c r="F824" s="92"/>
      <x:c r="G824" s="93" t="str">
        <x:f>IF(B824="","",E824-F824)</x:f>
      </x:c>
      <x:c r="H824" s="100" t="str">
        <x:f>IF(B824="","",IF(D824="TL",1,IF(D824="USD",KURLAR!$C$9,IF(D824="EUR",KURLAR!$C$10,0))))</x:f>
      </x:c>
      <x:c r="I824" s="68" t="str">
        <x:f>IF(B824="","",G824*H824)</x:f>
      </x:c>
      <x:c r="J824" s="52" t="str">
        <x:f>IF(B824="","",IF(G824&lt;0,"NEGATİF BAKİYE","UYGUN"))</x:f>
      </x:c>
    </x:row>
    <x:row r="825">
      <x:c r="B825" s="46"/>
      <x:c r="C825" s="46"/>
      <x:c r="D825" s="46"/>
      <x:c r="E825" s="92"/>
      <x:c r="F825" s="92"/>
      <x:c r="G825" s="93" t="str">
        <x:f>IF(B825="","",E825-F825)</x:f>
      </x:c>
      <x:c r="H825" s="100" t="str">
        <x:f>IF(B825="","",IF(D825="TL",1,IF(D825="USD",KURLAR!$C$9,IF(D825="EUR",KURLAR!$C$10,0))))</x:f>
      </x:c>
      <x:c r="I825" s="68" t="str">
        <x:f>IF(B825="","",G825*H825)</x:f>
      </x:c>
      <x:c r="J825" s="52" t="str">
        <x:f>IF(B825="","",IF(G825&lt;0,"NEGATİF BAKİYE","UYGUN"))</x:f>
      </x:c>
    </x:row>
    <x:row r="826">
      <x:c r="B826" s="46"/>
      <x:c r="C826" s="46"/>
      <x:c r="D826" s="46"/>
      <x:c r="E826" s="92"/>
      <x:c r="F826" s="92"/>
      <x:c r="G826" s="93" t="str">
        <x:f>IF(B826="","",E826-F826)</x:f>
      </x:c>
      <x:c r="H826" s="100" t="str">
        <x:f>IF(B826="","",IF(D826="TL",1,IF(D826="USD",KURLAR!$C$9,IF(D826="EUR",KURLAR!$C$10,0))))</x:f>
      </x:c>
      <x:c r="I826" s="68" t="str">
        <x:f>IF(B826="","",G826*H826)</x:f>
      </x:c>
      <x:c r="J826" s="52" t="str">
        <x:f>IF(B826="","",IF(G826&lt;0,"NEGATİF BAKİYE","UYGUN"))</x:f>
      </x:c>
    </x:row>
    <x:row r="827">
      <x:c r="B827" s="46"/>
      <x:c r="C827" s="46"/>
      <x:c r="D827" s="46"/>
      <x:c r="E827" s="92"/>
      <x:c r="F827" s="92"/>
      <x:c r="G827" s="93" t="str">
        <x:f>IF(B827="","",E827-F827)</x:f>
      </x:c>
      <x:c r="H827" s="100" t="str">
        <x:f>IF(B827="","",IF(D827="TL",1,IF(D827="USD",KURLAR!$C$9,IF(D827="EUR",KURLAR!$C$10,0))))</x:f>
      </x:c>
      <x:c r="I827" s="68" t="str">
        <x:f>IF(B827="","",G827*H827)</x:f>
      </x:c>
      <x:c r="J827" s="52" t="str">
        <x:f>IF(B827="","",IF(G827&lt;0,"NEGATİF BAKİYE","UYGUN"))</x:f>
      </x:c>
    </x:row>
    <x:row r="828">
      <x:c r="B828" s="46"/>
      <x:c r="C828" s="46"/>
      <x:c r="D828" s="46"/>
      <x:c r="E828" s="92"/>
      <x:c r="F828" s="92"/>
      <x:c r="G828" s="93" t="str">
        <x:f>IF(B828="","",E828-F828)</x:f>
      </x:c>
      <x:c r="H828" s="100" t="str">
        <x:f>IF(B828="","",IF(D828="TL",1,IF(D828="USD",KURLAR!$C$9,IF(D828="EUR",KURLAR!$C$10,0))))</x:f>
      </x:c>
      <x:c r="I828" s="68" t="str">
        <x:f>IF(B828="","",G828*H828)</x:f>
      </x:c>
      <x:c r="J828" s="52" t="str">
        <x:f>IF(B828="","",IF(G828&lt;0,"NEGATİF BAKİYE","UYGUN"))</x:f>
      </x:c>
    </x:row>
    <x:row r="829">
      <x:c r="B829" s="46"/>
      <x:c r="C829" s="46"/>
      <x:c r="D829" s="46"/>
      <x:c r="E829" s="92"/>
      <x:c r="F829" s="92"/>
      <x:c r="G829" s="93" t="str">
        <x:f>IF(B829="","",E829-F829)</x:f>
      </x:c>
      <x:c r="H829" s="100" t="str">
        <x:f>IF(B829="","",IF(D829="TL",1,IF(D829="USD",KURLAR!$C$9,IF(D829="EUR",KURLAR!$C$10,0))))</x:f>
      </x:c>
      <x:c r="I829" s="68" t="str">
        <x:f>IF(B829="","",G829*H829)</x:f>
      </x:c>
      <x:c r="J829" s="52" t="str">
        <x:f>IF(B829="","",IF(G829&lt;0,"NEGATİF BAKİYE","UYGUN"))</x:f>
      </x:c>
    </x:row>
    <x:row r="830">
      <x:c r="B830" s="46"/>
      <x:c r="C830" s="46"/>
      <x:c r="D830" s="46"/>
      <x:c r="E830" s="92"/>
      <x:c r="F830" s="92"/>
      <x:c r="G830" s="93" t="str">
        <x:f>IF(B830="","",E830-F830)</x:f>
      </x:c>
      <x:c r="H830" s="100" t="str">
        <x:f>IF(B830="","",IF(D830="TL",1,IF(D830="USD",KURLAR!$C$9,IF(D830="EUR",KURLAR!$C$10,0))))</x:f>
      </x:c>
      <x:c r="I830" s="68" t="str">
        <x:f>IF(B830="","",G830*H830)</x:f>
      </x:c>
      <x:c r="J830" s="52" t="str">
        <x:f>IF(B830="","",IF(G830&lt;0,"NEGATİF BAKİYE","UYGUN"))</x:f>
      </x:c>
    </x:row>
    <x:row r="831">
      <x:c r="B831" s="46"/>
      <x:c r="C831" s="46"/>
      <x:c r="D831" s="46"/>
      <x:c r="E831" s="92"/>
      <x:c r="F831" s="92"/>
      <x:c r="G831" s="93" t="str">
        <x:f>IF(B831="","",E831-F831)</x:f>
      </x:c>
      <x:c r="H831" s="100" t="str">
        <x:f>IF(B831="","",IF(D831="TL",1,IF(D831="USD",KURLAR!$C$9,IF(D831="EUR",KURLAR!$C$10,0))))</x:f>
      </x:c>
      <x:c r="I831" s="68" t="str">
        <x:f>IF(B831="","",G831*H831)</x:f>
      </x:c>
      <x:c r="J831" s="52" t="str">
        <x:f>IF(B831="","",IF(G831&lt;0,"NEGATİF BAKİYE","UYGUN"))</x:f>
      </x:c>
    </x:row>
    <x:row r="832">
      <x:c r="B832" s="46"/>
      <x:c r="C832" s="46"/>
      <x:c r="D832" s="46"/>
      <x:c r="E832" s="92"/>
      <x:c r="F832" s="92"/>
      <x:c r="G832" s="93" t="str">
        <x:f>IF(B832="","",E832-F832)</x:f>
      </x:c>
      <x:c r="H832" s="100" t="str">
        <x:f>IF(B832="","",IF(D832="TL",1,IF(D832="USD",KURLAR!$C$9,IF(D832="EUR",KURLAR!$C$10,0))))</x:f>
      </x:c>
      <x:c r="I832" s="68" t="str">
        <x:f>IF(B832="","",G832*H832)</x:f>
      </x:c>
      <x:c r="J832" s="52" t="str">
        <x:f>IF(B832="","",IF(G832&lt;0,"NEGATİF BAKİYE","UYGUN"))</x:f>
      </x:c>
    </x:row>
    <x:row r="833">
      <x:c r="B833" s="46"/>
      <x:c r="C833" s="46"/>
      <x:c r="D833" s="46"/>
      <x:c r="E833" s="92"/>
      <x:c r="F833" s="92"/>
      <x:c r="G833" s="93" t="str">
        <x:f>IF(B833="","",E833-F833)</x:f>
      </x:c>
      <x:c r="H833" s="100" t="str">
        <x:f>IF(B833="","",IF(D833="TL",1,IF(D833="USD",KURLAR!$C$9,IF(D833="EUR",KURLAR!$C$10,0))))</x:f>
      </x:c>
      <x:c r="I833" s="68" t="str">
        <x:f>IF(B833="","",G833*H833)</x:f>
      </x:c>
      <x:c r="J833" s="52" t="str">
        <x:f>IF(B833="","",IF(G833&lt;0,"NEGATİF BAKİYE","UYGUN"))</x:f>
      </x:c>
    </x:row>
    <x:row r="834">
      <x:c r="B834" s="46"/>
      <x:c r="C834" s="46"/>
      <x:c r="D834" s="46"/>
      <x:c r="E834" s="92"/>
      <x:c r="F834" s="92"/>
      <x:c r="G834" s="93" t="str">
        <x:f>IF(B834="","",E834-F834)</x:f>
      </x:c>
      <x:c r="H834" s="100" t="str">
        <x:f>IF(B834="","",IF(D834="TL",1,IF(D834="USD",KURLAR!$C$9,IF(D834="EUR",KURLAR!$C$10,0))))</x:f>
      </x:c>
      <x:c r="I834" s="68" t="str">
        <x:f>IF(B834="","",G834*H834)</x:f>
      </x:c>
      <x:c r="J834" s="52" t="str">
        <x:f>IF(B834="","",IF(G834&lt;0,"NEGATİF BAKİYE","UYGUN"))</x:f>
      </x:c>
    </x:row>
    <x:row r="835">
      <x:c r="B835" s="46"/>
      <x:c r="C835" s="46"/>
      <x:c r="D835" s="46"/>
      <x:c r="E835" s="92"/>
      <x:c r="F835" s="92"/>
      <x:c r="G835" s="93" t="str">
        <x:f>IF(B835="","",E835-F835)</x:f>
      </x:c>
      <x:c r="H835" s="100" t="str">
        <x:f>IF(B835="","",IF(D835="TL",1,IF(D835="USD",KURLAR!$C$9,IF(D835="EUR",KURLAR!$C$10,0))))</x:f>
      </x:c>
      <x:c r="I835" s="68" t="str">
        <x:f>IF(B835="","",G835*H835)</x:f>
      </x:c>
      <x:c r="J835" s="52" t="str">
        <x:f>IF(B835="","",IF(G835&lt;0,"NEGATİF BAKİYE","UYGUN"))</x:f>
      </x:c>
    </x:row>
    <x:row r="836">
      <x:c r="B836" s="46"/>
      <x:c r="C836" s="46"/>
      <x:c r="D836" s="46"/>
      <x:c r="E836" s="92"/>
      <x:c r="F836" s="92"/>
      <x:c r="G836" s="93" t="str">
        <x:f>IF(B836="","",E836-F836)</x:f>
      </x:c>
      <x:c r="H836" s="100" t="str">
        <x:f>IF(B836="","",IF(D836="TL",1,IF(D836="USD",KURLAR!$C$9,IF(D836="EUR",KURLAR!$C$10,0))))</x:f>
      </x:c>
      <x:c r="I836" s="68" t="str">
        <x:f>IF(B836="","",G836*H836)</x:f>
      </x:c>
      <x:c r="J836" s="52" t="str">
        <x:f>IF(B836="","",IF(G836&lt;0,"NEGATİF BAKİYE","UYGUN"))</x:f>
      </x:c>
    </x:row>
    <x:row r="837">
      <x:c r="B837" s="46"/>
      <x:c r="C837" s="46"/>
      <x:c r="D837" s="46"/>
      <x:c r="E837" s="92"/>
      <x:c r="F837" s="92"/>
      <x:c r="G837" s="93" t="str">
        <x:f>IF(B837="","",E837-F837)</x:f>
      </x:c>
      <x:c r="H837" s="100" t="str">
        <x:f>IF(B837="","",IF(D837="TL",1,IF(D837="USD",KURLAR!$C$9,IF(D837="EUR",KURLAR!$C$10,0))))</x:f>
      </x:c>
      <x:c r="I837" s="68" t="str">
        <x:f>IF(B837="","",G837*H837)</x:f>
      </x:c>
      <x:c r="J837" s="52" t="str">
        <x:f>IF(B837="","",IF(G837&lt;0,"NEGATİF BAKİYE","UYGUN"))</x:f>
      </x:c>
    </x:row>
    <x:row r="838">
      <x:c r="B838" s="46"/>
      <x:c r="C838" s="46"/>
      <x:c r="D838" s="46"/>
      <x:c r="E838" s="92"/>
      <x:c r="F838" s="92"/>
      <x:c r="G838" s="93" t="str">
        <x:f>IF(B838="","",E838-F838)</x:f>
      </x:c>
      <x:c r="H838" s="100" t="str">
        <x:f>IF(B838="","",IF(D838="TL",1,IF(D838="USD",KURLAR!$C$9,IF(D838="EUR",KURLAR!$C$10,0))))</x:f>
      </x:c>
      <x:c r="I838" s="68" t="str">
        <x:f>IF(B838="","",G838*H838)</x:f>
      </x:c>
      <x:c r="J838" s="52" t="str">
        <x:f>IF(B838="","",IF(G838&lt;0,"NEGATİF BAKİYE","UYGUN"))</x:f>
      </x:c>
    </x:row>
    <x:row r="839">
      <x:c r="B839" s="46"/>
      <x:c r="C839" s="46"/>
      <x:c r="D839" s="46"/>
      <x:c r="E839" s="92"/>
      <x:c r="F839" s="92"/>
      <x:c r="G839" s="93" t="str">
        <x:f>IF(B839="","",E839-F839)</x:f>
      </x:c>
      <x:c r="H839" s="100" t="str">
        <x:f>IF(B839="","",IF(D839="TL",1,IF(D839="USD",KURLAR!$C$9,IF(D839="EUR",KURLAR!$C$10,0))))</x:f>
      </x:c>
      <x:c r="I839" s="68" t="str">
        <x:f>IF(B839="","",G839*H839)</x:f>
      </x:c>
      <x:c r="J839" s="52" t="str">
        <x:f>IF(B839="","",IF(G839&lt;0,"NEGATİF BAKİYE","UYGUN"))</x:f>
      </x:c>
    </x:row>
    <x:row r="840">
      <x:c r="B840" s="46"/>
      <x:c r="C840" s="46"/>
      <x:c r="D840" s="46"/>
      <x:c r="E840" s="92"/>
      <x:c r="F840" s="92"/>
      <x:c r="G840" s="93" t="str">
        <x:f>IF(B840="","",E840-F840)</x:f>
      </x:c>
      <x:c r="H840" s="100" t="str">
        <x:f>IF(B840="","",IF(D840="TL",1,IF(D840="USD",KURLAR!$C$9,IF(D840="EUR",KURLAR!$C$10,0))))</x:f>
      </x:c>
      <x:c r="I840" s="68" t="str">
        <x:f>IF(B840="","",G840*H840)</x:f>
      </x:c>
      <x:c r="J840" s="52" t="str">
        <x:f>IF(B840="","",IF(G840&lt;0,"NEGATİF BAKİYE","UYGUN"))</x:f>
      </x:c>
    </x:row>
    <x:row r="841">
      <x:c r="B841" s="46"/>
      <x:c r="C841" s="46"/>
      <x:c r="D841" s="46"/>
      <x:c r="E841" s="92"/>
      <x:c r="F841" s="92"/>
      <x:c r="G841" s="93" t="str">
        <x:f>IF(B841="","",E841-F841)</x:f>
      </x:c>
      <x:c r="H841" s="100" t="str">
        <x:f>IF(B841="","",IF(D841="TL",1,IF(D841="USD",KURLAR!$C$9,IF(D841="EUR",KURLAR!$C$10,0))))</x:f>
      </x:c>
      <x:c r="I841" s="68" t="str">
        <x:f>IF(B841="","",G841*H841)</x:f>
      </x:c>
      <x:c r="J841" s="52" t="str">
        <x:f>IF(B841="","",IF(G841&lt;0,"NEGATİF BAKİYE","UYGUN"))</x:f>
      </x:c>
    </x:row>
    <x:row r="842">
      <x:c r="B842" s="46"/>
      <x:c r="C842" s="46"/>
      <x:c r="D842" s="46"/>
      <x:c r="E842" s="92"/>
      <x:c r="F842" s="92"/>
      <x:c r="G842" s="93" t="str">
        <x:f>IF(B842="","",E842-F842)</x:f>
      </x:c>
      <x:c r="H842" s="100" t="str">
        <x:f>IF(B842="","",IF(D842="TL",1,IF(D842="USD",KURLAR!$C$9,IF(D842="EUR",KURLAR!$C$10,0))))</x:f>
      </x:c>
      <x:c r="I842" s="68" t="str">
        <x:f>IF(B842="","",G842*H842)</x:f>
      </x:c>
      <x:c r="J842" s="52" t="str">
        <x:f>IF(B842="","",IF(G842&lt;0,"NEGATİF BAKİYE","UYGUN"))</x:f>
      </x:c>
    </x:row>
    <x:row r="843">
      <x:c r="B843" s="46"/>
      <x:c r="C843" s="46"/>
      <x:c r="D843" s="46"/>
      <x:c r="E843" s="92"/>
      <x:c r="F843" s="92"/>
      <x:c r="G843" s="93" t="str">
        <x:f>IF(B843="","",E843-F843)</x:f>
      </x:c>
      <x:c r="H843" s="100" t="str">
        <x:f>IF(B843="","",IF(D843="TL",1,IF(D843="USD",KURLAR!$C$9,IF(D843="EUR",KURLAR!$C$10,0))))</x:f>
      </x:c>
      <x:c r="I843" s="68" t="str">
        <x:f>IF(B843="","",G843*H843)</x:f>
      </x:c>
      <x:c r="J843" s="52" t="str">
        <x:f>IF(B843="","",IF(G843&lt;0,"NEGATİF BAKİYE","UYGUN"))</x:f>
      </x:c>
    </x:row>
    <x:row r="844">
      <x:c r="B844" s="46"/>
      <x:c r="C844" s="46"/>
      <x:c r="D844" s="46"/>
      <x:c r="E844" s="92"/>
      <x:c r="F844" s="92"/>
      <x:c r="G844" s="93" t="str">
        <x:f>IF(B844="","",E844-F844)</x:f>
      </x:c>
      <x:c r="H844" s="100" t="str">
        <x:f>IF(B844="","",IF(D844="TL",1,IF(D844="USD",KURLAR!$C$9,IF(D844="EUR",KURLAR!$C$10,0))))</x:f>
      </x:c>
      <x:c r="I844" s="68" t="str">
        <x:f>IF(B844="","",G844*H844)</x:f>
      </x:c>
      <x:c r="J844" s="52" t="str">
        <x:f>IF(B844="","",IF(G844&lt;0,"NEGATİF BAKİYE","UYGUN"))</x:f>
      </x:c>
    </x:row>
    <x:row r="845">
      <x:c r="B845" s="46"/>
      <x:c r="C845" s="46"/>
      <x:c r="D845" s="46"/>
      <x:c r="E845" s="92"/>
      <x:c r="F845" s="92"/>
      <x:c r="G845" s="93" t="str">
        <x:f>IF(B845="","",E845-F845)</x:f>
      </x:c>
      <x:c r="H845" s="100" t="str">
        <x:f>IF(B845="","",IF(D845="TL",1,IF(D845="USD",KURLAR!$C$9,IF(D845="EUR",KURLAR!$C$10,0))))</x:f>
      </x:c>
      <x:c r="I845" s="68" t="str">
        <x:f>IF(B845="","",G845*H845)</x:f>
      </x:c>
      <x:c r="J845" s="52" t="str">
        <x:f>IF(B845="","",IF(G845&lt;0,"NEGATİF BAKİYE","UYGUN"))</x:f>
      </x:c>
    </x:row>
    <x:row r="846">
      <x:c r="B846" s="46"/>
      <x:c r="C846" s="46"/>
      <x:c r="D846" s="46"/>
      <x:c r="E846" s="92"/>
      <x:c r="F846" s="92"/>
      <x:c r="G846" s="93" t="str">
        <x:f>IF(B846="","",E846-F846)</x:f>
      </x:c>
      <x:c r="H846" s="100" t="str">
        <x:f>IF(B846="","",IF(D846="TL",1,IF(D846="USD",KURLAR!$C$9,IF(D846="EUR",KURLAR!$C$10,0))))</x:f>
      </x:c>
      <x:c r="I846" s="68" t="str">
        <x:f>IF(B846="","",G846*H846)</x:f>
      </x:c>
      <x:c r="J846" s="52" t="str">
        <x:f>IF(B846="","",IF(G846&lt;0,"NEGATİF BAKİYE","UYGUN"))</x:f>
      </x:c>
    </x:row>
    <x:row r="847">
      <x:c r="B847" s="46"/>
      <x:c r="C847" s="46"/>
      <x:c r="D847" s="46"/>
      <x:c r="E847" s="92"/>
      <x:c r="F847" s="92"/>
      <x:c r="G847" s="93" t="str">
        <x:f>IF(B847="","",E847-F847)</x:f>
      </x:c>
      <x:c r="H847" s="100" t="str">
        <x:f>IF(B847="","",IF(D847="TL",1,IF(D847="USD",KURLAR!$C$9,IF(D847="EUR",KURLAR!$C$10,0))))</x:f>
      </x:c>
      <x:c r="I847" s="68" t="str">
        <x:f>IF(B847="","",G847*H847)</x:f>
      </x:c>
      <x:c r="J847" s="52" t="str">
        <x:f>IF(B847="","",IF(G847&lt;0,"NEGATİF BAKİYE","UYGUN"))</x:f>
      </x:c>
    </x:row>
    <x:row r="848">
      <x:c r="B848" s="46"/>
      <x:c r="C848" s="46"/>
      <x:c r="D848" s="46"/>
      <x:c r="E848" s="92"/>
      <x:c r="F848" s="92"/>
      <x:c r="G848" s="93" t="str">
        <x:f>IF(B848="","",E848-F848)</x:f>
      </x:c>
      <x:c r="H848" s="100" t="str">
        <x:f>IF(B848="","",IF(D848="TL",1,IF(D848="USD",KURLAR!$C$9,IF(D848="EUR",KURLAR!$C$10,0))))</x:f>
      </x:c>
      <x:c r="I848" s="68" t="str">
        <x:f>IF(B848="","",G848*H848)</x:f>
      </x:c>
      <x:c r="J848" s="52" t="str">
        <x:f>IF(B848="","",IF(G848&lt;0,"NEGATİF BAKİYE","UYGUN"))</x:f>
      </x:c>
    </x:row>
    <x:row r="849">
      <x:c r="B849" s="46"/>
      <x:c r="C849" s="46"/>
      <x:c r="D849" s="46"/>
      <x:c r="E849" s="92"/>
      <x:c r="F849" s="92"/>
      <x:c r="G849" s="93" t="str">
        <x:f>IF(B849="","",E849-F849)</x:f>
      </x:c>
      <x:c r="H849" s="100" t="str">
        <x:f>IF(B849="","",IF(D849="TL",1,IF(D849="USD",KURLAR!$C$9,IF(D849="EUR",KURLAR!$C$10,0))))</x:f>
      </x:c>
      <x:c r="I849" s="68" t="str">
        <x:f>IF(B849="","",G849*H849)</x:f>
      </x:c>
      <x:c r="J849" s="52" t="str">
        <x:f>IF(B849="","",IF(G849&lt;0,"NEGATİF BAKİYE","UYGUN"))</x:f>
      </x:c>
    </x:row>
    <x:row r="850">
      <x:c r="B850" s="46"/>
      <x:c r="C850" s="46"/>
      <x:c r="D850" s="46"/>
      <x:c r="E850" s="92"/>
      <x:c r="F850" s="92"/>
      <x:c r="G850" s="93" t="str">
        <x:f>IF(B850="","",E850-F850)</x:f>
      </x:c>
      <x:c r="H850" s="100" t="str">
        <x:f>IF(B850="","",IF(D850="TL",1,IF(D850="USD",KURLAR!$C$9,IF(D850="EUR",KURLAR!$C$10,0))))</x:f>
      </x:c>
      <x:c r="I850" s="68" t="str">
        <x:f>IF(B850="","",G850*H850)</x:f>
      </x:c>
      <x:c r="J850" s="52" t="str">
        <x:f>IF(B850="","",IF(G850&lt;0,"NEGATİF BAKİYE","UYGUN"))</x:f>
      </x:c>
    </x:row>
    <x:row r="851">
      <x:c r="B851" s="46"/>
      <x:c r="C851" s="46"/>
      <x:c r="D851" s="46"/>
      <x:c r="E851" s="92"/>
      <x:c r="F851" s="92"/>
      <x:c r="G851" s="93" t="str">
        <x:f>IF(B851="","",E851-F851)</x:f>
      </x:c>
      <x:c r="H851" s="100" t="str">
        <x:f>IF(B851="","",IF(D851="TL",1,IF(D851="USD",KURLAR!$C$9,IF(D851="EUR",KURLAR!$C$10,0))))</x:f>
      </x:c>
      <x:c r="I851" s="68" t="str">
        <x:f>IF(B851="","",G851*H851)</x:f>
      </x:c>
      <x:c r="J851" s="52" t="str">
        <x:f>IF(B851="","",IF(G851&lt;0,"NEGATİF BAKİYE","UYGUN"))</x:f>
      </x:c>
    </x:row>
    <x:row r="852">
      <x:c r="B852" s="46"/>
      <x:c r="C852" s="46"/>
      <x:c r="D852" s="46"/>
      <x:c r="E852" s="92"/>
      <x:c r="F852" s="92"/>
      <x:c r="G852" s="93" t="str">
        <x:f>IF(B852="","",E852-F852)</x:f>
      </x:c>
      <x:c r="H852" s="100" t="str">
        <x:f>IF(B852="","",IF(D852="TL",1,IF(D852="USD",KURLAR!$C$9,IF(D852="EUR",KURLAR!$C$10,0))))</x:f>
      </x:c>
      <x:c r="I852" s="68" t="str">
        <x:f>IF(B852="","",G852*H852)</x:f>
      </x:c>
      <x:c r="J852" s="52" t="str">
        <x:f>IF(B852="","",IF(G852&lt;0,"NEGATİF BAKİYE","UYGUN"))</x:f>
      </x:c>
    </x:row>
    <x:row r="853">
      <x:c r="B853" s="46"/>
      <x:c r="C853" s="46"/>
      <x:c r="D853" s="46"/>
      <x:c r="E853" s="92"/>
      <x:c r="F853" s="92"/>
      <x:c r="G853" s="93" t="str">
        <x:f>IF(B853="","",E853-F853)</x:f>
      </x:c>
      <x:c r="H853" s="100" t="str">
        <x:f>IF(B853="","",IF(D853="TL",1,IF(D853="USD",KURLAR!$C$9,IF(D853="EUR",KURLAR!$C$10,0))))</x:f>
      </x:c>
      <x:c r="I853" s="68" t="str">
        <x:f>IF(B853="","",G853*H853)</x:f>
      </x:c>
      <x:c r="J853" s="52" t="str">
        <x:f>IF(B853="","",IF(G853&lt;0,"NEGATİF BAKİYE","UYGUN"))</x:f>
      </x:c>
    </x:row>
    <x:row r="854">
      <x:c r="B854" s="46"/>
      <x:c r="C854" s="46"/>
      <x:c r="D854" s="46"/>
      <x:c r="E854" s="92"/>
      <x:c r="F854" s="92"/>
      <x:c r="G854" s="93" t="str">
        <x:f>IF(B854="","",E854-F854)</x:f>
      </x:c>
      <x:c r="H854" s="100" t="str">
        <x:f>IF(B854="","",IF(D854="TL",1,IF(D854="USD",KURLAR!$C$9,IF(D854="EUR",KURLAR!$C$10,0))))</x:f>
      </x:c>
      <x:c r="I854" s="68" t="str">
        <x:f>IF(B854="","",G854*H854)</x:f>
      </x:c>
      <x:c r="J854" s="52" t="str">
        <x:f>IF(B854="","",IF(G854&lt;0,"NEGATİF BAKİYE","UYGUN"))</x:f>
      </x:c>
    </x:row>
    <x:row r="855">
      <x:c r="B855" s="46"/>
      <x:c r="C855" s="46"/>
      <x:c r="D855" s="46"/>
      <x:c r="E855" s="92"/>
      <x:c r="F855" s="92"/>
      <x:c r="G855" s="93" t="str">
        <x:f>IF(B855="","",E855-F855)</x:f>
      </x:c>
      <x:c r="H855" s="100" t="str">
        <x:f>IF(B855="","",IF(D855="TL",1,IF(D855="USD",KURLAR!$C$9,IF(D855="EUR",KURLAR!$C$10,0))))</x:f>
      </x:c>
      <x:c r="I855" s="68" t="str">
        <x:f>IF(B855="","",G855*H855)</x:f>
      </x:c>
      <x:c r="J855" s="52" t="str">
        <x:f>IF(B855="","",IF(G855&lt;0,"NEGATİF BAKİYE","UYGUN"))</x:f>
      </x:c>
    </x:row>
    <x:row r="856">
      <x:c r="B856" s="46"/>
      <x:c r="C856" s="46"/>
      <x:c r="D856" s="46"/>
      <x:c r="E856" s="92"/>
      <x:c r="F856" s="92"/>
      <x:c r="G856" s="93" t="str">
        <x:f>IF(B856="","",E856-F856)</x:f>
      </x:c>
      <x:c r="H856" s="100" t="str">
        <x:f>IF(B856="","",IF(D856="TL",1,IF(D856="USD",KURLAR!$C$9,IF(D856="EUR",KURLAR!$C$10,0))))</x:f>
      </x:c>
      <x:c r="I856" s="68" t="str">
        <x:f>IF(B856="","",G856*H856)</x:f>
      </x:c>
      <x:c r="J856" s="52" t="str">
        <x:f>IF(B856="","",IF(G856&lt;0,"NEGATİF BAKİYE","UYGUN"))</x:f>
      </x:c>
    </x:row>
    <x:row r="857">
      <x:c r="B857" s="46"/>
      <x:c r="C857" s="46"/>
      <x:c r="D857" s="46"/>
      <x:c r="E857" s="92"/>
      <x:c r="F857" s="92"/>
      <x:c r="G857" s="93" t="str">
        <x:f>IF(B857="","",E857-F857)</x:f>
      </x:c>
      <x:c r="H857" s="100" t="str">
        <x:f>IF(B857="","",IF(D857="TL",1,IF(D857="USD",KURLAR!$C$9,IF(D857="EUR",KURLAR!$C$10,0))))</x:f>
      </x:c>
      <x:c r="I857" s="68" t="str">
        <x:f>IF(B857="","",G857*H857)</x:f>
      </x:c>
      <x:c r="J857" s="52" t="str">
        <x:f>IF(B857="","",IF(G857&lt;0,"NEGATİF BAKİYE","UYGUN"))</x:f>
      </x:c>
    </x:row>
    <x:row r="858">
      <x:c r="B858" s="46"/>
      <x:c r="C858" s="46"/>
      <x:c r="D858" s="46"/>
      <x:c r="E858" s="92"/>
      <x:c r="F858" s="92"/>
      <x:c r="G858" s="93" t="str">
        <x:f>IF(B858="","",E858-F858)</x:f>
      </x:c>
      <x:c r="H858" s="100" t="str">
        <x:f>IF(B858="","",IF(D858="TL",1,IF(D858="USD",KURLAR!$C$9,IF(D858="EUR",KURLAR!$C$10,0))))</x:f>
      </x:c>
      <x:c r="I858" s="68" t="str">
        <x:f>IF(B858="","",G858*H858)</x:f>
      </x:c>
      <x:c r="J858" s="52" t="str">
        <x:f>IF(B858="","",IF(G858&lt;0,"NEGATİF BAKİYE","UYGUN"))</x:f>
      </x:c>
    </x:row>
    <x:row r="859">
      <x:c r="B859" s="46"/>
      <x:c r="C859" s="46"/>
      <x:c r="D859" s="46"/>
      <x:c r="E859" s="92"/>
      <x:c r="F859" s="92"/>
      <x:c r="G859" s="93" t="str">
        <x:f>IF(B859="","",E859-F859)</x:f>
      </x:c>
      <x:c r="H859" s="100" t="str">
        <x:f>IF(B859="","",IF(D859="TL",1,IF(D859="USD",KURLAR!$C$9,IF(D859="EUR",KURLAR!$C$10,0))))</x:f>
      </x:c>
      <x:c r="I859" s="68" t="str">
        <x:f>IF(B859="","",G859*H859)</x:f>
      </x:c>
      <x:c r="J859" s="52" t="str">
        <x:f>IF(B859="","",IF(G859&lt;0,"NEGATİF BAKİYE","UYGUN"))</x:f>
      </x:c>
    </x:row>
    <x:row r="860">
      <x:c r="B860" s="46"/>
      <x:c r="C860" s="46"/>
      <x:c r="D860" s="46"/>
      <x:c r="E860" s="92"/>
      <x:c r="F860" s="92"/>
      <x:c r="G860" s="93" t="str">
        <x:f>IF(B860="","",E860-F860)</x:f>
      </x:c>
      <x:c r="H860" s="100" t="str">
        <x:f>IF(B860="","",IF(D860="TL",1,IF(D860="USD",KURLAR!$C$9,IF(D860="EUR",KURLAR!$C$10,0))))</x:f>
      </x:c>
      <x:c r="I860" s="68" t="str">
        <x:f>IF(B860="","",G860*H860)</x:f>
      </x:c>
      <x:c r="J860" s="52" t="str">
        <x:f>IF(B860="","",IF(G860&lt;0,"NEGATİF BAKİYE","UYGUN"))</x:f>
      </x:c>
    </x:row>
    <x:row r="861">
      <x:c r="B861" s="46"/>
      <x:c r="C861" s="46"/>
      <x:c r="D861" s="46"/>
      <x:c r="E861" s="92"/>
      <x:c r="F861" s="92"/>
      <x:c r="G861" s="93" t="str">
        <x:f>IF(B861="","",E861-F861)</x:f>
      </x:c>
      <x:c r="H861" s="100" t="str">
        <x:f>IF(B861="","",IF(D861="TL",1,IF(D861="USD",KURLAR!$C$9,IF(D861="EUR",KURLAR!$C$10,0))))</x:f>
      </x:c>
      <x:c r="I861" s="68" t="str">
        <x:f>IF(B861="","",G861*H861)</x:f>
      </x:c>
      <x:c r="J861" s="52" t="str">
        <x:f>IF(B861="","",IF(G861&lt;0,"NEGATİF BAKİYE","UYGUN"))</x:f>
      </x:c>
    </x:row>
    <x:row r="862">
      <x:c r="B862" s="46"/>
      <x:c r="C862" s="46"/>
      <x:c r="D862" s="46"/>
      <x:c r="E862" s="92"/>
      <x:c r="F862" s="92"/>
      <x:c r="G862" s="93" t="str">
        <x:f>IF(B862="","",E862-F862)</x:f>
      </x:c>
      <x:c r="H862" s="100" t="str">
        <x:f>IF(B862="","",IF(D862="TL",1,IF(D862="USD",KURLAR!$C$9,IF(D862="EUR",KURLAR!$C$10,0))))</x:f>
      </x:c>
      <x:c r="I862" s="68" t="str">
        <x:f>IF(B862="","",G862*H862)</x:f>
      </x:c>
      <x:c r="J862" s="52" t="str">
        <x:f>IF(B862="","",IF(G862&lt;0,"NEGATİF BAKİYE","UYGUN"))</x:f>
      </x:c>
    </x:row>
    <x:row r="863">
      <x:c r="B863" s="46"/>
      <x:c r="C863" s="46"/>
      <x:c r="D863" s="46"/>
      <x:c r="E863" s="92"/>
      <x:c r="F863" s="92"/>
      <x:c r="G863" s="93" t="str">
        <x:f>IF(B863="","",E863-F863)</x:f>
      </x:c>
      <x:c r="H863" s="100" t="str">
        <x:f>IF(B863="","",IF(D863="TL",1,IF(D863="USD",KURLAR!$C$9,IF(D863="EUR",KURLAR!$C$10,0))))</x:f>
      </x:c>
      <x:c r="I863" s="68" t="str">
        <x:f>IF(B863="","",G863*H863)</x:f>
      </x:c>
      <x:c r="J863" s="52" t="str">
        <x:f>IF(B863="","",IF(G863&lt;0,"NEGATİF BAKİYE","UYGUN"))</x:f>
      </x:c>
    </x:row>
    <x:row r="864">
      <x:c r="B864" s="46"/>
      <x:c r="C864" s="46"/>
      <x:c r="D864" s="46"/>
      <x:c r="E864" s="92"/>
      <x:c r="F864" s="92"/>
      <x:c r="G864" s="93" t="str">
        <x:f>IF(B864="","",E864-F864)</x:f>
      </x:c>
      <x:c r="H864" s="100" t="str">
        <x:f>IF(B864="","",IF(D864="TL",1,IF(D864="USD",KURLAR!$C$9,IF(D864="EUR",KURLAR!$C$10,0))))</x:f>
      </x:c>
      <x:c r="I864" s="68" t="str">
        <x:f>IF(B864="","",G864*H864)</x:f>
      </x:c>
      <x:c r="J864" s="52" t="str">
        <x:f>IF(B864="","",IF(G864&lt;0,"NEGATİF BAKİYE","UYGUN"))</x:f>
      </x:c>
    </x:row>
    <x:row r="865">
      <x:c r="B865" s="46"/>
      <x:c r="C865" s="46"/>
      <x:c r="D865" s="46"/>
      <x:c r="E865" s="92"/>
      <x:c r="F865" s="92"/>
      <x:c r="G865" s="93" t="str">
        <x:f>IF(B865="","",E865-F865)</x:f>
      </x:c>
      <x:c r="H865" s="100" t="str">
        <x:f>IF(B865="","",IF(D865="TL",1,IF(D865="USD",KURLAR!$C$9,IF(D865="EUR",KURLAR!$C$10,0))))</x:f>
      </x:c>
      <x:c r="I865" s="68" t="str">
        <x:f>IF(B865="","",G865*H865)</x:f>
      </x:c>
      <x:c r="J865" s="52" t="str">
        <x:f>IF(B865="","",IF(G865&lt;0,"NEGATİF BAKİYE","UYGUN"))</x:f>
      </x:c>
    </x:row>
    <x:row r="866">
      <x:c r="B866" s="46"/>
      <x:c r="C866" s="46"/>
      <x:c r="D866" s="46"/>
      <x:c r="E866" s="92"/>
      <x:c r="F866" s="92"/>
      <x:c r="G866" s="93" t="str">
        <x:f>IF(B866="","",E866-F866)</x:f>
      </x:c>
      <x:c r="H866" s="100" t="str">
        <x:f>IF(B866="","",IF(D866="TL",1,IF(D866="USD",KURLAR!$C$9,IF(D866="EUR",KURLAR!$C$10,0))))</x:f>
      </x:c>
      <x:c r="I866" s="68" t="str">
        <x:f>IF(B866="","",G866*H866)</x:f>
      </x:c>
      <x:c r="J866" s="52" t="str">
        <x:f>IF(B866="","",IF(G866&lt;0,"NEGATİF BAKİYE","UYGUN"))</x:f>
      </x:c>
    </x:row>
    <x:row r="867">
      <x:c r="B867" s="46"/>
      <x:c r="C867" s="46"/>
      <x:c r="D867" s="46"/>
      <x:c r="E867" s="92"/>
      <x:c r="F867" s="92"/>
      <x:c r="G867" s="93" t="str">
        <x:f>IF(B867="","",E867-F867)</x:f>
      </x:c>
      <x:c r="H867" s="100" t="str">
        <x:f>IF(B867="","",IF(D867="TL",1,IF(D867="USD",KURLAR!$C$9,IF(D867="EUR",KURLAR!$C$10,0))))</x:f>
      </x:c>
      <x:c r="I867" s="68" t="str">
        <x:f>IF(B867="","",G867*H867)</x:f>
      </x:c>
      <x:c r="J867" s="52" t="str">
        <x:f>IF(B867="","",IF(G867&lt;0,"NEGATİF BAKİYE","UYGUN"))</x:f>
      </x:c>
    </x:row>
    <x:row r="868">
      <x:c r="B868" s="46"/>
      <x:c r="C868" s="46"/>
      <x:c r="D868" s="46"/>
      <x:c r="E868" s="92"/>
      <x:c r="F868" s="92"/>
      <x:c r="G868" s="93" t="str">
        <x:f>IF(B868="","",E868-F868)</x:f>
      </x:c>
      <x:c r="H868" s="100" t="str">
        <x:f>IF(B868="","",IF(D868="TL",1,IF(D868="USD",KURLAR!$C$9,IF(D868="EUR",KURLAR!$C$10,0))))</x:f>
      </x:c>
      <x:c r="I868" s="68" t="str">
        <x:f>IF(B868="","",G868*H868)</x:f>
      </x:c>
      <x:c r="J868" s="52" t="str">
        <x:f>IF(B868="","",IF(G868&lt;0,"NEGATİF BAKİYE","UYGUN"))</x:f>
      </x:c>
    </x:row>
    <x:row r="869">
      <x:c r="B869" s="46"/>
      <x:c r="C869" s="46"/>
      <x:c r="D869" s="46"/>
      <x:c r="E869" s="92"/>
      <x:c r="F869" s="92"/>
      <x:c r="G869" s="93" t="str">
        <x:f>IF(B869="","",E869-F869)</x:f>
      </x:c>
      <x:c r="H869" s="100" t="str">
        <x:f>IF(B869="","",IF(D869="TL",1,IF(D869="USD",KURLAR!$C$9,IF(D869="EUR",KURLAR!$C$10,0))))</x:f>
      </x:c>
      <x:c r="I869" s="68" t="str">
        <x:f>IF(B869="","",G869*H869)</x:f>
      </x:c>
      <x:c r="J869" s="52" t="str">
        <x:f>IF(B869="","",IF(G869&lt;0,"NEGATİF BAKİYE","UYGUN"))</x:f>
      </x:c>
    </x:row>
    <x:row r="870">
      <x:c r="B870" s="46"/>
      <x:c r="C870" s="46"/>
      <x:c r="D870" s="46"/>
      <x:c r="E870" s="92"/>
      <x:c r="F870" s="92"/>
      <x:c r="G870" s="93" t="str">
        <x:f>IF(B870="","",E870-F870)</x:f>
      </x:c>
      <x:c r="H870" s="100" t="str">
        <x:f>IF(B870="","",IF(D870="TL",1,IF(D870="USD",KURLAR!$C$9,IF(D870="EUR",KURLAR!$C$10,0))))</x:f>
      </x:c>
      <x:c r="I870" s="68" t="str">
        <x:f>IF(B870="","",G870*H870)</x:f>
      </x:c>
      <x:c r="J870" s="52" t="str">
        <x:f>IF(B870="","",IF(G870&lt;0,"NEGATİF BAKİYE","UYGUN"))</x:f>
      </x:c>
    </x:row>
    <x:row r="871">
      <x:c r="B871" s="46"/>
      <x:c r="C871" s="46"/>
      <x:c r="D871" s="46"/>
      <x:c r="E871" s="92"/>
      <x:c r="F871" s="92"/>
      <x:c r="G871" s="93" t="str">
        <x:f>IF(B871="","",E871-F871)</x:f>
      </x:c>
      <x:c r="H871" s="100" t="str">
        <x:f>IF(B871="","",IF(D871="TL",1,IF(D871="USD",KURLAR!$C$9,IF(D871="EUR",KURLAR!$C$10,0))))</x:f>
      </x:c>
      <x:c r="I871" s="68" t="str">
        <x:f>IF(B871="","",G871*H871)</x:f>
      </x:c>
      <x:c r="J871" s="52" t="str">
        <x:f>IF(B871="","",IF(G871&lt;0,"NEGATİF BAKİYE","UYGUN"))</x:f>
      </x:c>
    </x:row>
    <x:row r="872">
      <x:c r="B872" s="46"/>
      <x:c r="C872" s="46"/>
      <x:c r="D872" s="46"/>
      <x:c r="E872" s="92"/>
      <x:c r="F872" s="92"/>
      <x:c r="G872" s="93" t="str">
        <x:f>IF(B872="","",E872-F872)</x:f>
      </x:c>
      <x:c r="H872" s="100" t="str">
        <x:f>IF(B872="","",IF(D872="TL",1,IF(D872="USD",KURLAR!$C$9,IF(D872="EUR",KURLAR!$C$10,0))))</x:f>
      </x:c>
      <x:c r="I872" s="68" t="str">
        <x:f>IF(B872="","",G872*H872)</x:f>
      </x:c>
      <x:c r="J872" s="52" t="str">
        <x:f>IF(B872="","",IF(G872&lt;0,"NEGATİF BAKİYE","UYGUN"))</x:f>
      </x:c>
    </x:row>
    <x:row r="873">
      <x:c r="B873" s="46"/>
      <x:c r="C873" s="46"/>
      <x:c r="D873" s="46"/>
      <x:c r="E873" s="92"/>
      <x:c r="F873" s="92"/>
      <x:c r="G873" s="93" t="str">
        <x:f>IF(B873="","",E873-F873)</x:f>
      </x:c>
      <x:c r="H873" s="100" t="str">
        <x:f>IF(B873="","",IF(D873="TL",1,IF(D873="USD",KURLAR!$C$9,IF(D873="EUR",KURLAR!$C$10,0))))</x:f>
      </x:c>
      <x:c r="I873" s="68" t="str">
        <x:f>IF(B873="","",G873*H873)</x:f>
      </x:c>
      <x:c r="J873" s="52" t="str">
        <x:f>IF(B873="","",IF(G873&lt;0,"NEGATİF BAKİYE","UYGUN"))</x:f>
      </x:c>
    </x:row>
    <x:row r="874">
      <x:c r="B874" s="46"/>
      <x:c r="C874" s="46"/>
      <x:c r="D874" s="46"/>
      <x:c r="E874" s="92"/>
      <x:c r="F874" s="92"/>
      <x:c r="G874" s="93" t="str">
        <x:f>IF(B874="","",E874-F874)</x:f>
      </x:c>
      <x:c r="H874" s="100" t="str">
        <x:f>IF(B874="","",IF(D874="TL",1,IF(D874="USD",KURLAR!$C$9,IF(D874="EUR",KURLAR!$C$10,0))))</x:f>
      </x:c>
      <x:c r="I874" s="68" t="str">
        <x:f>IF(B874="","",G874*H874)</x:f>
      </x:c>
      <x:c r="J874" s="52" t="str">
        <x:f>IF(B874="","",IF(G874&lt;0,"NEGATİF BAKİYE","UYGUN"))</x:f>
      </x:c>
    </x:row>
    <x:row r="875">
      <x:c r="B875" s="46"/>
      <x:c r="C875" s="46"/>
      <x:c r="D875" s="46"/>
      <x:c r="E875" s="92"/>
      <x:c r="F875" s="92"/>
      <x:c r="G875" s="93" t="str">
        <x:f>IF(B875="","",E875-F875)</x:f>
      </x:c>
      <x:c r="H875" s="100" t="str">
        <x:f>IF(B875="","",IF(D875="TL",1,IF(D875="USD",KURLAR!$C$9,IF(D875="EUR",KURLAR!$C$10,0))))</x:f>
      </x:c>
      <x:c r="I875" s="68" t="str">
        <x:f>IF(B875="","",G875*H875)</x:f>
      </x:c>
      <x:c r="J875" s="52" t="str">
        <x:f>IF(B875="","",IF(G875&lt;0,"NEGATİF BAKİYE","UYGUN"))</x:f>
      </x:c>
    </x:row>
    <x:row r="876">
      <x:c r="B876" s="46"/>
      <x:c r="C876" s="46"/>
      <x:c r="D876" s="46"/>
      <x:c r="E876" s="92"/>
      <x:c r="F876" s="92"/>
      <x:c r="G876" s="93" t="str">
        <x:f>IF(B876="","",E876-F876)</x:f>
      </x:c>
      <x:c r="H876" s="100" t="str">
        <x:f>IF(B876="","",IF(D876="TL",1,IF(D876="USD",KURLAR!$C$9,IF(D876="EUR",KURLAR!$C$10,0))))</x:f>
      </x:c>
      <x:c r="I876" s="68" t="str">
        <x:f>IF(B876="","",G876*H876)</x:f>
      </x:c>
      <x:c r="J876" s="52" t="str">
        <x:f>IF(B876="","",IF(G876&lt;0,"NEGATİF BAKİYE","UYGUN"))</x:f>
      </x:c>
    </x:row>
    <x:row r="877">
      <x:c r="B877" s="46"/>
      <x:c r="C877" s="46"/>
      <x:c r="D877" s="46"/>
      <x:c r="E877" s="92"/>
      <x:c r="F877" s="92"/>
      <x:c r="G877" s="93" t="str">
        <x:f>IF(B877="","",E877-F877)</x:f>
      </x:c>
      <x:c r="H877" s="100" t="str">
        <x:f>IF(B877="","",IF(D877="TL",1,IF(D877="USD",KURLAR!$C$9,IF(D877="EUR",KURLAR!$C$10,0))))</x:f>
      </x:c>
      <x:c r="I877" s="68" t="str">
        <x:f>IF(B877="","",G877*H877)</x:f>
      </x:c>
      <x:c r="J877" s="52" t="str">
        <x:f>IF(B877="","",IF(G877&lt;0,"NEGATİF BAKİYE","UYGUN"))</x:f>
      </x:c>
    </x:row>
    <x:row r="878">
      <x:c r="B878" s="46"/>
      <x:c r="C878" s="46"/>
      <x:c r="D878" s="46"/>
      <x:c r="E878" s="92"/>
      <x:c r="F878" s="92"/>
      <x:c r="G878" s="93" t="str">
        <x:f>IF(B878="","",E878-F878)</x:f>
      </x:c>
      <x:c r="H878" s="100" t="str">
        <x:f>IF(B878="","",IF(D878="TL",1,IF(D878="USD",KURLAR!$C$9,IF(D878="EUR",KURLAR!$C$10,0))))</x:f>
      </x:c>
      <x:c r="I878" s="68" t="str">
        <x:f>IF(B878="","",G878*H878)</x:f>
      </x:c>
      <x:c r="J878" s="52" t="str">
        <x:f>IF(B878="","",IF(G878&lt;0,"NEGATİF BAKİYE","UYGUN"))</x:f>
      </x:c>
    </x:row>
    <x:row r="879">
      <x:c r="B879" s="46"/>
      <x:c r="C879" s="46"/>
      <x:c r="D879" s="46"/>
      <x:c r="E879" s="92"/>
      <x:c r="F879" s="92"/>
      <x:c r="G879" s="93" t="str">
        <x:f>IF(B879="","",E879-F879)</x:f>
      </x:c>
      <x:c r="H879" s="100" t="str">
        <x:f>IF(B879="","",IF(D879="TL",1,IF(D879="USD",KURLAR!$C$9,IF(D879="EUR",KURLAR!$C$10,0))))</x:f>
      </x:c>
      <x:c r="I879" s="68" t="str">
        <x:f>IF(B879="","",G879*H879)</x:f>
      </x:c>
      <x:c r="J879" s="52" t="str">
        <x:f>IF(B879="","",IF(G879&lt;0,"NEGATİF BAKİYE","UYGUN"))</x:f>
      </x:c>
    </x:row>
    <x:row r="880">
      <x:c r="B880" s="46"/>
      <x:c r="C880" s="46"/>
      <x:c r="D880" s="46"/>
      <x:c r="E880" s="92"/>
      <x:c r="F880" s="92"/>
      <x:c r="G880" s="93" t="str">
        <x:f>IF(B880="","",E880-F880)</x:f>
      </x:c>
      <x:c r="H880" s="100" t="str">
        <x:f>IF(B880="","",IF(D880="TL",1,IF(D880="USD",KURLAR!$C$9,IF(D880="EUR",KURLAR!$C$10,0))))</x:f>
      </x:c>
      <x:c r="I880" s="68" t="str">
        <x:f>IF(B880="","",G880*H880)</x:f>
      </x:c>
      <x:c r="J880" s="52" t="str">
        <x:f>IF(B880="","",IF(G880&lt;0,"NEGATİF BAKİYE","UYGUN"))</x:f>
      </x:c>
    </x:row>
    <x:row r="881">
      <x:c r="B881" s="46"/>
      <x:c r="C881" s="46"/>
      <x:c r="D881" s="46"/>
      <x:c r="E881" s="92"/>
      <x:c r="F881" s="92"/>
      <x:c r="G881" s="93" t="str">
        <x:f>IF(B881="","",E881-F881)</x:f>
      </x:c>
      <x:c r="H881" s="100" t="str">
        <x:f>IF(B881="","",IF(D881="TL",1,IF(D881="USD",KURLAR!$C$9,IF(D881="EUR",KURLAR!$C$10,0))))</x:f>
      </x:c>
      <x:c r="I881" s="68" t="str">
        <x:f>IF(B881="","",G881*H881)</x:f>
      </x:c>
      <x:c r="J881" s="52" t="str">
        <x:f>IF(B881="","",IF(G881&lt;0,"NEGATİF BAKİYE","UYGUN"))</x:f>
      </x:c>
    </x:row>
    <x:row r="882">
      <x:c r="B882" s="46"/>
      <x:c r="C882" s="46"/>
      <x:c r="D882" s="46"/>
      <x:c r="E882" s="92"/>
      <x:c r="F882" s="92"/>
      <x:c r="G882" s="93" t="str">
        <x:f>IF(B882="","",E882-F882)</x:f>
      </x:c>
      <x:c r="H882" s="100" t="str">
        <x:f>IF(B882="","",IF(D882="TL",1,IF(D882="USD",KURLAR!$C$9,IF(D882="EUR",KURLAR!$C$10,0))))</x:f>
      </x:c>
      <x:c r="I882" s="68" t="str">
        <x:f>IF(B882="","",G882*H882)</x:f>
      </x:c>
      <x:c r="J882" s="52" t="str">
        <x:f>IF(B882="","",IF(G882&lt;0,"NEGATİF BAKİYE","UYGUN"))</x:f>
      </x:c>
    </x:row>
    <x:row r="883">
      <x:c r="B883" s="46"/>
      <x:c r="C883" s="46"/>
      <x:c r="D883" s="46"/>
      <x:c r="E883" s="92"/>
      <x:c r="F883" s="92"/>
      <x:c r="G883" s="93" t="str">
        <x:f>IF(B883="","",E883-F883)</x:f>
      </x:c>
      <x:c r="H883" s="100" t="str">
        <x:f>IF(B883="","",IF(D883="TL",1,IF(D883="USD",KURLAR!$C$9,IF(D883="EUR",KURLAR!$C$10,0))))</x:f>
      </x:c>
      <x:c r="I883" s="68" t="str">
        <x:f>IF(B883="","",G883*H883)</x:f>
      </x:c>
      <x:c r="J883" s="52" t="str">
        <x:f>IF(B883="","",IF(G883&lt;0,"NEGATİF BAKİYE","UYGUN"))</x:f>
      </x:c>
    </x:row>
    <x:row r="884">
      <x:c r="B884" s="46"/>
      <x:c r="C884" s="46"/>
      <x:c r="D884" s="46"/>
      <x:c r="E884" s="92"/>
      <x:c r="F884" s="92"/>
      <x:c r="G884" s="93" t="str">
        <x:f>IF(B884="","",E884-F884)</x:f>
      </x:c>
      <x:c r="H884" s="100" t="str">
        <x:f>IF(B884="","",IF(D884="TL",1,IF(D884="USD",KURLAR!$C$9,IF(D884="EUR",KURLAR!$C$10,0))))</x:f>
      </x:c>
      <x:c r="I884" s="68" t="str">
        <x:f>IF(B884="","",G884*H884)</x:f>
      </x:c>
      <x:c r="J884" s="52" t="str">
        <x:f>IF(B884="","",IF(G884&lt;0,"NEGATİF BAKİYE","UYGUN"))</x:f>
      </x:c>
    </x:row>
    <x:row r="885">
      <x:c r="B885" s="46"/>
      <x:c r="C885" s="46"/>
      <x:c r="D885" s="46"/>
      <x:c r="E885" s="92"/>
      <x:c r="F885" s="92"/>
      <x:c r="G885" s="93" t="str">
        <x:f>IF(B885="","",E885-F885)</x:f>
      </x:c>
      <x:c r="H885" s="100" t="str">
        <x:f>IF(B885="","",IF(D885="TL",1,IF(D885="USD",KURLAR!$C$9,IF(D885="EUR",KURLAR!$C$10,0))))</x:f>
      </x:c>
      <x:c r="I885" s="68" t="str">
        <x:f>IF(B885="","",G885*H885)</x:f>
      </x:c>
      <x:c r="J885" s="52" t="str">
        <x:f>IF(B885="","",IF(G885&lt;0,"NEGATİF BAKİYE","UYGUN"))</x:f>
      </x:c>
    </x:row>
    <x:row r="886">
      <x:c r="B886" s="46"/>
      <x:c r="C886" s="46"/>
      <x:c r="D886" s="46"/>
      <x:c r="E886" s="92"/>
      <x:c r="F886" s="92"/>
      <x:c r="G886" s="93" t="str">
        <x:f>IF(B886="","",E886-F886)</x:f>
      </x:c>
      <x:c r="H886" s="100" t="str">
        <x:f>IF(B886="","",IF(D886="TL",1,IF(D886="USD",KURLAR!$C$9,IF(D886="EUR",KURLAR!$C$10,0))))</x:f>
      </x:c>
      <x:c r="I886" s="68" t="str">
        <x:f>IF(B886="","",G886*H886)</x:f>
      </x:c>
      <x:c r="J886" s="52" t="str">
        <x:f>IF(B886="","",IF(G886&lt;0,"NEGATİF BAKİYE","UYGUN"))</x:f>
      </x:c>
    </x:row>
    <x:row r="887">
      <x:c r="B887" s="46"/>
      <x:c r="C887" s="46"/>
      <x:c r="D887" s="46"/>
      <x:c r="E887" s="92"/>
      <x:c r="F887" s="92"/>
      <x:c r="G887" s="93" t="str">
        <x:f>IF(B887="","",E887-F887)</x:f>
      </x:c>
      <x:c r="H887" s="100" t="str">
        <x:f>IF(B887="","",IF(D887="TL",1,IF(D887="USD",KURLAR!$C$9,IF(D887="EUR",KURLAR!$C$10,0))))</x:f>
      </x:c>
      <x:c r="I887" s="68" t="str">
        <x:f>IF(B887="","",G887*H887)</x:f>
      </x:c>
      <x:c r="J887" s="52" t="str">
        <x:f>IF(B887="","",IF(G887&lt;0,"NEGATİF BAKİYE","UYGUN"))</x:f>
      </x:c>
    </x:row>
    <x:row r="888">
      <x:c r="B888" s="46"/>
      <x:c r="C888" s="46"/>
      <x:c r="D888" s="46"/>
      <x:c r="E888" s="92"/>
      <x:c r="F888" s="92"/>
      <x:c r="G888" s="93" t="str">
        <x:f>IF(B888="","",E888-F888)</x:f>
      </x:c>
      <x:c r="H888" s="100" t="str">
        <x:f>IF(B888="","",IF(D888="TL",1,IF(D888="USD",KURLAR!$C$9,IF(D888="EUR",KURLAR!$C$10,0))))</x:f>
      </x:c>
      <x:c r="I888" s="68" t="str">
        <x:f>IF(B888="","",G888*H888)</x:f>
      </x:c>
      <x:c r="J888" s="52" t="str">
        <x:f>IF(B888="","",IF(G888&lt;0,"NEGATİF BAKİYE","UYGUN"))</x:f>
      </x:c>
    </x:row>
    <x:row r="889">
      <x:c r="B889" s="46"/>
      <x:c r="C889" s="46"/>
      <x:c r="D889" s="46"/>
      <x:c r="E889" s="92"/>
      <x:c r="F889" s="92"/>
      <x:c r="G889" s="93" t="str">
        <x:f>IF(B889="","",E889-F889)</x:f>
      </x:c>
      <x:c r="H889" s="100" t="str">
        <x:f>IF(B889="","",IF(D889="TL",1,IF(D889="USD",KURLAR!$C$9,IF(D889="EUR",KURLAR!$C$10,0))))</x:f>
      </x:c>
      <x:c r="I889" s="68" t="str">
        <x:f>IF(B889="","",G889*H889)</x:f>
      </x:c>
      <x:c r="J889" s="52" t="str">
        <x:f>IF(B889="","",IF(G889&lt;0,"NEGATİF BAKİYE","UYGUN"))</x:f>
      </x:c>
    </x:row>
    <x:row r="890">
      <x:c r="B890" s="46"/>
      <x:c r="C890" s="46"/>
      <x:c r="D890" s="46"/>
      <x:c r="E890" s="92"/>
      <x:c r="F890" s="92"/>
      <x:c r="G890" s="93" t="str">
        <x:f>IF(B890="","",E890-F890)</x:f>
      </x:c>
      <x:c r="H890" s="100" t="str">
        <x:f>IF(B890="","",IF(D890="TL",1,IF(D890="USD",KURLAR!$C$9,IF(D890="EUR",KURLAR!$C$10,0))))</x:f>
      </x:c>
      <x:c r="I890" s="68" t="str">
        <x:f>IF(B890="","",G890*H890)</x:f>
      </x:c>
      <x:c r="J890" s="52" t="str">
        <x:f>IF(B890="","",IF(G890&lt;0,"NEGATİF BAKİYE","UYGUN"))</x:f>
      </x:c>
    </x:row>
    <x:row r="891">
      <x:c r="B891" s="46"/>
      <x:c r="C891" s="46"/>
      <x:c r="D891" s="46"/>
      <x:c r="E891" s="92"/>
      <x:c r="F891" s="92"/>
      <x:c r="G891" s="93" t="str">
        <x:f>IF(B891="","",E891-F891)</x:f>
      </x:c>
      <x:c r="H891" s="100" t="str">
        <x:f>IF(B891="","",IF(D891="TL",1,IF(D891="USD",KURLAR!$C$9,IF(D891="EUR",KURLAR!$C$10,0))))</x:f>
      </x:c>
      <x:c r="I891" s="68" t="str">
        <x:f>IF(B891="","",G891*H891)</x:f>
      </x:c>
      <x:c r="J891" s="52" t="str">
        <x:f>IF(B891="","",IF(G891&lt;0,"NEGATİF BAKİYE","UYGUN"))</x:f>
      </x:c>
    </x:row>
    <x:row r="892">
      <x:c r="B892" s="46"/>
      <x:c r="C892" s="46"/>
      <x:c r="D892" s="46"/>
      <x:c r="E892" s="92"/>
      <x:c r="F892" s="92"/>
      <x:c r="G892" s="93" t="str">
        <x:f>IF(B892="","",E892-F892)</x:f>
      </x:c>
      <x:c r="H892" s="100" t="str">
        <x:f>IF(B892="","",IF(D892="TL",1,IF(D892="USD",KURLAR!$C$9,IF(D892="EUR",KURLAR!$C$10,0))))</x:f>
      </x:c>
      <x:c r="I892" s="68" t="str">
        <x:f>IF(B892="","",G892*H892)</x:f>
      </x:c>
      <x:c r="J892" s="52" t="str">
        <x:f>IF(B892="","",IF(G892&lt;0,"NEGATİF BAKİYE","UYGUN"))</x:f>
      </x:c>
    </x:row>
    <x:row r="893">
      <x:c r="B893" s="46"/>
      <x:c r="C893" s="46"/>
      <x:c r="D893" s="46"/>
      <x:c r="E893" s="92"/>
      <x:c r="F893" s="92"/>
      <x:c r="G893" s="93" t="str">
        <x:f>IF(B893="","",E893-F893)</x:f>
      </x:c>
      <x:c r="H893" s="100" t="str">
        <x:f>IF(B893="","",IF(D893="TL",1,IF(D893="USD",KURLAR!$C$9,IF(D893="EUR",KURLAR!$C$10,0))))</x:f>
      </x:c>
      <x:c r="I893" s="68" t="str">
        <x:f>IF(B893="","",G893*H893)</x:f>
      </x:c>
      <x:c r="J893" s="52" t="str">
        <x:f>IF(B893="","",IF(G893&lt;0,"NEGATİF BAKİYE","UYGUN"))</x:f>
      </x:c>
    </x:row>
    <x:row r="894">
      <x:c r="B894" s="46"/>
      <x:c r="C894" s="46"/>
      <x:c r="D894" s="46"/>
      <x:c r="E894" s="92"/>
      <x:c r="F894" s="92"/>
      <x:c r="G894" s="93" t="str">
        <x:f>IF(B894="","",E894-F894)</x:f>
      </x:c>
      <x:c r="H894" s="100" t="str">
        <x:f>IF(B894="","",IF(D894="TL",1,IF(D894="USD",KURLAR!$C$9,IF(D894="EUR",KURLAR!$C$10,0))))</x:f>
      </x:c>
      <x:c r="I894" s="68" t="str">
        <x:f>IF(B894="","",G894*H894)</x:f>
      </x:c>
      <x:c r="J894" s="52" t="str">
        <x:f>IF(B894="","",IF(G894&lt;0,"NEGATİF BAKİYE","UYGUN"))</x:f>
      </x:c>
    </x:row>
    <x:row r="895">
      <x:c r="B895" s="46"/>
      <x:c r="C895" s="46"/>
      <x:c r="D895" s="46"/>
      <x:c r="E895" s="92"/>
      <x:c r="F895" s="92"/>
      <x:c r="G895" s="93" t="str">
        <x:f>IF(B895="","",E895-F895)</x:f>
      </x:c>
      <x:c r="H895" s="100" t="str">
        <x:f>IF(B895="","",IF(D895="TL",1,IF(D895="USD",KURLAR!$C$9,IF(D895="EUR",KURLAR!$C$10,0))))</x:f>
      </x:c>
      <x:c r="I895" s="68" t="str">
        <x:f>IF(B895="","",G895*H895)</x:f>
      </x:c>
      <x:c r="J895" s="52" t="str">
        <x:f>IF(B895="","",IF(G895&lt;0,"NEGATİF BAKİYE","UYGUN"))</x:f>
      </x:c>
    </x:row>
    <x:row r="896">
      <x:c r="B896" s="46"/>
      <x:c r="C896" s="46"/>
      <x:c r="D896" s="46"/>
      <x:c r="E896" s="92"/>
      <x:c r="F896" s="92"/>
      <x:c r="G896" s="93" t="str">
        <x:f>IF(B896="","",E896-F896)</x:f>
      </x:c>
      <x:c r="H896" s="100" t="str">
        <x:f>IF(B896="","",IF(D896="TL",1,IF(D896="USD",KURLAR!$C$9,IF(D896="EUR",KURLAR!$C$10,0))))</x:f>
      </x:c>
      <x:c r="I896" s="68" t="str">
        <x:f>IF(B896="","",G896*H896)</x:f>
      </x:c>
      <x:c r="J896" s="52" t="str">
        <x:f>IF(B896="","",IF(G896&lt;0,"NEGATİF BAKİYE","UYGUN"))</x:f>
      </x:c>
    </x:row>
    <x:row r="897">
      <x:c r="B897" s="46"/>
      <x:c r="C897" s="46"/>
      <x:c r="D897" s="46"/>
      <x:c r="E897" s="92"/>
      <x:c r="F897" s="92"/>
      <x:c r="G897" s="93" t="str">
        <x:f>IF(B897="","",E897-F897)</x:f>
      </x:c>
      <x:c r="H897" s="100" t="str">
        <x:f>IF(B897="","",IF(D897="TL",1,IF(D897="USD",KURLAR!$C$9,IF(D897="EUR",KURLAR!$C$10,0))))</x:f>
      </x:c>
      <x:c r="I897" s="68" t="str">
        <x:f>IF(B897="","",G897*H897)</x:f>
      </x:c>
      <x:c r="J897" s="52" t="str">
        <x:f>IF(B897="","",IF(G897&lt;0,"NEGATİF BAKİYE","UYGUN"))</x:f>
      </x:c>
    </x:row>
    <x:row r="898">
      <x:c r="B898" s="46"/>
      <x:c r="C898" s="46"/>
      <x:c r="D898" s="46"/>
      <x:c r="E898" s="92"/>
      <x:c r="F898" s="92"/>
      <x:c r="G898" s="93" t="str">
        <x:f>IF(B898="","",E898-F898)</x:f>
      </x:c>
      <x:c r="H898" s="100" t="str">
        <x:f>IF(B898="","",IF(D898="TL",1,IF(D898="USD",KURLAR!$C$9,IF(D898="EUR",KURLAR!$C$10,0))))</x:f>
      </x:c>
      <x:c r="I898" s="68" t="str">
        <x:f>IF(B898="","",G898*H898)</x:f>
      </x:c>
      <x:c r="J898" s="52" t="str">
        <x:f>IF(B898="","",IF(G898&lt;0,"NEGATİF BAKİYE","UYGUN"))</x:f>
      </x:c>
    </x:row>
    <x:row r="899">
      <x:c r="B899" s="46"/>
      <x:c r="C899" s="46"/>
      <x:c r="D899" s="46"/>
      <x:c r="E899" s="92"/>
      <x:c r="F899" s="92"/>
      <x:c r="G899" s="93" t="str">
        <x:f>IF(B899="","",E899-F899)</x:f>
      </x:c>
      <x:c r="H899" s="100" t="str">
        <x:f>IF(B899="","",IF(D899="TL",1,IF(D899="USD",KURLAR!$C$9,IF(D899="EUR",KURLAR!$C$10,0))))</x:f>
      </x:c>
      <x:c r="I899" s="68" t="str">
        <x:f>IF(B899="","",G899*H899)</x:f>
      </x:c>
      <x:c r="J899" s="52" t="str">
        <x:f>IF(B899="","",IF(G899&lt;0,"NEGATİF BAKİYE","UYGUN"))</x:f>
      </x:c>
    </x:row>
    <x:row r="900">
      <x:c r="B900" s="46"/>
      <x:c r="C900" s="46"/>
      <x:c r="D900" s="46"/>
      <x:c r="E900" s="92"/>
      <x:c r="F900" s="92"/>
      <x:c r="G900" s="93" t="str">
        <x:f>IF(B900="","",E900-F900)</x:f>
      </x:c>
      <x:c r="H900" s="100" t="str">
        <x:f>IF(B900="","",IF(D900="TL",1,IF(D900="USD",KURLAR!$C$9,IF(D900="EUR",KURLAR!$C$10,0))))</x:f>
      </x:c>
      <x:c r="I900" s="68" t="str">
        <x:f>IF(B900="","",G900*H900)</x:f>
      </x:c>
      <x:c r="J900" s="52" t="str">
        <x:f>IF(B900="","",IF(G900&lt;0,"NEGATİF BAKİYE","UYGUN"))</x:f>
      </x:c>
    </x:row>
    <x:row r="901">
      <x:c r="B901" s="46"/>
      <x:c r="C901" s="46"/>
      <x:c r="D901" s="46"/>
      <x:c r="E901" s="92"/>
      <x:c r="F901" s="92"/>
      <x:c r="G901" s="93" t="str">
        <x:f>IF(B901="","",E901-F901)</x:f>
      </x:c>
      <x:c r="H901" s="100" t="str">
        <x:f>IF(B901="","",IF(D901="TL",1,IF(D901="USD",KURLAR!$C$9,IF(D901="EUR",KURLAR!$C$10,0))))</x:f>
      </x:c>
      <x:c r="I901" s="68" t="str">
        <x:f>IF(B901="","",G901*H901)</x:f>
      </x:c>
      <x:c r="J901" s="52" t="str">
        <x:f>IF(B901="","",IF(G901&lt;0,"NEGATİF BAKİYE","UYGUN"))</x:f>
      </x:c>
    </x:row>
    <x:row r="902">
      <x:c r="B902" s="46"/>
      <x:c r="C902" s="46"/>
      <x:c r="D902" s="46"/>
      <x:c r="E902" s="92"/>
      <x:c r="F902" s="92"/>
      <x:c r="G902" s="93" t="str">
        <x:f>IF(B902="","",E902-F902)</x:f>
      </x:c>
      <x:c r="H902" s="100" t="str">
        <x:f>IF(B902="","",IF(D902="TL",1,IF(D902="USD",KURLAR!$C$9,IF(D902="EUR",KURLAR!$C$10,0))))</x:f>
      </x:c>
      <x:c r="I902" s="68" t="str">
        <x:f>IF(B902="","",G902*H902)</x:f>
      </x:c>
      <x:c r="J902" s="52" t="str">
        <x:f>IF(B902="","",IF(G902&lt;0,"NEGATİF BAKİYE","UYGUN"))</x:f>
      </x:c>
    </x:row>
    <x:row r="903">
      <x:c r="B903" s="46"/>
      <x:c r="C903" s="46"/>
      <x:c r="D903" s="46"/>
      <x:c r="E903" s="92"/>
      <x:c r="F903" s="92"/>
      <x:c r="G903" s="93" t="str">
        <x:f>IF(B903="","",E903-F903)</x:f>
      </x:c>
      <x:c r="H903" s="100" t="str">
        <x:f>IF(B903="","",IF(D903="TL",1,IF(D903="USD",KURLAR!$C$9,IF(D903="EUR",KURLAR!$C$10,0))))</x:f>
      </x:c>
      <x:c r="I903" s="68" t="str">
        <x:f>IF(B903="","",G903*H903)</x:f>
      </x:c>
      <x:c r="J903" s="52" t="str">
        <x:f>IF(B903="","",IF(G903&lt;0,"NEGATİF BAKİYE","UYGUN"))</x:f>
      </x:c>
    </x:row>
    <x:row r="904">
      <x:c r="B904" s="46"/>
      <x:c r="C904" s="46"/>
      <x:c r="D904" s="46"/>
      <x:c r="E904" s="92"/>
      <x:c r="F904" s="92"/>
      <x:c r="G904" s="93" t="str">
        <x:f>IF(B904="","",E904-F904)</x:f>
      </x:c>
      <x:c r="H904" s="100" t="str">
        <x:f>IF(B904="","",IF(D904="TL",1,IF(D904="USD",KURLAR!$C$9,IF(D904="EUR",KURLAR!$C$10,0))))</x:f>
      </x:c>
      <x:c r="I904" s="68" t="str">
        <x:f>IF(B904="","",G904*H904)</x:f>
      </x:c>
      <x:c r="J904" s="52" t="str">
        <x:f>IF(B904="","",IF(G904&lt;0,"NEGATİF BAKİYE","UYGUN"))</x:f>
      </x:c>
    </x:row>
    <x:row r="905">
      <x:c r="B905" s="46"/>
      <x:c r="C905" s="46"/>
      <x:c r="D905" s="46"/>
      <x:c r="E905" s="92"/>
      <x:c r="F905" s="92"/>
      <x:c r="G905" s="93" t="str">
        <x:f>IF(B905="","",E905-F905)</x:f>
      </x:c>
      <x:c r="H905" s="100" t="str">
        <x:f>IF(B905="","",IF(D905="TL",1,IF(D905="USD",KURLAR!$C$9,IF(D905="EUR",KURLAR!$C$10,0))))</x:f>
      </x:c>
      <x:c r="I905" s="68" t="str">
        <x:f>IF(B905="","",G905*H905)</x:f>
      </x:c>
      <x:c r="J905" s="52" t="str">
        <x:f>IF(B905="","",IF(G905&lt;0,"NEGATİF BAKİYE","UYGUN"))</x:f>
      </x:c>
    </x:row>
    <x:row r="906">
      <x:c r="B906" s="46"/>
      <x:c r="C906" s="46"/>
      <x:c r="D906" s="46"/>
      <x:c r="E906" s="92"/>
      <x:c r="F906" s="92"/>
      <x:c r="G906" s="93" t="str">
        <x:f>IF(B906="","",E906-F906)</x:f>
      </x:c>
      <x:c r="H906" s="100" t="str">
        <x:f>IF(B906="","",IF(D906="TL",1,IF(D906="USD",KURLAR!$C$9,IF(D906="EUR",KURLAR!$C$10,0))))</x:f>
      </x:c>
      <x:c r="I906" s="68" t="str">
        <x:f>IF(B906="","",G906*H906)</x:f>
      </x:c>
      <x:c r="J906" s="52" t="str">
        <x:f>IF(B906="","",IF(G906&lt;0,"NEGATİF BAKİYE","UYGUN"))</x:f>
      </x:c>
    </x:row>
    <x:row r="907">
      <x:c r="B907" s="46"/>
      <x:c r="C907" s="46"/>
      <x:c r="D907" s="46"/>
      <x:c r="E907" s="92"/>
      <x:c r="F907" s="92"/>
      <x:c r="G907" s="93" t="str">
        <x:f>IF(B907="","",E907-F907)</x:f>
      </x:c>
      <x:c r="H907" s="100" t="str">
        <x:f>IF(B907="","",IF(D907="TL",1,IF(D907="USD",KURLAR!$C$9,IF(D907="EUR",KURLAR!$C$10,0))))</x:f>
      </x:c>
      <x:c r="I907" s="68" t="str">
        <x:f>IF(B907="","",G907*H907)</x:f>
      </x:c>
      <x:c r="J907" s="52" t="str">
        <x:f>IF(B907="","",IF(G907&lt;0,"NEGATİF BAKİYE","UYGUN"))</x:f>
      </x:c>
    </x:row>
    <x:row r="908">
      <x:c r="B908" s="46"/>
      <x:c r="C908" s="46"/>
      <x:c r="D908" s="46"/>
      <x:c r="E908" s="92"/>
      <x:c r="F908" s="92"/>
      <x:c r="G908" s="93" t="str">
        <x:f>IF(B908="","",E908-F908)</x:f>
      </x:c>
      <x:c r="H908" s="100" t="str">
        <x:f>IF(B908="","",IF(D908="TL",1,IF(D908="USD",KURLAR!$C$9,IF(D908="EUR",KURLAR!$C$10,0))))</x:f>
      </x:c>
      <x:c r="I908" s="68" t="str">
        <x:f>IF(B908="","",G908*H908)</x:f>
      </x:c>
      <x:c r="J908" s="52" t="str">
        <x:f>IF(B908="","",IF(G908&lt;0,"NEGATİF BAKİYE","UYGUN"))</x:f>
      </x:c>
    </x:row>
    <x:row r="909">
      <x:c r="B909" s="46"/>
      <x:c r="C909" s="46"/>
      <x:c r="D909" s="46"/>
      <x:c r="E909" s="92"/>
      <x:c r="F909" s="92"/>
      <x:c r="G909" s="93" t="str">
        <x:f>IF(B909="","",E909-F909)</x:f>
      </x:c>
      <x:c r="H909" s="100" t="str">
        <x:f>IF(B909="","",IF(D909="TL",1,IF(D909="USD",KURLAR!$C$9,IF(D909="EUR",KURLAR!$C$10,0))))</x:f>
      </x:c>
      <x:c r="I909" s="68" t="str">
        <x:f>IF(B909="","",G909*H909)</x:f>
      </x:c>
      <x:c r="J909" s="52" t="str">
        <x:f>IF(B909="","",IF(G909&lt;0,"NEGATİF BAKİYE","UYGUN"))</x:f>
      </x:c>
    </x:row>
    <x:row r="910">
      <x:c r="B910" s="46"/>
      <x:c r="C910" s="46"/>
      <x:c r="D910" s="46"/>
      <x:c r="E910" s="92"/>
      <x:c r="F910" s="92"/>
      <x:c r="G910" s="93" t="str">
        <x:f>IF(B910="","",E910-F910)</x:f>
      </x:c>
      <x:c r="H910" s="100" t="str">
        <x:f>IF(B910="","",IF(D910="TL",1,IF(D910="USD",KURLAR!$C$9,IF(D910="EUR",KURLAR!$C$10,0))))</x:f>
      </x:c>
      <x:c r="I910" s="68" t="str">
        <x:f>IF(B910="","",G910*H910)</x:f>
      </x:c>
      <x:c r="J910" s="52" t="str">
        <x:f>IF(B910="","",IF(G910&lt;0,"NEGATİF BAKİYE","UYGUN"))</x:f>
      </x:c>
    </x:row>
    <x:row r="911">
      <x:c r="B911" s="46"/>
      <x:c r="C911" s="46"/>
      <x:c r="D911" s="46"/>
      <x:c r="E911" s="92"/>
      <x:c r="F911" s="92"/>
      <x:c r="G911" s="93" t="str">
        <x:f>IF(B911="","",E911-F911)</x:f>
      </x:c>
      <x:c r="H911" s="100" t="str">
        <x:f>IF(B911="","",IF(D911="TL",1,IF(D911="USD",KURLAR!$C$9,IF(D911="EUR",KURLAR!$C$10,0))))</x:f>
      </x:c>
      <x:c r="I911" s="68" t="str">
        <x:f>IF(B911="","",G911*H911)</x:f>
      </x:c>
      <x:c r="J911" s="52" t="str">
        <x:f>IF(B911="","",IF(G911&lt;0,"NEGATİF BAKİYE","UYGUN"))</x:f>
      </x:c>
    </x:row>
    <x:row r="912">
      <x:c r="B912" s="46"/>
      <x:c r="C912" s="46"/>
      <x:c r="D912" s="46"/>
      <x:c r="E912" s="92"/>
      <x:c r="F912" s="92"/>
      <x:c r="G912" s="93" t="str">
        <x:f>IF(B912="","",E912-F912)</x:f>
      </x:c>
      <x:c r="H912" s="100" t="str">
        <x:f>IF(B912="","",IF(D912="TL",1,IF(D912="USD",KURLAR!$C$9,IF(D912="EUR",KURLAR!$C$10,0))))</x:f>
      </x:c>
      <x:c r="I912" s="68" t="str">
        <x:f>IF(B912="","",G912*H912)</x:f>
      </x:c>
      <x:c r="J912" s="52" t="str">
        <x:f>IF(B912="","",IF(G912&lt;0,"NEGATİF BAKİYE","UYGUN"))</x:f>
      </x:c>
    </x:row>
    <x:row r="913">
      <x:c r="B913" s="46"/>
      <x:c r="C913" s="46"/>
      <x:c r="D913" s="46"/>
      <x:c r="E913" s="92"/>
      <x:c r="F913" s="92"/>
      <x:c r="G913" s="93" t="str">
        <x:f>IF(B913="","",E913-F913)</x:f>
      </x:c>
      <x:c r="H913" s="100" t="str">
        <x:f>IF(B913="","",IF(D913="TL",1,IF(D913="USD",KURLAR!$C$9,IF(D913="EUR",KURLAR!$C$10,0))))</x:f>
      </x:c>
      <x:c r="I913" s="68" t="str">
        <x:f>IF(B913="","",G913*H913)</x:f>
      </x:c>
      <x:c r="J913" s="52" t="str">
        <x:f>IF(B913="","",IF(G913&lt;0,"NEGATİF BAKİYE","UYGUN"))</x:f>
      </x:c>
    </x:row>
    <x:row r="914">
      <x:c r="B914" s="46"/>
      <x:c r="C914" s="46"/>
      <x:c r="D914" s="46"/>
      <x:c r="E914" s="92"/>
      <x:c r="F914" s="92"/>
      <x:c r="G914" s="93" t="str">
        <x:f>IF(B914="","",E914-F914)</x:f>
      </x:c>
      <x:c r="H914" s="100" t="str">
        <x:f>IF(B914="","",IF(D914="TL",1,IF(D914="USD",KURLAR!$C$9,IF(D914="EUR",KURLAR!$C$10,0))))</x:f>
      </x:c>
      <x:c r="I914" s="68" t="str">
        <x:f>IF(B914="","",G914*H914)</x:f>
      </x:c>
      <x:c r="J914" s="52" t="str">
        <x:f>IF(B914="","",IF(G914&lt;0,"NEGATİF BAKİYE","UYGUN"))</x:f>
      </x:c>
    </x:row>
    <x:row r="915">
      <x:c r="B915" s="46"/>
      <x:c r="C915" s="46"/>
      <x:c r="D915" s="46"/>
      <x:c r="E915" s="92"/>
      <x:c r="F915" s="92"/>
      <x:c r="G915" s="93" t="str">
        <x:f>IF(B915="","",E915-F915)</x:f>
      </x:c>
      <x:c r="H915" s="100" t="str">
        <x:f>IF(B915="","",IF(D915="TL",1,IF(D915="USD",KURLAR!$C$9,IF(D915="EUR",KURLAR!$C$10,0))))</x:f>
      </x:c>
      <x:c r="I915" s="68" t="str">
        <x:f>IF(B915="","",G915*H915)</x:f>
      </x:c>
      <x:c r="J915" s="52" t="str">
        <x:f>IF(B915="","",IF(G915&lt;0,"NEGATİF BAKİYE","UYGUN"))</x:f>
      </x:c>
    </x:row>
    <x:row r="916">
      <x:c r="B916" s="46"/>
      <x:c r="C916" s="46"/>
      <x:c r="D916" s="46"/>
      <x:c r="E916" s="92"/>
      <x:c r="F916" s="92"/>
      <x:c r="G916" s="93" t="str">
        <x:f>IF(B916="","",E916-F916)</x:f>
      </x:c>
      <x:c r="H916" s="100" t="str">
        <x:f>IF(B916="","",IF(D916="TL",1,IF(D916="USD",KURLAR!$C$9,IF(D916="EUR",KURLAR!$C$10,0))))</x:f>
      </x:c>
      <x:c r="I916" s="68" t="str">
        <x:f>IF(B916="","",G916*H916)</x:f>
      </x:c>
      <x:c r="J916" s="52" t="str">
        <x:f>IF(B916="","",IF(G916&lt;0,"NEGATİF BAKİYE","UYGUN"))</x:f>
      </x:c>
    </x:row>
    <x:row r="917">
      <x:c r="B917" s="46"/>
      <x:c r="C917" s="46"/>
      <x:c r="D917" s="46"/>
      <x:c r="E917" s="92"/>
      <x:c r="F917" s="92"/>
      <x:c r="G917" s="93" t="str">
        <x:f>IF(B917="","",E917-F917)</x:f>
      </x:c>
      <x:c r="H917" s="100" t="str">
        <x:f>IF(B917="","",IF(D917="TL",1,IF(D917="USD",KURLAR!$C$9,IF(D917="EUR",KURLAR!$C$10,0))))</x:f>
      </x:c>
      <x:c r="I917" s="68" t="str">
        <x:f>IF(B917="","",G917*H917)</x:f>
      </x:c>
      <x:c r="J917" s="52" t="str">
        <x:f>IF(B917="","",IF(G917&lt;0,"NEGATİF BAKİYE","UYGUN"))</x:f>
      </x:c>
    </x:row>
    <x:row r="918">
      <x:c r="B918" s="46"/>
      <x:c r="C918" s="46"/>
      <x:c r="D918" s="46"/>
      <x:c r="E918" s="92"/>
      <x:c r="F918" s="92"/>
      <x:c r="G918" s="93" t="str">
        <x:f>IF(B918="","",E918-F918)</x:f>
      </x:c>
      <x:c r="H918" s="100" t="str">
        <x:f>IF(B918="","",IF(D918="TL",1,IF(D918="USD",KURLAR!$C$9,IF(D918="EUR",KURLAR!$C$10,0))))</x:f>
      </x:c>
      <x:c r="I918" s="68" t="str">
        <x:f>IF(B918="","",G918*H918)</x:f>
      </x:c>
      <x:c r="J918" s="52" t="str">
        <x:f>IF(B918="","",IF(G918&lt;0,"NEGATİF BAKİYE","UYGUN"))</x:f>
      </x:c>
    </x:row>
    <x:row r="919">
      <x:c r="B919" s="46"/>
      <x:c r="C919" s="46"/>
      <x:c r="D919" s="46"/>
      <x:c r="E919" s="92"/>
      <x:c r="F919" s="92"/>
      <x:c r="G919" s="93" t="str">
        <x:f>IF(B919="","",E919-F919)</x:f>
      </x:c>
      <x:c r="H919" s="100" t="str">
        <x:f>IF(B919="","",IF(D919="TL",1,IF(D919="USD",KURLAR!$C$9,IF(D919="EUR",KURLAR!$C$10,0))))</x:f>
      </x:c>
      <x:c r="I919" s="68" t="str">
        <x:f>IF(B919="","",G919*H919)</x:f>
      </x:c>
      <x:c r="J919" s="52" t="str">
        <x:f>IF(B919="","",IF(G919&lt;0,"NEGATİF BAKİYE","UYGUN"))</x:f>
      </x:c>
    </x:row>
    <x:row r="920">
      <x:c r="B920" s="46"/>
      <x:c r="C920" s="46"/>
      <x:c r="D920" s="46"/>
      <x:c r="E920" s="92"/>
      <x:c r="F920" s="92"/>
      <x:c r="G920" s="93" t="str">
        <x:f>IF(B920="","",E920-F920)</x:f>
      </x:c>
      <x:c r="H920" s="100" t="str">
        <x:f>IF(B920="","",IF(D920="TL",1,IF(D920="USD",KURLAR!$C$9,IF(D920="EUR",KURLAR!$C$10,0))))</x:f>
      </x:c>
      <x:c r="I920" s="68" t="str">
        <x:f>IF(B920="","",G920*H920)</x:f>
      </x:c>
      <x:c r="J920" s="52" t="str">
        <x:f>IF(B920="","",IF(G920&lt;0,"NEGATİF BAKİYE","UYGUN"))</x:f>
      </x:c>
    </x:row>
    <x:row r="921">
      <x:c r="B921" s="46"/>
      <x:c r="C921" s="46"/>
      <x:c r="D921" s="46"/>
      <x:c r="E921" s="92"/>
      <x:c r="F921" s="92"/>
      <x:c r="G921" s="93" t="str">
        <x:f>IF(B921="","",E921-F921)</x:f>
      </x:c>
      <x:c r="H921" s="100" t="str">
        <x:f>IF(B921="","",IF(D921="TL",1,IF(D921="USD",KURLAR!$C$9,IF(D921="EUR",KURLAR!$C$10,0))))</x:f>
      </x:c>
      <x:c r="I921" s="68" t="str">
        <x:f>IF(B921="","",G921*H921)</x:f>
      </x:c>
      <x:c r="J921" s="52" t="str">
        <x:f>IF(B921="","",IF(G921&lt;0,"NEGATİF BAKİYE","UYGUN"))</x:f>
      </x:c>
    </x:row>
    <x:row r="922">
      <x:c r="B922" s="46"/>
      <x:c r="C922" s="46"/>
      <x:c r="D922" s="46"/>
      <x:c r="E922" s="92"/>
      <x:c r="F922" s="92"/>
      <x:c r="G922" s="93" t="str">
        <x:f>IF(B922="","",E922-F922)</x:f>
      </x:c>
      <x:c r="H922" s="100" t="str">
        <x:f>IF(B922="","",IF(D922="TL",1,IF(D922="USD",KURLAR!$C$9,IF(D922="EUR",KURLAR!$C$10,0))))</x:f>
      </x:c>
      <x:c r="I922" s="68" t="str">
        <x:f>IF(B922="","",G922*H922)</x:f>
      </x:c>
      <x:c r="J922" s="52" t="str">
        <x:f>IF(B922="","",IF(G922&lt;0,"NEGATİF BAKİYE","UYGUN"))</x:f>
      </x:c>
    </x:row>
    <x:row r="923">
      <x:c r="B923" s="46"/>
      <x:c r="C923" s="46"/>
      <x:c r="D923" s="46"/>
      <x:c r="E923" s="92"/>
      <x:c r="F923" s="92"/>
      <x:c r="G923" s="93" t="str">
        <x:f>IF(B923="","",E923-F923)</x:f>
      </x:c>
      <x:c r="H923" s="100" t="str">
        <x:f>IF(B923="","",IF(D923="TL",1,IF(D923="USD",KURLAR!$C$9,IF(D923="EUR",KURLAR!$C$10,0))))</x:f>
      </x:c>
      <x:c r="I923" s="68" t="str">
        <x:f>IF(B923="","",G923*H923)</x:f>
      </x:c>
      <x:c r="J923" s="52" t="str">
        <x:f>IF(B923="","",IF(G923&lt;0,"NEGATİF BAKİYE","UYGUN"))</x:f>
      </x:c>
    </x:row>
    <x:row r="924">
      <x:c r="B924" s="46"/>
      <x:c r="C924" s="46"/>
      <x:c r="D924" s="46"/>
      <x:c r="E924" s="92"/>
      <x:c r="F924" s="92"/>
      <x:c r="G924" s="93" t="str">
        <x:f>IF(B924="","",E924-F924)</x:f>
      </x:c>
      <x:c r="H924" s="100" t="str">
        <x:f>IF(B924="","",IF(D924="TL",1,IF(D924="USD",KURLAR!$C$9,IF(D924="EUR",KURLAR!$C$10,0))))</x:f>
      </x:c>
      <x:c r="I924" s="68" t="str">
        <x:f>IF(B924="","",G924*H924)</x:f>
      </x:c>
      <x:c r="J924" s="52" t="str">
        <x:f>IF(B924="","",IF(G924&lt;0,"NEGATİF BAKİYE","UYGUN"))</x:f>
      </x:c>
    </x:row>
    <x:row r="925">
      <x:c r="B925" s="46"/>
      <x:c r="C925" s="46"/>
      <x:c r="D925" s="46"/>
      <x:c r="E925" s="92"/>
      <x:c r="F925" s="92"/>
      <x:c r="G925" s="93" t="str">
        <x:f>IF(B925="","",E925-F925)</x:f>
      </x:c>
      <x:c r="H925" s="100" t="str">
        <x:f>IF(B925="","",IF(D925="TL",1,IF(D925="USD",KURLAR!$C$9,IF(D925="EUR",KURLAR!$C$10,0))))</x:f>
      </x:c>
      <x:c r="I925" s="68" t="str">
        <x:f>IF(B925="","",G925*H925)</x:f>
      </x:c>
      <x:c r="J925" s="52" t="str">
        <x:f>IF(B925="","",IF(G925&lt;0,"NEGATİF BAKİYE","UYGUN"))</x:f>
      </x:c>
    </x:row>
    <x:row r="926">
      <x:c r="B926" s="46"/>
      <x:c r="C926" s="46"/>
      <x:c r="D926" s="46"/>
      <x:c r="E926" s="92"/>
      <x:c r="F926" s="92"/>
      <x:c r="G926" s="93" t="str">
        <x:f>IF(B926="","",E926-F926)</x:f>
      </x:c>
      <x:c r="H926" s="100" t="str">
        <x:f>IF(B926="","",IF(D926="TL",1,IF(D926="USD",KURLAR!$C$9,IF(D926="EUR",KURLAR!$C$10,0))))</x:f>
      </x:c>
      <x:c r="I926" s="68" t="str">
        <x:f>IF(B926="","",G926*H926)</x:f>
      </x:c>
      <x:c r="J926" s="52" t="str">
        <x:f>IF(B926="","",IF(G926&lt;0,"NEGATİF BAKİYE","UYGUN"))</x:f>
      </x:c>
    </x:row>
    <x:row r="927">
      <x:c r="B927" s="46"/>
      <x:c r="C927" s="46"/>
      <x:c r="D927" s="46"/>
      <x:c r="E927" s="92"/>
      <x:c r="F927" s="92"/>
      <x:c r="G927" s="93" t="str">
        <x:f>IF(B927="","",E927-F927)</x:f>
      </x:c>
      <x:c r="H927" s="100" t="str">
        <x:f>IF(B927="","",IF(D927="TL",1,IF(D927="USD",KURLAR!$C$9,IF(D927="EUR",KURLAR!$C$10,0))))</x:f>
      </x:c>
      <x:c r="I927" s="68" t="str">
        <x:f>IF(B927="","",G927*H927)</x:f>
      </x:c>
      <x:c r="J927" s="52" t="str">
        <x:f>IF(B927="","",IF(G927&lt;0,"NEGATİF BAKİYE","UYGUN"))</x:f>
      </x:c>
    </x:row>
    <x:row r="928">
      <x:c r="B928" s="46"/>
      <x:c r="C928" s="46"/>
      <x:c r="D928" s="46"/>
      <x:c r="E928" s="92"/>
      <x:c r="F928" s="92"/>
      <x:c r="G928" s="93" t="str">
        <x:f>IF(B928="","",E928-F928)</x:f>
      </x:c>
      <x:c r="H928" s="100" t="str">
        <x:f>IF(B928="","",IF(D928="TL",1,IF(D928="USD",KURLAR!$C$9,IF(D928="EUR",KURLAR!$C$10,0))))</x:f>
      </x:c>
      <x:c r="I928" s="68" t="str">
        <x:f>IF(B928="","",G928*H928)</x:f>
      </x:c>
      <x:c r="J928" s="52" t="str">
        <x:f>IF(B928="","",IF(G928&lt;0,"NEGATİF BAKİYE","UYGUN"))</x:f>
      </x:c>
    </x:row>
    <x:row r="929">
      <x:c r="B929" s="46"/>
      <x:c r="C929" s="46"/>
      <x:c r="D929" s="46"/>
      <x:c r="E929" s="92"/>
      <x:c r="F929" s="92"/>
      <x:c r="G929" s="93" t="str">
        <x:f>IF(B929="","",E929-F929)</x:f>
      </x:c>
      <x:c r="H929" s="100" t="str">
        <x:f>IF(B929="","",IF(D929="TL",1,IF(D929="USD",KURLAR!$C$9,IF(D929="EUR",KURLAR!$C$10,0))))</x:f>
      </x:c>
      <x:c r="I929" s="68" t="str">
        <x:f>IF(B929="","",G929*H929)</x:f>
      </x:c>
      <x:c r="J929" s="52" t="str">
        <x:f>IF(B929="","",IF(G929&lt;0,"NEGATİF BAKİYE","UYGUN"))</x:f>
      </x:c>
    </x:row>
    <x:row r="930">
      <x:c r="B930" s="46"/>
      <x:c r="C930" s="46"/>
      <x:c r="D930" s="46"/>
      <x:c r="E930" s="92"/>
      <x:c r="F930" s="92"/>
      <x:c r="G930" s="93" t="str">
        <x:f>IF(B930="","",E930-F930)</x:f>
      </x:c>
      <x:c r="H930" s="100" t="str">
        <x:f>IF(B930="","",IF(D930="TL",1,IF(D930="USD",KURLAR!$C$9,IF(D930="EUR",KURLAR!$C$10,0))))</x:f>
      </x:c>
      <x:c r="I930" s="68" t="str">
        <x:f>IF(B930="","",G930*H930)</x:f>
      </x:c>
      <x:c r="J930" s="52" t="str">
        <x:f>IF(B930="","",IF(G930&lt;0,"NEGATİF BAKİYE","UYGUN"))</x:f>
      </x:c>
    </x:row>
    <x:row r="931">
      <x:c r="B931" s="46"/>
      <x:c r="C931" s="46"/>
      <x:c r="D931" s="46"/>
      <x:c r="E931" s="92"/>
      <x:c r="F931" s="92"/>
      <x:c r="G931" s="93" t="str">
        <x:f>IF(B931="","",E931-F931)</x:f>
      </x:c>
      <x:c r="H931" s="100" t="str">
        <x:f>IF(B931="","",IF(D931="TL",1,IF(D931="USD",KURLAR!$C$9,IF(D931="EUR",KURLAR!$C$10,0))))</x:f>
      </x:c>
      <x:c r="I931" s="68" t="str">
        <x:f>IF(B931="","",G931*H931)</x:f>
      </x:c>
      <x:c r="J931" s="52" t="str">
        <x:f>IF(B931="","",IF(G931&lt;0,"NEGATİF BAKİYE","UYGUN"))</x:f>
      </x:c>
    </x:row>
    <x:row r="932">
      <x:c r="B932" s="46"/>
      <x:c r="C932" s="46"/>
      <x:c r="D932" s="46"/>
      <x:c r="E932" s="92"/>
      <x:c r="F932" s="92"/>
      <x:c r="G932" s="93" t="str">
        <x:f>IF(B932="","",E932-F932)</x:f>
      </x:c>
      <x:c r="H932" s="100" t="str">
        <x:f>IF(B932="","",IF(D932="TL",1,IF(D932="USD",KURLAR!$C$9,IF(D932="EUR",KURLAR!$C$10,0))))</x:f>
      </x:c>
      <x:c r="I932" s="68" t="str">
        <x:f>IF(B932="","",G932*H932)</x:f>
      </x:c>
      <x:c r="J932" s="52" t="str">
        <x:f>IF(B932="","",IF(G932&lt;0,"NEGATİF BAKİYE","UYGUN"))</x:f>
      </x:c>
    </x:row>
    <x:row r="933">
      <x:c r="B933" s="46"/>
      <x:c r="C933" s="46"/>
      <x:c r="D933" s="46"/>
      <x:c r="E933" s="92"/>
      <x:c r="F933" s="92"/>
      <x:c r="G933" s="93" t="str">
        <x:f>IF(B933="","",E933-F933)</x:f>
      </x:c>
      <x:c r="H933" s="100" t="str">
        <x:f>IF(B933="","",IF(D933="TL",1,IF(D933="USD",KURLAR!$C$9,IF(D933="EUR",KURLAR!$C$10,0))))</x:f>
      </x:c>
      <x:c r="I933" s="68" t="str">
        <x:f>IF(B933="","",G933*H933)</x:f>
      </x:c>
      <x:c r="J933" s="52" t="str">
        <x:f>IF(B933="","",IF(G933&lt;0,"NEGATİF BAKİYE","UYGUN"))</x:f>
      </x:c>
    </x:row>
    <x:row r="934">
      <x:c r="B934" s="46"/>
      <x:c r="C934" s="46"/>
      <x:c r="D934" s="46"/>
      <x:c r="E934" s="92"/>
      <x:c r="F934" s="92"/>
      <x:c r="G934" s="93" t="str">
        <x:f>IF(B934="","",E934-F934)</x:f>
      </x:c>
      <x:c r="H934" s="100" t="str">
        <x:f>IF(B934="","",IF(D934="TL",1,IF(D934="USD",KURLAR!$C$9,IF(D934="EUR",KURLAR!$C$10,0))))</x:f>
      </x:c>
      <x:c r="I934" s="68" t="str">
        <x:f>IF(B934="","",G934*H934)</x:f>
      </x:c>
      <x:c r="J934" s="52" t="str">
        <x:f>IF(B934="","",IF(G934&lt;0,"NEGATİF BAKİYE","UYGUN"))</x:f>
      </x:c>
    </x:row>
    <x:row r="935">
      <x:c r="B935" s="46"/>
      <x:c r="C935" s="46"/>
      <x:c r="D935" s="46"/>
      <x:c r="E935" s="92"/>
      <x:c r="F935" s="92"/>
      <x:c r="G935" s="93" t="str">
        <x:f>IF(B935="","",E935-F935)</x:f>
      </x:c>
      <x:c r="H935" s="100" t="str">
        <x:f>IF(B935="","",IF(D935="TL",1,IF(D935="USD",KURLAR!$C$9,IF(D935="EUR",KURLAR!$C$10,0))))</x:f>
      </x:c>
      <x:c r="I935" s="68" t="str">
        <x:f>IF(B935="","",G935*H935)</x:f>
      </x:c>
      <x:c r="J935" s="52" t="str">
        <x:f>IF(B935="","",IF(G935&lt;0,"NEGATİF BAKİYE","UYGUN"))</x:f>
      </x:c>
    </x:row>
    <x:row r="936">
      <x:c r="B936" s="46"/>
      <x:c r="C936" s="46"/>
      <x:c r="D936" s="46"/>
      <x:c r="E936" s="92"/>
      <x:c r="F936" s="92"/>
      <x:c r="G936" s="93" t="str">
        <x:f>IF(B936="","",E936-F936)</x:f>
      </x:c>
      <x:c r="H936" s="100" t="str">
        <x:f>IF(B936="","",IF(D936="TL",1,IF(D936="USD",KURLAR!$C$9,IF(D936="EUR",KURLAR!$C$10,0))))</x:f>
      </x:c>
      <x:c r="I936" s="68" t="str">
        <x:f>IF(B936="","",G936*H936)</x:f>
      </x:c>
      <x:c r="J936" s="52" t="str">
        <x:f>IF(B936="","",IF(G936&lt;0,"NEGATİF BAKİYE","UYGUN"))</x:f>
      </x:c>
    </x:row>
    <x:row r="937">
      <x:c r="B937" s="46"/>
      <x:c r="C937" s="46"/>
      <x:c r="D937" s="46"/>
      <x:c r="E937" s="92"/>
      <x:c r="F937" s="92"/>
      <x:c r="G937" s="93" t="str">
        <x:f>IF(B937="","",E937-F937)</x:f>
      </x:c>
      <x:c r="H937" s="100" t="str">
        <x:f>IF(B937="","",IF(D937="TL",1,IF(D937="USD",KURLAR!$C$9,IF(D937="EUR",KURLAR!$C$10,0))))</x:f>
      </x:c>
      <x:c r="I937" s="68" t="str">
        <x:f>IF(B937="","",G937*H937)</x:f>
      </x:c>
      <x:c r="J937" s="52" t="str">
        <x:f>IF(B937="","",IF(G937&lt;0,"NEGATİF BAKİYE","UYGUN"))</x:f>
      </x:c>
    </x:row>
    <x:row r="938">
      <x:c r="B938" s="46"/>
      <x:c r="C938" s="46"/>
      <x:c r="D938" s="46"/>
      <x:c r="E938" s="92"/>
      <x:c r="F938" s="92"/>
      <x:c r="G938" s="93" t="str">
        <x:f>IF(B938="","",E938-F938)</x:f>
      </x:c>
      <x:c r="H938" s="100" t="str">
        <x:f>IF(B938="","",IF(D938="TL",1,IF(D938="USD",KURLAR!$C$9,IF(D938="EUR",KURLAR!$C$10,0))))</x:f>
      </x:c>
      <x:c r="I938" s="68" t="str">
        <x:f>IF(B938="","",G938*H938)</x:f>
      </x:c>
      <x:c r="J938" s="52" t="str">
        <x:f>IF(B938="","",IF(G938&lt;0,"NEGATİF BAKİYE","UYGUN"))</x:f>
      </x:c>
    </x:row>
    <x:row r="939">
      <x:c r="B939" s="46"/>
      <x:c r="C939" s="46"/>
      <x:c r="D939" s="46"/>
      <x:c r="E939" s="92"/>
      <x:c r="F939" s="92"/>
      <x:c r="G939" s="93" t="str">
        <x:f>IF(B939="","",E939-F939)</x:f>
      </x:c>
      <x:c r="H939" s="100" t="str">
        <x:f>IF(B939="","",IF(D939="TL",1,IF(D939="USD",KURLAR!$C$9,IF(D939="EUR",KURLAR!$C$10,0))))</x:f>
      </x:c>
      <x:c r="I939" s="68" t="str">
        <x:f>IF(B939="","",G939*H939)</x:f>
      </x:c>
      <x:c r="J939" s="52" t="str">
        <x:f>IF(B939="","",IF(G939&lt;0,"NEGATİF BAKİYE","UYGUN"))</x:f>
      </x:c>
    </x:row>
    <x:row r="940">
      <x:c r="B940" s="46"/>
      <x:c r="C940" s="46"/>
      <x:c r="D940" s="46"/>
      <x:c r="E940" s="92"/>
      <x:c r="F940" s="92"/>
      <x:c r="G940" s="93" t="str">
        <x:f>IF(B940="","",E940-F940)</x:f>
      </x:c>
      <x:c r="H940" s="100" t="str">
        <x:f>IF(B940="","",IF(D940="TL",1,IF(D940="USD",KURLAR!$C$9,IF(D940="EUR",KURLAR!$C$10,0))))</x:f>
      </x:c>
      <x:c r="I940" s="68" t="str">
        <x:f>IF(B940="","",G940*H940)</x:f>
      </x:c>
      <x:c r="J940" s="52" t="str">
        <x:f>IF(B940="","",IF(G940&lt;0,"NEGATİF BAKİYE","UYGUN"))</x:f>
      </x:c>
    </x:row>
    <x:row r="941">
      <x:c r="B941" s="46"/>
      <x:c r="C941" s="46"/>
      <x:c r="D941" s="46"/>
      <x:c r="E941" s="92"/>
      <x:c r="F941" s="92"/>
      <x:c r="G941" s="93" t="str">
        <x:f>IF(B941="","",E941-F941)</x:f>
      </x:c>
      <x:c r="H941" s="100" t="str">
        <x:f>IF(B941="","",IF(D941="TL",1,IF(D941="USD",KURLAR!$C$9,IF(D941="EUR",KURLAR!$C$10,0))))</x:f>
      </x:c>
      <x:c r="I941" s="68" t="str">
        <x:f>IF(B941="","",G941*H941)</x:f>
      </x:c>
      <x:c r="J941" s="52" t="str">
        <x:f>IF(B941="","",IF(G941&lt;0,"NEGATİF BAKİYE","UYGUN"))</x:f>
      </x:c>
    </x:row>
    <x:row r="942">
      <x:c r="B942" s="46"/>
      <x:c r="C942" s="46"/>
      <x:c r="D942" s="46"/>
      <x:c r="E942" s="92"/>
      <x:c r="F942" s="92"/>
      <x:c r="G942" s="93" t="str">
        <x:f>IF(B942="","",E942-F942)</x:f>
      </x:c>
      <x:c r="H942" s="100" t="str">
        <x:f>IF(B942="","",IF(D942="TL",1,IF(D942="USD",KURLAR!$C$9,IF(D942="EUR",KURLAR!$C$10,0))))</x:f>
      </x:c>
      <x:c r="I942" s="68" t="str">
        <x:f>IF(B942="","",G942*H942)</x:f>
      </x:c>
      <x:c r="J942" s="52" t="str">
        <x:f>IF(B942="","",IF(G942&lt;0,"NEGATİF BAKİYE","UYGUN"))</x:f>
      </x:c>
    </x:row>
    <x:row r="943">
      <x:c r="B943" s="46"/>
      <x:c r="C943" s="46"/>
      <x:c r="D943" s="46"/>
      <x:c r="E943" s="92"/>
      <x:c r="F943" s="92"/>
      <x:c r="G943" s="93" t="str">
        <x:f>IF(B943="","",E943-F943)</x:f>
      </x:c>
      <x:c r="H943" s="100" t="str">
        <x:f>IF(B943="","",IF(D943="TL",1,IF(D943="USD",KURLAR!$C$9,IF(D943="EUR",KURLAR!$C$10,0))))</x:f>
      </x:c>
      <x:c r="I943" s="68" t="str">
        <x:f>IF(B943="","",G943*H943)</x:f>
      </x:c>
      <x:c r="J943" s="52" t="str">
        <x:f>IF(B943="","",IF(G943&lt;0,"NEGATİF BAKİYE","UYGUN"))</x:f>
      </x:c>
    </x:row>
    <x:row r="944">
      <x:c r="B944" s="46"/>
      <x:c r="C944" s="46"/>
      <x:c r="D944" s="46"/>
      <x:c r="E944" s="92"/>
      <x:c r="F944" s="92"/>
      <x:c r="G944" s="93" t="str">
        <x:f>IF(B944="","",E944-F944)</x:f>
      </x:c>
      <x:c r="H944" s="100" t="str">
        <x:f>IF(B944="","",IF(D944="TL",1,IF(D944="USD",KURLAR!$C$9,IF(D944="EUR",KURLAR!$C$10,0))))</x:f>
      </x:c>
      <x:c r="I944" s="68" t="str">
        <x:f>IF(B944="","",G944*H944)</x:f>
      </x:c>
      <x:c r="J944" s="52" t="str">
        <x:f>IF(B944="","",IF(G944&lt;0,"NEGATİF BAKİYE","UYGUN"))</x:f>
      </x:c>
    </x:row>
    <x:row r="945">
      <x:c r="B945" s="46"/>
      <x:c r="C945" s="46"/>
      <x:c r="D945" s="46"/>
      <x:c r="E945" s="92"/>
      <x:c r="F945" s="92"/>
      <x:c r="G945" s="93" t="str">
        <x:f>IF(B945="","",E945-F945)</x:f>
      </x:c>
      <x:c r="H945" s="100" t="str">
        <x:f>IF(B945="","",IF(D945="TL",1,IF(D945="USD",KURLAR!$C$9,IF(D945="EUR",KURLAR!$C$10,0))))</x:f>
      </x:c>
      <x:c r="I945" s="68" t="str">
        <x:f>IF(B945="","",G945*H945)</x:f>
      </x:c>
      <x:c r="J945" s="52" t="str">
        <x:f>IF(B945="","",IF(G945&lt;0,"NEGATİF BAKİYE","UYGUN"))</x:f>
      </x:c>
    </x:row>
    <x:row r="946">
      <x:c r="B946" s="46"/>
      <x:c r="C946" s="46"/>
      <x:c r="D946" s="46"/>
      <x:c r="E946" s="92"/>
      <x:c r="F946" s="92"/>
      <x:c r="G946" s="93" t="str">
        <x:f>IF(B946="","",E946-F946)</x:f>
      </x:c>
      <x:c r="H946" s="100" t="str">
        <x:f>IF(B946="","",IF(D946="TL",1,IF(D946="USD",KURLAR!$C$9,IF(D946="EUR",KURLAR!$C$10,0))))</x:f>
      </x:c>
      <x:c r="I946" s="68" t="str">
        <x:f>IF(B946="","",G946*H946)</x:f>
      </x:c>
      <x:c r="J946" s="52" t="str">
        <x:f>IF(B946="","",IF(G946&lt;0,"NEGATİF BAKİYE","UYGUN"))</x:f>
      </x:c>
    </x:row>
    <x:row r="947">
      <x:c r="B947" s="46"/>
      <x:c r="C947" s="46"/>
      <x:c r="D947" s="46"/>
      <x:c r="E947" s="92"/>
      <x:c r="F947" s="92"/>
      <x:c r="G947" s="93" t="str">
        <x:f>IF(B947="","",E947-F947)</x:f>
      </x:c>
      <x:c r="H947" s="100" t="str">
        <x:f>IF(B947="","",IF(D947="TL",1,IF(D947="USD",KURLAR!$C$9,IF(D947="EUR",KURLAR!$C$10,0))))</x:f>
      </x:c>
      <x:c r="I947" s="68" t="str">
        <x:f>IF(B947="","",G947*H947)</x:f>
      </x:c>
      <x:c r="J947" s="52" t="str">
        <x:f>IF(B947="","",IF(G947&lt;0,"NEGATİF BAKİYE","UYGUN"))</x:f>
      </x:c>
    </x:row>
    <x:row r="948">
      <x:c r="B948" s="46"/>
      <x:c r="C948" s="46"/>
      <x:c r="D948" s="46"/>
      <x:c r="E948" s="92"/>
      <x:c r="F948" s="92"/>
      <x:c r="G948" s="93" t="str">
        <x:f>IF(B948="","",E948-F948)</x:f>
      </x:c>
      <x:c r="H948" s="100" t="str">
        <x:f>IF(B948="","",IF(D948="TL",1,IF(D948="USD",KURLAR!$C$9,IF(D948="EUR",KURLAR!$C$10,0))))</x:f>
      </x:c>
      <x:c r="I948" s="68" t="str">
        <x:f>IF(B948="","",G948*H948)</x:f>
      </x:c>
      <x:c r="J948" s="52" t="str">
        <x:f>IF(B948="","",IF(G948&lt;0,"NEGATİF BAKİYE","UYGUN"))</x:f>
      </x:c>
    </x:row>
    <x:row r="949">
      <x:c r="B949" s="46"/>
      <x:c r="C949" s="46"/>
      <x:c r="D949" s="46"/>
      <x:c r="E949" s="92"/>
      <x:c r="F949" s="92"/>
      <x:c r="G949" s="93" t="str">
        <x:f>IF(B949="","",E949-F949)</x:f>
      </x:c>
      <x:c r="H949" s="100" t="str">
        <x:f>IF(B949="","",IF(D949="TL",1,IF(D949="USD",KURLAR!$C$9,IF(D949="EUR",KURLAR!$C$10,0))))</x:f>
      </x:c>
      <x:c r="I949" s="68" t="str">
        <x:f>IF(B949="","",G949*H949)</x:f>
      </x:c>
      <x:c r="J949" s="52" t="str">
        <x:f>IF(B949="","",IF(G949&lt;0,"NEGATİF BAKİYE","UYGUN"))</x:f>
      </x:c>
    </x:row>
    <x:row r="950">
      <x:c r="B950" s="46"/>
      <x:c r="C950" s="46"/>
      <x:c r="D950" s="46"/>
      <x:c r="E950" s="92"/>
      <x:c r="F950" s="92"/>
      <x:c r="G950" s="93" t="str">
        <x:f>IF(B950="","",E950-F950)</x:f>
      </x:c>
      <x:c r="H950" s="100" t="str">
        <x:f>IF(B950="","",IF(D950="TL",1,IF(D950="USD",KURLAR!$C$9,IF(D950="EUR",KURLAR!$C$10,0))))</x:f>
      </x:c>
      <x:c r="I950" s="68" t="str">
        <x:f>IF(B950="","",G950*H950)</x:f>
      </x:c>
      <x:c r="J950" s="52" t="str">
        <x:f>IF(B950="","",IF(G950&lt;0,"NEGATİF BAKİYE","UYGUN"))</x:f>
      </x:c>
    </x:row>
    <x:row r="951">
      <x:c r="B951" s="46"/>
      <x:c r="C951" s="46"/>
      <x:c r="D951" s="46"/>
      <x:c r="E951" s="92"/>
      <x:c r="F951" s="92"/>
      <x:c r="G951" s="93" t="str">
        <x:f>IF(B951="","",E951-F951)</x:f>
      </x:c>
      <x:c r="H951" s="100" t="str">
        <x:f>IF(B951="","",IF(D951="TL",1,IF(D951="USD",KURLAR!$C$9,IF(D951="EUR",KURLAR!$C$10,0))))</x:f>
      </x:c>
      <x:c r="I951" s="68" t="str">
        <x:f>IF(B951="","",G951*H951)</x:f>
      </x:c>
      <x:c r="J951" s="52" t="str">
        <x:f>IF(B951="","",IF(G951&lt;0,"NEGATİF BAKİYE","UYGUN"))</x:f>
      </x:c>
    </x:row>
    <x:row r="952">
      <x:c r="B952" s="46"/>
      <x:c r="C952" s="46"/>
      <x:c r="D952" s="46"/>
      <x:c r="E952" s="92"/>
      <x:c r="F952" s="92"/>
      <x:c r="G952" s="93" t="str">
        <x:f>IF(B952="","",E952-F952)</x:f>
      </x:c>
      <x:c r="H952" s="100" t="str">
        <x:f>IF(B952="","",IF(D952="TL",1,IF(D952="USD",KURLAR!$C$9,IF(D952="EUR",KURLAR!$C$10,0))))</x:f>
      </x:c>
      <x:c r="I952" s="68" t="str">
        <x:f>IF(B952="","",G952*H952)</x:f>
      </x:c>
      <x:c r="J952" s="52" t="str">
        <x:f>IF(B952="","",IF(G952&lt;0,"NEGATİF BAKİYE","UYGUN"))</x:f>
      </x:c>
    </x:row>
    <x:row r="953">
      <x:c r="B953" s="46"/>
      <x:c r="C953" s="46"/>
      <x:c r="D953" s="46"/>
      <x:c r="E953" s="92"/>
      <x:c r="F953" s="92"/>
      <x:c r="G953" s="93" t="str">
        <x:f>IF(B953="","",E953-F953)</x:f>
      </x:c>
      <x:c r="H953" s="100" t="str">
        <x:f>IF(B953="","",IF(D953="TL",1,IF(D953="USD",KURLAR!$C$9,IF(D953="EUR",KURLAR!$C$10,0))))</x:f>
      </x:c>
      <x:c r="I953" s="68" t="str">
        <x:f>IF(B953="","",G953*H953)</x:f>
      </x:c>
      <x:c r="J953" s="52" t="str">
        <x:f>IF(B953="","",IF(G953&lt;0,"NEGATİF BAKİYE","UYGUN"))</x:f>
      </x:c>
    </x:row>
    <x:row r="954">
      <x:c r="B954" s="46"/>
      <x:c r="C954" s="46"/>
      <x:c r="D954" s="46"/>
      <x:c r="E954" s="92"/>
      <x:c r="F954" s="92"/>
      <x:c r="G954" s="93" t="str">
        <x:f>IF(B954="","",E954-F954)</x:f>
      </x:c>
      <x:c r="H954" s="100" t="str">
        <x:f>IF(B954="","",IF(D954="TL",1,IF(D954="USD",KURLAR!$C$9,IF(D954="EUR",KURLAR!$C$10,0))))</x:f>
      </x:c>
      <x:c r="I954" s="68" t="str">
        <x:f>IF(B954="","",G954*H954)</x:f>
      </x:c>
      <x:c r="J954" s="52" t="str">
        <x:f>IF(B954="","",IF(G954&lt;0,"NEGATİF BAKİYE","UYGUN"))</x:f>
      </x:c>
    </x:row>
    <x:row r="955">
      <x:c r="B955" s="46"/>
      <x:c r="C955" s="46"/>
      <x:c r="D955" s="46"/>
      <x:c r="E955" s="92"/>
      <x:c r="F955" s="92"/>
      <x:c r="G955" s="93" t="str">
        <x:f>IF(B955="","",E955-F955)</x:f>
      </x:c>
      <x:c r="H955" s="100" t="str">
        <x:f>IF(B955="","",IF(D955="TL",1,IF(D955="USD",KURLAR!$C$9,IF(D955="EUR",KURLAR!$C$10,0))))</x:f>
      </x:c>
      <x:c r="I955" s="68" t="str">
        <x:f>IF(B955="","",G955*H955)</x:f>
      </x:c>
      <x:c r="J955" s="52" t="str">
        <x:f>IF(B955="","",IF(G955&lt;0,"NEGATİF BAKİYE","UYGUN"))</x:f>
      </x:c>
    </x:row>
    <x:row r="956">
      <x:c r="B956" s="46"/>
      <x:c r="C956" s="46"/>
      <x:c r="D956" s="46"/>
      <x:c r="E956" s="92"/>
      <x:c r="F956" s="92"/>
      <x:c r="G956" s="93" t="str">
        <x:f>IF(B956="","",E956-F956)</x:f>
      </x:c>
      <x:c r="H956" s="100" t="str">
        <x:f>IF(B956="","",IF(D956="TL",1,IF(D956="USD",KURLAR!$C$9,IF(D956="EUR",KURLAR!$C$10,0))))</x:f>
      </x:c>
      <x:c r="I956" s="68" t="str">
        <x:f>IF(B956="","",G956*H956)</x:f>
      </x:c>
      <x:c r="J956" s="52" t="str">
        <x:f>IF(B956="","",IF(G956&lt;0,"NEGATİF BAKİYE","UYGUN"))</x:f>
      </x:c>
    </x:row>
    <x:row r="957">
      <x:c r="B957" s="46"/>
      <x:c r="C957" s="46"/>
      <x:c r="D957" s="46"/>
      <x:c r="E957" s="92"/>
      <x:c r="F957" s="92"/>
      <x:c r="G957" s="93" t="str">
        <x:f>IF(B957="","",E957-F957)</x:f>
      </x:c>
      <x:c r="H957" s="100" t="str">
        <x:f>IF(B957="","",IF(D957="TL",1,IF(D957="USD",KURLAR!$C$9,IF(D957="EUR",KURLAR!$C$10,0))))</x:f>
      </x:c>
      <x:c r="I957" s="68" t="str">
        <x:f>IF(B957="","",G957*H957)</x:f>
      </x:c>
      <x:c r="J957" s="52" t="str">
        <x:f>IF(B957="","",IF(G957&lt;0,"NEGATİF BAKİYE","UYGUN"))</x:f>
      </x:c>
    </x:row>
    <x:row r="958">
      <x:c r="B958" s="46"/>
      <x:c r="C958" s="46"/>
      <x:c r="D958" s="46"/>
      <x:c r="E958" s="92"/>
      <x:c r="F958" s="92"/>
      <x:c r="G958" s="93" t="str">
        <x:f>IF(B958="","",E958-F958)</x:f>
      </x:c>
      <x:c r="H958" s="100" t="str">
        <x:f>IF(B958="","",IF(D958="TL",1,IF(D958="USD",KURLAR!$C$9,IF(D958="EUR",KURLAR!$C$10,0))))</x:f>
      </x:c>
      <x:c r="I958" s="68" t="str">
        <x:f>IF(B958="","",G958*H958)</x:f>
      </x:c>
      <x:c r="J958" s="52" t="str">
        <x:f>IF(B958="","",IF(G958&lt;0,"NEGATİF BAKİYE","UYGUN"))</x:f>
      </x:c>
    </x:row>
    <x:row r="959">
      <x:c r="B959" s="46"/>
      <x:c r="C959" s="46"/>
      <x:c r="D959" s="46"/>
      <x:c r="E959" s="92"/>
      <x:c r="F959" s="92"/>
      <x:c r="G959" s="93" t="str">
        <x:f>IF(B959="","",E959-F959)</x:f>
      </x:c>
      <x:c r="H959" s="100" t="str">
        <x:f>IF(B959="","",IF(D959="TL",1,IF(D959="USD",KURLAR!$C$9,IF(D959="EUR",KURLAR!$C$10,0))))</x:f>
      </x:c>
      <x:c r="I959" s="68" t="str">
        <x:f>IF(B959="","",G959*H959)</x:f>
      </x:c>
      <x:c r="J959" s="52" t="str">
        <x:f>IF(B959="","",IF(G959&lt;0,"NEGATİF BAKİYE","UYGUN"))</x:f>
      </x:c>
    </x:row>
    <x:row r="960">
      <x:c r="B960" s="46"/>
      <x:c r="C960" s="46"/>
      <x:c r="D960" s="46"/>
      <x:c r="E960" s="92"/>
      <x:c r="F960" s="92"/>
      <x:c r="G960" s="93" t="str">
        <x:f>IF(B960="","",E960-F960)</x:f>
      </x:c>
      <x:c r="H960" s="100" t="str">
        <x:f>IF(B960="","",IF(D960="TL",1,IF(D960="USD",KURLAR!$C$9,IF(D960="EUR",KURLAR!$C$10,0))))</x:f>
      </x:c>
      <x:c r="I960" s="68" t="str">
        <x:f>IF(B960="","",G960*H960)</x:f>
      </x:c>
      <x:c r="J960" s="52" t="str">
        <x:f>IF(B960="","",IF(G960&lt;0,"NEGATİF BAKİYE","UYGUN"))</x:f>
      </x:c>
    </x:row>
    <x:row r="961">
      <x:c r="B961" s="46"/>
      <x:c r="C961" s="46"/>
      <x:c r="D961" s="46"/>
      <x:c r="E961" s="92"/>
      <x:c r="F961" s="92"/>
      <x:c r="G961" s="93" t="str">
        <x:f>IF(B961="","",E961-F961)</x:f>
      </x:c>
      <x:c r="H961" s="100" t="str">
        <x:f>IF(B961="","",IF(D961="TL",1,IF(D961="USD",KURLAR!$C$9,IF(D961="EUR",KURLAR!$C$10,0))))</x:f>
      </x:c>
      <x:c r="I961" s="68" t="str">
        <x:f>IF(B961="","",G961*H961)</x:f>
      </x:c>
      <x:c r="J961" s="52" t="str">
        <x:f>IF(B961="","",IF(G961&lt;0,"NEGATİF BAKİYE","UYGUN"))</x:f>
      </x:c>
    </x:row>
    <x:row r="962">
      <x:c r="B962" s="46"/>
      <x:c r="C962" s="46"/>
      <x:c r="D962" s="46"/>
      <x:c r="E962" s="92"/>
      <x:c r="F962" s="92"/>
      <x:c r="G962" s="93" t="str">
        <x:f>IF(B962="","",E962-F962)</x:f>
      </x:c>
      <x:c r="H962" s="100" t="str">
        <x:f>IF(B962="","",IF(D962="TL",1,IF(D962="USD",KURLAR!$C$9,IF(D962="EUR",KURLAR!$C$10,0))))</x:f>
      </x:c>
      <x:c r="I962" s="68" t="str">
        <x:f>IF(B962="","",G962*H962)</x:f>
      </x:c>
      <x:c r="J962" s="52" t="str">
        <x:f>IF(B962="","",IF(G962&lt;0,"NEGATİF BAKİYE","UYGUN"))</x:f>
      </x:c>
    </x:row>
    <x:row r="963">
      <x:c r="B963" s="46"/>
      <x:c r="C963" s="46"/>
      <x:c r="D963" s="46"/>
      <x:c r="E963" s="92"/>
      <x:c r="F963" s="92"/>
      <x:c r="G963" s="93" t="str">
        <x:f>IF(B963="","",E963-F963)</x:f>
      </x:c>
      <x:c r="H963" s="100" t="str">
        <x:f>IF(B963="","",IF(D963="TL",1,IF(D963="USD",KURLAR!$C$9,IF(D963="EUR",KURLAR!$C$10,0))))</x:f>
      </x:c>
      <x:c r="I963" s="68" t="str">
        <x:f>IF(B963="","",G963*H963)</x:f>
      </x:c>
      <x:c r="J963" s="52" t="str">
        <x:f>IF(B963="","",IF(G963&lt;0,"NEGATİF BAKİYE","UYGUN"))</x:f>
      </x:c>
    </x:row>
    <x:row r="964">
      <x:c r="B964" s="46"/>
      <x:c r="C964" s="46"/>
      <x:c r="D964" s="46"/>
      <x:c r="E964" s="92"/>
      <x:c r="F964" s="92"/>
      <x:c r="G964" s="93" t="str">
        <x:f>IF(B964="","",E964-F964)</x:f>
      </x:c>
      <x:c r="H964" s="100" t="str">
        <x:f>IF(B964="","",IF(D964="TL",1,IF(D964="USD",KURLAR!$C$9,IF(D964="EUR",KURLAR!$C$10,0))))</x:f>
      </x:c>
      <x:c r="I964" s="68" t="str">
        <x:f>IF(B964="","",G964*H964)</x:f>
      </x:c>
      <x:c r="J964" s="52" t="str">
        <x:f>IF(B964="","",IF(G964&lt;0,"NEGATİF BAKİYE","UYGUN"))</x:f>
      </x:c>
    </x:row>
    <x:row r="965">
      <x:c r="B965" s="46"/>
      <x:c r="C965" s="46"/>
      <x:c r="D965" s="46"/>
      <x:c r="E965" s="92"/>
      <x:c r="F965" s="92"/>
      <x:c r="G965" s="93" t="str">
        <x:f>IF(B965="","",E965-F965)</x:f>
      </x:c>
      <x:c r="H965" s="100" t="str">
        <x:f>IF(B965="","",IF(D965="TL",1,IF(D965="USD",KURLAR!$C$9,IF(D965="EUR",KURLAR!$C$10,0))))</x:f>
      </x:c>
      <x:c r="I965" s="68" t="str">
        <x:f>IF(B965="","",G965*H965)</x:f>
      </x:c>
      <x:c r="J965" s="52" t="str">
        <x:f>IF(B965="","",IF(G965&lt;0,"NEGATİF BAKİYE","UYGUN"))</x:f>
      </x:c>
    </x:row>
    <x:row r="966">
      <x:c r="B966" s="46"/>
      <x:c r="C966" s="46"/>
      <x:c r="D966" s="46"/>
      <x:c r="E966" s="92"/>
      <x:c r="F966" s="92"/>
      <x:c r="G966" s="93" t="str">
        <x:f>IF(B966="","",E966-F966)</x:f>
      </x:c>
      <x:c r="H966" s="100" t="str">
        <x:f>IF(B966="","",IF(D966="TL",1,IF(D966="USD",KURLAR!$C$9,IF(D966="EUR",KURLAR!$C$10,0))))</x:f>
      </x:c>
      <x:c r="I966" s="68" t="str">
        <x:f>IF(B966="","",G966*H966)</x:f>
      </x:c>
      <x:c r="J966" s="52" t="str">
        <x:f>IF(B966="","",IF(G966&lt;0,"NEGATİF BAKİYE","UYGUN"))</x:f>
      </x:c>
    </x:row>
    <x:row r="967">
      <x:c r="B967" s="46"/>
      <x:c r="C967" s="46"/>
      <x:c r="D967" s="46"/>
      <x:c r="E967" s="92"/>
      <x:c r="F967" s="92"/>
      <x:c r="G967" s="93" t="str">
        <x:f>IF(B967="","",E967-F967)</x:f>
      </x:c>
      <x:c r="H967" s="100" t="str">
        <x:f>IF(B967="","",IF(D967="TL",1,IF(D967="USD",KURLAR!$C$9,IF(D967="EUR",KURLAR!$C$10,0))))</x:f>
      </x:c>
      <x:c r="I967" s="68" t="str">
        <x:f>IF(B967="","",G967*H967)</x:f>
      </x:c>
      <x:c r="J967" s="52" t="str">
        <x:f>IF(B967="","",IF(G967&lt;0,"NEGATİF BAKİYE","UYGUN"))</x:f>
      </x:c>
    </x:row>
    <x:row r="968">
      <x:c r="B968" s="46"/>
      <x:c r="C968" s="46"/>
      <x:c r="D968" s="46"/>
      <x:c r="E968" s="92"/>
      <x:c r="F968" s="92"/>
      <x:c r="G968" s="93" t="str">
        <x:f>IF(B968="","",E968-F968)</x:f>
      </x:c>
      <x:c r="H968" s="100" t="str">
        <x:f>IF(B968="","",IF(D968="TL",1,IF(D968="USD",KURLAR!$C$9,IF(D968="EUR",KURLAR!$C$10,0))))</x:f>
      </x:c>
      <x:c r="I968" s="68" t="str">
        <x:f>IF(B968="","",G968*H968)</x:f>
      </x:c>
      <x:c r="J968" s="52" t="str">
        <x:f>IF(B968="","",IF(G968&lt;0,"NEGATİF BAKİYE","UYGUN"))</x:f>
      </x:c>
    </x:row>
    <x:row r="969">
      <x:c r="B969" s="46"/>
      <x:c r="C969" s="46"/>
      <x:c r="D969" s="46"/>
      <x:c r="E969" s="92"/>
      <x:c r="F969" s="92"/>
      <x:c r="G969" s="93" t="str">
        <x:f>IF(B969="","",E969-F969)</x:f>
      </x:c>
      <x:c r="H969" s="100" t="str">
        <x:f>IF(B969="","",IF(D969="TL",1,IF(D969="USD",KURLAR!$C$9,IF(D969="EUR",KURLAR!$C$10,0))))</x:f>
      </x:c>
      <x:c r="I969" s="68" t="str">
        <x:f>IF(B969="","",G969*H969)</x:f>
      </x:c>
      <x:c r="J969" s="52" t="str">
        <x:f>IF(B969="","",IF(G969&lt;0,"NEGATİF BAKİYE","UYGUN"))</x:f>
      </x:c>
    </x:row>
    <x:row r="970">
      <x:c r="B970" s="46"/>
      <x:c r="C970" s="46"/>
      <x:c r="D970" s="46"/>
      <x:c r="E970" s="92"/>
      <x:c r="F970" s="92"/>
      <x:c r="G970" s="93" t="str">
        <x:f>IF(B970="","",E970-F970)</x:f>
      </x:c>
      <x:c r="H970" s="100" t="str">
        <x:f>IF(B970="","",IF(D970="TL",1,IF(D970="USD",KURLAR!$C$9,IF(D970="EUR",KURLAR!$C$10,0))))</x:f>
      </x:c>
      <x:c r="I970" s="68" t="str">
        <x:f>IF(B970="","",G970*H970)</x:f>
      </x:c>
      <x:c r="J970" s="52" t="str">
        <x:f>IF(B970="","",IF(G970&lt;0,"NEGATİF BAKİYE","UYGUN"))</x:f>
      </x:c>
    </x:row>
    <x:row r="971">
      <x:c r="B971" s="46"/>
      <x:c r="C971" s="46"/>
      <x:c r="D971" s="46"/>
      <x:c r="E971" s="92"/>
      <x:c r="F971" s="92"/>
      <x:c r="G971" s="93" t="str">
        <x:f>IF(B971="","",E971-F971)</x:f>
      </x:c>
      <x:c r="H971" s="100" t="str">
        <x:f>IF(B971="","",IF(D971="TL",1,IF(D971="USD",KURLAR!$C$9,IF(D971="EUR",KURLAR!$C$10,0))))</x:f>
      </x:c>
      <x:c r="I971" s="68" t="str">
        <x:f>IF(B971="","",G971*H971)</x:f>
      </x:c>
      <x:c r="J971" s="52" t="str">
        <x:f>IF(B971="","",IF(G971&lt;0,"NEGATİF BAKİYE","UYGUN"))</x:f>
      </x:c>
    </x:row>
    <x:row r="972">
      <x:c r="B972" s="46"/>
      <x:c r="C972" s="46"/>
      <x:c r="D972" s="46"/>
      <x:c r="E972" s="92"/>
      <x:c r="F972" s="92"/>
      <x:c r="G972" s="93" t="str">
        <x:f>IF(B972="","",E972-F972)</x:f>
      </x:c>
      <x:c r="H972" s="100" t="str">
        <x:f>IF(B972="","",IF(D972="TL",1,IF(D972="USD",KURLAR!$C$9,IF(D972="EUR",KURLAR!$C$10,0))))</x:f>
      </x:c>
      <x:c r="I972" s="68" t="str">
        <x:f>IF(B972="","",G972*H972)</x:f>
      </x:c>
      <x:c r="J972" s="52" t="str">
        <x:f>IF(B972="","",IF(G972&lt;0,"NEGATİF BAKİYE","UYGUN"))</x:f>
      </x:c>
    </x:row>
    <x:row r="973">
      <x:c r="B973" s="46"/>
      <x:c r="C973" s="46"/>
      <x:c r="D973" s="46"/>
      <x:c r="E973" s="92"/>
      <x:c r="F973" s="92"/>
      <x:c r="G973" s="93" t="str">
        <x:f>IF(B973="","",E973-F973)</x:f>
      </x:c>
      <x:c r="H973" s="100" t="str">
        <x:f>IF(B973="","",IF(D973="TL",1,IF(D973="USD",KURLAR!$C$9,IF(D973="EUR",KURLAR!$C$10,0))))</x:f>
      </x:c>
      <x:c r="I973" s="68" t="str">
        <x:f>IF(B973="","",G973*H973)</x:f>
      </x:c>
      <x:c r="J973" s="52" t="str">
        <x:f>IF(B973="","",IF(G973&lt;0,"NEGATİF BAKİYE","UYGUN"))</x:f>
      </x:c>
    </x:row>
    <x:row r="974">
      <x:c r="B974" s="46"/>
      <x:c r="C974" s="46"/>
      <x:c r="D974" s="46"/>
      <x:c r="E974" s="92"/>
      <x:c r="F974" s="92"/>
      <x:c r="G974" s="93" t="str">
        <x:f>IF(B974="","",E974-F974)</x:f>
      </x:c>
      <x:c r="H974" s="100" t="str">
        <x:f>IF(B974="","",IF(D974="TL",1,IF(D974="USD",KURLAR!$C$9,IF(D974="EUR",KURLAR!$C$10,0))))</x:f>
      </x:c>
      <x:c r="I974" s="68" t="str">
        <x:f>IF(B974="","",G974*H974)</x:f>
      </x:c>
      <x:c r="J974" s="52" t="str">
        <x:f>IF(B974="","",IF(G974&lt;0,"NEGATİF BAKİYE","UYGUN"))</x:f>
      </x:c>
    </x:row>
    <x:row r="975">
      <x:c r="B975" s="46"/>
      <x:c r="C975" s="46"/>
      <x:c r="D975" s="46"/>
      <x:c r="E975" s="92"/>
      <x:c r="F975" s="92"/>
      <x:c r="G975" s="93" t="str">
        <x:f>IF(B975="","",E975-F975)</x:f>
      </x:c>
      <x:c r="H975" s="100" t="str">
        <x:f>IF(B975="","",IF(D975="TL",1,IF(D975="USD",KURLAR!$C$9,IF(D975="EUR",KURLAR!$C$10,0))))</x:f>
      </x:c>
      <x:c r="I975" s="68" t="str">
        <x:f>IF(B975="","",G975*H975)</x:f>
      </x:c>
      <x:c r="J975" s="52" t="str">
        <x:f>IF(B975="","",IF(G975&lt;0,"NEGATİF BAKİYE","UYGUN"))</x:f>
      </x:c>
    </x:row>
    <x:row r="976">
      <x:c r="B976" s="46"/>
      <x:c r="C976" s="46"/>
      <x:c r="D976" s="46"/>
      <x:c r="E976" s="92"/>
      <x:c r="F976" s="92"/>
      <x:c r="G976" s="93" t="str">
        <x:f>IF(B976="","",E976-F976)</x:f>
      </x:c>
      <x:c r="H976" s="100" t="str">
        <x:f>IF(B976="","",IF(D976="TL",1,IF(D976="USD",KURLAR!$C$9,IF(D976="EUR",KURLAR!$C$10,0))))</x:f>
      </x:c>
      <x:c r="I976" s="68" t="str">
        <x:f>IF(B976="","",G976*H976)</x:f>
      </x:c>
      <x:c r="J976" s="52" t="str">
        <x:f>IF(B976="","",IF(G976&lt;0,"NEGATİF BAKİYE","UYGUN"))</x:f>
      </x:c>
    </x:row>
    <x:row r="977">
      <x:c r="B977" s="46"/>
      <x:c r="C977" s="46"/>
      <x:c r="D977" s="46"/>
      <x:c r="E977" s="92"/>
      <x:c r="F977" s="92"/>
      <x:c r="G977" s="93" t="str">
        <x:f>IF(B977="","",E977-F977)</x:f>
      </x:c>
      <x:c r="H977" s="100" t="str">
        <x:f>IF(B977="","",IF(D977="TL",1,IF(D977="USD",KURLAR!$C$9,IF(D977="EUR",KURLAR!$C$10,0))))</x:f>
      </x:c>
      <x:c r="I977" s="68" t="str">
        <x:f>IF(B977="","",G977*H977)</x:f>
      </x:c>
      <x:c r="J977" s="52" t="str">
        <x:f>IF(B977="","",IF(G977&lt;0,"NEGATİF BAKİYE","UYGUN"))</x:f>
      </x:c>
    </x:row>
    <x:row r="978">
      <x:c r="B978" s="46"/>
      <x:c r="C978" s="46"/>
      <x:c r="D978" s="46"/>
      <x:c r="E978" s="92"/>
      <x:c r="F978" s="92"/>
      <x:c r="G978" s="93" t="str">
        <x:f>IF(B978="","",E978-F978)</x:f>
      </x:c>
      <x:c r="H978" s="100" t="str">
        <x:f>IF(B978="","",IF(D978="TL",1,IF(D978="USD",KURLAR!$C$9,IF(D978="EUR",KURLAR!$C$10,0))))</x:f>
      </x:c>
      <x:c r="I978" s="68" t="str">
        <x:f>IF(B978="","",G978*H978)</x:f>
      </x:c>
      <x:c r="J978" s="52" t="str">
        <x:f>IF(B978="","",IF(G978&lt;0,"NEGATİF BAKİYE","UYGUN"))</x:f>
      </x:c>
    </x:row>
    <x:row r="979">
      <x:c r="B979" s="46"/>
      <x:c r="C979" s="46"/>
      <x:c r="D979" s="46"/>
      <x:c r="E979" s="92"/>
      <x:c r="F979" s="92"/>
      <x:c r="G979" s="93" t="str">
        <x:f>IF(B979="","",E979-F979)</x:f>
      </x:c>
      <x:c r="H979" s="100" t="str">
        <x:f>IF(B979="","",IF(D979="TL",1,IF(D979="USD",KURLAR!$C$9,IF(D979="EUR",KURLAR!$C$10,0))))</x:f>
      </x:c>
      <x:c r="I979" s="68" t="str">
        <x:f>IF(B979="","",G979*H979)</x:f>
      </x:c>
      <x:c r="J979" s="52" t="str">
        <x:f>IF(B979="","",IF(G979&lt;0,"NEGATİF BAKİYE","UYGUN"))</x:f>
      </x:c>
    </x:row>
    <x:row r="980">
      <x:c r="B980" s="46"/>
      <x:c r="C980" s="46"/>
      <x:c r="D980" s="46"/>
      <x:c r="E980" s="92"/>
      <x:c r="F980" s="92"/>
      <x:c r="G980" s="93" t="str">
        <x:f>IF(B980="","",E980-F980)</x:f>
      </x:c>
      <x:c r="H980" s="100" t="str">
        <x:f>IF(B980="","",IF(D980="TL",1,IF(D980="USD",KURLAR!$C$9,IF(D980="EUR",KURLAR!$C$10,0))))</x:f>
      </x:c>
      <x:c r="I980" s="68" t="str">
        <x:f>IF(B980="","",G980*H980)</x:f>
      </x:c>
      <x:c r="J980" s="52" t="str">
        <x:f>IF(B980="","",IF(G980&lt;0,"NEGATİF BAKİYE","UYGUN"))</x:f>
      </x:c>
    </x:row>
    <x:row r="981">
      <x:c r="B981" s="46"/>
      <x:c r="C981" s="46"/>
      <x:c r="D981" s="46"/>
      <x:c r="E981" s="92"/>
      <x:c r="F981" s="92"/>
      <x:c r="G981" s="93" t="str">
        <x:f>IF(B981="","",E981-F981)</x:f>
      </x:c>
      <x:c r="H981" s="100" t="str">
        <x:f>IF(B981="","",IF(D981="TL",1,IF(D981="USD",KURLAR!$C$9,IF(D981="EUR",KURLAR!$C$10,0))))</x:f>
      </x:c>
      <x:c r="I981" s="68" t="str">
        <x:f>IF(B981="","",G981*H981)</x:f>
      </x:c>
      <x:c r="J981" s="52" t="str">
        <x:f>IF(B981="","",IF(G981&lt;0,"NEGATİF BAKİYE","UYGUN"))</x:f>
      </x:c>
    </x:row>
    <x:row r="982">
      <x:c r="B982" s="46"/>
      <x:c r="C982" s="46"/>
      <x:c r="D982" s="46"/>
      <x:c r="E982" s="92"/>
      <x:c r="F982" s="92"/>
      <x:c r="G982" s="93" t="str">
        <x:f>IF(B982="","",E982-F982)</x:f>
      </x:c>
      <x:c r="H982" s="100" t="str">
        <x:f>IF(B982="","",IF(D982="TL",1,IF(D982="USD",KURLAR!$C$9,IF(D982="EUR",KURLAR!$C$10,0))))</x:f>
      </x:c>
      <x:c r="I982" s="68" t="str">
        <x:f>IF(B982="","",G982*H982)</x:f>
      </x:c>
      <x:c r="J982" s="52" t="str">
        <x:f>IF(B982="","",IF(G982&lt;0,"NEGATİF BAKİYE","UYGUN"))</x:f>
      </x:c>
    </x:row>
    <x:row r="983">
      <x:c r="B983" s="46"/>
      <x:c r="C983" s="46"/>
      <x:c r="D983" s="46"/>
      <x:c r="E983" s="92"/>
      <x:c r="F983" s="92"/>
      <x:c r="G983" s="93" t="str">
        <x:f>IF(B983="","",E983-F983)</x:f>
      </x:c>
      <x:c r="H983" s="100" t="str">
        <x:f>IF(B983="","",IF(D983="TL",1,IF(D983="USD",KURLAR!$C$9,IF(D983="EUR",KURLAR!$C$10,0))))</x:f>
      </x:c>
      <x:c r="I983" s="68" t="str">
        <x:f>IF(B983="","",G983*H983)</x:f>
      </x:c>
      <x:c r="J983" s="52" t="str">
        <x:f>IF(B983="","",IF(G983&lt;0,"NEGATİF BAKİYE","UYGUN"))</x:f>
      </x:c>
    </x:row>
    <x:row r="984">
      <x:c r="B984" s="46"/>
      <x:c r="C984" s="46"/>
      <x:c r="D984" s="46"/>
      <x:c r="E984" s="92"/>
      <x:c r="F984" s="92"/>
      <x:c r="G984" s="93" t="str">
        <x:f>IF(B984="","",E984-F984)</x:f>
      </x:c>
      <x:c r="H984" s="100" t="str">
        <x:f>IF(B984="","",IF(D984="TL",1,IF(D984="USD",KURLAR!$C$9,IF(D984="EUR",KURLAR!$C$10,0))))</x:f>
      </x:c>
      <x:c r="I984" s="68" t="str">
        <x:f>IF(B984="","",G984*H984)</x:f>
      </x:c>
      <x:c r="J984" s="52" t="str">
        <x:f>IF(B984="","",IF(G984&lt;0,"NEGATİF BAKİYE","UYGUN"))</x:f>
      </x:c>
    </x:row>
    <x:row r="985">
      <x:c r="B985" s="46"/>
      <x:c r="C985" s="46"/>
      <x:c r="D985" s="46"/>
      <x:c r="E985" s="92"/>
      <x:c r="F985" s="92"/>
      <x:c r="G985" s="93" t="str">
        <x:f>IF(B985="","",E985-F985)</x:f>
      </x:c>
      <x:c r="H985" s="100" t="str">
        <x:f>IF(B985="","",IF(D985="TL",1,IF(D985="USD",KURLAR!$C$9,IF(D985="EUR",KURLAR!$C$10,0))))</x:f>
      </x:c>
      <x:c r="I985" s="68" t="str">
        <x:f>IF(B985="","",G985*H985)</x:f>
      </x:c>
      <x:c r="J985" s="52" t="str">
        <x:f>IF(B985="","",IF(G985&lt;0,"NEGATİF BAKİYE","UYGUN"))</x:f>
      </x:c>
    </x:row>
    <x:row r="986">
      <x:c r="B986" s="46"/>
      <x:c r="C986" s="46"/>
      <x:c r="D986" s="46"/>
      <x:c r="E986" s="92"/>
      <x:c r="F986" s="92"/>
      <x:c r="G986" s="93" t="str">
        <x:f>IF(B986="","",E986-F986)</x:f>
      </x:c>
      <x:c r="H986" s="100" t="str">
        <x:f>IF(B986="","",IF(D986="TL",1,IF(D986="USD",KURLAR!$C$9,IF(D986="EUR",KURLAR!$C$10,0))))</x:f>
      </x:c>
      <x:c r="I986" s="68" t="str">
        <x:f>IF(B986="","",G986*H986)</x:f>
      </x:c>
      <x:c r="J986" s="52" t="str">
        <x:f>IF(B986="","",IF(G986&lt;0,"NEGATİF BAKİYE","UYGUN"))</x:f>
      </x:c>
    </x:row>
    <x:row r="987">
      <x:c r="B987" s="46"/>
      <x:c r="C987" s="46"/>
      <x:c r="D987" s="46"/>
      <x:c r="E987" s="92"/>
      <x:c r="F987" s="92"/>
      <x:c r="G987" s="93" t="str">
        <x:f>IF(B987="","",E987-F987)</x:f>
      </x:c>
      <x:c r="H987" s="100" t="str">
        <x:f>IF(B987="","",IF(D987="TL",1,IF(D987="USD",KURLAR!$C$9,IF(D987="EUR",KURLAR!$C$10,0))))</x:f>
      </x:c>
      <x:c r="I987" s="68" t="str">
        <x:f>IF(B987="","",G987*H987)</x:f>
      </x:c>
      <x:c r="J987" s="52" t="str">
        <x:f>IF(B987="","",IF(G987&lt;0,"NEGATİF BAKİYE","UYGUN"))</x:f>
      </x:c>
    </x:row>
    <x:row r="988">
      <x:c r="B988" s="46"/>
      <x:c r="C988" s="46"/>
      <x:c r="D988" s="46"/>
      <x:c r="E988" s="92"/>
      <x:c r="F988" s="92"/>
      <x:c r="G988" s="93" t="str">
        <x:f>IF(B988="","",E988-F988)</x:f>
      </x:c>
      <x:c r="H988" s="100" t="str">
        <x:f>IF(B988="","",IF(D988="TL",1,IF(D988="USD",KURLAR!$C$9,IF(D988="EUR",KURLAR!$C$10,0))))</x:f>
      </x:c>
      <x:c r="I988" s="68" t="str">
        <x:f>IF(B988="","",G988*H988)</x:f>
      </x:c>
      <x:c r="J988" s="52" t="str">
        <x:f>IF(B988="","",IF(G988&lt;0,"NEGATİF BAKİYE","UYGUN"))</x:f>
      </x:c>
    </x:row>
    <x:row r="989">
      <x:c r="B989" s="46"/>
      <x:c r="C989" s="46"/>
      <x:c r="D989" s="46"/>
      <x:c r="E989" s="92"/>
      <x:c r="F989" s="92"/>
      <x:c r="G989" s="93" t="str">
        <x:f>IF(B989="","",E989-F989)</x:f>
      </x:c>
      <x:c r="H989" s="100" t="str">
        <x:f>IF(B989="","",IF(D989="TL",1,IF(D989="USD",KURLAR!$C$9,IF(D989="EUR",KURLAR!$C$10,0))))</x:f>
      </x:c>
      <x:c r="I989" s="68" t="str">
        <x:f>IF(B989="","",G989*H989)</x:f>
      </x:c>
      <x:c r="J989" s="52" t="str">
        <x:f>IF(B989="","",IF(G989&lt;0,"NEGATİF BAKİYE","UYGUN"))</x:f>
      </x:c>
    </x:row>
    <x:row r="990">
      <x:c r="B990" s="46"/>
      <x:c r="C990" s="46"/>
      <x:c r="D990" s="46"/>
      <x:c r="E990" s="92"/>
      <x:c r="F990" s="92"/>
      <x:c r="G990" s="93" t="str">
        <x:f>IF(B990="","",E990-F990)</x:f>
      </x:c>
      <x:c r="H990" s="100" t="str">
        <x:f>IF(B990="","",IF(D990="TL",1,IF(D990="USD",KURLAR!$C$9,IF(D990="EUR",KURLAR!$C$10,0))))</x:f>
      </x:c>
      <x:c r="I990" s="68" t="str">
        <x:f>IF(B990="","",G990*H990)</x:f>
      </x:c>
      <x:c r="J990" s="52" t="str">
        <x:f>IF(B990="","",IF(G990&lt;0,"NEGATİF BAKİYE","UYGUN"))</x:f>
      </x:c>
    </x:row>
    <x:row r="991">
      <x:c r="B991" s="46"/>
      <x:c r="C991" s="46"/>
      <x:c r="D991" s="46"/>
      <x:c r="E991" s="92"/>
      <x:c r="F991" s="92"/>
      <x:c r="G991" s="93" t="str">
        <x:f>IF(B991="","",E991-F991)</x:f>
      </x:c>
      <x:c r="H991" s="100" t="str">
        <x:f>IF(B991="","",IF(D991="TL",1,IF(D991="USD",KURLAR!$C$9,IF(D991="EUR",KURLAR!$C$10,0))))</x:f>
      </x:c>
      <x:c r="I991" s="68" t="str">
        <x:f>IF(B991="","",G991*H991)</x:f>
      </x:c>
      <x:c r="J991" s="52" t="str">
        <x:f>IF(B991="","",IF(G991&lt;0,"NEGATİF BAKİYE","UYGUN"))</x:f>
      </x:c>
    </x:row>
    <x:row r="992">
      <x:c r="B992" s="46"/>
      <x:c r="C992" s="46"/>
      <x:c r="D992" s="46"/>
      <x:c r="E992" s="92"/>
      <x:c r="F992" s="92"/>
      <x:c r="G992" s="93" t="str">
        <x:f>IF(B992="","",E992-F992)</x:f>
      </x:c>
      <x:c r="H992" s="100" t="str">
        <x:f>IF(B992="","",IF(D992="TL",1,IF(D992="USD",KURLAR!$C$9,IF(D992="EUR",KURLAR!$C$10,0))))</x:f>
      </x:c>
      <x:c r="I992" s="68" t="str">
        <x:f>IF(B992="","",G992*H992)</x:f>
      </x:c>
      <x:c r="J992" s="52" t="str">
        <x:f>IF(B992="","",IF(G992&lt;0,"NEGATİF BAKİYE","UYGUN"))</x:f>
      </x:c>
    </x:row>
    <x:row r="993">
      <x:c r="B993" s="46"/>
      <x:c r="C993" s="46"/>
      <x:c r="D993" s="46"/>
      <x:c r="E993" s="92"/>
      <x:c r="F993" s="92"/>
      <x:c r="G993" s="93" t="str">
        <x:f>IF(B993="","",E993-F993)</x:f>
      </x:c>
      <x:c r="H993" s="100" t="str">
        <x:f>IF(B993="","",IF(D993="TL",1,IF(D993="USD",KURLAR!$C$9,IF(D993="EUR",KURLAR!$C$10,0))))</x:f>
      </x:c>
      <x:c r="I993" s="68" t="str">
        <x:f>IF(B993="","",G993*H993)</x:f>
      </x:c>
      <x:c r="J993" s="52" t="str">
        <x:f>IF(B993="","",IF(G993&lt;0,"NEGATİF BAKİYE","UYGUN"))</x:f>
      </x:c>
    </x:row>
    <x:row r="994">
      <x:c r="B994" s="46"/>
      <x:c r="C994" s="46"/>
      <x:c r="D994" s="46"/>
      <x:c r="E994" s="92"/>
      <x:c r="F994" s="92"/>
      <x:c r="G994" s="93" t="str">
        <x:f>IF(B994="","",E994-F994)</x:f>
      </x:c>
      <x:c r="H994" s="100" t="str">
        <x:f>IF(B994="","",IF(D994="TL",1,IF(D994="USD",KURLAR!$C$9,IF(D994="EUR",KURLAR!$C$10,0))))</x:f>
      </x:c>
      <x:c r="I994" s="68" t="str">
        <x:f>IF(B994="","",G994*H994)</x:f>
      </x:c>
      <x:c r="J994" s="52" t="str">
        <x:f>IF(B994="","",IF(G994&lt;0,"NEGATİF BAKİYE","UYGUN"))</x:f>
      </x:c>
    </x:row>
    <x:row r="995">
      <x:c r="B995" s="46"/>
      <x:c r="C995" s="46"/>
      <x:c r="D995" s="46"/>
      <x:c r="E995" s="92"/>
      <x:c r="F995" s="92"/>
      <x:c r="G995" s="93" t="str">
        <x:f>IF(B995="","",E995-F995)</x:f>
      </x:c>
      <x:c r="H995" s="100" t="str">
        <x:f>IF(B995="","",IF(D995="TL",1,IF(D995="USD",KURLAR!$C$9,IF(D995="EUR",KURLAR!$C$10,0))))</x:f>
      </x:c>
      <x:c r="I995" s="68" t="str">
        <x:f>IF(B995="","",G995*H995)</x:f>
      </x:c>
      <x:c r="J995" s="52" t="str">
        <x:f>IF(B995="","",IF(G995&lt;0,"NEGATİF BAKİYE","UYGUN"))</x:f>
      </x:c>
    </x:row>
    <x:row r="996">
      <x:c r="B996" s="46"/>
      <x:c r="C996" s="46"/>
      <x:c r="D996" s="46"/>
      <x:c r="E996" s="92"/>
      <x:c r="F996" s="92"/>
      <x:c r="G996" s="93" t="str">
        <x:f>IF(B996="","",E996-F996)</x:f>
      </x:c>
      <x:c r="H996" s="100" t="str">
        <x:f>IF(B996="","",IF(D996="TL",1,IF(D996="USD",KURLAR!$C$9,IF(D996="EUR",KURLAR!$C$10,0))))</x:f>
      </x:c>
      <x:c r="I996" s="68" t="str">
        <x:f>IF(B996="","",G996*H996)</x:f>
      </x:c>
      <x:c r="J996" s="52" t="str">
        <x:f>IF(B996="","",IF(G996&lt;0,"NEGATİF BAKİYE","UYGUN"))</x:f>
      </x:c>
    </x:row>
    <x:row r="997">
      <x:c r="B997" s="46"/>
      <x:c r="C997" s="46"/>
      <x:c r="D997" s="46"/>
      <x:c r="E997" s="92"/>
      <x:c r="F997" s="92"/>
      <x:c r="G997" s="93" t="str">
        <x:f>IF(B997="","",E997-F997)</x:f>
      </x:c>
      <x:c r="H997" s="100" t="str">
        <x:f>IF(B997="","",IF(D997="TL",1,IF(D997="USD",KURLAR!$C$9,IF(D997="EUR",KURLAR!$C$10,0))))</x:f>
      </x:c>
      <x:c r="I997" s="68" t="str">
        <x:f>IF(B997="","",G997*H997)</x:f>
      </x:c>
      <x:c r="J997" s="52" t="str">
        <x:f>IF(B997="","",IF(G997&lt;0,"NEGATİF BAKİYE","UYGUN"))</x:f>
      </x:c>
    </x:row>
    <x:row r="998">
      <x:c r="B998" s="46"/>
      <x:c r="C998" s="46"/>
      <x:c r="D998" s="46"/>
      <x:c r="E998" s="92"/>
      <x:c r="F998" s="92"/>
      <x:c r="G998" s="93" t="str">
        <x:f>IF(B998="","",E998-F998)</x:f>
      </x:c>
      <x:c r="H998" s="100" t="str">
        <x:f>IF(B998="","",IF(D998="TL",1,IF(D998="USD",KURLAR!$C$9,IF(D998="EUR",KURLAR!$C$10,0))))</x:f>
      </x:c>
      <x:c r="I998" s="68" t="str">
        <x:f>IF(B998="","",G998*H998)</x:f>
      </x:c>
      <x:c r="J998" s="52" t="str">
        <x:f>IF(B998="","",IF(G998&lt;0,"NEGATİF BAKİYE","UYGUN"))</x:f>
      </x:c>
    </x:row>
    <x:row r="999">
      <x:c r="B999" s="46"/>
      <x:c r="C999" s="46"/>
      <x:c r="D999" s="46"/>
      <x:c r="E999" s="92"/>
      <x:c r="F999" s="92"/>
      <x:c r="G999" s="93" t="str">
        <x:f>IF(B999="","",E999-F999)</x:f>
      </x:c>
      <x:c r="H999" s="100" t="str">
        <x:f>IF(B999="","",IF(D999="TL",1,IF(D999="USD",KURLAR!$C$9,IF(D999="EUR",KURLAR!$C$10,0))))</x:f>
      </x:c>
      <x:c r="I999" s="68" t="str">
        <x:f>IF(B999="","",G999*H999)</x:f>
      </x:c>
      <x:c r="J999" s="52" t="str">
        <x:f>IF(B999="","",IF(G999&lt;0,"NEGATİF BAKİYE","UYGUN"))</x:f>
      </x:c>
    </x:row>
    <x:row r="1000">
      <x:c r="B1000" s="46"/>
      <x:c r="C1000" s="46"/>
      <x:c r="D1000" s="46"/>
      <x:c r="E1000" s="92"/>
      <x:c r="F1000" s="92"/>
      <x:c r="G1000" s="93" t="str">
        <x:f>IF(B1000="","",E1000-F1000)</x:f>
      </x:c>
      <x:c r="H1000" s="100" t="str">
        <x:f>IF(B1000="","",IF(D1000="TL",1,IF(D1000="USD",KURLAR!$C$9,IF(D1000="EUR",KURLAR!$C$10,0))))</x:f>
      </x:c>
      <x:c r="I1000" s="68" t="str">
        <x:f>IF(B1000="","",G1000*H1000)</x:f>
      </x:c>
      <x:c r="J1000" s="52" t="str">
        <x:f>IF(B1000="","",IF(G1000&lt;0,"NEGATİF BAKİYE","UYGUN"))</x:f>
      </x:c>
    </x:row>
    <x:row r="1001">
      <x:c r="B1001" s="46"/>
      <x:c r="C1001" s="46"/>
      <x:c r="D1001" s="46"/>
      <x:c r="E1001" s="92"/>
      <x:c r="F1001" s="92"/>
      <x:c r="G1001" s="93" t="str">
        <x:f>IF(B1001="","",E1001-F1001)</x:f>
      </x:c>
      <x:c r="H1001" s="100" t="str">
        <x:f>IF(B1001="","",IF(D1001="TL",1,IF(D1001="USD",KURLAR!$C$9,IF(D1001="EUR",KURLAR!$C$10,0))))</x:f>
      </x:c>
      <x:c r="I1001" s="68" t="str">
        <x:f>IF(B1001="","",G1001*H1001)</x:f>
      </x:c>
      <x:c r="J1001" s="52" t="str">
        <x:f>IF(B1001="","",IF(G1001&lt;0,"NEGATİF BAKİYE","UYGUN"))</x:f>
      </x:c>
    </x:row>
    <x:row r="1002">
      <x:c r="B1002" s="46"/>
      <x:c r="C1002" s="46"/>
      <x:c r="D1002" s="46"/>
      <x:c r="E1002" s="92"/>
      <x:c r="F1002" s="92"/>
      <x:c r="G1002" s="93" t="str">
        <x:f>IF(B1002="","",E1002-F1002)</x:f>
      </x:c>
      <x:c r="H1002" s="100" t="str">
        <x:f>IF(B1002="","",IF(D1002="TL",1,IF(D1002="USD",KURLAR!$C$9,IF(D1002="EUR",KURLAR!$C$10,0))))</x:f>
      </x:c>
      <x:c r="I1002" s="68" t="str">
        <x:f>IF(B1002="","",G1002*H1002)</x:f>
      </x:c>
      <x:c r="J1002" s="52" t="str">
        <x:f>IF(B1002="","",IF(G1002&lt;0,"NEGATİF BAKİYE","UYGUN"))</x:f>
      </x:c>
    </x:row>
    <x:row r="1003">
      <x:c r="B1003" s="46"/>
      <x:c r="C1003" s="46"/>
      <x:c r="D1003" s="46"/>
      <x:c r="E1003" s="92"/>
      <x:c r="F1003" s="92"/>
      <x:c r="G1003" s="93" t="str">
        <x:f>IF(B1003="","",E1003-F1003)</x:f>
      </x:c>
      <x:c r="H1003" s="100" t="str">
        <x:f>IF(B1003="","",IF(D1003="TL",1,IF(D1003="USD",KURLAR!$C$9,IF(D1003="EUR",KURLAR!$C$10,0))))</x:f>
      </x:c>
      <x:c r="I1003" s="68" t="str">
        <x:f>IF(B1003="","",G1003*H1003)</x:f>
      </x:c>
      <x:c r="J1003" s="52" t="str">
        <x:f>IF(B1003="","",IF(G1003&lt;0,"NEGATİF BAKİYE","UYGUN"))</x:f>
      </x:c>
    </x:row>
    <x:row r="1004">
      <x:c r="B1004" s="46"/>
      <x:c r="C1004" s="46"/>
      <x:c r="D1004" s="46"/>
      <x:c r="E1004" s="92"/>
      <x:c r="F1004" s="92"/>
      <x:c r="G1004" s="93" t="str">
        <x:f>IF(B1004="","",E1004-F1004)</x:f>
      </x:c>
      <x:c r="H1004" s="100" t="str">
        <x:f>IF(B1004="","",IF(D1004="TL",1,IF(D1004="USD",KURLAR!$C$9,IF(D1004="EUR",KURLAR!$C$10,0))))</x:f>
      </x:c>
      <x:c r="I1004" s="68" t="str">
        <x:f>IF(B1004="","",G1004*H1004)</x:f>
      </x:c>
      <x:c r="J1004" s="52" t="str">
        <x:f>IF(B1004="","",IF(G1004&lt;0,"NEGATİF BAKİYE","UYGUN"))</x:f>
      </x:c>
    </x:row>
    <x:row r="1005">
      <x:c r="B1005" s="46"/>
      <x:c r="C1005" s="46"/>
      <x:c r="D1005" s="46"/>
      <x:c r="E1005" s="92"/>
      <x:c r="F1005" s="92"/>
      <x:c r="G1005" s="93" t="str">
        <x:f>IF(B1005="","",E1005-F1005)</x:f>
      </x:c>
      <x:c r="H1005" s="100" t="str">
        <x:f>IF(B1005="","",IF(D1005="TL",1,IF(D1005="USD",KURLAR!$C$9,IF(D1005="EUR",KURLAR!$C$10,0))))</x:f>
      </x:c>
      <x:c r="I1005" s="68" t="str">
        <x:f>IF(B1005="","",G1005*H1005)</x:f>
      </x:c>
      <x:c r="J1005" s="52" t="str">
        <x:f>IF(B1005="","",IF(G1005&lt;0,"NEGATİF BAKİYE","UYGUN"))</x:f>
      </x:c>
    </x:row>
    <x:row r="1006">
      <x:c r="B1006" s="48"/>
      <x:c r="C1006" s="48"/>
      <x:c r="D1006" s="48"/>
      <x:c r="E1006" s="94"/>
      <x:c r="F1006" s="94"/>
      <x:c r="G1006" s="95" t="str">
        <x:f>IF(B1006="","",E1006-F1006)</x:f>
      </x:c>
      <x:c r="H1006" s="101" t="str">
        <x:f>IF(B1006="","",IF(D1006="TL",1,IF(D1006="USD",KURLAR!$C$9,IF(D1006="EUR",KURLAR!$C$10,0))))</x:f>
      </x:c>
      <x:c r="I1006" s="69" t="str">
        <x:f>IF(B1006="","",G1006*H1006)</x:f>
      </x:c>
      <x:c r="J1006" s="54" t="str">
        <x:f>IF(B1006="","",IF(G1006&lt;0,"NEGATİF BAKİYE","UYGUN"))</x:f>
      </x:c>
    </x:row>
  </x:sheetData>
  <x:mergeCells>
    <x:mergeCell ref="A1:B1"/>
    <x:mergeCell ref="C1:N1"/>
    <x:mergeCell ref="A2:N2"/>
    <x:mergeCell ref="C4:N4"/>
    <x:mergeCell ref="B5:C5"/>
  </x:mergeCells>
  <x:conditionalFormatting sqref="B7:J1006">
    <x:cfRule type="expression" dxfId="2" priority="1">
      <x:formula>$J7="NEGATİF BAKİYE"</x:formula>
    </x:cfRule>
  </x:conditionalFormatting>
  <x:dataValidations count="4">
    <x:dataValidation type="list" sqref="C7:C1006">
      <x:formula1>"Kasa,Banka"</x:formula1>
    </x:dataValidation>
    <x:dataValidation type="list" sqref="D7:D1006">
      <x:formula1>"TL,USD,EUR"</x:formula1>
    </x:dataValidation>
    <x:dataValidation type="custom" sqref="B7:B1006">
      <x:formula1>LEN(B7)&lt;=60</x:formula1>
    </x:dataValidation>
    <x:dataValidation type="decimal" sqref="E7:F10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cc54a6e93a40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28" hidden="0" customWidth="1"/>
    <x:col min="3" max="3" width="30" hidden="0" customWidth="1"/>
    <x:col min="4" max="4" width="14" hidden="0" customWidth="1"/>
    <x:col min="5" max="5" width="18" hidden="0" customWidth="1"/>
    <x:col min="6" max="6" width="14" hidden="0" customWidth="1"/>
    <x:col min="7" max="7" width="8" hidden="0" customWidth="1"/>
    <x:col min="8" max="8" width="14" hidden="0" customWidth="1"/>
    <x:col min="9" max="9" width="14" hidden="0" customWidth="1"/>
    <x:col min="10" max="10" width="14" hidden="0" customWidth="1"/>
    <x:col min="11" max="11" width="11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8" customHeight="1">
      <x:c r="A1" s="9" t="e">
        <x:f>HYPERLINK("#PANO!A1","☰  MENÜ")</x:f>
        <x:v>HYPERLINK is not implemented. linkLocation=#PANO!A1, friendlyName=☰  MENÜ</x:v>
      </x:c>
      <x:c r="B1" s="9"/>
      <x:c r="C1" s="17" t="str">
        <x:v>BEKLEYEN TAHSİLATLAR</x:v>
      </x:c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8" customHeight="1">
      <x:c r="A2" s="23" t="str">
        <x:v>Manuel müşteri tahsilat planı. Vade, beklenen tahsil tarihi ve güven seviyesi 7/30 günlük likiditeyi besler.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9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8" t="e">
        <x:f>HYPERLINK("#PANO!A1","← PANO")</x:f>
        <x:v>HYPERLINK is not implemented. linkLocation=#PANO!A1, friendlyName=← PANO</x:v>
      </x:c>
      <x:c r="B4" s="26"/>
      <x:c r="C4" s="73" t="str">
        <x:v>VERİ GİRİŞ EKRANI — SARI HÜCRELERİ DOLDURUN</x:v>
      </x:c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</x:row>
    <x:row r="5">
      <x:c r="A5" s="4"/>
      <x:c r="B5" s="81" t="str">
        <x:v>TOPLAM AÇIK TAHSİLAT</x:v>
      </x:c>
      <x:c r="C5" s="81"/>
      <x:c r="D5" s="81"/>
      <x:c r="E5" s="81"/>
      <x:c r="F5" s="81"/>
      <x:c r="G5" s="81"/>
      <x:c r="H5" s="81"/>
      <x:c r="I5" s="81"/>
      <x:c r="J5" s="81"/>
      <x:c r="K5" s="104" t="n">
        <x:f>SUM(K7:K1006)</x:f>
        <x:v>0</x:v>
      </x:c>
      <x:c r="L5" s="81"/>
      <x:c r="M5" s="81"/>
      <x:c r="N5" s="4"/>
    </x:row>
    <x:row r="6" ht="34" customHeight="1">
      <x:c r="A6" s="4"/>
      <x:c r="B6" s="63" t="str">
        <x:v>Müşteri</x:v>
      </x:c>
      <x:c r="C6" s="63" t="str">
        <x:v>Belge / Açıklama</x:v>
      </x:c>
      <x:c r="D6" s="63" t="str">
        <x:v>Vade Tarihi</x:v>
      </x:c>
      <x:c r="E6" s="63" t="str">
        <x:v>Beklenen Tahsil Tarihi</x:v>
      </x:c>
      <x:c r="F6" s="63" t="str">
        <x:v>Tutar</x:v>
      </x:c>
      <x:c r="G6" s="63" t="str">
        <x:v>PB</x:v>
      </x:c>
      <x:c r="H6" s="63" t="str">
        <x:v>Tahsil Edilen</x:v>
      </x:c>
      <x:c r="I6" s="63" t="str">
        <x:v>Kalan Tutar</x:v>
      </x:c>
      <x:c r="J6" s="63" t="str">
        <x:v>Güven</x:v>
      </x:c>
      <x:c r="K6" s="63" t="str">
        <x:v>Kur</x:v>
      </x:c>
      <x:c r="L6" s="63" t="str">
        <x:v>Kalan TL</x:v>
      </x:c>
      <x:c r="M6" s="63" t="str">
        <x:v>Durum</x:v>
      </x:c>
      <x:c r="N6" s="63" t="str">
        <x:v>Likiditeye Dahil?</x:v>
      </x:c>
    </x:row>
    <x:row r="7">
      <x:c r="A7" s="4"/>
      <x:c r="B7" s="46"/>
      <x:c r="C7" s="46"/>
      <x:c r="D7" s="112"/>
      <x:c r="E7" s="112"/>
      <x:c r="F7" s="92"/>
      <x:c r="G7" s="92"/>
      <x:c r="H7" s="92">
        <x:f>IF(B7="","",MAX(0,F7-H7))</x:f>
      </x:c>
      <x:c r="I7" s="93" t="str">
        <x:f>IF(B7="","",MAX(0,F7-H7))</x:f>
      </x:c>
      <x:c r="J7" s="46"/>
      <x:c r="K7" s="100" t="str">
        <x:f>IF(B7="","",IF(G7="TL",1,IF(G7="USD",KURLAR!$C$9,IF(G7="EUR",KURLAR!$C$10,0))))</x:f>
      </x:c>
      <x:c r="L7" s="68" t="str">
        <x:f>IF(B7="","",I7*K7)</x:f>
      </x:c>
      <x:c r="M7" s="46"/>
      <x:c r="N7" s="52" t="str">
        <x:f>IF(B7="","",IF(OR(M7="Tahsil Edildi",M7="İptal",J7="Riskli"),"Hayır","Evet"))</x:f>
      </x:c>
    </x:row>
    <x:row r="8">
      <x:c r="A8" s="4"/>
      <x:c r="B8" s="46"/>
      <x:c r="C8" s="46"/>
      <x:c r="D8" s="112"/>
      <x:c r="E8" s="112"/>
      <x:c r="F8" s="92"/>
      <x:c r="G8" s="92"/>
      <x:c r="H8" s="92"/>
      <x:c r="I8" s="93" t="str">
        <x:f>IF(B8="","",MAX(0,F8-H8))</x:f>
      </x:c>
      <x:c r="J8" s="46"/>
      <x:c r="K8" s="100" t="str">
        <x:f>IF(B8="","",IF(G8="TL",1,IF(G8="USD",KURLAR!$C$9,IF(G8="EUR",KURLAR!$C$10,0))))</x:f>
      </x:c>
      <x:c r="L8" s="68" t="str">
        <x:f>IF(B8="","",I8*K8)</x:f>
      </x:c>
      <x:c r="M8" s="46"/>
      <x:c r="N8" s="52" t="str">
        <x:f>IF(B8="","",IF(OR(M8="Tahsil Edildi",M8="İptal",J8="Riskli"),"Hayır","Evet"))</x:f>
      </x:c>
    </x:row>
    <x:row r="9">
      <x:c r="A9" s="4"/>
      <x:c r="B9" s="46"/>
      <x:c r="C9" s="46"/>
      <x:c r="D9" s="112"/>
      <x:c r="E9" s="112"/>
      <x:c r="F9" s="92"/>
      <x:c r="G9" s="92"/>
      <x:c r="H9" s="92"/>
      <x:c r="I9" s="93" t="str">
        <x:f>IF(B9="","",MAX(0,F9-H9))</x:f>
      </x:c>
      <x:c r="J9" s="46"/>
      <x:c r="K9" s="100" t="str">
        <x:f>IF(B9="","",IF(G9="TL",1,IF(G9="USD",KURLAR!$C$9,IF(G9="EUR",KURLAR!$C$10,0))))</x:f>
      </x:c>
      <x:c r="L9" s="68" t="str">
        <x:f>IF(B9="","",I9*K9)</x:f>
      </x:c>
      <x:c r="M9" s="46"/>
      <x:c r="N9" s="52" t="str">
        <x:f>IF(B9="","",IF(OR(M9="Tahsil Edildi",M9="İptal",J9="Riskli"),"Hayır","Evet"))</x:f>
      </x:c>
    </x:row>
    <x:row r="10">
      <x:c r="A10" s="4"/>
      <x:c r="B10" s="46"/>
      <x:c r="C10" s="46"/>
      <x:c r="D10" s="112"/>
      <x:c r="E10" s="112"/>
      <x:c r="F10" s="92"/>
      <x:c r="G10" s="92"/>
      <x:c r="H10" s="92"/>
      <x:c r="I10" s="93" t="str">
        <x:f>IF(B10="","",MAX(0,F10-H10))</x:f>
      </x:c>
      <x:c r="J10" s="46"/>
      <x:c r="K10" s="100" t="str">
        <x:f>IF(B10="","",IF(G10="TL",1,IF(G10="USD",KURLAR!$C$9,IF(G10="EUR",KURLAR!$C$10,0))))</x:f>
      </x:c>
      <x:c r="L10" s="68" t="str">
        <x:f>IF(B10="","",I10*K10)</x:f>
      </x:c>
      <x:c r="M10" s="46"/>
      <x:c r="N10" s="52" t="str">
        <x:f>IF(B10="","",IF(OR(M10="Tahsil Edildi",M10="İptal",J10="Riskli"),"Hayır","Evet"))</x:f>
      </x:c>
    </x:row>
    <x:row r="11">
      <x:c r="A11" s="4"/>
      <x:c r="B11" s="46"/>
      <x:c r="C11" s="46"/>
      <x:c r="D11" s="112"/>
      <x:c r="E11" s="112"/>
      <x:c r="F11" s="92"/>
      <x:c r="G11" s="92"/>
      <x:c r="H11" s="92"/>
      <x:c r="I11" s="93" t="str">
        <x:f>IF(B11="","",MAX(0,F11-H11))</x:f>
      </x:c>
      <x:c r="J11" s="46"/>
      <x:c r="K11" s="100" t="str">
        <x:f>IF(B11="","",IF(G11="TL",1,IF(G11="USD",KURLAR!$C$9,IF(G11="EUR",KURLAR!$C$10,0))))</x:f>
      </x:c>
      <x:c r="L11" s="68" t="str">
        <x:f>IF(B11="","",I11*K11)</x:f>
      </x:c>
      <x:c r="M11" s="46"/>
      <x:c r="N11" s="52" t="str">
        <x:f>IF(B11="","",IF(OR(M11="Tahsil Edildi",M11="İptal",J11="Riskli"),"Hayır","Evet"))</x:f>
      </x:c>
    </x:row>
    <x:row r="12">
      <x:c r="A12" s="4"/>
      <x:c r="B12" s="46"/>
      <x:c r="C12" s="46"/>
      <x:c r="D12" s="112"/>
      <x:c r="E12" s="112"/>
      <x:c r="F12" s="92"/>
      <x:c r="G12" s="92"/>
      <x:c r="H12" s="92"/>
      <x:c r="I12" s="93" t="str">
        <x:f>IF(B12="","",MAX(0,F12-H12))</x:f>
      </x:c>
      <x:c r="J12" s="46"/>
      <x:c r="K12" s="100" t="str">
        <x:f>IF(B12="","",IF(G12="TL",1,IF(G12="USD",KURLAR!$C$9,IF(G12="EUR",KURLAR!$C$10,0))))</x:f>
      </x:c>
      <x:c r="L12" s="68" t="str">
        <x:f>IF(B12="","",I12*K12)</x:f>
      </x:c>
      <x:c r="M12" s="46"/>
      <x:c r="N12" s="52" t="str">
        <x:f>IF(B12="","",IF(OR(M12="Tahsil Edildi",M12="İptal",J12="Riskli"),"Hayır","Evet"))</x:f>
      </x:c>
    </x:row>
    <x:row r="13">
      <x:c r="A13" s="4"/>
      <x:c r="B13" s="46"/>
      <x:c r="C13" s="46"/>
      <x:c r="D13" s="112"/>
      <x:c r="E13" s="112"/>
      <x:c r="F13" s="92"/>
      <x:c r="G13" s="92"/>
      <x:c r="H13" s="92"/>
      <x:c r="I13" s="93" t="str">
        <x:f>IF(B13="","",MAX(0,F13-H13))</x:f>
      </x:c>
      <x:c r="J13" s="46"/>
      <x:c r="K13" s="100" t="str">
        <x:f>IF(B13="","",IF(G13="TL",1,IF(G13="USD",KURLAR!$C$9,IF(G13="EUR",KURLAR!$C$10,0))))</x:f>
      </x:c>
      <x:c r="L13" s="68" t="str">
        <x:f>IF(B13="","",I13*K13)</x:f>
      </x:c>
      <x:c r="M13" s="46"/>
      <x:c r="N13" s="52" t="str">
        <x:f>IF(B13="","",IF(OR(M13="Tahsil Edildi",M13="İptal",J13="Riskli"),"Hayır","Evet"))</x:f>
      </x:c>
    </x:row>
    <x:row r="14">
      <x:c r="A14" s="4"/>
      <x:c r="B14" s="46"/>
      <x:c r="C14" s="46"/>
      <x:c r="D14" s="112"/>
      <x:c r="E14" s="112"/>
      <x:c r="F14" s="92"/>
      <x:c r="G14" s="92"/>
      <x:c r="H14" s="92"/>
      <x:c r="I14" s="93" t="str">
        <x:f>IF(B14="","",MAX(0,F14-H14))</x:f>
      </x:c>
      <x:c r="J14" s="46"/>
      <x:c r="K14" s="100" t="str">
        <x:f>IF(B14="","",IF(G14="TL",1,IF(G14="USD",KURLAR!$C$9,IF(G14="EUR",KURLAR!$C$10,0))))</x:f>
      </x:c>
      <x:c r="L14" s="68" t="str">
        <x:f>IF(B14="","",I14*K14)</x:f>
      </x:c>
      <x:c r="M14" s="46"/>
      <x:c r="N14" s="52" t="str">
        <x:f>IF(B14="","",IF(OR(M14="Tahsil Edildi",M14="İptal",J14="Riskli"),"Hayır","Evet"))</x:f>
      </x:c>
    </x:row>
    <x:row r="15">
      <x:c r="A15" s="4"/>
      <x:c r="B15" s="46"/>
      <x:c r="C15" s="46"/>
      <x:c r="D15" s="112"/>
      <x:c r="E15" s="112"/>
      <x:c r="F15" s="92"/>
      <x:c r="G15" s="92"/>
      <x:c r="H15" s="92"/>
      <x:c r="I15" s="93" t="str">
        <x:f>IF(B15="","",MAX(0,F15-H15))</x:f>
      </x:c>
      <x:c r="J15" s="46"/>
      <x:c r="K15" s="100" t="str">
        <x:f>IF(B15="","",IF(G15="TL",1,IF(G15="USD",KURLAR!$C$9,IF(G15="EUR",KURLAR!$C$10,0))))</x:f>
      </x:c>
      <x:c r="L15" s="68" t="str">
        <x:f>IF(B15="","",I15*K15)</x:f>
      </x:c>
      <x:c r="M15" s="46"/>
      <x:c r="N15" s="52" t="str">
        <x:f>IF(B15="","",IF(OR(M15="Tahsil Edildi",M15="İptal",J15="Riskli"),"Hayır","Evet"))</x:f>
      </x:c>
    </x:row>
    <x:row r="16">
      <x:c r="A16" s="4"/>
      <x:c r="B16" s="46"/>
      <x:c r="C16" s="46"/>
      <x:c r="D16" s="112"/>
      <x:c r="E16" s="112"/>
      <x:c r="F16" s="92"/>
      <x:c r="G16" s="92"/>
      <x:c r="H16" s="92"/>
      <x:c r="I16" s="93" t="str">
        <x:f>IF(B16="","",MAX(0,F16-H16))</x:f>
      </x:c>
      <x:c r="J16" s="46"/>
      <x:c r="K16" s="100" t="str">
        <x:f>IF(B16="","",IF(G16="TL",1,IF(G16="USD",KURLAR!$C$9,IF(G16="EUR",KURLAR!$C$10,0))))</x:f>
      </x:c>
      <x:c r="L16" s="68" t="str">
        <x:f>IF(B16="","",I16*K16)</x:f>
      </x:c>
      <x:c r="M16" s="46"/>
      <x:c r="N16" s="52" t="str">
        <x:f>IF(B16="","",IF(OR(M16="Tahsil Edildi",M16="İptal",J16="Riskli"),"Hayır","Evet"))</x:f>
      </x:c>
    </x:row>
    <x:row r="17">
      <x:c r="A17" s="4"/>
      <x:c r="B17" s="46"/>
      <x:c r="C17" s="46"/>
      <x:c r="D17" s="112"/>
      <x:c r="E17" s="112"/>
      <x:c r="F17" s="92"/>
      <x:c r="G17" s="92"/>
      <x:c r="H17" s="92"/>
      <x:c r="I17" s="93" t="str">
        <x:f>IF(B17="","",MAX(0,F17-H17))</x:f>
      </x:c>
      <x:c r="J17" s="46"/>
      <x:c r="K17" s="100" t="str">
        <x:f>IF(B17="","",IF(G17="TL",1,IF(G17="USD",KURLAR!$C$9,IF(G17="EUR",KURLAR!$C$10,0))))</x:f>
      </x:c>
      <x:c r="L17" s="68" t="str">
        <x:f>IF(B17="","",I17*K17)</x:f>
      </x:c>
      <x:c r="M17" s="46"/>
      <x:c r="N17" s="52" t="str">
        <x:f>IF(B17="","",IF(OR(M17="Tahsil Edildi",M17="İptal",J17="Riskli"),"Hayır","Evet"))</x:f>
      </x:c>
    </x:row>
    <x:row r="18">
      <x:c r="A18" s="4"/>
      <x:c r="B18" s="46"/>
      <x:c r="C18" s="46"/>
      <x:c r="D18" s="112"/>
      <x:c r="E18" s="112"/>
      <x:c r="F18" s="92"/>
      <x:c r="G18" s="92"/>
      <x:c r="H18" s="92"/>
      <x:c r="I18" s="93" t="str">
        <x:f>IF(B18="","",MAX(0,F18-H18))</x:f>
      </x:c>
      <x:c r="J18" s="46"/>
      <x:c r="K18" s="100" t="str">
        <x:f>IF(B18="","",IF(G18="TL",1,IF(G18="USD",KURLAR!$C$9,IF(G18="EUR",KURLAR!$C$10,0))))</x:f>
      </x:c>
      <x:c r="L18" s="68" t="str">
        <x:f>IF(B18="","",I18*K18)</x:f>
      </x:c>
      <x:c r="M18" s="46"/>
      <x:c r="N18" s="52" t="str">
        <x:f>IF(B18="","",IF(OR(M18="Tahsil Edildi",M18="İptal",J18="Riskli"),"Hayır","Evet"))</x:f>
      </x:c>
    </x:row>
    <x:row r="19">
      <x:c r="A19" s="4"/>
      <x:c r="B19" s="46"/>
      <x:c r="C19" s="46"/>
      <x:c r="D19" s="112"/>
      <x:c r="E19" s="112"/>
      <x:c r="F19" s="92"/>
      <x:c r="G19" s="92"/>
      <x:c r="H19" s="92"/>
      <x:c r="I19" s="93" t="str">
        <x:f>IF(B19="","",MAX(0,F19-H19))</x:f>
      </x:c>
      <x:c r="J19" s="46"/>
      <x:c r="K19" s="100" t="str">
        <x:f>IF(B19="","",IF(G19="TL",1,IF(G19="USD",KURLAR!$C$9,IF(G19="EUR",KURLAR!$C$10,0))))</x:f>
      </x:c>
      <x:c r="L19" s="68" t="str">
        <x:f>IF(B19="","",I19*K19)</x:f>
      </x:c>
      <x:c r="M19" s="46"/>
      <x:c r="N19" s="52" t="str">
        <x:f>IF(B19="","",IF(OR(M19="Tahsil Edildi",M19="İptal",J19="Riskli"),"Hayır","Evet"))</x:f>
      </x:c>
    </x:row>
    <x:row r="20">
      <x:c r="A20" s="4"/>
      <x:c r="B20" s="46"/>
      <x:c r="C20" s="46"/>
      <x:c r="D20" s="112"/>
      <x:c r="E20" s="112"/>
      <x:c r="F20" s="92"/>
      <x:c r="G20" s="92"/>
      <x:c r="H20" s="92"/>
      <x:c r="I20" s="93" t="str">
        <x:f>IF(B20="","",MAX(0,F20-H20))</x:f>
      </x:c>
      <x:c r="J20" s="46"/>
      <x:c r="K20" s="100" t="str">
        <x:f>IF(B20="","",IF(G20="TL",1,IF(G20="USD",KURLAR!$C$9,IF(G20="EUR",KURLAR!$C$10,0))))</x:f>
      </x:c>
      <x:c r="L20" s="68" t="str">
        <x:f>IF(B20="","",I20*K20)</x:f>
      </x:c>
      <x:c r="M20" s="46"/>
      <x:c r="N20" s="52" t="str">
        <x:f>IF(B20="","",IF(OR(M20="Tahsil Edildi",M20="İptal",J20="Riskli"),"Hayır","Evet"))</x:f>
      </x:c>
    </x:row>
    <x:row r="21">
      <x:c r="A21" s="4"/>
      <x:c r="B21" s="46"/>
      <x:c r="C21" s="46"/>
      <x:c r="D21" s="112"/>
      <x:c r="E21" s="112"/>
      <x:c r="F21" s="92"/>
      <x:c r="G21" s="92"/>
      <x:c r="H21" s="92"/>
      <x:c r="I21" s="93" t="str">
        <x:f>IF(B21="","",MAX(0,F21-H21))</x:f>
      </x:c>
      <x:c r="J21" s="46"/>
      <x:c r="K21" s="100" t="str">
        <x:f>IF(B21="","",IF(G21="TL",1,IF(G21="USD",KURLAR!$C$9,IF(G21="EUR",KURLAR!$C$10,0))))</x:f>
      </x:c>
      <x:c r="L21" s="68" t="str">
        <x:f>IF(B21="","",I21*K21)</x:f>
      </x:c>
      <x:c r="M21" s="46"/>
      <x:c r="N21" s="52" t="str">
        <x:f>IF(B21="","",IF(OR(M21="Tahsil Edildi",M21="İptal",J21="Riskli"),"Hayır","Evet"))</x:f>
      </x:c>
    </x:row>
    <x:row r="22">
      <x:c r="A22" s="4"/>
      <x:c r="B22" s="46"/>
      <x:c r="C22" s="46"/>
      <x:c r="D22" s="112"/>
      <x:c r="E22" s="112"/>
      <x:c r="F22" s="92"/>
      <x:c r="G22" s="92"/>
      <x:c r="H22" s="92"/>
      <x:c r="I22" s="93" t="str">
        <x:f>IF(B22="","",MAX(0,F22-H22))</x:f>
      </x:c>
      <x:c r="J22" s="46"/>
      <x:c r="K22" s="100" t="str">
        <x:f>IF(B22="","",IF(G22="TL",1,IF(G22="USD",KURLAR!$C$9,IF(G22="EUR",KURLAR!$C$10,0))))</x:f>
      </x:c>
      <x:c r="L22" s="68" t="str">
        <x:f>IF(B22="","",I22*K22)</x:f>
      </x:c>
      <x:c r="M22" s="46"/>
      <x:c r="N22" s="52" t="str">
        <x:f>IF(B22="","",IF(OR(M22="Tahsil Edildi",M22="İptal",J22="Riskli"),"Hayır","Evet"))</x:f>
      </x:c>
    </x:row>
    <x:row r="23">
      <x:c r="A23" s="4"/>
      <x:c r="B23" s="46"/>
      <x:c r="C23" s="46"/>
      <x:c r="D23" s="112"/>
      <x:c r="E23" s="112"/>
      <x:c r="F23" s="92"/>
      <x:c r="G23" s="92"/>
      <x:c r="H23" s="92"/>
      <x:c r="I23" s="93" t="str">
        <x:f>IF(B23="","",MAX(0,F23-H23))</x:f>
      </x:c>
      <x:c r="J23" s="46"/>
      <x:c r="K23" s="100" t="str">
        <x:f>IF(B23="","",IF(G23="TL",1,IF(G23="USD",KURLAR!$C$9,IF(G23="EUR",KURLAR!$C$10,0))))</x:f>
      </x:c>
      <x:c r="L23" s="68" t="str">
        <x:f>IF(B23="","",I23*K23)</x:f>
      </x:c>
      <x:c r="M23" s="46"/>
      <x:c r="N23" s="52" t="str">
        <x:f>IF(B23="","",IF(OR(M23="Tahsil Edildi",M23="İptal",J23="Riskli"),"Hayır","Evet"))</x:f>
      </x:c>
    </x:row>
    <x:row r="24">
      <x:c r="A24" s="4"/>
      <x:c r="B24" s="46"/>
      <x:c r="C24" s="46"/>
      <x:c r="D24" s="112"/>
      <x:c r="E24" s="112"/>
      <x:c r="F24" s="92"/>
      <x:c r="G24" s="92"/>
      <x:c r="H24" s="92"/>
      <x:c r="I24" s="93" t="str">
        <x:f>IF(B24="","",MAX(0,F24-H24))</x:f>
      </x:c>
      <x:c r="J24" s="46"/>
      <x:c r="K24" s="100" t="str">
        <x:f>IF(B24="","",IF(G24="TL",1,IF(G24="USD",KURLAR!$C$9,IF(G24="EUR",KURLAR!$C$10,0))))</x:f>
      </x:c>
      <x:c r="L24" s="68" t="str">
        <x:f>IF(B24="","",I24*K24)</x:f>
      </x:c>
      <x:c r="M24" s="46"/>
      <x:c r="N24" s="52" t="str">
        <x:f>IF(B24="","",IF(OR(M24="Tahsil Edildi",M24="İptal",J24="Riskli"),"Hayır","Evet"))</x:f>
      </x:c>
    </x:row>
    <x:row r="25">
      <x:c r="A25" s="4"/>
      <x:c r="B25" s="46"/>
      <x:c r="C25" s="46"/>
      <x:c r="D25" s="112"/>
      <x:c r="E25" s="112"/>
      <x:c r="F25" s="92"/>
      <x:c r="G25" s="92"/>
      <x:c r="H25" s="92"/>
      <x:c r="I25" s="93" t="str">
        <x:f>IF(B25="","",MAX(0,F25-H25))</x:f>
      </x:c>
      <x:c r="J25" s="46"/>
      <x:c r="K25" s="100" t="str">
        <x:f>IF(B25="","",IF(G25="TL",1,IF(G25="USD",KURLAR!$C$9,IF(G25="EUR",KURLAR!$C$10,0))))</x:f>
      </x:c>
      <x:c r="L25" s="68" t="str">
        <x:f>IF(B25="","",I25*K25)</x:f>
      </x:c>
      <x:c r="M25" s="46"/>
      <x:c r="N25" s="52" t="str">
        <x:f>IF(B25="","",IF(OR(M25="Tahsil Edildi",M25="İptal",J25="Riskli"),"Hayır","Evet"))</x:f>
      </x:c>
    </x:row>
    <x:row r="26">
      <x:c r="A26" s="4"/>
      <x:c r="B26" s="46"/>
      <x:c r="C26" s="46"/>
      <x:c r="D26" s="112"/>
      <x:c r="E26" s="112"/>
      <x:c r="F26" s="92"/>
      <x:c r="G26" s="92"/>
      <x:c r="H26" s="92"/>
      <x:c r="I26" s="93" t="str">
        <x:f>IF(B26="","",MAX(0,F26-H26))</x:f>
      </x:c>
      <x:c r="J26" s="46"/>
      <x:c r="K26" s="100" t="str">
        <x:f>IF(B26="","",IF(G26="TL",1,IF(G26="USD",KURLAR!$C$9,IF(G26="EUR",KURLAR!$C$10,0))))</x:f>
      </x:c>
      <x:c r="L26" s="68" t="str">
        <x:f>IF(B26="","",I26*K26)</x:f>
      </x:c>
      <x:c r="M26" s="46"/>
      <x:c r="N26" s="52" t="str">
        <x:f>IF(B26="","",IF(OR(M26="Tahsil Edildi",M26="İptal",J26="Riskli"),"Hayır","Evet"))</x:f>
      </x:c>
    </x:row>
    <x:row r="27">
      <x:c r="A27" s="4"/>
      <x:c r="B27" s="46"/>
      <x:c r="C27" s="46"/>
      <x:c r="D27" s="112"/>
      <x:c r="E27" s="112"/>
      <x:c r="F27" s="92"/>
      <x:c r="G27" s="92"/>
      <x:c r="H27" s="92"/>
      <x:c r="I27" s="93" t="str">
        <x:f>IF(B27="","",MAX(0,F27-H27))</x:f>
      </x:c>
      <x:c r="J27" s="46"/>
      <x:c r="K27" s="100" t="str">
        <x:f>IF(B27="","",IF(G27="TL",1,IF(G27="USD",KURLAR!$C$9,IF(G27="EUR",KURLAR!$C$10,0))))</x:f>
      </x:c>
      <x:c r="L27" s="68" t="str">
        <x:f>IF(B27="","",I27*K27)</x:f>
      </x:c>
      <x:c r="M27" s="46"/>
      <x:c r="N27" s="52" t="str">
        <x:f>IF(B27="","",IF(OR(M27="Tahsil Edildi",M27="İptal",J27="Riskli"),"Hayır","Evet"))</x:f>
      </x:c>
    </x:row>
    <x:row r="28">
      <x:c r="A28" s="4"/>
      <x:c r="B28" s="46"/>
      <x:c r="C28" s="46"/>
      <x:c r="D28" s="112"/>
      <x:c r="E28" s="112"/>
      <x:c r="F28" s="92"/>
      <x:c r="G28" s="92"/>
      <x:c r="H28" s="92"/>
      <x:c r="I28" s="93" t="str">
        <x:f>IF(B28="","",MAX(0,F28-H28))</x:f>
      </x:c>
      <x:c r="J28" s="46"/>
      <x:c r="K28" s="100" t="str">
        <x:f>IF(B28="","",IF(G28="TL",1,IF(G28="USD",KURLAR!$C$9,IF(G28="EUR",KURLAR!$C$10,0))))</x:f>
      </x:c>
      <x:c r="L28" s="68" t="str">
        <x:f>IF(B28="","",I28*K28)</x:f>
      </x:c>
      <x:c r="M28" s="46"/>
      <x:c r="N28" s="52" t="str">
        <x:f>IF(B28="","",IF(OR(M28="Tahsil Edildi",M28="İptal",J28="Riskli"),"Hayır","Evet"))</x:f>
      </x:c>
    </x:row>
    <x:row r="29">
      <x:c r="A29" s="4"/>
      <x:c r="B29" s="46"/>
      <x:c r="C29" s="46"/>
      <x:c r="D29" s="112"/>
      <x:c r="E29" s="112"/>
      <x:c r="F29" s="92"/>
      <x:c r="G29" s="92"/>
      <x:c r="H29" s="92"/>
      <x:c r="I29" s="93" t="str">
        <x:f>IF(B29="","",MAX(0,F29-H29))</x:f>
      </x:c>
      <x:c r="J29" s="46"/>
      <x:c r="K29" s="100" t="str">
        <x:f>IF(B29="","",IF(G29="TL",1,IF(G29="USD",KURLAR!$C$9,IF(G29="EUR",KURLAR!$C$10,0))))</x:f>
      </x:c>
      <x:c r="L29" s="68" t="str">
        <x:f>IF(B29="","",I29*K29)</x:f>
      </x:c>
      <x:c r="M29" s="46"/>
      <x:c r="N29" s="52" t="str">
        <x:f>IF(B29="","",IF(OR(M29="Tahsil Edildi",M29="İptal",J29="Riskli"),"Hayır","Evet"))</x:f>
      </x:c>
    </x:row>
    <x:row r="30">
      <x:c r="A30" s="4"/>
      <x:c r="B30" s="46"/>
      <x:c r="C30" s="46"/>
      <x:c r="D30" s="112"/>
      <x:c r="E30" s="112"/>
      <x:c r="F30" s="92"/>
      <x:c r="G30" s="92"/>
      <x:c r="H30" s="92"/>
      <x:c r="I30" s="93" t="str">
        <x:f>IF(B30="","",MAX(0,F30-H30))</x:f>
      </x:c>
      <x:c r="J30" s="46"/>
      <x:c r="K30" s="100" t="str">
        <x:f>IF(B30="","",IF(G30="TL",1,IF(G30="USD",KURLAR!$C$9,IF(G30="EUR",KURLAR!$C$10,0))))</x:f>
      </x:c>
      <x:c r="L30" s="68" t="str">
        <x:f>IF(B30="","",I30*K30)</x:f>
      </x:c>
      <x:c r="M30" s="46"/>
      <x:c r="N30" s="52" t="str">
        <x:f>IF(B30="","",IF(OR(M30="Tahsil Edildi",M30="İptal",J30="Riskli"),"Hayır","Evet"))</x:f>
      </x:c>
    </x:row>
    <x:row r="31">
      <x:c r="A31" s="4"/>
      <x:c r="B31" s="46"/>
      <x:c r="C31" s="46"/>
      <x:c r="D31" s="112"/>
      <x:c r="E31" s="112"/>
      <x:c r="F31" s="92"/>
      <x:c r="G31" s="92"/>
      <x:c r="H31" s="92"/>
      <x:c r="I31" s="93" t="str">
        <x:f>IF(B31="","",MAX(0,F31-H31))</x:f>
      </x:c>
      <x:c r="J31" s="46"/>
      <x:c r="K31" s="100" t="str">
        <x:f>IF(B31="","",IF(G31="TL",1,IF(G31="USD",KURLAR!$C$9,IF(G31="EUR",KURLAR!$C$10,0))))</x:f>
      </x:c>
      <x:c r="L31" s="68" t="str">
        <x:f>IF(B31="","",I31*K31)</x:f>
      </x:c>
      <x:c r="M31" s="46"/>
      <x:c r="N31" s="52" t="str">
        <x:f>IF(B31="","",IF(OR(M31="Tahsil Edildi",M31="İptal",J31="Riskli"),"Hayır","Evet"))</x:f>
      </x:c>
    </x:row>
    <x:row r="32">
      <x:c r="A32" s="4"/>
      <x:c r="B32" s="46"/>
      <x:c r="C32" s="46"/>
      <x:c r="D32" s="112"/>
      <x:c r="E32" s="112"/>
      <x:c r="F32" s="92"/>
      <x:c r="G32" s="92"/>
      <x:c r="H32" s="92"/>
      <x:c r="I32" s="93" t="str">
        <x:f>IF(B32="","",MAX(0,F32-H32))</x:f>
      </x:c>
      <x:c r="J32" s="46"/>
      <x:c r="K32" s="100" t="str">
        <x:f>IF(B32="","",IF(G32="TL",1,IF(G32="USD",KURLAR!$C$9,IF(G32="EUR",KURLAR!$C$10,0))))</x:f>
      </x:c>
      <x:c r="L32" s="68" t="str">
        <x:f>IF(B32="","",I32*K32)</x:f>
      </x:c>
      <x:c r="M32" s="46"/>
      <x:c r="N32" s="52" t="str">
        <x:f>IF(B32="","",IF(OR(M32="Tahsil Edildi",M32="İptal",J32="Riskli"),"Hayır","Evet"))</x:f>
      </x:c>
    </x:row>
    <x:row r="33">
      <x:c r="A33" s="4"/>
      <x:c r="B33" s="46"/>
      <x:c r="C33" s="46"/>
      <x:c r="D33" s="112"/>
      <x:c r="E33" s="112"/>
      <x:c r="F33" s="92"/>
      <x:c r="G33" s="92"/>
      <x:c r="H33" s="92"/>
      <x:c r="I33" s="93" t="str">
        <x:f>IF(B33="","",MAX(0,F33-H33))</x:f>
      </x:c>
      <x:c r="J33" s="46"/>
      <x:c r="K33" s="100" t="str">
        <x:f>IF(B33="","",IF(G33="TL",1,IF(G33="USD",KURLAR!$C$9,IF(G33="EUR",KURLAR!$C$10,0))))</x:f>
      </x:c>
      <x:c r="L33" s="68" t="str">
        <x:f>IF(B33="","",I33*K33)</x:f>
      </x:c>
      <x:c r="M33" s="46"/>
      <x:c r="N33" s="52" t="str">
        <x:f>IF(B33="","",IF(OR(M33="Tahsil Edildi",M33="İptal",J33="Riskli"),"Hayır","Evet"))</x:f>
      </x:c>
    </x:row>
    <x:row r="34">
      <x:c r="A34" s="4"/>
      <x:c r="B34" s="46"/>
      <x:c r="C34" s="46"/>
      <x:c r="D34" s="112"/>
      <x:c r="E34" s="112"/>
      <x:c r="F34" s="92"/>
      <x:c r="G34" s="92"/>
      <x:c r="H34" s="92"/>
      <x:c r="I34" s="93" t="str">
        <x:f>IF(B34="","",MAX(0,F34-H34))</x:f>
      </x:c>
      <x:c r="J34" s="46"/>
      <x:c r="K34" s="100" t="str">
        <x:f>IF(B34="","",IF(G34="TL",1,IF(G34="USD",KURLAR!$C$9,IF(G34="EUR",KURLAR!$C$10,0))))</x:f>
      </x:c>
      <x:c r="L34" s="68" t="str">
        <x:f>IF(B34="","",I34*K34)</x:f>
      </x:c>
      <x:c r="M34" s="46"/>
      <x:c r="N34" s="52" t="str">
        <x:f>IF(B34="","",IF(OR(M34="Tahsil Edildi",M34="İptal",J34="Riskli"),"Hayır","Evet"))</x:f>
      </x:c>
    </x:row>
    <x:row r="35">
      <x:c r="A35" s="4"/>
      <x:c r="B35" s="46"/>
      <x:c r="C35" s="46"/>
      <x:c r="D35" s="112"/>
      <x:c r="E35" s="112"/>
      <x:c r="F35" s="92"/>
      <x:c r="G35" s="92"/>
      <x:c r="H35" s="92"/>
      <x:c r="I35" s="93" t="str">
        <x:f>IF(B35="","",MAX(0,F35-H35))</x:f>
      </x:c>
      <x:c r="J35" s="46"/>
      <x:c r="K35" s="100" t="str">
        <x:f>IF(B35="","",IF(G35="TL",1,IF(G35="USD",KURLAR!$C$9,IF(G35="EUR",KURLAR!$C$10,0))))</x:f>
      </x:c>
      <x:c r="L35" s="68" t="str">
        <x:f>IF(B35="","",I35*K35)</x:f>
      </x:c>
      <x:c r="M35" s="46"/>
      <x:c r="N35" s="52" t="str">
        <x:f>IF(B35="","",IF(OR(M35="Tahsil Edildi",M35="İptal",J35="Riskli"),"Hayır","Evet"))</x:f>
      </x:c>
    </x:row>
    <x:row r="36">
      <x:c r="A36" s="4"/>
      <x:c r="B36" s="46"/>
      <x:c r="C36" s="46"/>
      <x:c r="D36" s="112"/>
      <x:c r="E36" s="112"/>
      <x:c r="F36" s="92"/>
      <x:c r="G36" s="92"/>
      <x:c r="H36" s="92"/>
      <x:c r="I36" s="93" t="str">
        <x:f>IF(B36="","",MAX(0,F36-H36))</x:f>
      </x:c>
      <x:c r="J36" s="46"/>
      <x:c r="K36" s="100" t="str">
        <x:f>IF(B36="","",IF(G36="TL",1,IF(G36="USD",KURLAR!$C$9,IF(G36="EUR",KURLAR!$C$10,0))))</x:f>
      </x:c>
      <x:c r="L36" s="68" t="str">
        <x:f>IF(B36="","",I36*K36)</x:f>
      </x:c>
      <x:c r="M36" s="46"/>
      <x:c r="N36" s="52" t="str">
        <x:f>IF(B36="","",IF(OR(M36="Tahsil Edildi",M36="İptal",J36="Riskli"),"Hayır","Evet"))</x:f>
      </x:c>
    </x:row>
    <x:row r="37">
      <x:c r="A37" s="4"/>
      <x:c r="B37" s="46"/>
      <x:c r="C37" s="46"/>
      <x:c r="D37" s="112"/>
      <x:c r="E37" s="112"/>
      <x:c r="F37" s="92"/>
      <x:c r="G37" s="92"/>
      <x:c r="H37" s="92"/>
      <x:c r="I37" s="93" t="str">
        <x:f>IF(B37="","",MAX(0,F37-H37))</x:f>
      </x:c>
      <x:c r="J37" s="46"/>
      <x:c r="K37" s="100" t="str">
        <x:f>IF(B37="","",IF(G37="TL",1,IF(G37="USD",KURLAR!$C$9,IF(G37="EUR",KURLAR!$C$10,0))))</x:f>
      </x:c>
      <x:c r="L37" s="68" t="str">
        <x:f>IF(B37="","",I37*K37)</x:f>
      </x:c>
      <x:c r="M37" s="46"/>
      <x:c r="N37" s="52" t="str">
        <x:f>IF(B37="","",IF(OR(M37="Tahsil Edildi",M37="İptal",J37="Riskli"),"Hayır","Evet"))</x:f>
      </x:c>
    </x:row>
    <x:row r="38">
      <x:c r="A38" s="4"/>
      <x:c r="B38" s="46"/>
      <x:c r="C38" s="46"/>
      <x:c r="D38" s="112"/>
      <x:c r="E38" s="112"/>
      <x:c r="F38" s="92"/>
      <x:c r="G38" s="92"/>
      <x:c r="H38" s="92"/>
      <x:c r="I38" s="93" t="str">
        <x:f>IF(B38="","",MAX(0,F38-H38))</x:f>
      </x:c>
      <x:c r="J38" s="46"/>
      <x:c r="K38" s="100" t="str">
        <x:f>IF(B38="","",IF(G38="TL",1,IF(G38="USD",KURLAR!$C$9,IF(G38="EUR",KURLAR!$C$10,0))))</x:f>
      </x:c>
      <x:c r="L38" s="68" t="str">
        <x:f>IF(B38="","",I38*K38)</x:f>
      </x:c>
      <x:c r="M38" s="46"/>
      <x:c r="N38" s="52" t="str">
        <x:f>IF(B38="","",IF(OR(M38="Tahsil Edildi",M38="İptal",J38="Riskli"),"Hayır","Evet"))</x:f>
      </x:c>
    </x:row>
    <x:row r="39">
      <x:c r="A39" s="4"/>
      <x:c r="B39" s="46"/>
      <x:c r="C39" s="46"/>
      <x:c r="D39" s="112"/>
      <x:c r="E39" s="112"/>
      <x:c r="F39" s="92"/>
      <x:c r="G39" s="92"/>
      <x:c r="H39" s="92"/>
      <x:c r="I39" s="93" t="str">
        <x:f>IF(B39="","",MAX(0,F39-H39))</x:f>
      </x:c>
      <x:c r="J39" s="46"/>
      <x:c r="K39" s="100" t="str">
        <x:f>IF(B39="","",IF(G39="TL",1,IF(G39="USD",KURLAR!$C$9,IF(G39="EUR",KURLAR!$C$10,0))))</x:f>
      </x:c>
      <x:c r="L39" s="68" t="str">
        <x:f>IF(B39="","",I39*K39)</x:f>
      </x:c>
      <x:c r="M39" s="46"/>
      <x:c r="N39" s="52" t="str">
        <x:f>IF(B39="","",IF(OR(M39="Tahsil Edildi",M39="İptal",J39="Riskli"),"Hayır","Evet"))</x:f>
      </x:c>
    </x:row>
    <x:row r="40">
      <x:c r="A40" s="4"/>
      <x:c r="B40" s="46"/>
      <x:c r="C40" s="46"/>
      <x:c r="D40" s="112"/>
      <x:c r="E40" s="112"/>
      <x:c r="F40" s="92"/>
      <x:c r="G40" s="92"/>
      <x:c r="H40" s="92"/>
      <x:c r="I40" s="93" t="str">
        <x:f>IF(B40="","",MAX(0,F40-H40))</x:f>
      </x:c>
      <x:c r="J40" s="46"/>
      <x:c r="K40" s="100" t="str">
        <x:f>IF(B40="","",IF(G40="TL",1,IF(G40="USD",KURLAR!$C$9,IF(G40="EUR",KURLAR!$C$10,0))))</x:f>
      </x:c>
      <x:c r="L40" s="68" t="str">
        <x:f>IF(B40="","",I40*K40)</x:f>
      </x:c>
      <x:c r="M40" s="46"/>
      <x:c r="N40" s="52" t="str">
        <x:f>IF(B40="","",IF(OR(M40="Tahsil Edildi",M40="İptal",J40="Riskli"),"Hayır","Evet"))</x:f>
      </x:c>
    </x:row>
    <x:row r="41">
      <x:c r="A41" s="4"/>
      <x:c r="B41" s="46"/>
      <x:c r="C41" s="46"/>
      <x:c r="D41" s="112"/>
      <x:c r="E41" s="112"/>
      <x:c r="F41" s="92"/>
      <x:c r="G41" s="92"/>
      <x:c r="H41" s="92"/>
      <x:c r="I41" s="93" t="str">
        <x:f>IF(B41="","",MAX(0,F41-H41))</x:f>
      </x:c>
      <x:c r="J41" s="46"/>
      <x:c r="K41" s="100" t="str">
        <x:f>IF(B41="","",IF(G41="TL",1,IF(G41="USD",KURLAR!$C$9,IF(G41="EUR",KURLAR!$C$10,0))))</x:f>
      </x:c>
      <x:c r="L41" s="68" t="str">
        <x:f>IF(B41="","",I41*K41)</x:f>
      </x:c>
      <x:c r="M41" s="46"/>
      <x:c r="N41" s="52" t="str">
        <x:f>IF(B41="","",IF(OR(M41="Tahsil Edildi",M41="İptal",J41="Riskli"),"Hayır","Evet"))</x:f>
      </x:c>
    </x:row>
    <x:row r="42">
      <x:c r="A42" s="4"/>
      <x:c r="B42" s="46"/>
      <x:c r="C42" s="46"/>
      <x:c r="D42" s="112"/>
      <x:c r="E42" s="112"/>
      <x:c r="F42" s="92"/>
      <x:c r="G42" s="92"/>
      <x:c r="H42" s="92"/>
      <x:c r="I42" s="93" t="str">
        <x:f>IF(B42="","",MAX(0,F42-H42))</x:f>
      </x:c>
      <x:c r="J42" s="46"/>
      <x:c r="K42" s="100" t="str">
        <x:f>IF(B42="","",IF(G42="TL",1,IF(G42="USD",KURLAR!$C$9,IF(G42="EUR",KURLAR!$C$10,0))))</x:f>
      </x:c>
      <x:c r="L42" s="68" t="str">
        <x:f>IF(B42="","",I42*K42)</x:f>
      </x:c>
      <x:c r="M42" s="46"/>
      <x:c r="N42" s="52" t="str">
        <x:f>IF(B42="","",IF(OR(M42="Tahsil Edildi",M42="İptal",J42="Riskli"),"Hayır","Evet"))</x:f>
      </x:c>
    </x:row>
    <x:row r="43">
      <x:c r="A43" s="4"/>
      <x:c r="B43" s="46"/>
      <x:c r="C43" s="46"/>
      <x:c r="D43" s="112"/>
      <x:c r="E43" s="112"/>
      <x:c r="F43" s="92"/>
      <x:c r="G43" s="92"/>
      <x:c r="H43" s="92"/>
      <x:c r="I43" s="93" t="str">
        <x:f>IF(B43="","",MAX(0,F43-H43))</x:f>
      </x:c>
      <x:c r="J43" s="46"/>
      <x:c r="K43" s="100" t="str">
        <x:f>IF(B43="","",IF(G43="TL",1,IF(G43="USD",KURLAR!$C$9,IF(G43="EUR",KURLAR!$C$10,0))))</x:f>
      </x:c>
      <x:c r="L43" s="68" t="str">
        <x:f>IF(B43="","",I43*K43)</x:f>
      </x:c>
      <x:c r="M43" s="46"/>
      <x:c r="N43" s="52" t="str">
        <x:f>IF(B43="","",IF(OR(M43="Tahsil Edildi",M43="İptal",J43="Riskli"),"Hayır","Evet"))</x:f>
      </x:c>
    </x:row>
    <x:row r="44">
      <x:c r="A44" s="4"/>
      <x:c r="B44" s="46"/>
      <x:c r="C44" s="46"/>
      <x:c r="D44" s="112"/>
      <x:c r="E44" s="112"/>
      <x:c r="F44" s="92"/>
      <x:c r="G44" s="92"/>
      <x:c r="H44" s="92"/>
      <x:c r="I44" s="93" t="str">
        <x:f>IF(B44="","",MAX(0,F44-H44))</x:f>
      </x:c>
      <x:c r="J44" s="46"/>
      <x:c r="K44" s="100" t="str">
        <x:f>IF(B44="","",IF(G44="TL",1,IF(G44="USD",KURLAR!$C$9,IF(G44="EUR",KURLAR!$C$10,0))))</x:f>
      </x:c>
      <x:c r="L44" s="68" t="str">
        <x:f>IF(B44="","",I44*K44)</x:f>
      </x:c>
      <x:c r="M44" s="46"/>
      <x:c r="N44" s="52" t="str">
        <x:f>IF(B44="","",IF(OR(M44="Tahsil Edildi",M44="İptal",J44="Riskli"),"Hayır","Evet"))</x:f>
      </x:c>
    </x:row>
    <x:row r="45">
      <x:c r="A45" s="4"/>
      <x:c r="B45" s="46"/>
      <x:c r="C45" s="46"/>
      <x:c r="D45" s="112"/>
      <x:c r="E45" s="112"/>
      <x:c r="F45" s="92"/>
      <x:c r="G45" s="92"/>
      <x:c r="H45" s="92"/>
      <x:c r="I45" s="93" t="str">
        <x:f>IF(B45="","",MAX(0,F45-H45))</x:f>
      </x:c>
      <x:c r="J45" s="46"/>
      <x:c r="K45" s="100" t="str">
        <x:f>IF(B45="","",IF(G45="TL",1,IF(G45="USD",KURLAR!$C$9,IF(G45="EUR",KURLAR!$C$10,0))))</x:f>
      </x:c>
      <x:c r="L45" s="68" t="str">
        <x:f>IF(B45="","",I45*K45)</x:f>
      </x:c>
      <x:c r="M45" s="46"/>
      <x:c r="N45" s="52" t="str">
        <x:f>IF(B45="","",IF(OR(M45="Tahsil Edildi",M45="İptal",J45="Riskli"),"Hayır","Evet"))</x:f>
      </x:c>
    </x:row>
    <x:row r="46">
      <x:c r="A46" s="4"/>
      <x:c r="B46" s="46"/>
      <x:c r="C46" s="46"/>
      <x:c r="D46" s="112"/>
      <x:c r="E46" s="112"/>
      <x:c r="F46" s="92"/>
      <x:c r="G46" s="92"/>
      <x:c r="H46" s="92"/>
      <x:c r="I46" s="93" t="str">
        <x:f>IF(B46="","",MAX(0,F46-H46))</x:f>
      </x:c>
      <x:c r="J46" s="46"/>
      <x:c r="K46" s="100" t="str">
        <x:f>IF(B46="","",IF(G46="TL",1,IF(G46="USD",KURLAR!$C$9,IF(G46="EUR",KURLAR!$C$10,0))))</x:f>
      </x:c>
      <x:c r="L46" s="68" t="str">
        <x:f>IF(B46="","",I46*K46)</x:f>
      </x:c>
      <x:c r="M46" s="46"/>
      <x:c r="N46" s="52" t="str">
        <x:f>IF(B46="","",IF(OR(M46="Tahsil Edildi",M46="İptal",J46="Riskli"),"Hayır","Evet"))</x:f>
      </x:c>
    </x:row>
    <x:row r="47">
      <x:c r="A47" s="4"/>
      <x:c r="B47" s="46"/>
      <x:c r="C47" s="46"/>
      <x:c r="D47" s="112"/>
      <x:c r="E47" s="112"/>
      <x:c r="F47" s="92"/>
      <x:c r="G47" s="92"/>
      <x:c r="H47" s="92"/>
      <x:c r="I47" s="93" t="str">
        <x:f>IF(B47="","",MAX(0,F47-H47))</x:f>
      </x:c>
      <x:c r="J47" s="46"/>
      <x:c r="K47" s="100" t="str">
        <x:f>IF(B47="","",IF(G47="TL",1,IF(G47="USD",KURLAR!$C$9,IF(G47="EUR",KURLAR!$C$10,0))))</x:f>
      </x:c>
      <x:c r="L47" s="68" t="str">
        <x:f>IF(B47="","",I47*K47)</x:f>
      </x:c>
      <x:c r="M47" s="46"/>
      <x:c r="N47" s="52" t="str">
        <x:f>IF(B47="","",IF(OR(M47="Tahsil Edildi",M47="İptal",J47="Riskli"),"Hayır","Evet"))</x:f>
      </x:c>
    </x:row>
    <x:row r="48">
      <x:c r="A48" s="4"/>
      <x:c r="B48" s="46"/>
      <x:c r="C48" s="46"/>
      <x:c r="D48" s="112"/>
      <x:c r="E48" s="112"/>
      <x:c r="F48" s="92"/>
      <x:c r="G48" s="92"/>
      <x:c r="H48" s="92"/>
      <x:c r="I48" s="93" t="str">
        <x:f>IF(B48="","",MAX(0,F48-H48))</x:f>
      </x:c>
      <x:c r="J48" s="46"/>
      <x:c r="K48" s="100" t="str">
        <x:f>IF(B48="","",IF(G48="TL",1,IF(G48="USD",KURLAR!$C$9,IF(G48="EUR",KURLAR!$C$10,0))))</x:f>
      </x:c>
      <x:c r="L48" s="68" t="str">
        <x:f>IF(B48="","",I48*K48)</x:f>
      </x:c>
      <x:c r="M48" s="46"/>
      <x:c r="N48" s="52" t="str">
        <x:f>IF(B48="","",IF(OR(M48="Tahsil Edildi",M48="İptal",J48="Riskli"),"Hayır","Evet"))</x:f>
      </x:c>
    </x:row>
    <x:row r="49">
      <x:c r="A49" s="4"/>
      <x:c r="B49" s="46"/>
      <x:c r="C49" s="46"/>
      <x:c r="D49" s="112"/>
      <x:c r="E49" s="112"/>
      <x:c r="F49" s="92"/>
      <x:c r="G49" s="92"/>
      <x:c r="H49" s="92"/>
      <x:c r="I49" s="93" t="str">
        <x:f>IF(B49="","",MAX(0,F49-H49))</x:f>
      </x:c>
      <x:c r="J49" s="46"/>
      <x:c r="K49" s="100" t="str">
        <x:f>IF(B49="","",IF(G49="TL",1,IF(G49="USD",KURLAR!$C$9,IF(G49="EUR",KURLAR!$C$10,0))))</x:f>
      </x:c>
      <x:c r="L49" s="68" t="str">
        <x:f>IF(B49="","",I49*K49)</x:f>
      </x:c>
      <x:c r="M49" s="46"/>
      <x:c r="N49" s="52" t="str">
        <x:f>IF(B49="","",IF(OR(M49="Tahsil Edildi",M49="İptal",J49="Riskli"),"Hayır","Evet"))</x:f>
      </x:c>
    </x:row>
    <x:row r="50">
      <x:c r="A50" s="4"/>
      <x:c r="B50" s="46"/>
      <x:c r="C50" s="46"/>
      <x:c r="D50" s="112"/>
      <x:c r="E50" s="112"/>
      <x:c r="F50" s="92"/>
      <x:c r="G50" s="92"/>
      <x:c r="H50" s="92"/>
      <x:c r="I50" s="93" t="str">
        <x:f>IF(B50="","",MAX(0,F50-H50))</x:f>
      </x:c>
      <x:c r="J50" s="46"/>
      <x:c r="K50" s="100" t="str">
        <x:f>IF(B50="","",IF(G50="TL",1,IF(G50="USD",KURLAR!$C$9,IF(G50="EUR",KURLAR!$C$10,0))))</x:f>
      </x:c>
      <x:c r="L50" s="68" t="str">
        <x:f>IF(B50="","",I50*K50)</x:f>
      </x:c>
      <x:c r="M50" s="46"/>
      <x:c r="N50" s="52" t="str">
        <x:f>IF(B50="","",IF(OR(M50="Tahsil Edildi",M50="İptal",J50="Riskli"),"Hayır","Evet"))</x:f>
      </x:c>
    </x:row>
    <x:row r="51">
      <x:c r="A51" s="4"/>
      <x:c r="B51" s="46"/>
      <x:c r="C51" s="46"/>
      <x:c r="D51" s="112"/>
      <x:c r="E51" s="112"/>
      <x:c r="F51" s="92"/>
      <x:c r="G51" s="92"/>
      <x:c r="H51" s="92"/>
      <x:c r="I51" s="93" t="str">
        <x:f>IF(B51="","",MAX(0,F51-H51))</x:f>
      </x:c>
      <x:c r="J51" s="46"/>
      <x:c r="K51" s="100" t="str">
        <x:f>IF(B51="","",IF(G51="TL",1,IF(G51="USD",KURLAR!$C$9,IF(G51="EUR",KURLAR!$C$10,0))))</x:f>
      </x:c>
      <x:c r="L51" s="68" t="str">
        <x:f>IF(B51="","",I51*K51)</x:f>
      </x:c>
      <x:c r="M51" s="46"/>
      <x:c r="N51" s="52" t="str">
        <x:f>IF(B51="","",IF(OR(M51="Tahsil Edildi",M51="İptal",J51="Riskli"),"Hayır","Evet"))</x:f>
      </x:c>
    </x:row>
    <x:row r="52">
      <x:c r="A52" s="4"/>
      <x:c r="B52" s="46"/>
      <x:c r="C52" s="46"/>
      <x:c r="D52" s="112"/>
      <x:c r="E52" s="112"/>
      <x:c r="F52" s="92"/>
      <x:c r="G52" s="92"/>
      <x:c r="H52" s="92"/>
      <x:c r="I52" s="93" t="str">
        <x:f>IF(B52="","",MAX(0,F52-H52))</x:f>
      </x:c>
      <x:c r="J52" s="46"/>
      <x:c r="K52" s="100" t="str">
        <x:f>IF(B52="","",IF(G52="TL",1,IF(G52="USD",KURLAR!$C$9,IF(G52="EUR",KURLAR!$C$10,0))))</x:f>
      </x:c>
      <x:c r="L52" s="68" t="str">
        <x:f>IF(B52="","",I52*K52)</x:f>
      </x:c>
      <x:c r="M52" s="46"/>
      <x:c r="N52" s="52" t="str">
        <x:f>IF(B52="","",IF(OR(M52="Tahsil Edildi",M52="İptal",J52="Riskli"),"Hayır","Evet"))</x:f>
      </x:c>
    </x:row>
    <x:row r="53">
      <x:c r="A53" s="4"/>
      <x:c r="B53" s="46"/>
      <x:c r="C53" s="46"/>
      <x:c r="D53" s="112"/>
      <x:c r="E53" s="112"/>
      <x:c r="F53" s="92"/>
      <x:c r="G53" s="92"/>
      <x:c r="H53" s="92"/>
      <x:c r="I53" s="93" t="str">
        <x:f>IF(B53="","",MAX(0,F53-H53))</x:f>
      </x:c>
      <x:c r="J53" s="46"/>
      <x:c r="K53" s="100" t="str">
        <x:f>IF(B53="","",IF(G53="TL",1,IF(G53="USD",KURLAR!$C$9,IF(G53="EUR",KURLAR!$C$10,0))))</x:f>
      </x:c>
      <x:c r="L53" s="68" t="str">
        <x:f>IF(B53="","",I53*K53)</x:f>
      </x:c>
      <x:c r="M53" s="46"/>
      <x:c r="N53" s="52" t="str">
        <x:f>IF(B53="","",IF(OR(M53="Tahsil Edildi",M53="İptal",J53="Riskli"),"Hayır","Evet"))</x:f>
      </x:c>
    </x:row>
    <x:row r="54">
      <x:c r="A54" s="4"/>
      <x:c r="B54" s="46"/>
      <x:c r="C54" s="46"/>
      <x:c r="D54" s="112"/>
      <x:c r="E54" s="112"/>
      <x:c r="F54" s="92"/>
      <x:c r="G54" s="92"/>
      <x:c r="H54" s="92"/>
      <x:c r="I54" s="93" t="str">
        <x:f>IF(B54="","",MAX(0,F54-H54))</x:f>
      </x:c>
      <x:c r="J54" s="46"/>
      <x:c r="K54" s="100" t="str">
        <x:f>IF(B54="","",IF(G54="TL",1,IF(G54="USD",KURLAR!$C$9,IF(G54="EUR",KURLAR!$C$10,0))))</x:f>
      </x:c>
      <x:c r="L54" s="68" t="str">
        <x:f>IF(B54="","",I54*K54)</x:f>
      </x:c>
      <x:c r="M54" s="46"/>
      <x:c r="N54" s="52" t="str">
        <x:f>IF(B54="","",IF(OR(M54="Tahsil Edildi",M54="İptal",J54="Riskli"),"Hayır","Evet"))</x:f>
      </x:c>
    </x:row>
    <x:row r="55">
      <x:c r="A55" s="4"/>
      <x:c r="B55" s="46"/>
      <x:c r="C55" s="46"/>
      <x:c r="D55" s="112"/>
      <x:c r="E55" s="112"/>
      <x:c r="F55" s="92"/>
      <x:c r="G55" s="92"/>
      <x:c r="H55" s="92"/>
      <x:c r="I55" s="93" t="str">
        <x:f>IF(B55="","",MAX(0,F55-H55))</x:f>
      </x:c>
      <x:c r="J55" s="46"/>
      <x:c r="K55" s="100" t="str">
        <x:f>IF(B55="","",IF(G55="TL",1,IF(G55="USD",KURLAR!$C$9,IF(G55="EUR",KURLAR!$C$10,0))))</x:f>
      </x:c>
      <x:c r="L55" s="68" t="str">
        <x:f>IF(B55="","",I55*K55)</x:f>
      </x:c>
      <x:c r="M55" s="46"/>
      <x:c r="N55" s="52" t="str">
        <x:f>IF(B55="","",IF(OR(M55="Tahsil Edildi",M55="İptal",J55="Riskli"),"Hayır","Evet"))</x:f>
      </x:c>
    </x:row>
    <x:row r="56">
      <x:c r="A56" s="4"/>
      <x:c r="B56" s="46"/>
      <x:c r="C56" s="46"/>
      <x:c r="D56" s="112"/>
      <x:c r="E56" s="112"/>
      <x:c r="F56" s="92"/>
      <x:c r="G56" s="92"/>
      <x:c r="H56" s="92"/>
      <x:c r="I56" s="93" t="str">
        <x:f>IF(B56="","",MAX(0,F56-H56))</x:f>
      </x:c>
      <x:c r="J56" s="46"/>
      <x:c r="K56" s="100" t="str">
        <x:f>IF(B56="","",IF(G56="TL",1,IF(G56="USD",KURLAR!$C$9,IF(G56="EUR",KURLAR!$C$10,0))))</x:f>
      </x:c>
      <x:c r="L56" s="68" t="str">
        <x:f>IF(B56="","",I56*K56)</x:f>
      </x:c>
      <x:c r="M56" s="46"/>
      <x:c r="N56" s="52" t="str">
        <x:f>IF(B56="","",IF(OR(M56="Tahsil Edildi",M56="İptal",J56="Riskli"),"Hayır","Evet"))</x:f>
      </x:c>
    </x:row>
    <x:row r="57">
      <x:c r="A57" s="4"/>
      <x:c r="B57" s="46"/>
      <x:c r="C57" s="46"/>
      <x:c r="D57" s="112"/>
      <x:c r="E57" s="112"/>
      <x:c r="F57" s="92"/>
      <x:c r="G57" s="92"/>
      <x:c r="H57" s="92"/>
      <x:c r="I57" s="93" t="str">
        <x:f>IF(B57="","",MAX(0,F57-H57))</x:f>
      </x:c>
      <x:c r="J57" s="46"/>
      <x:c r="K57" s="100" t="str">
        <x:f>IF(B57="","",IF(G57="TL",1,IF(G57="USD",KURLAR!$C$9,IF(G57="EUR",KURLAR!$C$10,0))))</x:f>
      </x:c>
      <x:c r="L57" s="68" t="str">
        <x:f>IF(B57="","",I57*K57)</x:f>
      </x:c>
      <x:c r="M57" s="46"/>
      <x:c r="N57" s="52" t="str">
        <x:f>IF(B57="","",IF(OR(M57="Tahsil Edildi",M57="İptal",J57="Riskli"),"Hayır","Evet"))</x:f>
      </x:c>
    </x:row>
    <x:row r="58">
      <x:c r="A58" s="4"/>
      <x:c r="B58" s="46"/>
      <x:c r="C58" s="46"/>
      <x:c r="D58" s="112"/>
      <x:c r="E58" s="112"/>
      <x:c r="F58" s="92"/>
      <x:c r="G58" s="92"/>
      <x:c r="H58" s="92"/>
      <x:c r="I58" s="93" t="str">
        <x:f>IF(B58="","",MAX(0,F58-H58))</x:f>
      </x:c>
      <x:c r="J58" s="46"/>
      <x:c r="K58" s="100" t="str">
        <x:f>IF(B58="","",IF(G58="TL",1,IF(G58="USD",KURLAR!$C$9,IF(G58="EUR",KURLAR!$C$10,0))))</x:f>
      </x:c>
      <x:c r="L58" s="68" t="str">
        <x:f>IF(B58="","",I58*K58)</x:f>
      </x:c>
      <x:c r="M58" s="46"/>
      <x:c r="N58" s="52" t="str">
        <x:f>IF(B58="","",IF(OR(M58="Tahsil Edildi",M58="İptal",J58="Riskli"),"Hayır","Evet"))</x:f>
      </x:c>
    </x:row>
    <x:row r="59">
      <x:c r="A59" s="4"/>
      <x:c r="B59" s="46"/>
      <x:c r="C59" s="46"/>
      <x:c r="D59" s="112"/>
      <x:c r="E59" s="112"/>
      <x:c r="F59" s="92"/>
      <x:c r="G59" s="92"/>
      <x:c r="H59" s="92"/>
      <x:c r="I59" s="93" t="str">
        <x:f>IF(B59="","",MAX(0,F59-H59))</x:f>
      </x:c>
      <x:c r="J59" s="46"/>
      <x:c r="K59" s="100" t="str">
        <x:f>IF(B59="","",IF(G59="TL",1,IF(G59="USD",KURLAR!$C$9,IF(G59="EUR",KURLAR!$C$10,0))))</x:f>
      </x:c>
      <x:c r="L59" s="68" t="str">
        <x:f>IF(B59="","",I59*K59)</x:f>
      </x:c>
      <x:c r="M59" s="46"/>
      <x:c r="N59" s="52" t="str">
        <x:f>IF(B59="","",IF(OR(M59="Tahsil Edildi",M59="İptal",J59="Riskli"),"Hayır","Evet"))</x:f>
      </x:c>
    </x:row>
    <x:row r="60">
      <x:c r="A60" s="4"/>
      <x:c r="B60" s="46"/>
      <x:c r="C60" s="46"/>
      <x:c r="D60" s="112"/>
      <x:c r="E60" s="112"/>
      <x:c r="F60" s="92"/>
      <x:c r="G60" s="92"/>
      <x:c r="H60" s="92"/>
      <x:c r="I60" s="93" t="str">
        <x:f>IF(B60="","",MAX(0,F60-H60))</x:f>
      </x:c>
      <x:c r="J60" s="46"/>
      <x:c r="K60" s="100" t="str">
        <x:f>IF(B60="","",IF(G60="TL",1,IF(G60="USD",KURLAR!$C$9,IF(G60="EUR",KURLAR!$C$10,0))))</x:f>
      </x:c>
      <x:c r="L60" s="68" t="str">
        <x:f>IF(B60="","",I60*K60)</x:f>
      </x:c>
      <x:c r="M60" s="46"/>
      <x:c r="N60" s="52" t="str">
        <x:f>IF(B60="","",IF(OR(M60="Tahsil Edildi",M60="İptal",J60="Riskli"),"Hayır","Evet"))</x:f>
      </x:c>
    </x:row>
    <x:row r="61">
      <x:c r="A61" s="4"/>
      <x:c r="B61" s="46"/>
      <x:c r="C61" s="46"/>
      <x:c r="D61" s="112"/>
      <x:c r="E61" s="112"/>
      <x:c r="F61" s="92"/>
      <x:c r="G61" s="92"/>
      <x:c r="H61" s="92"/>
      <x:c r="I61" s="93" t="str">
        <x:f>IF(B61="","",MAX(0,F61-H61))</x:f>
      </x:c>
      <x:c r="J61" s="46"/>
      <x:c r="K61" s="100" t="str">
        <x:f>IF(B61="","",IF(G61="TL",1,IF(G61="USD",KURLAR!$C$9,IF(G61="EUR",KURLAR!$C$10,0))))</x:f>
      </x:c>
      <x:c r="L61" s="68" t="str">
        <x:f>IF(B61="","",I61*K61)</x:f>
      </x:c>
      <x:c r="M61" s="46"/>
      <x:c r="N61" s="52" t="str">
        <x:f>IF(B61="","",IF(OR(M61="Tahsil Edildi",M61="İptal",J61="Riskli"),"Hayır","Evet"))</x:f>
      </x:c>
    </x:row>
    <x:row r="62">
      <x:c r="A62" s="4"/>
      <x:c r="B62" s="46"/>
      <x:c r="C62" s="46"/>
      <x:c r="D62" s="112"/>
      <x:c r="E62" s="112"/>
      <x:c r="F62" s="92"/>
      <x:c r="G62" s="92"/>
      <x:c r="H62" s="92"/>
      <x:c r="I62" s="93" t="str">
        <x:f>IF(B62="","",MAX(0,F62-H62))</x:f>
      </x:c>
      <x:c r="J62" s="46"/>
      <x:c r="K62" s="100" t="str">
        <x:f>IF(B62="","",IF(G62="TL",1,IF(G62="USD",KURLAR!$C$9,IF(G62="EUR",KURLAR!$C$10,0))))</x:f>
      </x:c>
      <x:c r="L62" s="68" t="str">
        <x:f>IF(B62="","",I62*K62)</x:f>
      </x:c>
      <x:c r="M62" s="46"/>
      <x:c r="N62" s="52" t="str">
        <x:f>IF(B62="","",IF(OR(M62="Tahsil Edildi",M62="İptal",J62="Riskli"),"Hayır","Evet"))</x:f>
      </x:c>
    </x:row>
    <x:row r="63">
      <x:c r="A63" s="4"/>
      <x:c r="B63" s="46"/>
      <x:c r="C63" s="46"/>
      <x:c r="D63" s="112"/>
      <x:c r="E63" s="112"/>
      <x:c r="F63" s="92"/>
      <x:c r="G63" s="92"/>
      <x:c r="H63" s="92"/>
      <x:c r="I63" s="93" t="str">
        <x:f>IF(B63="","",MAX(0,F63-H63))</x:f>
      </x:c>
      <x:c r="J63" s="46"/>
      <x:c r="K63" s="100" t="str">
        <x:f>IF(B63="","",IF(G63="TL",1,IF(G63="USD",KURLAR!$C$9,IF(G63="EUR",KURLAR!$C$10,0))))</x:f>
      </x:c>
      <x:c r="L63" s="68" t="str">
        <x:f>IF(B63="","",I63*K63)</x:f>
      </x:c>
      <x:c r="M63" s="46"/>
      <x:c r="N63" s="52" t="str">
        <x:f>IF(B63="","",IF(OR(M63="Tahsil Edildi",M63="İptal",J63="Riskli"),"Hayır","Evet"))</x:f>
      </x:c>
    </x:row>
    <x:row r="64">
      <x:c r="A64" s="4"/>
      <x:c r="B64" s="46"/>
      <x:c r="C64" s="46"/>
      <x:c r="D64" s="112"/>
      <x:c r="E64" s="112"/>
      <x:c r="F64" s="92"/>
      <x:c r="G64" s="92"/>
      <x:c r="H64" s="92"/>
      <x:c r="I64" s="93" t="str">
        <x:f>IF(B64="","",MAX(0,F64-H64))</x:f>
      </x:c>
      <x:c r="J64" s="46"/>
      <x:c r="K64" s="100" t="str">
        <x:f>IF(B64="","",IF(G64="TL",1,IF(G64="USD",KURLAR!$C$9,IF(G64="EUR",KURLAR!$C$10,0))))</x:f>
      </x:c>
      <x:c r="L64" s="68" t="str">
        <x:f>IF(B64="","",I64*K64)</x:f>
      </x:c>
      <x:c r="M64" s="46"/>
      <x:c r="N64" s="52" t="str">
        <x:f>IF(B64="","",IF(OR(M64="Tahsil Edildi",M64="İptal",J64="Riskli"),"Hayır","Evet"))</x:f>
      </x:c>
    </x:row>
    <x:row r="65">
      <x:c r="A65" s="4"/>
      <x:c r="B65" s="46"/>
      <x:c r="C65" s="46"/>
      <x:c r="D65" s="112"/>
      <x:c r="E65" s="112"/>
      <x:c r="F65" s="92"/>
      <x:c r="G65" s="92"/>
      <x:c r="H65" s="92"/>
      <x:c r="I65" s="93" t="str">
        <x:f>IF(B65="","",MAX(0,F65-H65))</x:f>
      </x:c>
      <x:c r="J65" s="46"/>
      <x:c r="K65" s="100" t="str">
        <x:f>IF(B65="","",IF(G65="TL",1,IF(G65="USD",KURLAR!$C$9,IF(G65="EUR",KURLAR!$C$10,0))))</x:f>
      </x:c>
      <x:c r="L65" s="68" t="str">
        <x:f>IF(B65="","",I65*K65)</x:f>
      </x:c>
      <x:c r="M65" s="46"/>
      <x:c r="N65" s="52" t="str">
        <x:f>IF(B65="","",IF(OR(M65="Tahsil Edildi",M65="İptal",J65="Riskli"),"Hayır","Evet"))</x:f>
      </x:c>
    </x:row>
    <x:row r="66">
      <x:c r="A66" s="4"/>
      <x:c r="B66" s="46"/>
      <x:c r="C66" s="46"/>
      <x:c r="D66" s="112"/>
      <x:c r="E66" s="112"/>
      <x:c r="F66" s="92"/>
      <x:c r="G66" s="92"/>
      <x:c r="H66" s="92"/>
      <x:c r="I66" s="93" t="str">
        <x:f>IF(B66="","",MAX(0,F66-H66))</x:f>
      </x:c>
      <x:c r="J66" s="46"/>
      <x:c r="K66" s="100" t="str">
        <x:f>IF(B66="","",IF(G66="TL",1,IF(G66="USD",KURLAR!$C$9,IF(G66="EUR",KURLAR!$C$10,0))))</x:f>
      </x:c>
      <x:c r="L66" s="68" t="str">
        <x:f>IF(B66="","",I66*K66)</x:f>
      </x:c>
      <x:c r="M66" s="46"/>
      <x:c r="N66" s="52" t="str">
        <x:f>IF(B66="","",IF(OR(M66="Tahsil Edildi",M66="İptal",J66="Riskli"),"Hayır","Evet"))</x:f>
      </x:c>
    </x:row>
    <x:row r="67">
      <x:c r="A67" s="4"/>
      <x:c r="B67" s="46"/>
      <x:c r="C67" s="46"/>
      <x:c r="D67" s="112"/>
      <x:c r="E67" s="112"/>
      <x:c r="F67" s="92"/>
      <x:c r="G67" s="92"/>
      <x:c r="H67" s="92"/>
      <x:c r="I67" s="93" t="str">
        <x:f>IF(B67="","",MAX(0,F67-H67))</x:f>
      </x:c>
      <x:c r="J67" s="46"/>
      <x:c r="K67" s="100" t="str">
        <x:f>IF(B67="","",IF(G67="TL",1,IF(G67="USD",KURLAR!$C$9,IF(G67="EUR",KURLAR!$C$10,0))))</x:f>
      </x:c>
      <x:c r="L67" s="68" t="str">
        <x:f>IF(B67="","",I67*K67)</x:f>
      </x:c>
      <x:c r="M67" s="46"/>
      <x:c r="N67" s="52" t="str">
        <x:f>IF(B67="","",IF(OR(M67="Tahsil Edildi",M67="İptal",J67="Riskli"),"Hayır","Evet"))</x:f>
      </x:c>
    </x:row>
    <x:row r="68">
      <x:c r="A68" s="4"/>
      <x:c r="B68" s="46"/>
      <x:c r="C68" s="46"/>
      <x:c r="D68" s="112"/>
      <x:c r="E68" s="112"/>
      <x:c r="F68" s="92"/>
      <x:c r="G68" s="92"/>
      <x:c r="H68" s="92"/>
      <x:c r="I68" s="93" t="str">
        <x:f>IF(B68="","",MAX(0,F68-H68))</x:f>
      </x:c>
      <x:c r="J68" s="46"/>
      <x:c r="K68" s="100" t="str">
        <x:f>IF(B68="","",IF(G68="TL",1,IF(G68="USD",KURLAR!$C$9,IF(G68="EUR",KURLAR!$C$10,0))))</x:f>
      </x:c>
      <x:c r="L68" s="68" t="str">
        <x:f>IF(B68="","",I68*K68)</x:f>
      </x:c>
      <x:c r="M68" s="46"/>
      <x:c r="N68" s="52" t="str">
        <x:f>IF(B68="","",IF(OR(M68="Tahsil Edildi",M68="İptal",J68="Riskli"),"Hayır","Evet"))</x:f>
      </x:c>
    </x:row>
    <x:row r="69">
      <x:c r="A69" s="4"/>
      <x:c r="B69" s="46"/>
      <x:c r="C69" s="46"/>
      <x:c r="D69" s="112"/>
      <x:c r="E69" s="112"/>
      <x:c r="F69" s="92"/>
      <x:c r="G69" s="92"/>
      <x:c r="H69" s="92"/>
      <x:c r="I69" s="93" t="str">
        <x:f>IF(B69="","",MAX(0,F69-H69))</x:f>
      </x:c>
      <x:c r="J69" s="46"/>
      <x:c r="K69" s="100" t="str">
        <x:f>IF(B69="","",IF(G69="TL",1,IF(G69="USD",KURLAR!$C$9,IF(G69="EUR",KURLAR!$C$10,0))))</x:f>
      </x:c>
      <x:c r="L69" s="68" t="str">
        <x:f>IF(B69="","",I69*K69)</x:f>
      </x:c>
      <x:c r="M69" s="46"/>
      <x:c r="N69" s="52" t="str">
        <x:f>IF(B69="","",IF(OR(M69="Tahsil Edildi",M69="İptal",J69="Riskli"),"Hayır","Evet"))</x:f>
      </x:c>
    </x:row>
    <x:row r="70">
      <x:c r="A70" s="4"/>
      <x:c r="B70" s="46"/>
      <x:c r="C70" s="46"/>
      <x:c r="D70" s="112"/>
      <x:c r="E70" s="112"/>
      <x:c r="F70" s="92"/>
      <x:c r="G70" s="92"/>
      <x:c r="H70" s="92"/>
      <x:c r="I70" s="93" t="str">
        <x:f>IF(B70="","",MAX(0,F70-H70))</x:f>
      </x:c>
      <x:c r="J70" s="46"/>
      <x:c r="K70" s="100" t="str">
        <x:f>IF(B70="","",IF(G70="TL",1,IF(G70="USD",KURLAR!$C$9,IF(G70="EUR",KURLAR!$C$10,0))))</x:f>
      </x:c>
      <x:c r="L70" s="68" t="str">
        <x:f>IF(B70="","",I70*K70)</x:f>
      </x:c>
      <x:c r="M70" s="46"/>
      <x:c r="N70" s="52" t="str">
        <x:f>IF(B70="","",IF(OR(M70="Tahsil Edildi",M70="İptal",J70="Riskli"),"Hayır","Evet"))</x:f>
      </x:c>
    </x:row>
    <x:row r="71">
      <x:c r="A71" s="4"/>
      <x:c r="B71" s="46"/>
      <x:c r="C71" s="46"/>
      <x:c r="D71" s="112"/>
      <x:c r="E71" s="112"/>
      <x:c r="F71" s="92"/>
      <x:c r="G71" s="92"/>
      <x:c r="H71" s="92"/>
      <x:c r="I71" s="93" t="str">
        <x:f>IF(B71="","",MAX(0,F71-H71))</x:f>
      </x:c>
      <x:c r="J71" s="46"/>
      <x:c r="K71" s="100" t="str">
        <x:f>IF(B71="","",IF(G71="TL",1,IF(G71="USD",KURLAR!$C$9,IF(G71="EUR",KURLAR!$C$10,0))))</x:f>
      </x:c>
      <x:c r="L71" s="68" t="str">
        <x:f>IF(B71="","",I71*K71)</x:f>
      </x:c>
      <x:c r="M71" s="46"/>
      <x:c r="N71" s="52" t="str">
        <x:f>IF(B71="","",IF(OR(M71="Tahsil Edildi",M71="İptal",J71="Riskli"),"Hayır","Evet"))</x:f>
      </x:c>
    </x:row>
    <x:row r="72">
      <x:c r="A72" s="4"/>
      <x:c r="B72" s="46"/>
      <x:c r="C72" s="46"/>
      <x:c r="D72" s="112"/>
      <x:c r="E72" s="112"/>
      <x:c r="F72" s="92"/>
      <x:c r="G72" s="92"/>
      <x:c r="H72" s="92"/>
      <x:c r="I72" s="93" t="str">
        <x:f>IF(B72="","",MAX(0,F72-H72))</x:f>
      </x:c>
      <x:c r="J72" s="46"/>
      <x:c r="K72" s="100" t="str">
        <x:f>IF(B72="","",IF(G72="TL",1,IF(G72="USD",KURLAR!$C$9,IF(G72="EUR",KURLAR!$C$10,0))))</x:f>
      </x:c>
      <x:c r="L72" s="68" t="str">
        <x:f>IF(B72="","",I72*K72)</x:f>
      </x:c>
      <x:c r="M72" s="46"/>
      <x:c r="N72" s="52" t="str">
        <x:f>IF(B72="","",IF(OR(M72="Tahsil Edildi",M72="İptal",J72="Riskli"),"Hayır","Evet"))</x:f>
      </x:c>
    </x:row>
    <x:row r="73">
      <x:c r="A73" s="4"/>
      <x:c r="B73" s="46"/>
      <x:c r="C73" s="46"/>
      <x:c r="D73" s="112"/>
      <x:c r="E73" s="112"/>
      <x:c r="F73" s="92"/>
      <x:c r="G73" s="92"/>
      <x:c r="H73" s="92"/>
      <x:c r="I73" s="93" t="str">
        <x:f>IF(B73="","",MAX(0,F73-H73))</x:f>
      </x:c>
      <x:c r="J73" s="46"/>
      <x:c r="K73" s="100" t="str">
        <x:f>IF(B73="","",IF(G73="TL",1,IF(G73="USD",KURLAR!$C$9,IF(G73="EUR",KURLAR!$C$10,0))))</x:f>
      </x:c>
      <x:c r="L73" s="68" t="str">
        <x:f>IF(B73="","",I73*K73)</x:f>
      </x:c>
      <x:c r="M73" s="46"/>
      <x:c r="N73" s="52" t="str">
        <x:f>IF(B73="","",IF(OR(M73="Tahsil Edildi",M73="İptal",J73="Riskli"),"Hayır","Evet"))</x:f>
      </x:c>
    </x:row>
    <x:row r="74">
      <x:c r="A74" s="4"/>
      <x:c r="B74" s="46"/>
      <x:c r="C74" s="46"/>
      <x:c r="D74" s="112"/>
      <x:c r="E74" s="112"/>
      <x:c r="F74" s="92"/>
      <x:c r="G74" s="92"/>
      <x:c r="H74" s="92"/>
      <x:c r="I74" s="93" t="str">
        <x:f>IF(B74="","",MAX(0,F74-H74))</x:f>
      </x:c>
      <x:c r="J74" s="46"/>
      <x:c r="K74" s="100" t="str">
        <x:f>IF(B74="","",IF(G74="TL",1,IF(G74="USD",KURLAR!$C$9,IF(G74="EUR",KURLAR!$C$10,0))))</x:f>
      </x:c>
      <x:c r="L74" s="68" t="str">
        <x:f>IF(B74="","",I74*K74)</x:f>
      </x:c>
      <x:c r="M74" s="46"/>
      <x:c r="N74" s="52" t="str">
        <x:f>IF(B74="","",IF(OR(M74="Tahsil Edildi",M74="İptal",J74="Riskli"),"Hayır","Evet"))</x:f>
      </x:c>
    </x:row>
    <x:row r="75">
      <x:c r="A75" s="4"/>
      <x:c r="B75" s="46"/>
      <x:c r="C75" s="46"/>
      <x:c r="D75" s="112"/>
      <x:c r="E75" s="112"/>
      <x:c r="F75" s="92"/>
      <x:c r="G75" s="92"/>
      <x:c r="H75" s="92"/>
      <x:c r="I75" s="93" t="str">
        <x:f>IF(B75="","",MAX(0,F75-H75))</x:f>
      </x:c>
      <x:c r="J75" s="46"/>
      <x:c r="K75" s="100" t="str">
        <x:f>IF(B75="","",IF(G75="TL",1,IF(G75="USD",KURLAR!$C$9,IF(G75="EUR",KURLAR!$C$10,0))))</x:f>
      </x:c>
      <x:c r="L75" s="68" t="str">
        <x:f>IF(B75="","",I75*K75)</x:f>
      </x:c>
      <x:c r="M75" s="46"/>
      <x:c r="N75" s="52" t="str">
        <x:f>IF(B75="","",IF(OR(M75="Tahsil Edildi",M75="İptal",J75="Riskli"),"Hayır","Evet"))</x:f>
      </x:c>
    </x:row>
    <x:row r="76">
      <x:c r="A76" s="4"/>
      <x:c r="B76" s="46"/>
      <x:c r="C76" s="46"/>
      <x:c r="D76" s="112"/>
      <x:c r="E76" s="112"/>
      <x:c r="F76" s="92"/>
      <x:c r="G76" s="92"/>
      <x:c r="H76" s="92"/>
      <x:c r="I76" s="93" t="str">
        <x:f>IF(B76="","",MAX(0,F76-H76))</x:f>
      </x:c>
      <x:c r="J76" s="46"/>
      <x:c r="K76" s="100" t="str">
        <x:f>IF(B76="","",IF(G76="TL",1,IF(G76="USD",KURLAR!$C$9,IF(G76="EUR",KURLAR!$C$10,0))))</x:f>
      </x:c>
      <x:c r="L76" s="68" t="str">
        <x:f>IF(B76="","",I76*K76)</x:f>
      </x:c>
      <x:c r="M76" s="46"/>
      <x:c r="N76" s="52" t="str">
        <x:f>IF(B76="","",IF(OR(M76="Tahsil Edildi",M76="İptal",J76="Riskli"),"Hayır","Evet"))</x:f>
      </x:c>
    </x:row>
    <x:row r="77">
      <x:c r="A77" s="4"/>
      <x:c r="B77" s="46"/>
      <x:c r="C77" s="46"/>
      <x:c r="D77" s="112"/>
      <x:c r="E77" s="112"/>
      <x:c r="F77" s="92"/>
      <x:c r="G77" s="92"/>
      <x:c r="H77" s="92"/>
      <x:c r="I77" s="93" t="str">
        <x:f>IF(B77="","",MAX(0,F77-H77))</x:f>
      </x:c>
      <x:c r="J77" s="46"/>
      <x:c r="K77" s="100" t="str">
        <x:f>IF(B77="","",IF(G77="TL",1,IF(G77="USD",KURLAR!$C$9,IF(G77="EUR",KURLAR!$C$10,0))))</x:f>
      </x:c>
      <x:c r="L77" s="68" t="str">
        <x:f>IF(B77="","",I77*K77)</x:f>
      </x:c>
      <x:c r="M77" s="46"/>
      <x:c r="N77" s="52" t="str">
        <x:f>IF(B77="","",IF(OR(M77="Tahsil Edildi",M77="İptal",J77="Riskli"),"Hayır","Evet"))</x:f>
      </x:c>
    </x:row>
    <x:row r="78">
      <x:c r="A78" s="4"/>
      <x:c r="B78" s="46"/>
      <x:c r="C78" s="46"/>
      <x:c r="D78" s="112"/>
      <x:c r="E78" s="112"/>
      <x:c r="F78" s="92"/>
      <x:c r="G78" s="92"/>
      <x:c r="H78" s="92"/>
      <x:c r="I78" s="93" t="str">
        <x:f>IF(B78="","",MAX(0,F78-H78))</x:f>
      </x:c>
      <x:c r="J78" s="46"/>
      <x:c r="K78" s="100" t="str">
        <x:f>IF(B78="","",IF(G78="TL",1,IF(G78="USD",KURLAR!$C$9,IF(G78="EUR",KURLAR!$C$10,0))))</x:f>
      </x:c>
      <x:c r="L78" s="68" t="str">
        <x:f>IF(B78="","",I78*K78)</x:f>
      </x:c>
      <x:c r="M78" s="46"/>
      <x:c r="N78" s="52" t="str">
        <x:f>IF(B78="","",IF(OR(M78="Tahsil Edildi",M78="İptal",J78="Riskli"),"Hayır","Evet"))</x:f>
      </x:c>
    </x:row>
    <x:row r="79">
      <x:c r="A79" s="4"/>
      <x:c r="B79" s="46"/>
      <x:c r="C79" s="46"/>
      <x:c r="D79" s="112"/>
      <x:c r="E79" s="112"/>
      <x:c r="F79" s="92"/>
      <x:c r="G79" s="92"/>
      <x:c r="H79" s="92"/>
      <x:c r="I79" s="93" t="str">
        <x:f>IF(B79="","",MAX(0,F79-H79))</x:f>
      </x:c>
      <x:c r="J79" s="46"/>
      <x:c r="K79" s="100" t="str">
        <x:f>IF(B79="","",IF(G79="TL",1,IF(G79="USD",KURLAR!$C$9,IF(G79="EUR",KURLAR!$C$10,0))))</x:f>
      </x:c>
      <x:c r="L79" s="68" t="str">
        <x:f>IF(B79="","",I79*K79)</x:f>
      </x:c>
      <x:c r="M79" s="46"/>
      <x:c r="N79" s="52" t="str">
        <x:f>IF(B79="","",IF(OR(M79="Tahsil Edildi",M79="İptal",J79="Riskli"),"Hayır","Evet"))</x:f>
      </x:c>
    </x:row>
    <x:row r="80">
      <x:c r="A80" s="4"/>
      <x:c r="B80" s="46"/>
      <x:c r="C80" s="46"/>
      <x:c r="D80" s="112"/>
      <x:c r="E80" s="112"/>
      <x:c r="F80" s="92"/>
      <x:c r="G80" s="92"/>
      <x:c r="H80" s="92"/>
      <x:c r="I80" s="93" t="str">
        <x:f>IF(B80="","",MAX(0,F80-H80))</x:f>
      </x:c>
      <x:c r="J80" s="46"/>
      <x:c r="K80" s="100" t="str">
        <x:f>IF(B80="","",IF(G80="TL",1,IF(G80="USD",KURLAR!$C$9,IF(G80="EUR",KURLAR!$C$10,0))))</x:f>
      </x:c>
      <x:c r="L80" s="68" t="str">
        <x:f>IF(B80="","",I80*K80)</x:f>
      </x:c>
      <x:c r="M80" s="46"/>
      <x:c r="N80" s="52" t="str">
        <x:f>IF(B80="","",IF(OR(M80="Tahsil Edildi",M80="İptal",J80="Riskli"),"Hayır","Evet"))</x:f>
      </x:c>
    </x:row>
    <x:row r="81">
      <x:c r="B81" s="46"/>
      <x:c r="C81" s="46"/>
      <x:c r="D81" s="112"/>
      <x:c r="E81" s="112"/>
      <x:c r="F81" s="92"/>
      <x:c r="G81" s="92"/>
      <x:c r="H81" s="92"/>
      <x:c r="I81" s="93" t="str">
        <x:f>IF(B81="","",MAX(0,F81-H81))</x:f>
      </x:c>
      <x:c r="J81" s="46"/>
      <x:c r="K81" s="100" t="str">
        <x:f>IF(B81="","",IF(G81="TL",1,IF(G81="USD",KURLAR!$C$9,IF(G81="EUR",KURLAR!$C$10,0))))</x:f>
      </x:c>
      <x:c r="L81" s="68" t="str">
        <x:f>IF(B81="","",I81*K81)</x:f>
      </x:c>
      <x:c r="M81" s="46"/>
      <x:c r="N81" s="52" t="str">
        <x:f>IF(B81="","",IF(OR(M81="Tahsil Edildi",M81="İptal",J81="Riskli"),"Hayır","Evet"))</x:f>
      </x:c>
    </x:row>
    <x:row r="82">
      <x:c r="B82" s="46"/>
      <x:c r="C82" s="46"/>
      <x:c r="D82" s="112"/>
      <x:c r="E82" s="112"/>
      <x:c r="F82" s="92"/>
      <x:c r="G82" s="92"/>
      <x:c r="H82" s="92"/>
      <x:c r="I82" s="93" t="str">
        <x:f>IF(B82="","",MAX(0,F82-H82))</x:f>
      </x:c>
      <x:c r="J82" s="46"/>
      <x:c r="K82" s="100" t="str">
        <x:f>IF(B82="","",IF(G82="TL",1,IF(G82="USD",KURLAR!$C$9,IF(G82="EUR",KURLAR!$C$10,0))))</x:f>
      </x:c>
      <x:c r="L82" s="68" t="str">
        <x:f>IF(B82="","",I82*K82)</x:f>
      </x:c>
      <x:c r="M82" s="46"/>
      <x:c r="N82" s="52" t="str">
        <x:f>IF(B82="","",IF(OR(M82="Tahsil Edildi",M82="İptal",J82="Riskli"),"Hayır","Evet"))</x:f>
      </x:c>
    </x:row>
    <x:row r="83">
      <x:c r="B83" s="46"/>
      <x:c r="C83" s="46"/>
      <x:c r="D83" s="112"/>
      <x:c r="E83" s="112"/>
      <x:c r="F83" s="92"/>
      <x:c r="G83" s="92"/>
      <x:c r="H83" s="92"/>
      <x:c r="I83" s="93" t="str">
        <x:f>IF(B83="","",MAX(0,F83-H83))</x:f>
      </x:c>
      <x:c r="J83" s="46"/>
      <x:c r="K83" s="100" t="str">
        <x:f>IF(B83="","",IF(G83="TL",1,IF(G83="USD",KURLAR!$C$9,IF(G83="EUR",KURLAR!$C$10,0))))</x:f>
      </x:c>
      <x:c r="L83" s="68" t="str">
        <x:f>IF(B83="","",I83*K83)</x:f>
      </x:c>
      <x:c r="M83" s="46"/>
      <x:c r="N83" s="52" t="str">
        <x:f>IF(B83="","",IF(OR(M83="Tahsil Edildi",M83="İptal",J83="Riskli"),"Hayır","Evet"))</x:f>
      </x:c>
    </x:row>
    <x:row r="84">
      <x:c r="B84" s="46"/>
      <x:c r="C84" s="46"/>
      <x:c r="D84" s="112"/>
      <x:c r="E84" s="112"/>
      <x:c r="F84" s="92"/>
      <x:c r="G84" s="92"/>
      <x:c r="H84" s="92"/>
      <x:c r="I84" s="93" t="str">
        <x:f>IF(B84="","",MAX(0,F84-H84))</x:f>
      </x:c>
      <x:c r="J84" s="46"/>
      <x:c r="K84" s="100" t="str">
        <x:f>IF(B84="","",IF(G84="TL",1,IF(G84="USD",KURLAR!$C$9,IF(G84="EUR",KURLAR!$C$10,0))))</x:f>
      </x:c>
      <x:c r="L84" s="68" t="str">
        <x:f>IF(B84="","",I84*K84)</x:f>
      </x:c>
      <x:c r="M84" s="46"/>
      <x:c r="N84" s="52" t="str">
        <x:f>IF(B84="","",IF(OR(M84="Tahsil Edildi",M84="İptal",J84="Riskli"),"Hayır","Evet"))</x:f>
      </x:c>
    </x:row>
    <x:row r="85">
      <x:c r="B85" s="46"/>
      <x:c r="C85" s="46"/>
      <x:c r="D85" s="112"/>
      <x:c r="E85" s="112"/>
      <x:c r="F85" s="92"/>
      <x:c r="G85" s="92"/>
      <x:c r="H85" s="92"/>
      <x:c r="I85" s="93" t="str">
        <x:f>IF(B85="","",MAX(0,F85-H85))</x:f>
      </x:c>
      <x:c r="J85" s="46"/>
      <x:c r="K85" s="100" t="str">
        <x:f>IF(B85="","",IF(G85="TL",1,IF(G85="USD",KURLAR!$C$9,IF(G85="EUR",KURLAR!$C$10,0))))</x:f>
      </x:c>
      <x:c r="L85" s="68" t="str">
        <x:f>IF(B85="","",I85*K85)</x:f>
      </x:c>
      <x:c r="M85" s="46"/>
      <x:c r="N85" s="52" t="str">
        <x:f>IF(B85="","",IF(OR(M85="Tahsil Edildi",M85="İptal",J85="Riskli"),"Hayır","Evet"))</x:f>
      </x:c>
    </x:row>
    <x:row r="86">
      <x:c r="B86" s="46"/>
      <x:c r="C86" s="46"/>
      <x:c r="D86" s="112"/>
      <x:c r="E86" s="112"/>
      <x:c r="F86" s="92"/>
      <x:c r="G86" s="92"/>
      <x:c r="H86" s="92"/>
      <x:c r="I86" s="93" t="str">
        <x:f>IF(B86="","",MAX(0,F86-H86))</x:f>
      </x:c>
      <x:c r="J86" s="46"/>
      <x:c r="K86" s="100" t="str">
        <x:f>IF(B86="","",IF(G86="TL",1,IF(G86="USD",KURLAR!$C$9,IF(G86="EUR",KURLAR!$C$10,0))))</x:f>
      </x:c>
      <x:c r="L86" s="68" t="str">
        <x:f>IF(B86="","",I86*K86)</x:f>
      </x:c>
      <x:c r="M86" s="46"/>
      <x:c r="N86" s="52" t="str">
        <x:f>IF(B86="","",IF(OR(M86="Tahsil Edildi",M86="İptal",J86="Riskli"),"Hayır","Evet"))</x:f>
      </x:c>
    </x:row>
    <x:row r="87">
      <x:c r="B87" s="46"/>
      <x:c r="C87" s="46"/>
      <x:c r="D87" s="112"/>
      <x:c r="E87" s="112"/>
      <x:c r="F87" s="92"/>
      <x:c r="G87" s="92"/>
      <x:c r="H87" s="92"/>
      <x:c r="I87" s="93" t="str">
        <x:f>IF(B87="","",MAX(0,F87-H87))</x:f>
      </x:c>
      <x:c r="J87" s="46"/>
      <x:c r="K87" s="100" t="str">
        <x:f>IF(B87="","",IF(G87="TL",1,IF(G87="USD",KURLAR!$C$9,IF(G87="EUR",KURLAR!$C$10,0))))</x:f>
      </x:c>
      <x:c r="L87" s="68" t="str">
        <x:f>IF(B87="","",I87*K87)</x:f>
      </x:c>
      <x:c r="M87" s="46"/>
      <x:c r="N87" s="52" t="str">
        <x:f>IF(B87="","",IF(OR(M87="Tahsil Edildi",M87="İptal",J87="Riskli"),"Hayır","Evet"))</x:f>
      </x:c>
    </x:row>
    <x:row r="88">
      <x:c r="B88" s="46"/>
      <x:c r="C88" s="46"/>
      <x:c r="D88" s="112"/>
      <x:c r="E88" s="112"/>
      <x:c r="F88" s="92"/>
      <x:c r="G88" s="92"/>
      <x:c r="H88" s="92"/>
      <x:c r="I88" s="93" t="str">
        <x:f>IF(B88="","",MAX(0,F88-H88))</x:f>
      </x:c>
      <x:c r="J88" s="46"/>
      <x:c r="K88" s="100" t="str">
        <x:f>IF(B88="","",IF(G88="TL",1,IF(G88="USD",KURLAR!$C$9,IF(G88="EUR",KURLAR!$C$10,0))))</x:f>
      </x:c>
      <x:c r="L88" s="68" t="str">
        <x:f>IF(B88="","",I88*K88)</x:f>
      </x:c>
      <x:c r="M88" s="46"/>
      <x:c r="N88" s="52" t="str">
        <x:f>IF(B88="","",IF(OR(M88="Tahsil Edildi",M88="İptal",J88="Riskli"),"Hayır","Evet"))</x:f>
      </x:c>
    </x:row>
    <x:row r="89">
      <x:c r="B89" s="46"/>
      <x:c r="C89" s="46"/>
      <x:c r="D89" s="112"/>
      <x:c r="E89" s="112"/>
      <x:c r="F89" s="92"/>
      <x:c r="G89" s="92"/>
      <x:c r="H89" s="92"/>
      <x:c r="I89" s="93" t="str">
        <x:f>IF(B89="","",MAX(0,F89-H89))</x:f>
      </x:c>
      <x:c r="J89" s="46"/>
      <x:c r="K89" s="100" t="str">
        <x:f>IF(B89="","",IF(G89="TL",1,IF(G89="USD",KURLAR!$C$9,IF(G89="EUR",KURLAR!$C$10,0))))</x:f>
      </x:c>
      <x:c r="L89" s="68" t="str">
        <x:f>IF(B89="","",I89*K89)</x:f>
      </x:c>
      <x:c r="M89" s="46"/>
      <x:c r="N89" s="52" t="str">
        <x:f>IF(B89="","",IF(OR(M89="Tahsil Edildi",M89="İptal",J89="Riskli"),"Hayır","Evet"))</x:f>
      </x:c>
    </x:row>
    <x:row r="90">
      <x:c r="B90" s="46"/>
      <x:c r="C90" s="46"/>
      <x:c r="D90" s="112"/>
      <x:c r="E90" s="112"/>
      <x:c r="F90" s="92"/>
      <x:c r="G90" s="92"/>
      <x:c r="H90" s="92"/>
      <x:c r="I90" s="93" t="str">
        <x:f>IF(B90="","",MAX(0,F90-H90))</x:f>
      </x:c>
      <x:c r="J90" s="46"/>
      <x:c r="K90" s="100" t="str">
        <x:f>IF(B90="","",IF(G90="TL",1,IF(G90="USD",KURLAR!$C$9,IF(G90="EUR",KURLAR!$C$10,0))))</x:f>
      </x:c>
      <x:c r="L90" s="68" t="str">
        <x:f>IF(B90="","",I90*K90)</x:f>
      </x:c>
      <x:c r="M90" s="46"/>
      <x:c r="N90" s="52" t="str">
        <x:f>IF(B90="","",IF(OR(M90="Tahsil Edildi",M90="İptal",J90="Riskli"),"Hayır","Evet"))</x:f>
      </x:c>
    </x:row>
    <x:row r="91">
      <x:c r="B91" s="46"/>
      <x:c r="C91" s="46"/>
      <x:c r="D91" s="112"/>
      <x:c r="E91" s="112"/>
      <x:c r="F91" s="92"/>
      <x:c r="G91" s="92"/>
      <x:c r="H91" s="92"/>
      <x:c r="I91" s="93" t="str">
        <x:f>IF(B91="","",MAX(0,F91-H91))</x:f>
      </x:c>
      <x:c r="J91" s="46"/>
      <x:c r="K91" s="100" t="str">
        <x:f>IF(B91="","",IF(G91="TL",1,IF(G91="USD",KURLAR!$C$9,IF(G91="EUR",KURLAR!$C$10,0))))</x:f>
      </x:c>
      <x:c r="L91" s="68" t="str">
        <x:f>IF(B91="","",I91*K91)</x:f>
      </x:c>
      <x:c r="M91" s="46"/>
      <x:c r="N91" s="52" t="str">
        <x:f>IF(B91="","",IF(OR(M91="Tahsil Edildi",M91="İptal",J91="Riskli"),"Hayır","Evet"))</x:f>
      </x:c>
    </x:row>
    <x:row r="92">
      <x:c r="B92" s="46"/>
      <x:c r="C92" s="46"/>
      <x:c r="D92" s="112"/>
      <x:c r="E92" s="112"/>
      <x:c r="F92" s="92"/>
      <x:c r="G92" s="92"/>
      <x:c r="H92" s="92"/>
      <x:c r="I92" s="93" t="str">
        <x:f>IF(B92="","",MAX(0,F92-H92))</x:f>
      </x:c>
      <x:c r="J92" s="46"/>
      <x:c r="K92" s="100" t="str">
        <x:f>IF(B92="","",IF(G92="TL",1,IF(G92="USD",KURLAR!$C$9,IF(G92="EUR",KURLAR!$C$10,0))))</x:f>
      </x:c>
      <x:c r="L92" s="68" t="str">
        <x:f>IF(B92="","",I92*K92)</x:f>
      </x:c>
      <x:c r="M92" s="46"/>
      <x:c r="N92" s="52" t="str">
        <x:f>IF(B92="","",IF(OR(M92="Tahsil Edildi",M92="İptal",J92="Riskli"),"Hayır","Evet"))</x:f>
      </x:c>
    </x:row>
    <x:row r="93">
      <x:c r="B93" s="46"/>
      <x:c r="C93" s="46"/>
      <x:c r="D93" s="112"/>
      <x:c r="E93" s="112"/>
      <x:c r="F93" s="92"/>
      <x:c r="G93" s="92"/>
      <x:c r="H93" s="92"/>
      <x:c r="I93" s="93" t="str">
        <x:f>IF(B93="","",MAX(0,F93-H93))</x:f>
      </x:c>
      <x:c r="J93" s="46"/>
      <x:c r="K93" s="100" t="str">
        <x:f>IF(B93="","",IF(G93="TL",1,IF(G93="USD",KURLAR!$C$9,IF(G93="EUR",KURLAR!$C$10,0))))</x:f>
      </x:c>
      <x:c r="L93" s="68" t="str">
        <x:f>IF(B93="","",I93*K93)</x:f>
      </x:c>
      <x:c r="M93" s="46"/>
      <x:c r="N93" s="52" t="str">
        <x:f>IF(B93="","",IF(OR(M93="Tahsil Edildi",M93="İptal",J93="Riskli"),"Hayır","Evet"))</x:f>
      </x:c>
    </x:row>
    <x:row r="94">
      <x:c r="B94" s="46"/>
      <x:c r="C94" s="46"/>
      <x:c r="D94" s="112"/>
      <x:c r="E94" s="112"/>
      <x:c r="F94" s="92"/>
      <x:c r="G94" s="92"/>
      <x:c r="H94" s="92"/>
      <x:c r="I94" s="93" t="str">
        <x:f>IF(B94="","",MAX(0,F94-H94))</x:f>
      </x:c>
      <x:c r="J94" s="46"/>
      <x:c r="K94" s="100" t="str">
        <x:f>IF(B94="","",IF(G94="TL",1,IF(G94="USD",KURLAR!$C$9,IF(G94="EUR",KURLAR!$C$10,0))))</x:f>
      </x:c>
      <x:c r="L94" s="68" t="str">
        <x:f>IF(B94="","",I94*K94)</x:f>
      </x:c>
      <x:c r="M94" s="46"/>
      <x:c r="N94" s="52" t="str">
        <x:f>IF(B94="","",IF(OR(M94="Tahsil Edildi",M94="İptal",J94="Riskli"),"Hayır","Evet"))</x:f>
      </x:c>
    </x:row>
    <x:row r="95">
      <x:c r="B95" s="46"/>
      <x:c r="C95" s="46"/>
      <x:c r="D95" s="112"/>
      <x:c r="E95" s="112"/>
      <x:c r="F95" s="92"/>
      <x:c r="G95" s="92"/>
      <x:c r="H95" s="92"/>
      <x:c r="I95" s="93" t="str">
        <x:f>IF(B95="","",MAX(0,F95-H95))</x:f>
      </x:c>
      <x:c r="J95" s="46"/>
      <x:c r="K95" s="100" t="str">
        <x:f>IF(B95="","",IF(G95="TL",1,IF(G95="USD",KURLAR!$C$9,IF(G95="EUR",KURLAR!$C$10,0))))</x:f>
      </x:c>
      <x:c r="L95" s="68" t="str">
        <x:f>IF(B95="","",I95*K95)</x:f>
      </x:c>
      <x:c r="M95" s="46"/>
      <x:c r="N95" s="52" t="str">
        <x:f>IF(B95="","",IF(OR(M95="Tahsil Edildi",M95="İptal",J95="Riskli"),"Hayır","Evet"))</x:f>
      </x:c>
    </x:row>
    <x:row r="96">
      <x:c r="B96" s="46"/>
      <x:c r="C96" s="46"/>
      <x:c r="D96" s="112"/>
      <x:c r="E96" s="112"/>
      <x:c r="F96" s="92"/>
      <x:c r="G96" s="92"/>
      <x:c r="H96" s="92"/>
      <x:c r="I96" s="93" t="str">
        <x:f>IF(B96="","",MAX(0,F96-H96))</x:f>
      </x:c>
      <x:c r="J96" s="46"/>
      <x:c r="K96" s="100" t="str">
        <x:f>IF(B96="","",IF(G96="TL",1,IF(G96="USD",KURLAR!$C$9,IF(G96="EUR",KURLAR!$C$10,0))))</x:f>
      </x:c>
      <x:c r="L96" s="68" t="str">
        <x:f>IF(B96="","",I96*K96)</x:f>
      </x:c>
      <x:c r="M96" s="46"/>
      <x:c r="N96" s="52" t="str">
        <x:f>IF(B96="","",IF(OR(M96="Tahsil Edildi",M96="İptal",J96="Riskli"),"Hayır","Evet"))</x:f>
      </x:c>
    </x:row>
    <x:row r="97">
      <x:c r="B97" s="46"/>
      <x:c r="C97" s="46"/>
      <x:c r="D97" s="112"/>
      <x:c r="E97" s="112"/>
      <x:c r="F97" s="92"/>
      <x:c r="G97" s="92"/>
      <x:c r="H97" s="92"/>
      <x:c r="I97" s="93" t="str">
        <x:f>IF(B97="","",MAX(0,F97-H97))</x:f>
      </x:c>
      <x:c r="J97" s="46"/>
      <x:c r="K97" s="100" t="str">
        <x:f>IF(B97="","",IF(G97="TL",1,IF(G97="USD",KURLAR!$C$9,IF(G97="EUR",KURLAR!$C$10,0))))</x:f>
      </x:c>
      <x:c r="L97" s="68" t="str">
        <x:f>IF(B97="","",I97*K97)</x:f>
      </x:c>
      <x:c r="M97" s="46"/>
      <x:c r="N97" s="52" t="str">
        <x:f>IF(B97="","",IF(OR(M97="Tahsil Edildi",M97="İptal",J97="Riskli"),"Hayır","Evet"))</x:f>
      </x:c>
    </x:row>
    <x:row r="98">
      <x:c r="B98" s="46"/>
      <x:c r="C98" s="46"/>
      <x:c r="D98" s="112"/>
      <x:c r="E98" s="112"/>
      <x:c r="F98" s="92"/>
      <x:c r="G98" s="92"/>
      <x:c r="H98" s="92"/>
      <x:c r="I98" s="93" t="str">
        <x:f>IF(B98="","",MAX(0,F98-H98))</x:f>
      </x:c>
      <x:c r="J98" s="46"/>
      <x:c r="K98" s="100" t="str">
        <x:f>IF(B98="","",IF(G98="TL",1,IF(G98="USD",KURLAR!$C$9,IF(G98="EUR",KURLAR!$C$10,0))))</x:f>
      </x:c>
      <x:c r="L98" s="68" t="str">
        <x:f>IF(B98="","",I98*K98)</x:f>
      </x:c>
      <x:c r="M98" s="46"/>
      <x:c r="N98" s="52" t="str">
        <x:f>IF(B98="","",IF(OR(M98="Tahsil Edildi",M98="İptal",J98="Riskli"),"Hayır","Evet"))</x:f>
      </x:c>
    </x:row>
    <x:row r="99">
      <x:c r="B99" s="46"/>
      <x:c r="C99" s="46"/>
      <x:c r="D99" s="112"/>
      <x:c r="E99" s="112"/>
      <x:c r="F99" s="92"/>
      <x:c r="G99" s="92"/>
      <x:c r="H99" s="92"/>
      <x:c r="I99" s="93" t="str">
        <x:f>IF(B99="","",MAX(0,F99-H99))</x:f>
      </x:c>
      <x:c r="J99" s="46"/>
      <x:c r="K99" s="100" t="str">
        <x:f>IF(B99="","",IF(G99="TL",1,IF(G99="USD",KURLAR!$C$9,IF(G99="EUR",KURLAR!$C$10,0))))</x:f>
      </x:c>
      <x:c r="L99" s="68" t="str">
        <x:f>IF(B99="","",I99*K99)</x:f>
      </x:c>
      <x:c r="M99" s="46"/>
      <x:c r="N99" s="52" t="str">
        <x:f>IF(B99="","",IF(OR(M99="Tahsil Edildi",M99="İptal",J99="Riskli"),"Hayır","Evet"))</x:f>
      </x:c>
    </x:row>
    <x:row r="100">
      <x:c r="B100" s="46"/>
      <x:c r="C100" s="46"/>
      <x:c r="D100" s="112"/>
      <x:c r="E100" s="112"/>
      <x:c r="F100" s="92"/>
      <x:c r="G100" s="92"/>
      <x:c r="H100" s="92"/>
      <x:c r="I100" s="93" t="str">
        <x:f>IF(B100="","",MAX(0,F100-H100))</x:f>
      </x:c>
      <x:c r="J100" s="46"/>
      <x:c r="K100" s="100" t="str">
        <x:f>IF(B100="","",IF(G100="TL",1,IF(G100="USD",KURLAR!$C$9,IF(G100="EUR",KURLAR!$C$10,0))))</x:f>
      </x:c>
      <x:c r="L100" s="68" t="str">
        <x:f>IF(B100="","",I100*K100)</x:f>
      </x:c>
      <x:c r="M100" s="46"/>
      <x:c r="N100" s="52" t="str">
        <x:f>IF(B100="","",IF(OR(M100="Tahsil Edildi",M100="İptal",J100="Riskli"),"Hayır","Evet"))</x:f>
      </x:c>
    </x:row>
    <x:row r="101">
      <x:c r="B101" s="46"/>
      <x:c r="C101" s="46"/>
      <x:c r="D101" s="112"/>
      <x:c r="E101" s="112"/>
      <x:c r="F101" s="92"/>
      <x:c r="G101" s="92"/>
      <x:c r="H101" s="92"/>
      <x:c r="I101" s="93" t="str">
        <x:f>IF(B101="","",MAX(0,F101-H101))</x:f>
      </x:c>
      <x:c r="J101" s="46"/>
      <x:c r="K101" s="100" t="str">
        <x:f>IF(B101="","",IF(G101="TL",1,IF(G101="USD",KURLAR!$C$9,IF(G101="EUR",KURLAR!$C$10,0))))</x:f>
      </x:c>
      <x:c r="L101" s="68" t="str">
        <x:f>IF(B101="","",I101*K101)</x:f>
      </x:c>
      <x:c r="M101" s="46"/>
      <x:c r="N101" s="52" t="str">
        <x:f>IF(B101="","",IF(OR(M101="Tahsil Edildi",M101="İptal",J101="Riskli"),"Hayır","Evet"))</x:f>
      </x:c>
    </x:row>
    <x:row r="102">
      <x:c r="B102" s="46"/>
      <x:c r="C102" s="46"/>
      <x:c r="D102" s="112"/>
      <x:c r="E102" s="112"/>
      <x:c r="F102" s="92"/>
      <x:c r="G102" s="92"/>
      <x:c r="H102" s="92"/>
      <x:c r="I102" s="93" t="str">
        <x:f>IF(B102="","",MAX(0,F102-H102))</x:f>
      </x:c>
      <x:c r="J102" s="46"/>
      <x:c r="K102" s="100" t="str">
        <x:f>IF(B102="","",IF(G102="TL",1,IF(G102="USD",KURLAR!$C$9,IF(G102="EUR",KURLAR!$C$10,0))))</x:f>
      </x:c>
      <x:c r="L102" s="68" t="str">
        <x:f>IF(B102="","",I102*K102)</x:f>
      </x:c>
      <x:c r="M102" s="46"/>
      <x:c r="N102" s="52" t="str">
        <x:f>IF(B102="","",IF(OR(M102="Tahsil Edildi",M102="İptal",J102="Riskli"),"Hayır","Evet"))</x:f>
      </x:c>
    </x:row>
    <x:row r="103">
      <x:c r="B103" s="46"/>
      <x:c r="C103" s="46"/>
      <x:c r="D103" s="112"/>
      <x:c r="E103" s="112"/>
      <x:c r="F103" s="92"/>
      <x:c r="G103" s="92"/>
      <x:c r="H103" s="92"/>
      <x:c r="I103" s="93" t="str">
        <x:f>IF(B103="","",MAX(0,F103-H103))</x:f>
      </x:c>
      <x:c r="J103" s="46"/>
      <x:c r="K103" s="100" t="str">
        <x:f>IF(B103="","",IF(G103="TL",1,IF(G103="USD",KURLAR!$C$9,IF(G103="EUR",KURLAR!$C$10,0))))</x:f>
      </x:c>
      <x:c r="L103" s="68" t="str">
        <x:f>IF(B103="","",I103*K103)</x:f>
      </x:c>
      <x:c r="M103" s="46"/>
      <x:c r="N103" s="52" t="str">
        <x:f>IF(B103="","",IF(OR(M103="Tahsil Edildi",M103="İptal",J103="Riskli"),"Hayır","Evet"))</x:f>
      </x:c>
    </x:row>
    <x:row r="104">
      <x:c r="B104" s="46"/>
      <x:c r="C104" s="46"/>
      <x:c r="D104" s="112"/>
      <x:c r="E104" s="112"/>
      <x:c r="F104" s="92"/>
      <x:c r="G104" s="92"/>
      <x:c r="H104" s="92"/>
      <x:c r="I104" s="93" t="str">
        <x:f>IF(B104="","",MAX(0,F104-H104))</x:f>
      </x:c>
      <x:c r="J104" s="46"/>
      <x:c r="K104" s="100" t="str">
        <x:f>IF(B104="","",IF(G104="TL",1,IF(G104="USD",KURLAR!$C$9,IF(G104="EUR",KURLAR!$C$10,0))))</x:f>
      </x:c>
      <x:c r="L104" s="68" t="str">
        <x:f>IF(B104="","",I104*K104)</x:f>
      </x:c>
      <x:c r="M104" s="46"/>
      <x:c r="N104" s="52" t="str">
        <x:f>IF(B104="","",IF(OR(M104="Tahsil Edildi",M104="İptal",J104="Riskli"),"Hayır","Evet"))</x:f>
      </x:c>
    </x:row>
    <x:row r="105">
      <x:c r="B105" s="46"/>
      <x:c r="C105" s="46"/>
      <x:c r="D105" s="112"/>
      <x:c r="E105" s="112"/>
      <x:c r="F105" s="92"/>
      <x:c r="G105" s="92"/>
      <x:c r="H105" s="92"/>
      <x:c r="I105" s="93" t="str">
        <x:f>IF(B105="","",MAX(0,F105-H105))</x:f>
      </x:c>
      <x:c r="J105" s="46"/>
      <x:c r="K105" s="100" t="str">
        <x:f>IF(B105="","",IF(G105="TL",1,IF(G105="USD",KURLAR!$C$9,IF(G105="EUR",KURLAR!$C$10,0))))</x:f>
      </x:c>
      <x:c r="L105" s="68" t="str">
        <x:f>IF(B105="","",I105*K105)</x:f>
      </x:c>
      <x:c r="M105" s="46"/>
      <x:c r="N105" s="52" t="str">
        <x:f>IF(B105="","",IF(OR(M105="Tahsil Edildi",M105="İptal",J105="Riskli"),"Hayır","Evet"))</x:f>
      </x:c>
    </x:row>
    <x:row r="106">
      <x:c r="B106" s="46"/>
      <x:c r="C106" s="46"/>
      <x:c r="D106" s="112"/>
      <x:c r="E106" s="112"/>
      <x:c r="F106" s="92"/>
      <x:c r="G106" s="92"/>
      <x:c r="H106" s="92"/>
      <x:c r="I106" s="93" t="str">
        <x:f>IF(B106="","",MAX(0,F106-H106))</x:f>
      </x:c>
      <x:c r="J106" s="46"/>
      <x:c r="K106" s="100" t="str">
        <x:f>IF(B106="","",IF(G106="TL",1,IF(G106="USD",KURLAR!$C$9,IF(G106="EUR",KURLAR!$C$10,0))))</x:f>
      </x:c>
      <x:c r="L106" s="68" t="str">
        <x:f>IF(B106="","",I106*K106)</x:f>
      </x:c>
      <x:c r="M106" s="46"/>
      <x:c r="N106" s="52" t="str">
        <x:f>IF(B106="","",IF(OR(M106="Tahsil Edildi",M106="İptal",J106="Riskli"),"Hayır","Evet"))</x:f>
      </x:c>
    </x:row>
    <x:row r="107">
      <x:c r="B107" s="46"/>
      <x:c r="C107" s="46"/>
      <x:c r="D107" s="112"/>
      <x:c r="E107" s="112"/>
      <x:c r="F107" s="92"/>
      <x:c r="G107" s="92"/>
      <x:c r="H107" s="92"/>
      <x:c r="I107" s="93" t="str">
        <x:f>IF(B107="","",MAX(0,F107-H107))</x:f>
      </x:c>
      <x:c r="J107" s="46"/>
      <x:c r="K107" s="100" t="str">
        <x:f>IF(B107="","",IF(G107="TL",1,IF(G107="USD",KURLAR!$C$9,IF(G107="EUR",KURLAR!$C$10,0))))</x:f>
      </x:c>
      <x:c r="L107" s="68" t="str">
        <x:f>IF(B107="","",I107*K107)</x:f>
      </x:c>
      <x:c r="M107" s="46"/>
      <x:c r="N107" s="52" t="str">
        <x:f>IF(B107="","",IF(OR(M107="Tahsil Edildi",M107="İptal",J107="Riskli"),"Hayır","Evet"))</x:f>
      </x:c>
    </x:row>
    <x:row r="108">
      <x:c r="B108" s="46"/>
      <x:c r="C108" s="46"/>
      <x:c r="D108" s="112"/>
      <x:c r="E108" s="112"/>
      <x:c r="F108" s="92"/>
      <x:c r="G108" s="92"/>
      <x:c r="H108" s="92"/>
      <x:c r="I108" s="93" t="str">
        <x:f>IF(B108="","",MAX(0,F108-H108))</x:f>
      </x:c>
      <x:c r="J108" s="46"/>
      <x:c r="K108" s="100" t="str">
        <x:f>IF(B108="","",IF(G108="TL",1,IF(G108="USD",KURLAR!$C$9,IF(G108="EUR",KURLAR!$C$10,0))))</x:f>
      </x:c>
      <x:c r="L108" s="68" t="str">
        <x:f>IF(B108="","",I108*K108)</x:f>
      </x:c>
      <x:c r="M108" s="46"/>
      <x:c r="N108" s="52" t="str">
        <x:f>IF(B108="","",IF(OR(M108="Tahsil Edildi",M108="İptal",J108="Riskli"),"Hayır","Evet"))</x:f>
      </x:c>
    </x:row>
    <x:row r="109">
      <x:c r="B109" s="46"/>
      <x:c r="C109" s="46"/>
      <x:c r="D109" s="112"/>
      <x:c r="E109" s="112"/>
      <x:c r="F109" s="92"/>
      <x:c r="G109" s="92"/>
      <x:c r="H109" s="92"/>
      <x:c r="I109" s="93" t="str">
        <x:f>IF(B109="","",MAX(0,F109-H109))</x:f>
      </x:c>
      <x:c r="J109" s="46"/>
      <x:c r="K109" s="100" t="str">
        <x:f>IF(B109="","",IF(G109="TL",1,IF(G109="USD",KURLAR!$C$9,IF(G109="EUR",KURLAR!$C$10,0))))</x:f>
      </x:c>
      <x:c r="L109" s="68" t="str">
        <x:f>IF(B109="","",I109*K109)</x:f>
      </x:c>
      <x:c r="M109" s="46"/>
      <x:c r="N109" s="52" t="str">
        <x:f>IF(B109="","",IF(OR(M109="Tahsil Edildi",M109="İptal",J109="Riskli"),"Hayır","Evet"))</x:f>
      </x:c>
    </x:row>
    <x:row r="110">
      <x:c r="B110" s="46"/>
      <x:c r="C110" s="46"/>
      <x:c r="D110" s="112"/>
      <x:c r="E110" s="112"/>
      <x:c r="F110" s="92"/>
      <x:c r="G110" s="92"/>
      <x:c r="H110" s="92"/>
      <x:c r="I110" s="93" t="str">
        <x:f>IF(B110="","",MAX(0,F110-H110))</x:f>
      </x:c>
      <x:c r="J110" s="46"/>
      <x:c r="K110" s="100" t="str">
        <x:f>IF(B110="","",IF(G110="TL",1,IF(G110="USD",KURLAR!$C$9,IF(G110="EUR",KURLAR!$C$10,0))))</x:f>
      </x:c>
      <x:c r="L110" s="68" t="str">
        <x:f>IF(B110="","",I110*K110)</x:f>
      </x:c>
      <x:c r="M110" s="46"/>
      <x:c r="N110" s="52" t="str">
        <x:f>IF(B110="","",IF(OR(M110="Tahsil Edildi",M110="İptal",J110="Riskli"),"Hayır","Evet"))</x:f>
      </x:c>
    </x:row>
    <x:row r="111">
      <x:c r="B111" s="46"/>
      <x:c r="C111" s="46"/>
      <x:c r="D111" s="112"/>
      <x:c r="E111" s="112"/>
      <x:c r="F111" s="92"/>
      <x:c r="G111" s="92"/>
      <x:c r="H111" s="92"/>
      <x:c r="I111" s="93" t="str">
        <x:f>IF(B111="","",MAX(0,F111-H111))</x:f>
      </x:c>
      <x:c r="J111" s="46"/>
      <x:c r="K111" s="100" t="str">
        <x:f>IF(B111="","",IF(G111="TL",1,IF(G111="USD",KURLAR!$C$9,IF(G111="EUR",KURLAR!$C$10,0))))</x:f>
      </x:c>
      <x:c r="L111" s="68" t="str">
        <x:f>IF(B111="","",I111*K111)</x:f>
      </x:c>
      <x:c r="M111" s="46"/>
      <x:c r="N111" s="52" t="str">
        <x:f>IF(B111="","",IF(OR(M111="Tahsil Edildi",M111="İptal",J111="Riskli"),"Hayır","Evet"))</x:f>
      </x:c>
    </x:row>
    <x:row r="112">
      <x:c r="B112" s="46"/>
      <x:c r="C112" s="46"/>
      <x:c r="D112" s="112"/>
      <x:c r="E112" s="112"/>
      <x:c r="F112" s="92"/>
      <x:c r="G112" s="92"/>
      <x:c r="H112" s="92"/>
      <x:c r="I112" s="93" t="str">
        <x:f>IF(B112="","",MAX(0,F112-H112))</x:f>
      </x:c>
      <x:c r="J112" s="46"/>
      <x:c r="K112" s="100" t="str">
        <x:f>IF(B112="","",IF(G112="TL",1,IF(G112="USD",KURLAR!$C$9,IF(G112="EUR",KURLAR!$C$10,0))))</x:f>
      </x:c>
      <x:c r="L112" s="68" t="str">
        <x:f>IF(B112="","",I112*K112)</x:f>
      </x:c>
      <x:c r="M112" s="46"/>
      <x:c r="N112" s="52" t="str">
        <x:f>IF(B112="","",IF(OR(M112="Tahsil Edildi",M112="İptal",J112="Riskli"),"Hayır","Evet"))</x:f>
      </x:c>
    </x:row>
    <x:row r="113">
      <x:c r="B113" s="46"/>
      <x:c r="C113" s="46"/>
      <x:c r="D113" s="112"/>
      <x:c r="E113" s="112"/>
      <x:c r="F113" s="92"/>
      <x:c r="G113" s="92"/>
      <x:c r="H113" s="92"/>
      <x:c r="I113" s="93" t="str">
        <x:f>IF(B113="","",MAX(0,F113-H113))</x:f>
      </x:c>
      <x:c r="J113" s="46"/>
      <x:c r="K113" s="100" t="str">
        <x:f>IF(B113="","",IF(G113="TL",1,IF(G113="USD",KURLAR!$C$9,IF(G113="EUR",KURLAR!$C$10,0))))</x:f>
      </x:c>
      <x:c r="L113" s="68" t="str">
        <x:f>IF(B113="","",I113*K113)</x:f>
      </x:c>
      <x:c r="M113" s="46"/>
      <x:c r="N113" s="52" t="str">
        <x:f>IF(B113="","",IF(OR(M113="Tahsil Edildi",M113="İptal",J113="Riskli"),"Hayır","Evet"))</x:f>
      </x:c>
    </x:row>
    <x:row r="114">
      <x:c r="B114" s="46"/>
      <x:c r="C114" s="46"/>
      <x:c r="D114" s="112"/>
      <x:c r="E114" s="112"/>
      <x:c r="F114" s="92"/>
      <x:c r="G114" s="92"/>
      <x:c r="H114" s="92"/>
      <x:c r="I114" s="93" t="str">
        <x:f>IF(B114="","",MAX(0,F114-H114))</x:f>
      </x:c>
      <x:c r="J114" s="46"/>
      <x:c r="K114" s="100" t="str">
        <x:f>IF(B114="","",IF(G114="TL",1,IF(G114="USD",KURLAR!$C$9,IF(G114="EUR",KURLAR!$C$10,0))))</x:f>
      </x:c>
      <x:c r="L114" s="68" t="str">
        <x:f>IF(B114="","",I114*K114)</x:f>
      </x:c>
      <x:c r="M114" s="46"/>
      <x:c r="N114" s="52" t="str">
        <x:f>IF(B114="","",IF(OR(M114="Tahsil Edildi",M114="İptal",J114="Riskli"),"Hayır","Evet"))</x:f>
      </x:c>
    </x:row>
    <x:row r="115">
      <x:c r="B115" s="46"/>
      <x:c r="C115" s="46"/>
      <x:c r="D115" s="112"/>
      <x:c r="E115" s="112"/>
      <x:c r="F115" s="92"/>
      <x:c r="G115" s="92"/>
      <x:c r="H115" s="92"/>
      <x:c r="I115" s="93" t="str">
        <x:f>IF(B115="","",MAX(0,F115-H115))</x:f>
      </x:c>
      <x:c r="J115" s="46"/>
      <x:c r="K115" s="100" t="str">
        <x:f>IF(B115="","",IF(G115="TL",1,IF(G115="USD",KURLAR!$C$9,IF(G115="EUR",KURLAR!$C$10,0))))</x:f>
      </x:c>
      <x:c r="L115" s="68" t="str">
        <x:f>IF(B115="","",I115*K115)</x:f>
      </x:c>
      <x:c r="M115" s="46"/>
      <x:c r="N115" s="52" t="str">
        <x:f>IF(B115="","",IF(OR(M115="Tahsil Edildi",M115="İptal",J115="Riskli"),"Hayır","Evet"))</x:f>
      </x:c>
    </x:row>
    <x:row r="116">
      <x:c r="B116" s="46"/>
      <x:c r="C116" s="46"/>
      <x:c r="D116" s="112"/>
      <x:c r="E116" s="112"/>
      <x:c r="F116" s="92"/>
      <x:c r="G116" s="92"/>
      <x:c r="H116" s="92"/>
      <x:c r="I116" s="93" t="str">
        <x:f>IF(B116="","",MAX(0,F116-H116))</x:f>
      </x:c>
      <x:c r="J116" s="46"/>
      <x:c r="K116" s="100" t="str">
        <x:f>IF(B116="","",IF(G116="TL",1,IF(G116="USD",KURLAR!$C$9,IF(G116="EUR",KURLAR!$C$10,0))))</x:f>
      </x:c>
      <x:c r="L116" s="68" t="str">
        <x:f>IF(B116="","",I116*K116)</x:f>
      </x:c>
      <x:c r="M116" s="46"/>
      <x:c r="N116" s="52" t="str">
        <x:f>IF(B116="","",IF(OR(M116="Tahsil Edildi",M116="İptal",J116="Riskli"),"Hayır","Evet"))</x:f>
      </x:c>
    </x:row>
    <x:row r="117">
      <x:c r="B117" s="46"/>
      <x:c r="C117" s="46"/>
      <x:c r="D117" s="112"/>
      <x:c r="E117" s="112"/>
      <x:c r="F117" s="92"/>
      <x:c r="G117" s="92"/>
      <x:c r="H117" s="92"/>
      <x:c r="I117" s="93" t="str">
        <x:f>IF(B117="","",MAX(0,F117-H117))</x:f>
      </x:c>
      <x:c r="J117" s="46"/>
      <x:c r="K117" s="100" t="str">
        <x:f>IF(B117="","",IF(G117="TL",1,IF(G117="USD",KURLAR!$C$9,IF(G117="EUR",KURLAR!$C$10,0))))</x:f>
      </x:c>
      <x:c r="L117" s="68" t="str">
        <x:f>IF(B117="","",I117*K117)</x:f>
      </x:c>
      <x:c r="M117" s="46"/>
      <x:c r="N117" s="52" t="str">
        <x:f>IF(B117="","",IF(OR(M117="Tahsil Edildi",M117="İptal",J117="Riskli"),"Hayır","Evet"))</x:f>
      </x:c>
    </x:row>
    <x:row r="118">
      <x:c r="B118" s="46"/>
      <x:c r="C118" s="46"/>
      <x:c r="D118" s="112"/>
      <x:c r="E118" s="112"/>
      <x:c r="F118" s="92"/>
      <x:c r="G118" s="92"/>
      <x:c r="H118" s="92"/>
      <x:c r="I118" s="93" t="str">
        <x:f>IF(B118="","",MAX(0,F118-H118))</x:f>
      </x:c>
      <x:c r="J118" s="46"/>
      <x:c r="K118" s="100" t="str">
        <x:f>IF(B118="","",IF(G118="TL",1,IF(G118="USD",KURLAR!$C$9,IF(G118="EUR",KURLAR!$C$10,0))))</x:f>
      </x:c>
      <x:c r="L118" s="68" t="str">
        <x:f>IF(B118="","",I118*K118)</x:f>
      </x:c>
      <x:c r="M118" s="46"/>
      <x:c r="N118" s="52" t="str">
        <x:f>IF(B118="","",IF(OR(M118="Tahsil Edildi",M118="İptal",J118="Riskli"),"Hayır","Evet"))</x:f>
      </x:c>
    </x:row>
    <x:row r="119">
      <x:c r="B119" s="46"/>
      <x:c r="C119" s="46"/>
      <x:c r="D119" s="112"/>
      <x:c r="E119" s="112"/>
      <x:c r="F119" s="92"/>
      <x:c r="G119" s="92"/>
      <x:c r="H119" s="92"/>
      <x:c r="I119" s="93" t="str">
        <x:f>IF(B119="","",MAX(0,F119-H119))</x:f>
      </x:c>
      <x:c r="J119" s="46"/>
      <x:c r="K119" s="100" t="str">
        <x:f>IF(B119="","",IF(G119="TL",1,IF(G119="USD",KURLAR!$C$9,IF(G119="EUR",KURLAR!$C$10,0))))</x:f>
      </x:c>
      <x:c r="L119" s="68" t="str">
        <x:f>IF(B119="","",I119*K119)</x:f>
      </x:c>
      <x:c r="M119" s="46"/>
      <x:c r="N119" s="52" t="str">
        <x:f>IF(B119="","",IF(OR(M119="Tahsil Edildi",M119="İptal",J119="Riskli"),"Hayır","Evet"))</x:f>
      </x:c>
    </x:row>
    <x:row r="120">
      <x:c r="B120" s="46"/>
      <x:c r="C120" s="46"/>
      <x:c r="D120" s="112"/>
      <x:c r="E120" s="112"/>
      <x:c r="F120" s="92"/>
      <x:c r="G120" s="92"/>
      <x:c r="H120" s="92"/>
      <x:c r="I120" s="93" t="str">
        <x:f>IF(B120="","",MAX(0,F120-H120))</x:f>
      </x:c>
      <x:c r="J120" s="46"/>
      <x:c r="K120" s="100" t="str">
        <x:f>IF(B120="","",IF(G120="TL",1,IF(G120="USD",KURLAR!$C$9,IF(G120="EUR",KURLAR!$C$10,0))))</x:f>
      </x:c>
      <x:c r="L120" s="68" t="str">
        <x:f>IF(B120="","",I120*K120)</x:f>
      </x:c>
      <x:c r="M120" s="46"/>
      <x:c r="N120" s="52" t="str">
        <x:f>IF(B120="","",IF(OR(M120="Tahsil Edildi",M120="İptal",J120="Riskli"),"Hayır","Evet"))</x:f>
      </x:c>
    </x:row>
    <x:row r="121">
      <x:c r="B121" s="46"/>
      <x:c r="C121" s="46"/>
      <x:c r="D121" s="112"/>
      <x:c r="E121" s="112"/>
      <x:c r="F121" s="92"/>
      <x:c r="G121" s="92"/>
      <x:c r="H121" s="92"/>
      <x:c r="I121" s="93" t="str">
        <x:f>IF(B121="","",MAX(0,F121-H121))</x:f>
      </x:c>
      <x:c r="J121" s="46"/>
      <x:c r="K121" s="100" t="str">
        <x:f>IF(B121="","",IF(G121="TL",1,IF(G121="USD",KURLAR!$C$9,IF(G121="EUR",KURLAR!$C$10,0))))</x:f>
      </x:c>
      <x:c r="L121" s="68" t="str">
        <x:f>IF(B121="","",I121*K121)</x:f>
      </x:c>
      <x:c r="M121" s="46"/>
      <x:c r="N121" s="52" t="str">
        <x:f>IF(B121="","",IF(OR(M121="Tahsil Edildi",M121="İptal",J121="Riskli"),"Hayır","Evet"))</x:f>
      </x:c>
    </x:row>
    <x:row r="122">
      <x:c r="B122" s="46"/>
      <x:c r="C122" s="46"/>
      <x:c r="D122" s="112"/>
      <x:c r="E122" s="112"/>
      <x:c r="F122" s="92"/>
      <x:c r="G122" s="92"/>
      <x:c r="H122" s="92"/>
      <x:c r="I122" s="93" t="str">
        <x:f>IF(B122="","",MAX(0,F122-H122))</x:f>
      </x:c>
      <x:c r="J122" s="46"/>
      <x:c r="K122" s="100" t="str">
        <x:f>IF(B122="","",IF(G122="TL",1,IF(G122="USD",KURLAR!$C$9,IF(G122="EUR",KURLAR!$C$10,0))))</x:f>
      </x:c>
      <x:c r="L122" s="68" t="str">
        <x:f>IF(B122="","",I122*K122)</x:f>
      </x:c>
      <x:c r="M122" s="46"/>
      <x:c r="N122" s="52" t="str">
        <x:f>IF(B122="","",IF(OR(M122="Tahsil Edildi",M122="İptal",J122="Riskli"),"Hayır","Evet"))</x:f>
      </x:c>
    </x:row>
    <x:row r="123">
      <x:c r="B123" s="46"/>
      <x:c r="C123" s="46"/>
      <x:c r="D123" s="112"/>
      <x:c r="E123" s="112"/>
      <x:c r="F123" s="92"/>
      <x:c r="G123" s="92"/>
      <x:c r="H123" s="92"/>
      <x:c r="I123" s="93" t="str">
        <x:f>IF(B123="","",MAX(0,F123-H123))</x:f>
      </x:c>
      <x:c r="J123" s="46"/>
      <x:c r="K123" s="100" t="str">
        <x:f>IF(B123="","",IF(G123="TL",1,IF(G123="USD",KURLAR!$C$9,IF(G123="EUR",KURLAR!$C$10,0))))</x:f>
      </x:c>
      <x:c r="L123" s="68" t="str">
        <x:f>IF(B123="","",I123*K123)</x:f>
      </x:c>
      <x:c r="M123" s="46"/>
      <x:c r="N123" s="52" t="str">
        <x:f>IF(B123="","",IF(OR(M123="Tahsil Edildi",M123="İptal",J123="Riskli"),"Hayır","Evet"))</x:f>
      </x:c>
    </x:row>
    <x:row r="124">
      <x:c r="B124" s="46"/>
      <x:c r="C124" s="46"/>
      <x:c r="D124" s="112"/>
      <x:c r="E124" s="112"/>
      <x:c r="F124" s="92"/>
      <x:c r="G124" s="92"/>
      <x:c r="H124" s="92"/>
      <x:c r="I124" s="93" t="str">
        <x:f>IF(B124="","",MAX(0,F124-H124))</x:f>
      </x:c>
      <x:c r="J124" s="46"/>
      <x:c r="K124" s="100" t="str">
        <x:f>IF(B124="","",IF(G124="TL",1,IF(G124="USD",KURLAR!$C$9,IF(G124="EUR",KURLAR!$C$10,0))))</x:f>
      </x:c>
      <x:c r="L124" s="68" t="str">
        <x:f>IF(B124="","",I124*K124)</x:f>
      </x:c>
      <x:c r="M124" s="46"/>
      <x:c r="N124" s="52" t="str">
        <x:f>IF(B124="","",IF(OR(M124="Tahsil Edildi",M124="İptal",J124="Riskli"),"Hayır","Evet"))</x:f>
      </x:c>
    </x:row>
    <x:row r="125">
      <x:c r="B125" s="46"/>
      <x:c r="C125" s="46"/>
      <x:c r="D125" s="112"/>
      <x:c r="E125" s="112"/>
      <x:c r="F125" s="92"/>
      <x:c r="G125" s="92"/>
      <x:c r="H125" s="92"/>
      <x:c r="I125" s="93" t="str">
        <x:f>IF(B125="","",MAX(0,F125-H125))</x:f>
      </x:c>
      <x:c r="J125" s="46"/>
      <x:c r="K125" s="100" t="str">
        <x:f>IF(B125="","",IF(G125="TL",1,IF(G125="USD",KURLAR!$C$9,IF(G125="EUR",KURLAR!$C$10,0))))</x:f>
      </x:c>
      <x:c r="L125" s="68" t="str">
        <x:f>IF(B125="","",I125*K125)</x:f>
      </x:c>
      <x:c r="M125" s="46"/>
      <x:c r="N125" s="52" t="str">
        <x:f>IF(B125="","",IF(OR(M125="Tahsil Edildi",M125="İptal",J125="Riskli"),"Hayır","Evet"))</x:f>
      </x:c>
    </x:row>
    <x:row r="126">
      <x:c r="B126" s="46"/>
      <x:c r="C126" s="46"/>
      <x:c r="D126" s="112"/>
      <x:c r="E126" s="112"/>
      <x:c r="F126" s="92"/>
      <x:c r="G126" s="92"/>
      <x:c r="H126" s="92"/>
      <x:c r="I126" s="93" t="str">
        <x:f>IF(B126="","",MAX(0,F126-H126))</x:f>
      </x:c>
      <x:c r="J126" s="46"/>
      <x:c r="K126" s="100" t="str">
        <x:f>IF(B126="","",IF(G126="TL",1,IF(G126="USD",KURLAR!$C$9,IF(G126="EUR",KURLAR!$C$10,0))))</x:f>
      </x:c>
      <x:c r="L126" s="68" t="str">
        <x:f>IF(B126="","",I126*K126)</x:f>
      </x:c>
      <x:c r="M126" s="46"/>
      <x:c r="N126" s="52" t="str">
        <x:f>IF(B126="","",IF(OR(M126="Tahsil Edildi",M126="İptal",J126="Riskli"),"Hayır","Evet"))</x:f>
      </x:c>
    </x:row>
    <x:row r="127">
      <x:c r="B127" s="46"/>
      <x:c r="C127" s="46"/>
      <x:c r="D127" s="112"/>
      <x:c r="E127" s="112"/>
      <x:c r="F127" s="92"/>
      <x:c r="G127" s="92"/>
      <x:c r="H127" s="92"/>
      <x:c r="I127" s="93" t="str">
        <x:f>IF(B127="","",MAX(0,F127-H127))</x:f>
      </x:c>
      <x:c r="J127" s="46"/>
      <x:c r="K127" s="100" t="str">
        <x:f>IF(B127="","",IF(G127="TL",1,IF(G127="USD",KURLAR!$C$9,IF(G127="EUR",KURLAR!$C$10,0))))</x:f>
      </x:c>
      <x:c r="L127" s="68" t="str">
        <x:f>IF(B127="","",I127*K127)</x:f>
      </x:c>
      <x:c r="M127" s="46"/>
      <x:c r="N127" s="52" t="str">
        <x:f>IF(B127="","",IF(OR(M127="Tahsil Edildi",M127="İptal",J127="Riskli"),"Hayır","Evet"))</x:f>
      </x:c>
    </x:row>
    <x:row r="128">
      <x:c r="B128" s="46"/>
      <x:c r="C128" s="46"/>
      <x:c r="D128" s="112"/>
      <x:c r="E128" s="112"/>
      <x:c r="F128" s="92"/>
      <x:c r="G128" s="92"/>
      <x:c r="H128" s="92"/>
      <x:c r="I128" s="93" t="str">
        <x:f>IF(B128="","",MAX(0,F128-H128))</x:f>
      </x:c>
      <x:c r="J128" s="46"/>
      <x:c r="K128" s="100" t="str">
        <x:f>IF(B128="","",IF(G128="TL",1,IF(G128="USD",KURLAR!$C$9,IF(G128="EUR",KURLAR!$C$10,0))))</x:f>
      </x:c>
      <x:c r="L128" s="68" t="str">
        <x:f>IF(B128="","",I128*K128)</x:f>
      </x:c>
      <x:c r="M128" s="46"/>
      <x:c r="N128" s="52" t="str">
        <x:f>IF(B128="","",IF(OR(M128="Tahsil Edildi",M128="İptal",J128="Riskli"),"Hayır","Evet"))</x:f>
      </x:c>
    </x:row>
    <x:row r="129">
      <x:c r="B129" s="46"/>
      <x:c r="C129" s="46"/>
      <x:c r="D129" s="112"/>
      <x:c r="E129" s="112"/>
      <x:c r="F129" s="92"/>
      <x:c r="G129" s="92"/>
      <x:c r="H129" s="92"/>
      <x:c r="I129" s="93" t="str">
        <x:f>IF(B129="","",MAX(0,F129-H129))</x:f>
      </x:c>
      <x:c r="J129" s="46"/>
      <x:c r="K129" s="100" t="str">
        <x:f>IF(B129="","",IF(G129="TL",1,IF(G129="USD",KURLAR!$C$9,IF(G129="EUR",KURLAR!$C$10,0))))</x:f>
      </x:c>
      <x:c r="L129" s="68" t="str">
        <x:f>IF(B129="","",I129*K129)</x:f>
      </x:c>
      <x:c r="M129" s="46"/>
      <x:c r="N129" s="52" t="str">
        <x:f>IF(B129="","",IF(OR(M129="Tahsil Edildi",M129="İptal",J129="Riskli"),"Hayır","Evet"))</x:f>
      </x:c>
    </x:row>
    <x:row r="130">
      <x:c r="B130" s="46"/>
      <x:c r="C130" s="46"/>
      <x:c r="D130" s="112"/>
      <x:c r="E130" s="112"/>
      <x:c r="F130" s="92"/>
      <x:c r="G130" s="92"/>
      <x:c r="H130" s="92"/>
      <x:c r="I130" s="93" t="str">
        <x:f>IF(B130="","",MAX(0,F130-H130))</x:f>
      </x:c>
      <x:c r="J130" s="46"/>
      <x:c r="K130" s="100" t="str">
        <x:f>IF(B130="","",IF(G130="TL",1,IF(G130="USD",KURLAR!$C$9,IF(G130="EUR",KURLAR!$C$10,0))))</x:f>
      </x:c>
      <x:c r="L130" s="68" t="str">
        <x:f>IF(B130="","",I130*K130)</x:f>
      </x:c>
      <x:c r="M130" s="46"/>
      <x:c r="N130" s="52" t="str">
        <x:f>IF(B130="","",IF(OR(M130="Tahsil Edildi",M130="İptal",J130="Riskli"),"Hayır","Evet"))</x:f>
      </x:c>
    </x:row>
    <x:row r="131">
      <x:c r="B131" s="46"/>
      <x:c r="C131" s="46"/>
      <x:c r="D131" s="112"/>
      <x:c r="E131" s="112"/>
      <x:c r="F131" s="92"/>
      <x:c r="G131" s="92"/>
      <x:c r="H131" s="92"/>
      <x:c r="I131" s="93" t="str">
        <x:f>IF(B131="","",MAX(0,F131-H131))</x:f>
      </x:c>
      <x:c r="J131" s="46"/>
      <x:c r="K131" s="100" t="str">
        <x:f>IF(B131="","",IF(G131="TL",1,IF(G131="USD",KURLAR!$C$9,IF(G131="EUR",KURLAR!$C$10,0))))</x:f>
      </x:c>
      <x:c r="L131" s="68" t="str">
        <x:f>IF(B131="","",I131*K131)</x:f>
      </x:c>
      <x:c r="M131" s="46"/>
      <x:c r="N131" s="52" t="str">
        <x:f>IF(B131="","",IF(OR(M131="Tahsil Edildi",M131="İptal",J131="Riskli"),"Hayır","Evet"))</x:f>
      </x:c>
    </x:row>
    <x:row r="132">
      <x:c r="B132" s="46"/>
      <x:c r="C132" s="46"/>
      <x:c r="D132" s="112"/>
      <x:c r="E132" s="112"/>
      <x:c r="F132" s="92"/>
      <x:c r="G132" s="92"/>
      <x:c r="H132" s="92"/>
      <x:c r="I132" s="93" t="str">
        <x:f>IF(B132="","",MAX(0,F132-H132))</x:f>
      </x:c>
      <x:c r="J132" s="46"/>
      <x:c r="K132" s="100" t="str">
        <x:f>IF(B132="","",IF(G132="TL",1,IF(G132="USD",KURLAR!$C$9,IF(G132="EUR",KURLAR!$C$10,0))))</x:f>
      </x:c>
      <x:c r="L132" s="68" t="str">
        <x:f>IF(B132="","",I132*K132)</x:f>
      </x:c>
      <x:c r="M132" s="46"/>
      <x:c r="N132" s="52" t="str">
        <x:f>IF(B132="","",IF(OR(M132="Tahsil Edildi",M132="İptal",J132="Riskli"),"Hayır","Evet"))</x:f>
      </x:c>
    </x:row>
    <x:row r="133">
      <x:c r="B133" s="46"/>
      <x:c r="C133" s="46"/>
      <x:c r="D133" s="112"/>
      <x:c r="E133" s="112"/>
      <x:c r="F133" s="92"/>
      <x:c r="G133" s="92"/>
      <x:c r="H133" s="92"/>
      <x:c r="I133" s="93" t="str">
        <x:f>IF(B133="","",MAX(0,F133-H133))</x:f>
      </x:c>
      <x:c r="J133" s="46"/>
      <x:c r="K133" s="100" t="str">
        <x:f>IF(B133="","",IF(G133="TL",1,IF(G133="USD",KURLAR!$C$9,IF(G133="EUR",KURLAR!$C$10,0))))</x:f>
      </x:c>
      <x:c r="L133" s="68" t="str">
        <x:f>IF(B133="","",I133*K133)</x:f>
      </x:c>
      <x:c r="M133" s="46"/>
      <x:c r="N133" s="52" t="str">
        <x:f>IF(B133="","",IF(OR(M133="Tahsil Edildi",M133="İptal",J133="Riskli"),"Hayır","Evet"))</x:f>
      </x:c>
    </x:row>
    <x:row r="134">
      <x:c r="B134" s="46"/>
      <x:c r="C134" s="46"/>
      <x:c r="D134" s="112"/>
      <x:c r="E134" s="112"/>
      <x:c r="F134" s="92"/>
      <x:c r="G134" s="92"/>
      <x:c r="H134" s="92"/>
      <x:c r="I134" s="93" t="str">
        <x:f>IF(B134="","",MAX(0,F134-H134))</x:f>
      </x:c>
      <x:c r="J134" s="46"/>
      <x:c r="K134" s="100" t="str">
        <x:f>IF(B134="","",IF(G134="TL",1,IF(G134="USD",KURLAR!$C$9,IF(G134="EUR",KURLAR!$C$10,0))))</x:f>
      </x:c>
      <x:c r="L134" s="68" t="str">
        <x:f>IF(B134="","",I134*K134)</x:f>
      </x:c>
      <x:c r="M134" s="46"/>
      <x:c r="N134" s="52" t="str">
        <x:f>IF(B134="","",IF(OR(M134="Tahsil Edildi",M134="İptal",J134="Riskli"),"Hayır","Evet"))</x:f>
      </x:c>
    </x:row>
    <x:row r="135">
      <x:c r="B135" s="46"/>
      <x:c r="C135" s="46"/>
      <x:c r="D135" s="112"/>
      <x:c r="E135" s="112"/>
      <x:c r="F135" s="92"/>
      <x:c r="G135" s="92"/>
      <x:c r="H135" s="92"/>
      <x:c r="I135" s="93" t="str">
        <x:f>IF(B135="","",MAX(0,F135-H135))</x:f>
      </x:c>
      <x:c r="J135" s="46"/>
      <x:c r="K135" s="100" t="str">
        <x:f>IF(B135="","",IF(G135="TL",1,IF(G135="USD",KURLAR!$C$9,IF(G135="EUR",KURLAR!$C$10,0))))</x:f>
      </x:c>
      <x:c r="L135" s="68" t="str">
        <x:f>IF(B135="","",I135*K135)</x:f>
      </x:c>
      <x:c r="M135" s="46"/>
      <x:c r="N135" s="52" t="str">
        <x:f>IF(B135="","",IF(OR(M135="Tahsil Edildi",M135="İptal",J135="Riskli"),"Hayır","Evet"))</x:f>
      </x:c>
    </x:row>
    <x:row r="136">
      <x:c r="B136" s="46"/>
      <x:c r="C136" s="46"/>
      <x:c r="D136" s="112"/>
      <x:c r="E136" s="112"/>
      <x:c r="F136" s="92"/>
      <x:c r="G136" s="92"/>
      <x:c r="H136" s="92"/>
      <x:c r="I136" s="93" t="str">
        <x:f>IF(B136="","",MAX(0,F136-H136))</x:f>
      </x:c>
      <x:c r="J136" s="46"/>
      <x:c r="K136" s="100" t="str">
        <x:f>IF(B136="","",IF(G136="TL",1,IF(G136="USD",KURLAR!$C$9,IF(G136="EUR",KURLAR!$C$10,0))))</x:f>
      </x:c>
      <x:c r="L136" s="68" t="str">
        <x:f>IF(B136="","",I136*K136)</x:f>
      </x:c>
      <x:c r="M136" s="46"/>
      <x:c r="N136" s="52" t="str">
        <x:f>IF(B136="","",IF(OR(M136="Tahsil Edildi",M136="İptal",J136="Riskli"),"Hayır","Evet"))</x:f>
      </x:c>
    </x:row>
    <x:row r="137">
      <x:c r="B137" s="46"/>
      <x:c r="C137" s="46"/>
      <x:c r="D137" s="112"/>
      <x:c r="E137" s="112"/>
      <x:c r="F137" s="92"/>
      <x:c r="G137" s="92"/>
      <x:c r="H137" s="92"/>
      <x:c r="I137" s="93" t="str">
        <x:f>IF(B137="","",MAX(0,F137-H137))</x:f>
      </x:c>
      <x:c r="J137" s="46"/>
      <x:c r="K137" s="100" t="str">
        <x:f>IF(B137="","",IF(G137="TL",1,IF(G137="USD",KURLAR!$C$9,IF(G137="EUR",KURLAR!$C$10,0))))</x:f>
      </x:c>
      <x:c r="L137" s="68" t="str">
        <x:f>IF(B137="","",I137*K137)</x:f>
      </x:c>
      <x:c r="M137" s="46"/>
      <x:c r="N137" s="52" t="str">
        <x:f>IF(B137="","",IF(OR(M137="Tahsil Edildi",M137="İptal",J137="Riskli"),"Hayır","Evet"))</x:f>
      </x:c>
    </x:row>
    <x:row r="138">
      <x:c r="B138" s="46"/>
      <x:c r="C138" s="46"/>
      <x:c r="D138" s="112"/>
      <x:c r="E138" s="112"/>
      <x:c r="F138" s="92"/>
      <x:c r="G138" s="92"/>
      <x:c r="H138" s="92"/>
      <x:c r="I138" s="93" t="str">
        <x:f>IF(B138="","",MAX(0,F138-H138))</x:f>
      </x:c>
      <x:c r="J138" s="46"/>
      <x:c r="K138" s="100" t="str">
        <x:f>IF(B138="","",IF(G138="TL",1,IF(G138="USD",KURLAR!$C$9,IF(G138="EUR",KURLAR!$C$10,0))))</x:f>
      </x:c>
      <x:c r="L138" s="68" t="str">
        <x:f>IF(B138="","",I138*K138)</x:f>
      </x:c>
      <x:c r="M138" s="46"/>
      <x:c r="N138" s="52" t="str">
        <x:f>IF(B138="","",IF(OR(M138="Tahsil Edildi",M138="İptal",J138="Riskli"),"Hayır","Evet"))</x:f>
      </x:c>
    </x:row>
    <x:row r="139">
      <x:c r="B139" s="46"/>
      <x:c r="C139" s="46"/>
      <x:c r="D139" s="112"/>
      <x:c r="E139" s="112"/>
      <x:c r="F139" s="92"/>
      <x:c r="G139" s="92"/>
      <x:c r="H139" s="92"/>
      <x:c r="I139" s="93" t="str">
        <x:f>IF(B139="","",MAX(0,F139-H139))</x:f>
      </x:c>
      <x:c r="J139" s="46"/>
      <x:c r="K139" s="100" t="str">
        <x:f>IF(B139="","",IF(G139="TL",1,IF(G139="USD",KURLAR!$C$9,IF(G139="EUR",KURLAR!$C$10,0))))</x:f>
      </x:c>
      <x:c r="L139" s="68" t="str">
        <x:f>IF(B139="","",I139*K139)</x:f>
      </x:c>
      <x:c r="M139" s="46"/>
      <x:c r="N139" s="52" t="str">
        <x:f>IF(B139="","",IF(OR(M139="Tahsil Edildi",M139="İptal",J139="Riskli"),"Hayır","Evet"))</x:f>
      </x:c>
    </x:row>
    <x:row r="140">
      <x:c r="B140" s="46"/>
      <x:c r="C140" s="46"/>
      <x:c r="D140" s="112"/>
      <x:c r="E140" s="112"/>
      <x:c r="F140" s="92"/>
      <x:c r="G140" s="92"/>
      <x:c r="H140" s="92"/>
      <x:c r="I140" s="93" t="str">
        <x:f>IF(B140="","",MAX(0,F140-H140))</x:f>
      </x:c>
      <x:c r="J140" s="46"/>
      <x:c r="K140" s="100" t="str">
        <x:f>IF(B140="","",IF(G140="TL",1,IF(G140="USD",KURLAR!$C$9,IF(G140="EUR",KURLAR!$C$10,0))))</x:f>
      </x:c>
      <x:c r="L140" s="68" t="str">
        <x:f>IF(B140="","",I140*K140)</x:f>
      </x:c>
      <x:c r="M140" s="46"/>
      <x:c r="N140" s="52" t="str">
        <x:f>IF(B140="","",IF(OR(M140="Tahsil Edildi",M140="İptal",J140="Riskli"),"Hayır","Evet"))</x:f>
      </x:c>
    </x:row>
    <x:row r="141">
      <x:c r="B141" s="46"/>
      <x:c r="C141" s="46"/>
      <x:c r="D141" s="112"/>
      <x:c r="E141" s="112"/>
      <x:c r="F141" s="92"/>
      <x:c r="G141" s="92"/>
      <x:c r="H141" s="92"/>
      <x:c r="I141" s="93" t="str">
        <x:f>IF(B141="","",MAX(0,F141-H141))</x:f>
      </x:c>
      <x:c r="J141" s="46"/>
      <x:c r="K141" s="100" t="str">
        <x:f>IF(B141="","",IF(G141="TL",1,IF(G141="USD",KURLAR!$C$9,IF(G141="EUR",KURLAR!$C$10,0))))</x:f>
      </x:c>
      <x:c r="L141" s="68" t="str">
        <x:f>IF(B141="","",I141*K141)</x:f>
      </x:c>
      <x:c r="M141" s="46"/>
      <x:c r="N141" s="52" t="str">
        <x:f>IF(B141="","",IF(OR(M141="Tahsil Edildi",M141="İptal",J141="Riskli"),"Hayır","Evet"))</x:f>
      </x:c>
    </x:row>
    <x:row r="142">
      <x:c r="B142" s="46"/>
      <x:c r="C142" s="46"/>
      <x:c r="D142" s="112"/>
      <x:c r="E142" s="112"/>
      <x:c r="F142" s="92"/>
      <x:c r="G142" s="92"/>
      <x:c r="H142" s="92"/>
      <x:c r="I142" s="93" t="str">
        <x:f>IF(B142="","",MAX(0,F142-H142))</x:f>
      </x:c>
      <x:c r="J142" s="46"/>
      <x:c r="K142" s="100" t="str">
        <x:f>IF(B142="","",IF(G142="TL",1,IF(G142="USD",KURLAR!$C$9,IF(G142="EUR",KURLAR!$C$10,0))))</x:f>
      </x:c>
      <x:c r="L142" s="68" t="str">
        <x:f>IF(B142="","",I142*K142)</x:f>
      </x:c>
      <x:c r="M142" s="46"/>
      <x:c r="N142" s="52" t="str">
        <x:f>IF(B142="","",IF(OR(M142="Tahsil Edildi",M142="İptal",J142="Riskli"),"Hayır","Evet"))</x:f>
      </x:c>
    </x:row>
    <x:row r="143">
      <x:c r="B143" s="46"/>
      <x:c r="C143" s="46"/>
      <x:c r="D143" s="112"/>
      <x:c r="E143" s="112"/>
      <x:c r="F143" s="92"/>
      <x:c r="G143" s="92"/>
      <x:c r="H143" s="92"/>
      <x:c r="I143" s="93" t="str">
        <x:f>IF(B143="","",MAX(0,F143-H143))</x:f>
      </x:c>
      <x:c r="J143" s="46"/>
      <x:c r="K143" s="100" t="str">
        <x:f>IF(B143="","",IF(G143="TL",1,IF(G143="USD",KURLAR!$C$9,IF(G143="EUR",KURLAR!$C$10,0))))</x:f>
      </x:c>
      <x:c r="L143" s="68" t="str">
        <x:f>IF(B143="","",I143*K143)</x:f>
      </x:c>
      <x:c r="M143" s="46"/>
      <x:c r="N143" s="52" t="str">
        <x:f>IF(B143="","",IF(OR(M143="Tahsil Edildi",M143="İptal",J143="Riskli"),"Hayır","Evet"))</x:f>
      </x:c>
    </x:row>
    <x:row r="144">
      <x:c r="B144" s="46"/>
      <x:c r="C144" s="46"/>
      <x:c r="D144" s="112"/>
      <x:c r="E144" s="112"/>
      <x:c r="F144" s="92"/>
      <x:c r="G144" s="92"/>
      <x:c r="H144" s="92"/>
      <x:c r="I144" s="93" t="str">
        <x:f>IF(B144="","",MAX(0,F144-H144))</x:f>
      </x:c>
      <x:c r="J144" s="46"/>
      <x:c r="K144" s="100" t="str">
        <x:f>IF(B144="","",IF(G144="TL",1,IF(G144="USD",KURLAR!$C$9,IF(G144="EUR",KURLAR!$C$10,0))))</x:f>
      </x:c>
      <x:c r="L144" s="68" t="str">
        <x:f>IF(B144="","",I144*K144)</x:f>
      </x:c>
      <x:c r="M144" s="46"/>
      <x:c r="N144" s="52" t="str">
        <x:f>IF(B144="","",IF(OR(M144="Tahsil Edildi",M144="İptal",J144="Riskli"),"Hayır","Evet"))</x:f>
      </x:c>
    </x:row>
    <x:row r="145">
      <x:c r="B145" s="46"/>
      <x:c r="C145" s="46"/>
      <x:c r="D145" s="112"/>
      <x:c r="E145" s="112"/>
      <x:c r="F145" s="92"/>
      <x:c r="G145" s="92"/>
      <x:c r="H145" s="92"/>
      <x:c r="I145" s="93" t="str">
        <x:f>IF(B145="","",MAX(0,F145-H145))</x:f>
      </x:c>
      <x:c r="J145" s="46"/>
      <x:c r="K145" s="100" t="str">
        <x:f>IF(B145="","",IF(G145="TL",1,IF(G145="USD",KURLAR!$C$9,IF(G145="EUR",KURLAR!$C$10,0))))</x:f>
      </x:c>
      <x:c r="L145" s="68" t="str">
        <x:f>IF(B145="","",I145*K145)</x:f>
      </x:c>
      <x:c r="M145" s="46"/>
      <x:c r="N145" s="52" t="str">
        <x:f>IF(B145="","",IF(OR(M145="Tahsil Edildi",M145="İptal",J145="Riskli"),"Hayır","Evet"))</x:f>
      </x:c>
    </x:row>
    <x:row r="146">
      <x:c r="B146" s="46"/>
      <x:c r="C146" s="46"/>
      <x:c r="D146" s="112"/>
      <x:c r="E146" s="112"/>
      <x:c r="F146" s="92"/>
      <x:c r="G146" s="92"/>
      <x:c r="H146" s="92"/>
      <x:c r="I146" s="93" t="str">
        <x:f>IF(B146="","",MAX(0,F146-H146))</x:f>
      </x:c>
      <x:c r="J146" s="46"/>
      <x:c r="K146" s="100" t="str">
        <x:f>IF(B146="","",IF(G146="TL",1,IF(G146="USD",KURLAR!$C$9,IF(G146="EUR",KURLAR!$C$10,0))))</x:f>
      </x:c>
      <x:c r="L146" s="68" t="str">
        <x:f>IF(B146="","",I146*K146)</x:f>
      </x:c>
      <x:c r="M146" s="46"/>
      <x:c r="N146" s="52" t="str">
        <x:f>IF(B146="","",IF(OR(M146="Tahsil Edildi",M146="İptal",J146="Riskli"),"Hayır","Evet"))</x:f>
      </x:c>
    </x:row>
    <x:row r="147">
      <x:c r="B147" s="46"/>
      <x:c r="C147" s="46"/>
      <x:c r="D147" s="112"/>
      <x:c r="E147" s="112"/>
      <x:c r="F147" s="92"/>
      <x:c r="G147" s="92"/>
      <x:c r="H147" s="92"/>
      <x:c r="I147" s="93" t="str">
        <x:f>IF(B147="","",MAX(0,F147-H147))</x:f>
      </x:c>
      <x:c r="J147" s="46"/>
      <x:c r="K147" s="100" t="str">
        <x:f>IF(B147="","",IF(G147="TL",1,IF(G147="USD",KURLAR!$C$9,IF(G147="EUR",KURLAR!$C$10,0))))</x:f>
      </x:c>
      <x:c r="L147" s="68" t="str">
        <x:f>IF(B147="","",I147*K147)</x:f>
      </x:c>
      <x:c r="M147" s="46"/>
      <x:c r="N147" s="52" t="str">
        <x:f>IF(B147="","",IF(OR(M147="Tahsil Edildi",M147="İptal",J147="Riskli"),"Hayır","Evet"))</x:f>
      </x:c>
    </x:row>
    <x:row r="148">
      <x:c r="B148" s="46"/>
      <x:c r="C148" s="46"/>
      <x:c r="D148" s="112"/>
      <x:c r="E148" s="112"/>
      <x:c r="F148" s="92"/>
      <x:c r="G148" s="92"/>
      <x:c r="H148" s="92"/>
      <x:c r="I148" s="93" t="str">
        <x:f>IF(B148="","",MAX(0,F148-H148))</x:f>
      </x:c>
      <x:c r="J148" s="46"/>
      <x:c r="K148" s="100" t="str">
        <x:f>IF(B148="","",IF(G148="TL",1,IF(G148="USD",KURLAR!$C$9,IF(G148="EUR",KURLAR!$C$10,0))))</x:f>
      </x:c>
      <x:c r="L148" s="68" t="str">
        <x:f>IF(B148="","",I148*K148)</x:f>
      </x:c>
      <x:c r="M148" s="46"/>
      <x:c r="N148" s="52" t="str">
        <x:f>IF(B148="","",IF(OR(M148="Tahsil Edildi",M148="İptal",J148="Riskli"),"Hayır","Evet"))</x:f>
      </x:c>
    </x:row>
    <x:row r="149">
      <x:c r="B149" s="46"/>
      <x:c r="C149" s="46"/>
      <x:c r="D149" s="112"/>
      <x:c r="E149" s="112"/>
      <x:c r="F149" s="92"/>
      <x:c r="G149" s="92"/>
      <x:c r="H149" s="92"/>
      <x:c r="I149" s="93" t="str">
        <x:f>IF(B149="","",MAX(0,F149-H149))</x:f>
      </x:c>
      <x:c r="J149" s="46"/>
      <x:c r="K149" s="100" t="str">
        <x:f>IF(B149="","",IF(G149="TL",1,IF(G149="USD",KURLAR!$C$9,IF(G149="EUR",KURLAR!$C$10,0))))</x:f>
      </x:c>
      <x:c r="L149" s="68" t="str">
        <x:f>IF(B149="","",I149*K149)</x:f>
      </x:c>
      <x:c r="M149" s="46"/>
      <x:c r="N149" s="52" t="str">
        <x:f>IF(B149="","",IF(OR(M149="Tahsil Edildi",M149="İptal",J149="Riskli"),"Hayır","Evet"))</x:f>
      </x:c>
    </x:row>
    <x:row r="150">
      <x:c r="B150" s="46"/>
      <x:c r="C150" s="46"/>
      <x:c r="D150" s="112"/>
      <x:c r="E150" s="112"/>
      <x:c r="F150" s="92"/>
      <x:c r="G150" s="92"/>
      <x:c r="H150" s="92"/>
      <x:c r="I150" s="93" t="str">
        <x:f>IF(B150="","",MAX(0,F150-H150))</x:f>
      </x:c>
      <x:c r="J150" s="46"/>
      <x:c r="K150" s="100" t="str">
        <x:f>IF(B150="","",IF(G150="TL",1,IF(G150="USD",KURLAR!$C$9,IF(G150="EUR",KURLAR!$C$10,0))))</x:f>
      </x:c>
      <x:c r="L150" s="68" t="str">
        <x:f>IF(B150="","",I150*K150)</x:f>
      </x:c>
      <x:c r="M150" s="46"/>
      <x:c r="N150" s="52" t="str">
        <x:f>IF(B150="","",IF(OR(M150="Tahsil Edildi",M150="İptal",J150="Riskli"),"Hayır","Evet"))</x:f>
      </x:c>
    </x:row>
    <x:row r="151">
      <x:c r="B151" s="46"/>
      <x:c r="C151" s="46"/>
      <x:c r="D151" s="112"/>
      <x:c r="E151" s="112"/>
      <x:c r="F151" s="92"/>
      <x:c r="G151" s="92"/>
      <x:c r="H151" s="92"/>
      <x:c r="I151" s="93" t="str">
        <x:f>IF(B151="","",MAX(0,F151-H151))</x:f>
      </x:c>
      <x:c r="J151" s="46"/>
      <x:c r="K151" s="100" t="str">
        <x:f>IF(B151="","",IF(G151="TL",1,IF(G151="USD",KURLAR!$C$9,IF(G151="EUR",KURLAR!$C$10,0))))</x:f>
      </x:c>
      <x:c r="L151" s="68" t="str">
        <x:f>IF(B151="","",I151*K151)</x:f>
      </x:c>
      <x:c r="M151" s="46"/>
      <x:c r="N151" s="52" t="str">
        <x:f>IF(B151="","",IF(OR(M151="Tahsil Edildi",M151="İptal",J151="Riskli"),"Hayır","Evet"))</x:f>
      </x:c>
    </x:row>
    <x:row r="152">
      <x:c r="B152" s="46"/>
      <x:c r="C152" s="46"/>
      <x:c r="D152" s="112"/>
      <x:c r="E152" s="112"/>
      <x:c r="F152" s="92"/>
      <x:c r="G152" s="92"/>
      <x:c r="H152" s="92"/>
      <x:c r="I152" s="93" t="str">
        <x:f>IF(B152="","",MAX(0,F152-H152))</x:f>
      </x:c>
      <x:c r="J152" s="46"/>
      <x:c r="K152" s="100" t="str">
        <x:f>IF(B152="","",IF(G152="TL",1,IF(G152="USD",KURLAR!$C$9,IF(G152="EUR",KURLAR!$C$10,0))))</x:f>
      </x:c>
      <x:c r="L152" s="68" t="str">
        <x:f>IF(B152="","",I152*K152)</x:f>
      </x:c>
      <x:c r="M152" s="46"/>
      <x:c r="N152" s="52" t="str">
        <x:f>IF(B152="","",IF(OR(M152="Tahsil Edildi",M152="İptal",J152="Riskli"),"Hayır","Evet"))</x:f>
      </x:c>
    </x:row>
    <x:row r="153">
      <x:c r="B153" s="46"/>
      <x:c r="C153" s="46"/>
      <x:c r="D153" s="112"/>
      <x:c r="E153" s="112"/>
      <x:c r="F153" s="92"/>
      <x:c r="G153" s="92"/>
      <x:c r="H153" s="92"/>
      <x:c r="I153" s="93" t="str">
        <x:f>IF(B153="","",MAX(0,F153-H153))</x:f>
      </x:c>
      <x:c r="J153" s="46"/>
      <x:c r="K153" s="100" t="str">
        <x:f>IF(B153="","",IF(G153="TL",1,IF(G153="USD",KURLAR!$C$9,IF(G153="EUR",KURLAR!$C$10,0))))</x:f>
      </x:c>
      <x:c r="L153" s="68" t="str">
        <x:f>IF(B153="","",I153*K153)</x:f>
      </x:c>
      <x:c r="M153" s="46"/>
      <x:c r="N153" s="52" t="str">
        <x:f>IF(B153="","",IF(OR(M153="Tahsil Edildi",M153="İptal",J153="Riskli"),"Hayır","Evet"))</x:f>
      </x:c>
    </x:row>
    <x:row r="154">
      <x:c r="B154" s="46"/>
      <x:c r="C154" s="46"/>
      <x:c r="D154" s="112"/>
      <x:c r="E154" s="112"/>
      <x:c r="F154" s="92"/>
      <x:c r="G154" s="92"/>
      <x:c r="H154" s="92"/>
      <x:c r="I154" s="93" t="str">
        <x:f>IF(B154="","",MAX(0,F154-H154))</x:f>
      </x:c>
      <x:c r="J154" s="46"/>
      <x:c r="K154" s="100" t="str">
        <x:f>IF(B154="","",IF(G154="TL",1,IF(G154="USD",KURLAR!$C$9,IF(G154="EUR",KURLAR!$C$10,0))))</x:f>
      </x:c>
      <x:c r="L154" s="68" t="str">
        <x:f>IF(B154="","",I154*K154)</x:f>
      </x:c>
      <x:c r="M154" s="46"/>
      <x:c r="N154" s="52" t="str">
        <x:f>IF(B154="","",IF(OR(M154="Tahsil Edildi",M154="İptal",J154="Riskli"),"Hayır","Evet"))</x:f>
      </x:c>
    </x:row>
    <x:row r="155">
      <x:c r="B155" s="46"/>
      <x:c r="C155" s="46"/>
      <x:c r="D155" s="112"/>
      <x:c r="E155" s="112"/>
      <x:c r="F155" s="92"/>
      <x:c r="G155" s="92"/>
      <x:c r="H155" s="92"/>
      <x:c r="I155" s="93" t="str">
        <x:f>IF(B155="","",MAX(0,F155-H155))</x:f>
      </x:c>
      <x:c r="J155" s="46"/>
      <x:c r="K155" s="100" t="str">
        <x:f>IF(B155="","",IF(G155="TL",1,IF(G155="USD",KURLAR!$C$9,IF(G155="EUR",KURLAR!$C$10,0))))</x:f>
      </x:c>
      <x:c r="L155" s="68" t="str">
        <x:f>IF(B155="","",I155*K155)</x:f>
      </x:c>
      <x:c r="M155" s="46"/>
      <x:c r="N155" s="52" t="str">
        <x:f>IF(B155="","",IF(OR(M155="Tahsil Edildi",M155="İptal",J155="Riskli"),"Hayır","Evet"))</x:f>
      </x:c>
    </x:row>
    <x:row r="156">
      <x:c r="B156" s="46"/>
      <x:c r="C156" s="46"/>
      <x:c r="D156" s="112"/>
      <x:c r="E156" s="112"/>
      <x:c r="F156" s="92"/>
      <x:c r="G156" s="92"/>
      <x:c r="H156" s="92"/>
      <x:c r="I156" s="93" t="str">
        <x:f>IF(B156="","",MAX(0,F156-H156))</x:f>
      </x:c>
      <x:c r="J156" s="46"/>
      <x:c r="K156" s="100" t="str">
        <x:f>IF(B156="","",IF(G156="TL",1,IF(G156="USD",KURLAR!$C$9,IF(G156="EUR",KURLAR!$C$10,0))))</x:f>
      </x:c>
      <x:c r="L156" s="68" t="str">
        <x:f>IF(B156="","",I156*K156)</x:f>
      </x:c>
      <x:c r="M156" s="46"/>
      <x:c r="N156" s="52" t="str">
        <x:f>IF(B156="","",IF(OR(M156="Tahsil Edildi",M156="İptal",J156="Riskli"),"Hayır","Evet"))</x:f>
      </x:c>
    </x:row>
    <x:row r="157">
      <x:c r="B157" s="46"/>
      <x:c r="C157" s="46"/>
      <x:c r="D157" s="112"/>
      <x:c r="E157" s="112"/>
      <x:c r="F157" s="92"/>
      <x:c r="G157" s="92"/>
      <x:c r="H157" s="92"/>
      <x:c r="I157" s="93" t="str">
        <x:f>IF(B157="","",MAX(0,F157-H157))</x:f>
      </x:c>
      <x:c r="J157" s="46"/>
      <x:c r="K157" s="100" t="str">
        <x:f>IF(B157="","",IF(G157="TL",1,IF(G157="USD",KURLAR!$C$9,IF(G157="EUR",KURLAR!$C$10,0))))</x:f>
      </x:c>
      <x:c r="L157" s="68" t="str">
        <x:f>IF(B157="","",I157*K157)</x:f>
      </x:c>
      <x:c r="M157" s="46"/>
      <x:c r="N157" s="52" t="str">
        <x:f>IF(B157="","",IF(OR(M157="Tahsil Edildi",M157="İptal",J157="Riskli"),"Hayır","Evet"))</x:f>
      </x:c>
    </x:row>
    <x:row r="158">
      <x:c r="B158" s="46"/>
      <x:c r="C158" s="46"/>
      <x:c r="D158" s="112"/>
      <x:c r="E158" s="112"/>
      <x:c r="F158" s="92"/>
      <x:c r="G158" s="92"/>
      <x:c r="H158" s="92"/>
      <x:c r="I158" s="93" t="str">
        <x:f>IF(B158="","",MAX(0,F158-H158))</x:f>
      </x:c>
      <x:c r="J158" s="46"/>
      <x:c r="K158" s="100" t="str">
        <x:f>IF(B158="","",IF(G158="TL",1,IF(G158="USD",KURLAR!$C$9,IF(G158="EUR",KURLAR!$C$10,0))))</x:f>
      </x:c>
      <x:c r="L158" s="68" t="str">
        <x:f>IF(B158="","",I158*K158)</x:f>
      </x:c>
      <x:c r="M158" s="46"/>
      <x:c r="N158" s="52" t="str">
        <x:f>IF(B158="","",IF(OR(M158="Tahsil Edildi",M158="İptal",J158="Riskli"),"Hayır","Evet"))</x:f>
      </x:c>
    </x:row>
    <x:row r="159">
      <x:c r="B159" s="46"/>
      <x:c r="C159" s="46"/>
      <x:c r="D159" s="112"/>
      <x:c r="E159" s="112"/>
      <x:c r="F159" s="92"/>
      <x:c r="G159" s="92"/>
      <x:c r="H159" s="92"/>
      <x:c r="I159" s="93" t="str">
        <x:f>IF(B159="","",MAX(0,F159-H159))</x:f>
      </x:c>
      <x:c r="J159" s="46"/>
      <x:c r="K159" s="100" t="str">
        <x:f>IF(B159="","",IF(G159="TL",1,IF(G159="USD",KURLAR!$C$9,IF(G159="EUR",KURLAR!$C$10,0))))</x:f>
      </x:c>
      <x:c r="L159" s="68" t="str">
        <x:f>IF(B159="","",I159*K159)</x:f>
      </x:c>
      <x:c r="M159" s="46"/>
      <x:c r="N159" s="52" t="str">
        <x:f>IF(B159="","",IF(OR(M159="Tahsil Edildi",M159="İptal",J159="Riskli"),"Hayır","Evet"))</x:f>
      </x:c>
    </x:row>
    <x:row r="160">
      <x:c r="B160" s="46"/>
      <x:c r="C160" s="46"/>
      <x:c r="D160" s="112"/>
      <x:c r="E160" s="112"/>
      <x:c r="F160" s="92"/>
      <x:c r="G160" s="92"/>
      <x:c r="H160" s="92"/>
      <x:c r="I160" s="93" t="str">
        <x:f>IF(B160="","",MAX(0,F160-H160))</x:f>
      </x:c>
      <x:c r="J160" s="46"/>
      <x:c r="K160" s="100" t="str">
        <x:f>IF(B160="","",IF(G160="TL",1,IF(G160="USD",KURLAR!$C$9,IF(G160="EUR",KURLAR!$C$10,0))))</x:f>
      </x:c>
      <x:c r="L160" s="68" t="str">
        <x:f>IF(B160="","",I160*K160)</x:f>
      </x:c>
      <x:c r="M160" s="46"/>
      <x:c r="N160" s="52" t="str">
        <x:f>IF(B160="","",IF(OR(M160="Tahsil Edildi",M160="İptal",J160="Riskli"),"Hayır","Evet"))</x:f>
      </x:c>
    </x:row>
    <x:row r="161">
      <x:c r="B161" s="46"/>
      <x:c r="C161" s="46"/>
      <x:c r="D161" s="112"/>
      <x:c r="E161" s="112"/>
      <x:c r="F161" s="92"/>
      <x:c r="G161" s="92"/>
      <x:c r="H161" s="92"/>
      <x:c r="I161" s="93" t="str">
        <x:f>IF(B161="","",MAX(0,F161-H161))</x:f>
      </x:c>
      <x:c r="J161" s="46"/>
      <x:c r="K161" s="100" t="str">
        <x:f>IF(B161="","",IF(G161="TL",1,IF(G161="USD",KURLAR!$C$9,IF(G161="EUR",KURLAR!$C$10,0))))</x:f>
      </x:c>
      <x:c r="L161" s="68" t="str">
        <x:f>IF(B161="","",I161*K161)</x:f>
      </x:c>
      <x:c r="M161" s="46"/>
      <x:c r="N161" s="52" t="str">
        <x:f>IF(B161="","",IF(OR(M161="Tahsil Edildi",M161="İptal",J161="Riskli"),"Hayır","Evet"))</x:f>
      </x:c>
    </x:row>
    <x:row r="162">
      <x:c r="B162" s="46"/>
      <x:c r="C162" s="46"/>
      <x:c r="D162" s="112"/>
      <x:c r="E162" s="112"/>
      <x:c r="F162" s="92"/>
      <x:c r="G162" s="92"/>
      <x:c r="H162" s="92"/>
      <x:c r="I162" s="93" t="str">
        <x:f>IF(B162="","",MAX(0,F162-H162))</x:f>
      </x:c>
      <x:c r="J162" s="46"/>
      <x:c r="K162" s="100" t="str">
        <x:f>IF(B162="","",IF(G162="TL",1,IF(G162="USD",KURLAR!$C$9,IF(G162="EUR",KURLAR!$C$10,0))))</x:f>
      </x:c>
      <x:c r="L162" s="68" t="str">
        <x:f>IF(B162="","",I162*K162)</x:f>
      </x:c>
      <x:c r="M162" s="46"/>
      <x:c r="N162" s="52" t="str">
        <x:f>IF(B162="","",IF(OR(M162="Tahsil Edildi",M162="İptal",J162="Riskli"),"Hayır","Evet"))</x:f>
      </x:c>
    </x:row>
    <x:row r="163">
      <x:c r="B163" s="46"/>
      <x:c r="C163" s="46"/>
      <x:c r="D163" s="112"/>
      <x:c r="E163" s="112"/>
      <x:c r="F163" s="92"/>
      <x:c r="G163" s="92"/>
      <x:c r="H163" s="92"/>
      <x:c r="I163" s="93" t="str">
        <x:f>IF(B163="","",MAX(0,F163-H163))</x:f>
      </x:c>
      <x:c r="J163" s="46"/>
      <x:c r="K163" s="100" t="str">
        <x:f>IF(B163="","",IF(G163="TL",1,IF(G163="USD",KURLAR!$C$9,IF(G163="EUR",KURLAR!$C$10,0))))</x:f>
      </x:c>
      <x:c r="L163" s="68" t="str">
        <x:f>IF(B163="","",I163*K163)</x:f>
      </x:c>
      <x:c r="M163" s="46"/>
      <x:c r="N163" s="52" t="str">
        <x:f>IF(B163="","",IF(OR(M163="Tahsil Edildi",M163="İptal",J163="Riskli"),"Hayır","Evet"))</x:f>
      </x:c>
    </x:row>
    <x:row r="164">
      <x:c r="B164" s="46"/>
      <x:c r="C164" s="46"/>
      <x:c r="D164" s="112"/>
      <x:c r="E164" s="112"/>
      <x:c r="F164" s="92"/>
      <x:c r="G164" s="92"/>
      <x:c r="H164" s="92"/>
      <x:c r="I164" s="93" t="str">
        <x:f>IF(B164="","",MAX(0,F164-H164))</x:f>
      </x:c>
      <x:c r="J164" s="46"/>
      <x:c r="K164" s="100" t="str">
        <x:f>IF(B164="","",IF(G164="TL",1,IF(G164="USD",KURLAR!$C$9,IF(G164="EUR",KURLAR!$C$10,0))))</x:f>
      </x:c>
      <x:c r="L164" s="68" t="str">
        <x:f>IF(B164="","",I164*K164)</x:f>
      </x:c>
      <x:c r="M164" s="46"/>
      <x:c r="N164" s="52" t="str">
        <x:f>IF(B164="","",IF(OR(M164="Tahsil Edildi",M164="İptal",J164="Riskli"),"Hayır","Evet"))</x:f>
      </x:c>
    </x:row>
    <x:row r="165">
      <x:c r="B165" s="46"/>
      <x:c r="C165" s="46"/>
      <x:c r="D165" s="112"/>
      <x:c r="E165" s="112"/>
      <x:c r="F165" s="92"/>
      <x:c r="G165" s="92"/>
      <x:c r="H165" s="92"/>
      <x:c r="I165" s="93" t="str">
        <x:f>IF(B165="","",MAX(0,F165-H165))</x:f>
      </x:c>
      <x:c r="J165" s="46"/>
      <x:c r="K165" s="100" t="str">
        <x:f>IF(B165="","",IF(G165="TL",1,IF(G165="USD",KURLAR!$C$9,IF(G165="EUR",KURLAR!$C$10,0))))</x:f>
      </x:c>
      <x:c r="L165" s="68" t="str">
        <x:f>IF(B165="","",I165*K165)</x:f>
      </x:c>
      <x:c r="M165" s="46"/>
      <x:c r="N165" s="52" t="str">
        <x:f>IF(B165="","",IF(OR(M165="Tahsil Edildi",M165="İptal",J165="Riskli"),"Hayır","Evet"))</x:f>
      </x:c>
    </x:row>
    <x:row r="166">
      <x:c r="B166" s="46"/>
      <x:c r="C166" s="46"/>
      <x:c r="D166" s="112"/>
      <x:c r="E166" s="112"/>
      <x:c r="F166" s="92"/>
      <x:c r="G166" s="92"/>
      <x:c r="H166" s="92"/>
      <x:c r="I166" s="93" t="str">
        <x:f>IF(B166="","",MAX(0,F166-H166))</x:f>
      </x:c>
      <x:c r="J166" s="46"/>
      <x:c r="K166" s="100" t="str">
        <x:f>IF(B166="","",IF(G166="TL",1,IF(G166="USD",KURLAR!$C$9,IF(G166="EUR",KURLAR!$C$10,0))))</x:f>
      </x:c>
      <x:c r="L166" s="68" t="str">
        <x:f>IF(B166="","",I166*K166)</x:f>
      </x:c>
      <x:c r="M166" s="46"/>
      <x:c r="N166" s="52" t="str">
        <x:f>IF(B166="","",IF(OR(M166="Tahsil Edildi",M166="İptal",J166="Riskli"),"Hayır","Evet"))</x:f>
      </x:c>
    </x:row>
    <x:row r="167">
      <x:c r="B167" s="46"/>
      <x:c r="C167" s="46"/>
      <x:c r="D167" s="112"/>
      <x:c r="E167" s="112"/>
      <x:c r="F167" s="92"/>
      <x:c r="G167" s="92"/>
      <x:c r="H167" s="92"/>
      <x:c r="I167" s="93" t="str">
        <x:f>IF(B167="","",MAX(0,F167-H167))</x:f>
      </x:c>
      <x:c r="J167" s="46"/>
      <x:c r="K167" s="100" t="str">
        <x:f>IF(B167="","",IF(G167="TL",1,IF(G167="USD",KURLAR!$C$9,IF(G167="EUR",KURLAR!$C$10,0))))</x:f>
      </x:c>
      <x:c r="L167" s="68" t="str">
        <x:f>IF(B167="","",I167*K167)</x:f>
      </x:c>
      <x:c r="M167" s="46"/>
      <x:c r="N167" s="52" t="str">
        <x:f>IF(B167="","",IF(OR(M167="Tahsil Edildi",M167="İptal",J167="Riskli"),"Hayır","Evet"))</x:f>
      </x:c>
    </x:row>
    <x:row r="168">
      <x:c r="B168" s="46"/>
      <x:c r="C168" s="46"/>
      <x:c r="D168" s="112"/>
      <x:c r="E168" s="112"/>
      <x:c r="F168" s="92"/>
      <x:c r="G168" s="92"/>
      <x:c r="H168" s="92"/>
      <x:c r="I168" s="93" t="str">
        <x:f>IF(B168="","",MAX(0,F168-H168))</x:f>
      </x:c>
      <x:c r="J168" s="46"/>
      <x:c r="K168" s="100" t="str">
        <x:f>IF(B168="","",IF(G168="TL",1,IF(G168="USD",KURLAR!$C$9,IF(G168="EUR",KURLAR!$C$10,0))))</x:f>
      </x:c>
      <x:c r="L168" s="68" t="str">
        <x:f>IF(B168="","",I168*K168)</x:f>
      </x:c>
      <x:c r="M168" s="46"/>
      <x:c r="N168" s="52" t="str">
        <x:f>IF(B168="","",IF(OR(M168="Tahsil Edildi",M168="İptal",J168="Riskli"),"Hayır","Evet"))</x:f>
      </x:c>
    </x:row>
    <x:row r="169">
      <x:c r="B169" s="46"/>
      <x:c r="C169" s="46"/>
      <x:c r="D169" s="112"/>
      <x:c r="E169" s="112"/>
      <x:c r="F169" s="92"/>
      <x:c r="G169" s="92"/>
      <x:c r="H169" s="92"/>
      <x:c r="I169" s="93" t="str">
        <x:f>IF(B169="","",MAX(0,F169-H169))</x:f>
      </x:c>
      <x:c r="J169" s="46"/>
      <x:c r="K169" s="100" t="str">
        <x:f>IF(B169="","",IF(G169="TL",1,IF(G169="USD",KURLAR!$C$9,IF(G169="EUR",KURLAR!$C$10,0))))</x:f>
      </x:c>
      <x:c r="L169" s="68" t="str">
        <x:f>IF(B169="","",I169*K169)</x:f>
      </x:c>
      <x:c r="M169" s="46"/>
      <x:c r="N169" s="52" t="str">
        <x:f>IF(B169="","",IF(OR(M169="Tahsil Edildi",M169="İptal",J169="Riskli"),"Hayır","Evet"))</x:f>
      </x:c>
    </x:row>
    <x:row r="170">
      <x:c r="B170" s="46"/>
      <x:c r="C170" s="46"/>
      <x:c r="D170" s="112"/>
      <x:c r="E170" s="112"/>
      <x:c r="F170" s="92"/>
      <x:c r="G170" s="92"/>
      <x:c r="H170" s="92"/>
      <x:c r="I170" s="93" t="str">
        <x:f>IF(B170="","",MAX(0,F170-H170))</x:f>
      </x:c>
      <x:c r="J170" s="46"/>
      <x:c r="K170" s="100" t="str">
        <x:f>IF(B170="","",IF(G170="TL",1,IF(G170="USD",KURLAR!$C$9,IF(G170="EUR",KURLAR!$C$10,0))))</x:f>
      </x:c>
      <x:c r="L170" s="68" t="str">
        <x:f>IF(B170="","",I170*K170)</x:f>
      </x:c>
      <x:c r="M170" s="46"/>
      <x:c r="N170" s="52" t="str">
        <x:f>IF(B170="","",IF(OR(M170="Tahsil Edildi",M170="İptal",J170="Riskli"),"Hayır","Evet"))</x:f>
      </x:c>
    </x:row>
    <x:row r="171">
      <x:c r="B171" s="46"/>
      <x:c r="C171" s="46"/>
      <x:c r="D171" s="112"/>
      <x:c r="E171" s="112"/>
      <x:c r="F171" s="92"/>
      <x:c r="G171" s="92"/>
      <x:c r="H171" s="92"/>
      <x:c r="I171" s="93" t="str">
        <x:f>IF(B171="","",MAX(0,F171-H171))</x:f>
      </x:c>
      <x:c r="J171" s="46"/>
      <x:c r="K171" s="100" t="str">
        <x:f>IF(B171="","",IF(G171="TL",1,IF(G171="USD",KURLAR!$C$9,IF(G171="EUR",KURLAR!$C$10,0))))</x:f>
      </x:c>
      <x:c r="L171" s="68" t="str">
        <x:f>IF(B171="","",I171*K171)</x:f>
      </x:c>
      <x:c r="M171" s="46"/>
      <x:c r="N171" s="52" t="str">
        <x:f>IF(B171="","",IF(OR(M171="Tahsil Edildi",M171="İptal",J171="Riskli"),"Hayır","Evet"))</x:f>
      </x:c>
    </x:row>
    <x:row r="172">
      <x:c r="B172" s="46"/>
      <x:c r="C172" s="46"/>
      <x:c r="D172" s="112"/>
      <x:c r="E172" s="112"/>
      <x:c r="F172" s="92"/>
      <x:c r="G172" s="92"/>
      <x:c r="H172" s="92"/>
      <x:c r="I172" s="93" t="str">
        <x:f>IF(B172="","",MAX(0,F172-H172))</x:f>
      </x:c>
      <x:c r="J172" s="46"/>
      <x:c r="K172" s="100" t="str">
        <x:f>IF(B172="","",IF(G172="TL",1,IF(G172="USD",KURLAR!$C$9,IF(G172="EUR",KURLAR!$C$10,0))))</x:f>
      </x:c>
      <x:c r="L172" s="68" t="str">
        <x:f>IF(B172="","",I172*K172)</x:f>
      </x:c>
      <x:c r="M172" s="46"/>
      <x:c r="N172" s="52" t="str">
        <x:f>IF(B172="","",IF(OR(M172="Tahsil Edildi",M172="İptal",J172="Riskli"),"Hayır","Evet"))</x:f>
      </x:c>
    </x:row>
    <x:row r="173">
      <x:c r="B173" s="46"/>
      <x:c r="C173" s="46"/>
      <x:c r="D173" s="112"/>
      <x:c r="E173" s="112"/>
      <x:c r="F173" s="92"/>
      <x:c r="G173" s="92"/>
      <x:c r="H173" s="92"/>
      <x:c r="I173" s="93" t="str">
        <x:f>IF(B173="","",MAX(0,F173-H173))</x:f>
      </x:c>
      <x:c r="J173" s="46"/>
      <x:c r="K173" s="100" t="str">
        <x:f>IF(B173="","",IF(G173="TL",1,IF(G173="USD",KURLAR!$C$9,IF(G173="EUR",KURLAR!$C$10,0))))</x:f>
      </x:c>
      <x:c r="L173" s="68" t="str">
        <x:f>IF(B173="","",I173*K173)</x:f>
      </x:c>
      <x:c r="M173" s="46"/>
      <x:c r="N173" s="52" t="str">
        <x:f>IF(B173="","",IF(OR(M173="Tahsil Edildi",M173="İptal",J173="Riskli"),"Hayır","Evet"))</x:f>
      </x:c>
    </x:row>
    <x:row r="174">
      <x:c r="B174" s="46"/>
      <x:c r="C174" s="46"/>
      <x:c r="D174" s="112"/>
      <x:c r="E174" s="112"/>
      <x:c r="F174" s="92"/>
      <x:c r="G174" s="92"/>
      <x:c r="H174" s="92"/>
      <x:c r="I174" s="93" t="str">
        <x:f>IF(B174="","",MAX(0,F174-H174))</x:f>
      </x:c>
      <x:c r="J174" s="46"/>
      <x:c r="K174" s="100" t="str">
        <x:f>IF(B174="","",IF(G174="TL",1,IF(G174="USD",KURLAR!$C$9,IF(G174="EUR",KURLAR!$C$10,0))))</x:f>
      </x:c>
      <x:c r="L174" s="68" t="str">
        <x:f>IF(B174="","",I174*K174)</x:f>
      </x:c>
      <x:c r="M174" s="46"/>
      <x:c r="N174" s="52" t="str">
        <x:f>IF(B174="","",IF(OR(M174="Tahsil Edildi",M174="İptal",J174="Riskli"),"Hayır","Evet"))</x:f>
      </x:c>
    </x:row>
    <x:row r="175">
      <x:c r="B175" s="46"/>
      <x:c r="C175" s="46"/>
      <x:c r="D175" s="112"/>
      <x:c r="E175" s="112"/>
      <x:c r="F175" s="92"/>
      <x:c r="G175" s="92"/>
      <x:c r="H175" s="92"/>
      <x:c r="I175" s="93" t="str">
        <x:f>IF(B175="","",MAX(0,F175-H175))</x:f>
      </x:c>
      <x:c r="J175" s="46"/>
      <x:c r="K175" s="100" t="str">
        <x:f>IF(B175="","",IF(G175="TL",1,IF(G175="USD",KURLAR!$C$9,IF(G175="EUR",KURLAR!$C$10,0))))</x:f>
      </x:c>
      <x:c r="L175" s="68" t="str">
        <x:f>IF(B175="","",I175*K175)</x:f>
      </x:c>
      <x:c r="M175" s="46"/>
      <x:c r="N175" s="52" t="str">
        <x:f>IF(B175="","",IF(OR(M175="Tahsil Edildi",M175="İptal",J175="Riskli"),"Hayır","Evet"))</x:f>
      </x:c>
    </x:row>
    <x:row r="176">
      <x:c r="B176" s="46"/>
      <x:c r="C176" s="46"/>
      <x:c r="D176" s="112"/>
      <x:c r="E176" s="112"/>
      <x:c r="F176" s="92"/>
      <x:c r="G176" s="92"/>
      <x:c r="H176" s="92"/>
      <x:c r="I176" s="93" t="str">
        <x:f>IF(B176="","",MAX(0,F176-H176))</x:f>
      </x:c>
      <x:c r="J176" s="46"/>
      <x:c r="K176" s="100" t="str">
        <x:f>IF(B176="","",IF(G176="TL",1,IF(G176="USD",KURLAR!$C$9,IF(G176="EUR",KURLAR!$C$10,0))))</x:f>
      </x:c>
      <x:c r="L176" s="68" t="str">
        <x:f>IF(B176="","",I176*K176)</x:f>
      </x:c>
      <x:c r="M176" s="46"/>
      <x:c r="N176" s="52" t="str">
        <x:f>IF(B176="","",IF(OR(M176="Tahsil Edildi",M176="İptal",J176="Riskli"),"Hayır","Evet"))</x:f>
      </x:c>
    </x:row>
    <x:row r="177">
      <x:c r="B177" s="46"/>
      <x:c r="C177" s="46"/>
      <x:c r="D177" s="112"/>
      <x:c r="E177" s="112"/>
      <x:c r="F177" s="92"/>
      <x:c r="G177" s="92"/>
      <x:c r="H177" s="92"/>
      <x:c r="I177" s="93" t="str">
        <x:f>IF(B177="","",MAX(0,F177-H177))</x:f>
      </x:c>
      <x:c r="J177" s="46"/>
      <x:c r="K177" s="100" t="str">
        <x:f>IF(B177="","",IF(G177="TL",1,IF(G177="USD",KURLAR!$C$9,IF(G177="EUR",KURLAR!$C$10,0))))</x:f>
      </x:c>
      <x:c r="L177" s="68" t="str">
        <x:f>IF(B177="","",I177*K177)</x:f>
      </x:c>
      <x:c r="M177" s="46"/>
      <x:c r="N177" s="52" t="str">
        <x:f>IF(B177="","",IF(OR(M177="Tahsil Edildi",M177="İptal",J177="Riskli"),"Hayır","Evet"))</x:f>
      </x:c>
    </x:row>
    <x:row r="178">
      <x:c r="B178" s="46"/>
      <x:c r="C178" s="46"/>
      <x:c r="D178" s="112"/>
      <x:c r="E178" s="112"/>
      <x:c r="F178" s="92"/>
      <x:c r="G178" s="92"/>
      <x:c r="H178" s="92"/>
      <x:c r="I178" s="93" t="str">
        <x:f>IF(B178="","",MAX(0,F178-H178))</x:f>
      </x:c>
      <x:c r="J178" s="46"/>
      <x:c r="K178" s="100" t="str">
        <x:f>IF(B178="","",IF(G178="TL",1,IF(G178="USD",KURLAR!$C$9,IF(G178="EUR",KURLAR!$C$10,0))))</x:f>
      </x:c>
      <x:c r="L178" s="68" t="str">
        <x:f>IF(B178="","",I178*K178)</x:f>
      </x:c>
      <x:c r="M178" s="46"/>
      <x:c r="N178" s="52" t="str">
        <x:f>IF(B178="","",IF(OR(M178="Tahsil Edildi",M178="İptal",J178="Riskli"),"Hayır","Evet"))</x:f>
      </x:c>
    </x:row>
    <x:row r="179">
      <x:c r="B179" s="46"/>
      <x:c r="C179" s="46"/>
      <x:c r="D179" s="112"/>
      <x:c r="E179" s="112"/>
      <x:c r="F179" s="92"/>
      <x:c r="G179" s="92"/>
      <x:c r="H179" s="92"/>
      <x:c r="I179" s="93" t="str">
        <x:f>IF(B179="","",MAX(0,F179-H179))</x:f>
      </x:c>
      <x:c r="J179" s="46"/>
      <x:c r="K179" s="100" t="str">
        <x:f>IF(B179="","",IF(G179="TL",1,IF(G179="USD",KURLAR!$C$9,IF(G179="EUR",KURLAR!$C$10,0))))</x:f>
      </x:c>
      <x:c r="L179" s="68" t="str">
        <x:f>IF(B179="","",I179*K179)</x:f>
      </x:c>
      <x:c r="M179" s="46"/>
      <x:c r="N179" s="52" t="str">
        <x:f>IF(B179="","",IF(OR(M179="Tahsil Edildi",M179="İptal",J179="Riskli"),"Hayır","Evet"))</x:f>
      </x:c>
    </x:row>
    <x:row r="180">
      <x:c r="B180" s="46"/>
      <x:c r="C180" s="46"/>
      <x:c r="D180" s="112"/>
      <x:c r="E180" s="112"/>
      <x:c r="F180" s="92"/>
      <x:c r="G180" s="92"/>
      <x:c r="H180" s="92"/>
      <x:c r="I180" s="93" t="str">
        <x:f>IF(B180="","",MAX(0,F180-H180))</x:f>
      </x:c>
      <x:c r="J180" s="46"/>
      <x:c r="K180" s="100" t="str">
        <x:f>IF(B180="","",IF(G180="TL",1,IF(G180="USD",KURLAR!$C$9,IF(G180="EUR",KURLAR!$C$10,0))))</x:f>
      </x:c>
      <x:c r="L180" s="68" t="str">
        <x:f>IF(B180="","",I180*K180)</x:f>
      </x:c>
      <x:c r="M180" s="46"/>
      <x:c r="N180" s="52" t="str">
        <x:f>IF(B180="","",IF(OR(M180="Tahsil Edildi",M180="İptal",J180="Riskli"),"Hayır","Evet"))</x:f>
      </x:c>
    </x:row>
    <x:row r="181">
      <x:c r="B181" s="46"/>
      <x:c r="C181" s="46"/>
      <x:c r="D181" s="112"/>
      <x:c r="E181" s="112"/>
      <x:c r="F181" s="92"/>
      <x:c r="G181" s="92"/>
      <x:c r="H181" s="92"/>
      <x:c r="I181" s="93" t="str">
        <x:f>IF(B181="","",MAX(0,F181-H181))</x:f>
      </x:c>
      <x:c r="J181" s="46"/>
      <x:c r="K181" s="100" t="str">
        <x:f>IF(B181="","",IF(G181="TL",1,IF(G181="USD",KURLAR!$C$9,IF(G181="EUR",KURLAR!$C$10,0))))</x:f>
      </x:c>
      <x:c r="L181" s="68" t="str">
        <x:f>IF(B181="","",I181*K181)</x:f>
      </x:c>
      <x:c r="M181" s="46"/>
      <x:c r="N181" s="52" t="str">
        <x:f>IF(B181="","",IF(OR(M181="Tahsil Edildi",M181="İptal",J181="Riskli"),"Hayır","Evet"))</x:f>
      </x:c>
    </x:row>
    <x:row r="182">
      <x:c r="B182" s="46"/>
      <x:c r="C182" s="46"/>
      <x:c r="D182" s="112"/>
      <x:c r="E182" s="112"/>
      <x:c r="F182" s="92"/>
      <x:c r="G182" s="92"/>
      <x:c r="H182" s="92"/>
      <x:c r="I182" s="93" t="str">
        <x:f>IF(B182="","",MAX(0,F182-H182))</x:f>
      </x:c>
      <x:c r="J182" s="46"/>
      <x:c r="K182" s="100" t="str">
        <x:f>IF(B182="","",IF(G182="TL",1,IF(G182="USD",KURLAR!$C$9,IF(G182="EUR",KURLAR!$C$10,0))))</x:f>
      </x:c>
      <x:c r="L182" s="68" t="str">
        <x:f>IF(B182="","",I182*K182)</x:f>
      </x:c>
      <x:c r="M182" s="46"/>
      <x:c r="N182" s="52" t="str">
        <x:f>IF(B182="","",IF(OR(M182="Tahsil Edildi",M182="İptal",J182="Riskli"),"Hayır","Evet"))</x:f>
      </x:c>
    </x:row>
    <x:row r="183">
      <x:c r="B183" s="46"/>
      <x:c r="C183" s="46"/>
      <x:c r="D183" s="112"/>
      <x:c r="E183" s="112"/>
      <x:c r="F183" s="92"/>
      <x:c r="G183" s="92"/>
      <x:c r="H183" s="92"/>
      <x:c r="I183" s="93" t="str">
        <x:f>IF(B183="","",MAX(0,F183-H183))</x:f>
      </x:c>
      <x:c r="J183" s="46"/>
      <x:c r="K183" s="100" t="str">
        <x:f>IF(B183="","",IF(G183="TL",1,IF(G183="USD",KURLAR!$C$9,IF(G183="EUR",KURLAR!$C$10,0))))</x:f>
      </x:c>
      <x:c r="L183" s="68" t="str">
        <x:f>IF(B183="","",I183*K183)</x:f>
      </x:c>
      <x:c r="M183" s="46"/>
      <x:c r="N183" s="52" t="str">
        <x:f>IF(B183="","",IF(OR(M183="Tahsil Edildi",M183="İptal",J183="Riskli"),"Hayır","Evet"))</x:f>
      </x:c>
    </x:row>
    <x:row r="184">
      <x:c r="B184" s="46"/>
      <x:c r="C184" s="46"/>
      <x:c r="D184" s="112"/>
      <x:c r="E184" s="112"/>
      <x:c r="F184" s="92"/>
      <x:c r="G184" s="92"/>
      <x:c r="H184" s="92"/>
      <x:c r="I184" s="93" t="str">
        <x:f>IF(B184="","",MAX(0,F184-H184))</x:f>
      </x:c>
      <x:c r="J184" s="46"/>
      <x:c r="K184" s="100" t="str">
        <x:f>IF(B184="","",IF(G184="TL",1,IF(G184="USD",KURLAR!$C$9,IF(G184="EUR",KURLAR!$C$10,0))))</x:f>
      </x:c>
      <x:c r="L184" s="68" t="str">
        <x:f>IF(B184="","",I184*K184)</x:f>
      </x:c>
      <x:c r="M184" s="46"/>
      <x:c r="N184" s="52" t="str">
        <x:f>IF(B184="","",IF(OR(M184="Tahsil Edildi",M184="İptal",J184="Riskli"),"Hayır","Evet"))</x:f>
      </x:c>
    </x:row>
    <x:row r="185">
      <x:c r="B185" s="46"/>
      <x:c r="C185" s="46"/>
      <x:c r="D185" s="112"/>
      <x:c r="E185" s="112"/>
      <x:c r="F185" s="92"/>
      <x:c r="G185" s="92"/>
      <x:c r="H185" s="92"/>
      <x:c r="I185" s="93" t="str">
        <x:f>IF(B185="","",MAX(0,F185-H185))</x:f>
      </x:c>
      <x:c r="J185" s="46"/>
      <x:c r="K185" s="100" t="str">
        <x:f>IF(B185="","",IF(G185="TL",1,IF(G185="USD",KURLAR!$C$9,IF(G185="EUR",KURLAR!$C$10,0))))</x:f>
      </x:c>
      <x:c r="L185" s="68" t="str">
        <x:f>IF(B185="","",I185*K185)</x:f>
      </x:c>
      <x:c r="M185" s="46"/>
      <x:c r="N185" s="52" t="str">
        <x:f>IF(B185="","",IF(OR(M185="Tahsil Edildi",M185="İptal",J185="Riskli"),"Hayır","Evet"))</x:f>
      </x:c>
    </x:row>
    <x:row r="186">
      <x:c r="B186" s="46"/>
      <x:c r="C186" s="46"/>
      <x:c r="D186" s="112"/>
      <x:c r="E186" s="112"/>
      <x:c r="F186" s="92"/>
      <x:c r="G186" s="92"/>
      <x:c r="H186" s="92"/>
      <x:c r="I186" s="93" t="str">
        <x:f>IF(B186="","",MAX(0,F186-H186))</x:f>
      </x:c>
      <x:c r="J186" s="46"/>
      <x:c r="K186" s="100" t="str">
        <x:f>IF(B186="","",IF(G186="TL",1,IF(G186="USD",KURLAR!$C$9,IF(G186="EUR",KURLAR!$C$10,0))))</x:f>
      </x:c>
      <x:c r="L186" s="68" t="str">
        <x:f>IF(B186="","",I186*K186)</x:f>
      </x:c>
      <x:c r="M186" s="46"/>
      <x:c r="N186" s="52" t="str">
        <x:f>IF(B186="","",IF(OR(M186="Tahsil Edildi",M186="İptal",J186="Riskli"),"Hayır","Evet"))</x:f>
      </x:c>
    </x:row>
    <x:row r="187">
      <x:c r="B187" s="46"/>
      <x:c r="C187" s="46"/>
      <x:c r="D187" s="112"/>
      <x:c r="E187" s="112"/>
      <x:c r="F187" s="92"/>
      <x:c r="G187" s="92"/>
      <x:c r="H187" s="92"/>
      <x:c r="I187" s="93" t="str">
        <x:f>IF(B187="","",MAX(0,F187-H187))</x:f>
      </x:c>
      <x:c r="J187" s="46"/>
      <x:c r="K187" s="100" t="str">
        <x:f>IF(B187="","",IF(G187="TL",1,IF(G187="USD",KURLAR!$C$9,IF(G187="EUR",KURLAR!$C$10,0))))</x:f>
      </x:c>
      <x:c r="L187" s="68" t="str">
        <x:f>IF(B187="","",I187*K187)</x:f>
      </x:c>
      <x:c r="M187" s="46"/>
      <x:c r="N187" s="52" t="str">
        <x:f>IF(B187="","",IF(OR(M187="Tahsil Edildi",M187="İptal",J187="Riskli"),"Hayır","Evet"))</x:f>
      </x:c>
    </x:row>
    <x:row r="188">
      <x:c r="B188" s="46"/>
      <x:c r="C188" s="46"/>
      <x:c r="D188" s="112"/>
      <x:c r="E188" s="112"/>
      <x:c r="F188" s="92"/>
      <x:c r="G188" s="92"/>
      <x:c r="H188" s="92"/>
      <x:c r="I188" s="93" t="str">
        <x:f>IF(B188="","",MAX(0,F188-H188))</x:f>
      </x:c>
      <x:c r="J188" s="46"/>
      <x:c r="K188" s="100" t="str">
        <x:f>IF(B188="","",IF(G188="TL",1,IF(G188="USD",KURLAR!$C$9,IF(G188="EUR",KURLAR!$C$10,0))))</x:f>
      </x:c>
      <x:c r="L188" s="68" t="str">
        <x:f>IF(B188="","",I188*K188)</x:f>
      </x:c>
      <x:c r="M188" s="46"/>
      <x:c r="N188" s="52" t="str">
        <x:f>IF(B188="","",IF(OR(M188="Tahsil Edildi",M188="İptal",J188="Riskli"),"Hayır","Evet"))</x:f>
      </x:c>
    </x:row>
    <x:row r="189">
      <x:c r="B189" s="46"/>
      <x:c r="C189" s="46"/>
      <x:c r="D189" s="112"/>
      <x:c r="E189" s="112"/>
      <x:c r="F189" s="92"/>
      <x:c r="G189" s="92"/>
      <x:c r="H189" s="92"/>
      <x:c r="I189" s="93" t="str">
        <x:f>IF(B189="","",MAX(0,F189-H189))</x:f>
      </x:c>
      <x:c r="J189" s="46"/>
      <x:c r="K189" s="100" t="str">
        <x:f>IF(B189="","",IF(G189="TL",1,IF(G189="USD",KURLAR!$C$9,IF(G189="EUR",KURLAR!$C$10,0))))</x:f>
      </x:c>
      <x:c r="L189" s="68" t="str">
        <x:f>IF(B189="","",I189*K189)</x:f>
      </x:c>
      <x:c r="M189" s="46"/>
      <x:c r="N189" s="52" t="str">
        <x:f>IF(B189="","",IF(OR(M189="Tahsil Edildi",M189="İptal",J189="Riskli"),"Hayır","Evet"))</x:f>
      </x:c>
    </x:row>
    <x:row r="190">
      <x:c r="B190" s="46"/>
      <x:c r="C190" s="46"/>
      <x:c r="D190" s="112"/>
      <x:c r="E190" s="112"/>
      <x:c r="F190" s="92"/>
      <x:c r="G190" s="92"/>
      <x:c r="H190" s="92"/>
      <x:c r="I190" s="93" t="str">
        <x:f>IF(B190="","",MAX(0,F190-H190))</x:f>
      </x:c>
      <x:c r="J190" s="46"/>
      <x:c r="K190" s="100" t="str">
        <x:f>IF(B190="","",IF(G190="TL",1,IF(G190="USD",KURLAR!$C$9,IF(G190="EUR",KURLAR!$C$10,0))))</x:f>
      </x:c>
      <x:c r="L190" s="68" t="str">
        <x:f>IF(B190="","",I190*K190)</x:f>
      </x:c>
      <x:c r="M190" s="46"/>
      <x:c r="N190" s="52" t="str">
        <x:f>IF(B190="","",IF(OR(M190="Tahsil Edildi",M190="İptal",J190="Riskli"),"Hayır","Evet"))</x:f>
      </x:c>
    </x:row>
    <x:row r="191">
      <x:c r="B191" s="46"/>
      <x:c r="C191" s="46"/>
      <x:c r="D191" s="112"/>
      <x:c r="E191" s="112"/>
      <x:c r="F191" s="92"/>
      <x:c r="G191" s="92"/>
      <x:c r="H191" s="92"/>
      <x:c r="I191" s="93" t="str">
        <x:f>IF(B191="","",MAX(0,F191-H191))</x:f>
      </x:c>
      <x:c r="J191" s="46"/>
      <x:c r="K191" s="100" t="str">
        <x:f>IF(B191="","",IF(G191="TL",1,IF(G191="USD",KURLAR!$C$9,IF(G191="EUR",KURLAR!$C$10,0))))</x:f>
      </x:c>
      <x:c r="L191" s="68" t="str">
        <x:f>IF(B191="","",I191*K191)</x:f>
      </x:c>
      <x:c r="M191" s="46"/>
      <x:c r="N191" s="52" t="str">
        <x:f>IF(B191="","",IF(OR(M191="Tahsil Edildi",M191="İptal",J191="Riskli"),"Hayır","Evet"))</x:f>
      </x:c>
    </x:row>
    <x:row r="192">
      <x:c r="B192" s="46"/>
      <x:c r="C192" s="46"/>
      <x:c r="D192" s="112"/>
      <x:c r="E192" s="112"/>
      <x:c r="F192" s="92"/>
      <x:c r="G192" s="92"/>
      <x:c r="H192" s="92"/>
      <x:c r="I192" s="93" t="str">
        <x:f>IF(B192="","",MAX(0,F192-H192))</x:f>
      </x:c>
      <x:c r="J192" s="46"/>
      <x:c r="K192" s="100" t="str">
        <x:f>IF(B192="","",IF(G192="TL",1,IF(G192="USD",KURLAR!$C$9,IF(G192="EUR",KURLAR!$C$10,0))))</x:f>
      </x:c>
      <x:c r="L192" s="68" t="str">
        <x:f>IF(B192="","",I192*K192)</x:f>
      </x:c>
      <x:c r="M192" s="46"/>
      <x:c r="N192" s="52" t="str">
        <x:f>IF(B192="","",IF(OR(M192="Tahsil Edildi",M192="İptal",J192="Riskli"),"Hayır","Evet"))</x:f>
      </x:c>
    </x:row>
    <x:row r="193">
      <x:c r="B193" s="46"/>
      <x:c r="C193" s="46"/>
      <x:c r="D193" s="112"/>
      <x:c r="E193" s="112"/>
      <x:c r="F193" s="92"/>
      <x:c r="G193" s="92"/>
      <x:c r="H193" s="92"/>
      <x:c r="I193" s="93" t="str">
        <x:f>IF(B193="","",MAX(0,F193-H193))</x:f>
      </x:c>
      <x:c r="J193" s="46"/>
      <x:c r="K193" s="100" t="str">
        <x:f>IF(B193="","",IF(G193="TL",1,IF(G193="USD",KURLAR!$C$9,IF(G193="EUR",KURLAR!$C$10,0))))</x:f>
      </x:c>
      <x:c r="L193" s="68" t="str">
        <x:f>IF(B193="","",I193*K193)</x:f>
      </x:c>
      <x:c r="M193" s="46"/>
      <x:c r="N193" s="52" t="str">
        <x:f>IF(B193="","",IF(OR(M193="Tahsil Edildi",M193="İptal",J193="Riskli"),"Hayır","Evet"))</x:f>
      </x:c>
    </x:row>
    <x:row r="194">
      <x:c r="B194" s="46"/>
      <x:c r="C194" s="46"/>
      <x:c r="D194" s="112"/>
      <x:c r="E194" s="112"/>
      <x:c r="F194" s="92"/>
      <x:c r="G194" s="92"/>
      <x:c r="H194" s="92"/>
      <x:c r="I194" s="93" t="str">
        <x:f>IF(B194="","",MAX(0,F194-H194))</x:f>
      </x:c>
      <x:c r="J194" s="46"/>
      <x:c r="K194" s="100" t="str">
        <x:f>IF(B194="","",IF(G194="TL",1,IF(G194="USD",KURLAR!$C$9,IF(G194="EUR",KURLAR!$C$10,0))))</x:f>
      </x:c>
      <x:c r="L194" s="68" t="str">
        <x:f>IF(B194="","",I194*K194)</x:f>
      </x:c>
      <x:c r="M194" s="46"/>
      <x:c r="N194" s="52" t="str">
        <x:f>IF(B194="","",IF(OR(M194="Tahsil Edildi",M194="İptal",J194="Riskli"),"Hayır","Evet"))</x:f>
      </x:c>
    </x:row>
    <x:row r="195">
      <x:c r="B195" s="46"/>
      <x:c r="C195" s="46"/>
      <x:c r="D195" s="112"/>
      <x:c r="E195" s="112"/>
      <x:c r="F195" s="92"/>
      <x:c r="G195" s="92"/>
      <x:c r="H195" s="92"/>
      <x:c r="I195" s="93" t="str">
        <x:f>IF(B195="","",MAX(0,F195-H195))</x:f>
      </x:c>
      <x:c r="J195" s="46"/>
      <x:c r="K195" s="100" t="str">
        <x:f>IF(B195="","",IF(G195="TL",1,IF(G195="USD",KURLAR!$C$9,IF(G195="EUR",KURLAR!$C$10,0))))</x:f>
      </x:c>
      <x:c r="L195" s="68" t="str">
        <x:f>IF(B195="","",I195*K195)</x:f>
      </x:c>
      <x:c r="M195" s="46"/>
      <x:c r="N195" s="52" t="str">
        <x:f>IF(B195="","",IF(OR(M195="Tahsil Edildi",M195="İptal",J195="Riskli"),"Hayır","Evet"))</x:f>
      </x:c>
    </x:row>
    <x:row r="196">
      <x:c r="B196" s="46"/>
      <x:c r="C196" s="46"/>
      <x:c r="D196" s="112"/>
      <x:c r="E196" s="112"/>
      <x:c r="F196" s="92"/>
      <x:c r="G196" s="92"/>
      <x:c r="H196" s="92"/>
      <x:c r="I196" s="93" t="str">
        <x:f>IF(B196="","",MAX(0,F196-H196))</x:f>
      </x:c>
      <x:c r="J196" s="46"/>
      <x:c r="K196" s="100" t="str">
        <x:f>IF(B196="","",IF(G196="TL",1,IF(G196="USD",KURLAR!$C$9,IF(G196="EUR",KURLAR!$C$10,0))))</x:f>
      </x:c>
      <x:c r="L196" s="68" t="str">
        <x:f>IF(B196="","",I196*K196)</x:f>
      </x:c>
      <x:c r="M196" s="46"/>
      <x:c r="N196" s="52" t="str">
        <x:f>IF(B196="","",IF(OR(M196="Tahsil Edildi",M196="İptal",J196="Riskli"),"Hayır","Evet"))</x:f>
      </x:c>
    </x:row>
    <x:row r="197">
      <x:c r="B197" s="46"/>
      <x:c r="C197" s="46"/>
      <x:c r="D197" s="112"/>
      <x:c r="E197" s="112"/>
      <x:c r="F197" s="92"/>
      <x:c r="G197" s="92"/>
      <x:c r="H197" s="92"/>
      <x:c r="I197" s="93" t="str">
        <x:f>IF(B197="","",MAX(0,F197-H197))</x:f>
      </x:c>
      <x:c r="J197" s="46"/>
      <x:c r="K197" s="100" t="str">
        <x:f>IF(B197="","",IF(G197="TL",1,IF(G197="USD",KURLAR!$C$9,IF(G197="EUR",KURLAR!$C$10,0))))</x:f>
      </x:c>
      <x:c r="L197" s="68" t="str">
        <x:f>IF(B197="","",I197*K197)</x:f>
      </x:c>
      <x:c r="M197" s="46"/>
      <x:c r="N197" s="52" t="str">
        <x:f>IF(B197="","",IF(OR(M197="Tahsil Edildi",M197="İptal",J197="Riskli"),"Hayır","Evet"))</x:f>
      </x:c>
    </x:row>
    <x:row r="198">
      <x:c r="B198" s="46"/>
      <x:c r="C198" s="46"/>
      <x:c r="D198" s="112"/>
      <x:c r="E198" s="112"/>
      <x:c r="F198" s="92"/>
      <x:c r="G198" s="92"/>
      <x:c r="H198" s="92"/>
      <x:c r="I198" s="93" t="str">
        <x:f>IF(B198="","",MAX(0,F198-H198))</x:f>
      </x:c>
      <x:c r="J198" s="46"/>
      <x:c r="K198" s="100" t="str">
        <x:f>IF(B198="","",IF(G198="TL",1,IF(G198="USD",KURLAR!$C$9,IF(G198="EUR",KURLAR!$C$10,0))))</x:f>
      </x:c>
      <x:c r="L198" s="68" t="str">
        <x:f>IF(B198="","",I198*K198)</x:f>
      </x:c>
      <x:c r="M198" s="46"/>
      <x:c r="N198" s="52" t="str">
        <x:f>IF(B198="","",IF(OR(M198="Tahsil Edildi",M198="İptal",J198="Riskli"),"Hayır","Evet"))</x:f>
      </x:c>
    </x:row>
    <x:row r="199">
      <x:c r="B199" s="46"/>
      <x:c r="C199" s="46"/>
      <x:c r="D199" s="112"/>
      <x:c r="E199" s="112"/>
      <x:c r="F199" s="92"/>
      <x:c r="G199" s="92"/>
      <x:c r="H199" s="92"/>
      <x:c r="I199" s="93" t="str">
        <x:f>IF(B199="","",MAX(0,F199-H199))</x:f>
      </x:c>
      <x:c r="J199" s="46"/>
      <x:c r="K199" s="100" t="str">
        <x:f>IF(B199="","",IF(G199="TL",1,IF(G199="USD",KURLAR!$C$9,IF(G199="EUR",KURLAR!$C$10,0))))</x:f>
      </x:c>
      <x:c r="L199" s="68" t="str">
        <x:f>IF(B199="","",I199*K199)</x:f>
      </x:c>
      <x:c r="M199" s="46"/>
      <x:c r="N199" s="52" t="str">
        <x:f>IF(B199="","",IF(OR(M199="Tahsil Edildi",M199="İptal",J199="Riskli"),"Hayır","Evet"))</x:f>
      </x:c>
    </x:row>
    <x:row r="200">
      <x:c r="B200" s="46"/>
      <x:c r="C200" s="46"/>
      <x:c r="D200" s="112"/>
      <x:c r="E200" s="112"/>
      <x:c r="F200" s="92"/>
      <x:c r="G200" s="92"/>
      <x:c r="H200" s="92"/>
      <x:c r="I200" s="93" t="str">
        <x:f>IF(B200="","",MAX(0,F200-H200))</x:f>
      </x:c>
      <x:c r="J200" s="46"/>
      <x:c r="K200" s="100" t="str">
        <x:f>IF(B200="","",IF(G200="TL",1,IF(G200="USD",KURLAR!$C$9,IF(G200="EUR",KURLAR!$C$10,0))))</x:f>
      </x:c>
      <x:c r="L200" s="68" t="str">
        <x:f>IF(B200="","",I200*K200)</x:f>
      </x:c>
      <x:c r="M200" s="46"/>
      <x:c r="N200" s="52" t="str">
        <x:f>IF(B200="","",IF(OR(M200="Tahsil Edildi",M200="İptal",J200="Riskli"),"Hayır","Evet"))</x:f>
      </x:c>
    </x:row>
    <x:row r="201">
      <x:c r="B201" s="46"/>
      <x:c r="C201" s="46"/>
      <x:c r="D201" s="112"/>
      <x:c r="E201" s="112"/>
      <x:c r="F201" s="92"/>
      <x:c r="G201" s="92"/>
      <x:c r="H201" s="92"/>
      <x:c r="I201" s="93" t="str">
        <x:f>IF(B201="","",MAX(0,F201-H201))</x:f>
      </x:c>
      <x:c r="J201" s="46"/>
      <x:c r="K201" s="100" t="str">
        <x:f>IF(B201="","",IF(G201="TL",1,IF(G201="USD",KURLAR!$C$9,IF(G201="EUR",KURLAR!$C$10,0))))</x:f>
      </x:c>
      <x:c r="L201" s="68" t="str">
        <x:f>IF(B201="","",I201*K201)</x:f>
      </x:c>
      <x:c r="M201" s="46"/>
      <x:c r="N201" s="52" t="str">
        <x:f>IF(B201="","",IF(OR(M201="Tahsil Edildi",M201="İptal",J201="Riskli"),"Hayır","Evet"))</x:f>
      </x:c>
    </x:row>
    <x:row r="202">
      <x:c r="B202" s="46"/>
      <x:c r="C202" s="46"/>
      <x:c r="D202" s="112"/>
      <x:c r="E202" s="112"/>
      <x:c r="F202" s="92"/>
      <x:c r="G202" s="92"/>
      <x:c r="H202" s="92"/>
      <x:c r="I202" s="93" t="str">
        <x:f>IF(B202="","",MAX(0,F202-H202))</x:f>
      </x:c>
      <x:c r="J202" s="46"/>
      <x:c r="K202" s="100" t="str">
        <x:f>IF(B202="","",IF(G202="TL",1,IF(G202="USD",KURLAR!$C$9,IF(G202="EUR",KURLAR!$C$10,0))))</x:f>
      </x:c>
      <x:c r="L202" s="68" t="str">
        <x:f>IF(B202="","",I202*K202)</x:f>
      </x:c>
      <x:c r="M202" s="46"/>
      <x:c r="N202" s="52" t="str">
        <x:f>IF(B202="","",IF(OR(M202="Tahsil Edildi",M202="İptal",J202="Riskli"),"Hayır","Evet"))</x:f>
      </x:c>
    </x:row>
    <x:row r="203">
      <x:c r="B203" s="46"/>
      <x:c r="C203" s="46"/>
      <x:c r="D203" s="112"/>
      <x:c r="E203" s="112"/>
      <x:c r="F203" s="92"/>
      <x:c r="G203" s="92"/>
      <x:c r="H203" s="92"/>
      <x:c r="I203" s="93" t="str">
        <x:f>IF(B203="","",MAX(0,F203-H203))</x:f>
      </x:c>
      <x:c r="J203" s="46"/>
      <x:c r="K203" s="100" t="str">
        <x:f>IF(B203="","",IF(G203="TL",1,IF(G203="USD",KURLAR!$C$9,IF(G203="EUR",KURLAR!$C$10,0))))</x:f>
      </x:c>
      <x:c r="L203" s="68" t="str">
        <x:f>IF(B203="","",I203*K203)</x:f>
      </x:c>
      <x:c r="M203" s="46"/>
      <x:c r="N203" s="52" t="str">
        <x:f>IF(B203="","",IF(OR(M203="Tahsil Edildi",M203="İptal",J203="Riskli"),"Hayır","Evet"))</x:f>
      </x:c>
    </x:row>
    <x:row r="204">
      <x:c r="B204" s="46"/>
      <x:c r="C204" s="46"/>
      <x:c r="D204" s="112"/>
      <x:c r="E204" s="112"/>
      <x:c r="F204" s="92"/>
      <x:c r="G204" s="92"/>
      <x:c r="H204" s="92"/>
      <x:c r="I204" s="93" t="str">
        <x:f>IF(B204="","",MAX(0,F204-H204))</x:f>
      </x:c>
      <x:c r="J204" s="46"/>
      <x:c r="K204" s="100" t="str">
        <x:f>IF(B204="","",IF(G204="TL",1,IF(G204="USD",KURLAR!$C$9,IF(G204="EUR",KURLAR!$C$10,0))))</x:f>
      </x:c>
      <x:c r="L204" s="68" t="str">
        <x:f>IF(B204="","",I204*K204)</x:f>
      </x:c>
      <x:c r="M204" s="46"/>
      <x:c r="N204" s="52" t="str">
        <x:f>IF(B204="","",IF(OR(M204="Tahsil Edildi",M204="İptal",J204="Riskli"),"Hayır","Evet"))</x:f>
      </x:c>
    </x:row>
    <x:row r="205">
      <x:c r="B205" s="46"/>
      <x:c r="C205" s="46"/>
      <x:c r="D205" s="112"/>
      <x:c r="E205" s="112"/>
      <x:c r="F205" s="92"/>
      <x:c r="G205" s="92"/>
      <x:c r="H205" s="92"/>
      <x:c r="I205" s="93" t="str">
        <x:f>IF(B205="","",MAX(0,F205-H205))</x:f>
      </x:c>
      <x:c r="J205" s="46"/>
      <x:c r="K205" s="100" t="str">
        <x:f>IF(B205="","",IF(G205="TL",1,IF(G205="USD",KURLAR!$C$9,IF(G205="EUR",KURLAR!$C$10,0))))</x:f>
      </x:c>
      <x:c r="L205" s="68" t="str">
        <x:f>IF(B205="","",I205*K205)</x:f>
      </x:c>
      <x:c r="M205" s="46"/>
      <x:c r="N205" s="52" t="str">
        <x:f>IF(B205="","",IF(OR(M205="Tahsil Edildi",M205="İptal",J205="Riskli"),"Hayır","Evet"))</x:f>
      </x:c>
    </x:row>
    <x:row r="206">
      <x:c r="B206" s="46"/>
      <x:c r="C206" s="46"/>
      <x:c r="D206" s="112"/>
      <x:c r="E206" s="112"/>
      <x:c r="F206" s="92"/>
      <x:c r="G206" s="92"/>
      <x:c r="H206" s="92"/>
      <x:c r="I206" s="93" t="str">
        <x:f>IF(B206="","",MAX(0,F206-H206))</x:f>
      </x:c>
      <x:c r="J206" s="46"/>
      <x:c r="K206" s="100" t="str">
        <x:f>IF(B206="","",IF(G206="TL",1,IF(G206="USD",KURLAR!$C$9,IF(G206="EUR",KURLAR!$C$10,0))))</x:f>
      </x:c>
      <x:c r="L206" s="68" t="str">
        <x:f>IF(B206="","",I206*K206)</x:f>
      </x:c>
      <x:c r="M206" s="46"/>
      <x:c r="N206" s="52" t="str">
        <x:f>IF(B206="","",IF(OR(M206="Tahsil Edildi",M206="İptal",J206="Riskli"),"Hayır","Evet"))</x:f>
      </x:c>
    </x:row>
    <x:row r="207">
      <x:c r="B207" s="46"/>
      <x:c r="C207" s="46"/>
      <x:c r="D207" s="112"/>
      <x:c r="E207" s="112"/>
      <x:c r="F207" s="92"/>
      <x:c r="G207" s="92"/>
      <x:c r="H207" s="92"/>
      <x:c r="I207" s="93" t="str">
        <x:f>IF(B207="","",MAX(0,F207-H207))</x:f>
      </x:c>
      <x:c r="J207" s="46"/>
      <x:c r="K207" s="100" t="str">
        <x:f>IF(B207="","",IF(G207="TL",1,IF(G207="USD",KURLAR!$C$9,IF(G207="EUR",KURLAR!$C$10,0))))</x:f>
      </x:c>
      <x:c r="L207" s="68" t="str">
        <x:f>IF(B207="","",I207*K207)</x:f>
      </x:c>
      <x:c r="M207" s="46"/>
      <x:c r="N207" s="52" t="str">
        <x:f>IF(B207="","",IF(OR(M207="Tahsil Edildi",M207="İptal",J207="Riskli"),"Hayır","Evet"))</x:f>
      </x:c>
    </x:row>
    <x:row r="208">
      <x:c r="B208" s="46"/>
      <x:c r="C208" s="46"/>
      <x:c r="D208" s="112"/>
      <x:c r="E208" s="112"/>
      <x:c r="F208" s="92"/>
      <x:c r="G208" s="92"/>
      <x:c r="H208" s="92"/>
      <x:c r="I208" s="93" t="str">
        <x:f>IF(B208="","",MAX(0,F208-H208))</x:f>
      </x:c>
      <x:c r="J208" s="46"/>
      <x:c r="K208" s="100" t="str">
        <x:f>IF(B208="","",IF(G208="TL",1,IF(G208="USD",KURLAR!$C$9,IF(G208="EUR",KURLAR!$C$10,0))))</x:f>
      </x:c>
      <x:c r="L208" s="68" t="str">
        <x:f>IF(B208="","",I208*K208)</x:f>
      </x:c>
      <x:c r="M208" s="46"/>
      <x:c r="N208" s="52" t="str">
        <x:f>IF(B208="","",IF(OR(M208="Tahsil Edildi",M208="İptal",J208="Riskli"),"Hayır","Evet"))</x:f>
      </x:c>
    </x:row>
    <x:row r="209">
      <x:c r="B209" s="46"/>
      <x:c r="C209" s="46"/>
      <x:c r="D209" s="112"/>
      <x:c r="E209" s="112"/>
      <x:c r="F209" s="92"/>
      <x:c r="G209" s="92"/>
      <x:c r="H209" s="92"/>
      <x:c r="I209" s="93" t="str">
        <x:f>IF(B209="","",MAX(0,F209-H209))</x:f>
      </x:c>
      <x:c r="J209" s="46"/>
      <x:c r="K209" s="100" t="str">
        <x:f>IF(B209="","",IF(G209="TL",1,IF(G209="USD",KURLAR!$C$9,IF(G209="EUR",KURLAR!$C$10,0))))</x:f>
      </x:c>
      <x:c r="L209" s="68" t="str">
        <x:f>IF(B209="","",I209*K209)</x:f>
      </x:c>
      <x:c r="M209" s="46"/>
      <x:c r="N209" s="52" t="str">
        <x:f>IF(B209="","",IF(OR(M209="Tahsil Edildi",M209="İptal",J209="Riskli"),"Hayır","Evet"))</x:f>
      </x:c>
    </x:row>
    <x:row r="210">
      <x:c r="B210" s="46"/>
      <x:c r="C210" s="46"/>
      <x:c r="D210" s="112"/>
      <x:c r="E210" s="112"/>
      <x:c r="F210" s="92"/>
      <x:c r="G210" s="92"/>
      <x:c r="H210" s="92"/>
      <x:c r="I210" s="93" t="str">
        <x:f>IF(B210="","",MAX(0,F210-H210))</x:f>
      </x:c>
      <x:c r="J210" s="46"/>
      <x:c r="K210" s="100" t="str">
        <x:f>IF(B210="","",IF(G210="TL",1,IF(G210="USD",KURLAR!$C$9,IF(G210="EUR",KURLAR!$C$10,0))))</x:f>
      </x:c>
      <x:c r="L210" s="68" t="str">
        <x:f>IF(B210="","",I210*K210)</x:f>
      </x:c>
      <x:c r="M210" s="46"/>
      <x:c r="N210" s="52" t="str">
        <x:f>IF(B210="","",IF(OR(M210="Tahsil Edildi",M210="İptal",J210="Riskli"),"Hayır","Evet"))</x:f>
      </x:c>
    </x:row>
    <x:row r="211">
      <x:c r="B211" s="46"/>
      <x:c r="C211" s="46"/>
      <x:c r="D211" s="112"/>
      <x:c r="E211" s="112"/>
      <x:c r="F211" s="92"/>
      <x:c r="G211" s="92"/>
      <x:c r="H211" s="92"/>
      <x:c r="I211" s="93" t="str">
        <x:f>IF(B211="","",MAX(0,F211-H211))</x:f>
      </x:c>
      <x:c r="J211" s="46"/>
      <x:c r="K211" s="100" t="str">
        <x:f>IF(B211="","",IF(G211="TL",1,IF(G211="USD",KURLAR!$C$9,IF(G211="EUR",KURLAR!$C$10,0))))</x:f>
      </x:c>
      <x:c r="L211" s="68" t="str">
        <x:f>IF(B211="","",I211*K211)</x:f>
      </x:c>
      <x:c r="M211" s="46"/>
      <x:c r="N211" s="52" t="str">
        <x:f>IF(B211="","",IF(OR(M211="Tahsil Edildi",M211="İptal",J211="Riskli"),"Hayır","Evet"))</x:f>
      </x:c>
    </x:row>
    <x:row r="212">
      <x:c r="B212" s="46"/>
      <x:c r="C212" s="46"/>
      <x:c r="D212" s="112"/>
      <x:c r="E212" s="112"/>
      <x:c r="F212" s="92"/>
      <x:c r="G212" s="92"/>
      <x:c r="H212" s="92"/>
      <x:c r="I212" s="93" t="str">
        <x:f>IF(B212="","",MAX(0,F212-H212))</x:f>
      </x:c>
      <x:c r="J212" s="46"/>
      <x:c r="K212" s="100" t="str">
        <x:f>IF(B212="","",IF(G212="TL",1,IF(G212="USD",KURLAR!$C$9,IF(G212="EUR",KURLAR!$C$10,0))))</x:f>
      </x:c>
      <x:c r="L212" s="68" t="str">
        <x:f>IF(B212="","",I212*K212)</x:f>
      </x:c>
      <x:c r="M212" s="46"/>
      <x:c r="N212" s="52" t="str">
        <x:f>IF(B212="","",IF(OR(M212="Tahsil Edildi",M212="İptal",J212="Riskli"),"Hayır","Evet"))</x:f>
      </x:c>
    </x:row>
    <x:row r="213">
      <x:c r="B213" s="46"/>
      <x:c r="C213" s="46"/>
      <x:c r="D213" s="112"/>
      <x:c r="E213" s="112"/>
      <x:c r="F213" s="92"/>
      <x:c r="G213" s="92"/>
      <x:c r="H213" s="92"/>
      <x:c r="I213" s="93" t="str">
        <x:f>IF(B213="","",MAX(0,F213-H213))</x:f>
      </x:c>
      <x:c r="J213" s="46"/>
      <x:c r="K213" s="100" t="str">
        <x:f>IF(B213="","",IF(G213="TL",1,IF(G213="USD",KURLAR!$C$9,IF(G213="EUR",KURLAR!$C$10,0))))</x:f>
      </x:c>
      <x:c r="L213" s="68" t="str">
        <x:f>IF(B213="","",I213*K213)</x:f>
      </x:c>
      <x:c r="M213" s="46"/>
      <x:c r="N213" s="52" t="str">
        <x:f>IF(B213="","",IF(OR(M213="Tahsil Edildi",M213="İptal",J213="Riskli"),"Hayır","Evet"))</x:f>
      </x:c>
    </x:row>
    <x:row r="214">
      <x:c r="B214" s="46"/>
      <x:c r="C214" s="46"/>
      <x:c r="D214" s="112"/>
      <x:c r="E214" s="112"/>
      <x:c r="F214" s="92"/>
      <x:c r="G214" s="92"/>
      <x:c r="H214" s="92"/>
      <x:c r="I214" s="93" t="str">
        <x:f>IF(B214="","",MAX(0,F214-H214))</x:f>
      </x:c>
      <x:c r="J214" s="46"/>
      <x:c r="K214" s="100" t="str">
        <x:f>IF(B214="","",IF(G214="TL",1,IF(G214="USD",KURLAR!$C$9,IF(G214="EUR",KURLAR!$C$10,0))))</x:f>
      </x:c>
      <x:c r="L214" s="68" t="str">
        <x:f>IF(B214="","",I214*K214)</x:f>
      </x:c>
      <x:c r="M214" s="46"/>
      <x:c r="N214" s="52" t="str">
        <x:f>IF(B214="","",IF(OR(M214="Tahsil Edildi",M214="İptal",J214="Riskli"),"Hayır","Evet"))</x:f>
      </x:c>
    </x:row>
    <x:row r="215">
      <x:c r="B215" s="46"/>
      <x:c r="C215" s="46"/>
      <x:c r="D215" s="112"/>
      <x:c r="E215" s="112"/>
      <x:c r="F215" s="92"/>
      <x:c r="G215" s="92"/>
      <x:c r="H215" s="92"/>
      <x:c r="I215" s="93" t="str">
        <x:f>IF(B215="","",MAX(0,F215-H215))</x:f>
      </x:c>
      <x:c r="J215" s="46"/>
      <x:c r="K215" s="100" t="str">
        <x:f>IF(B215="","",IF(G215="TL",1,IF(G215="USD",KURLAR!$C$9,IF(G215="EUR",KURLAR!$C$10,0))))</x:f>
      </x:c>
      <x:c r="L215" s="68" t="str">
        <x:f>IF(B215="","",I215*K215)</x:f>
      </x:c>
      <x:c r="M215" s="46"/>
      <x:c r="N215" s="52" t="str">
        <x:f>IF(B215="","",IF(OR(M215="Tahsil Edildi",M215="İptal",J215="Riskli"),"Hayır","Evet"))</x:f>
      </x:c>
    </x:row>
    <x:row r="216">
      <x:c r="B216" s="46"/>
      <x:c r="C216" s="46"/>
      <x:c r="D216" s="112"/>
      <x:c r="E216" s="112"/>
      <x:c r="F216" s="92"/>
      <x:c r="G216" s="92"/>
      <x:c r="H216" s="92"/>
      <x:c r="I216" s="93" t="str">
        <x:f>IF(B216="","",MAX(0,F216-H216))</x:f>
      </x:c>
      <x:c r="J216" s="46"/>
      <x:c r="K216" s="100" t="str">
        <x:f>IF(B216="","",IF(G216="TL",1,IF(G216="USD",KURLAR!$C$9,IF(G216="EUR",KURLAR!$C$10,0))))</x:f>
      </x:c>
      <x:c r="L216" s="68" t="str">
        <x:f>IF(B216="","",I216*K216)</x:f>
      </x:c>
      <x:c r="M216" s="46"/>
      <x:c r="N216" s="52" t="str">
        <x:f>IF(B216="","",IF(OR(M216="Tahsil Edildi",M216="İptal",J216="Riskli"),"Hayır","Evet"))</x:f>
      </x:c>
    </x:row>
    <x:row r="217">
      <x:c r="B217" s="46"/>
      <x:c r="C217" s="46"/>
      <x:c r="D217" s="112"/>
      <x:c r="E217" s="112"/>
      <x:c r="F217" s="92"/>
      <x:c r="G217" s="92"/>
      <x:c r="H217" s="92"/>
      <x:c r="I217" s="93" t="str">
        <x:f>IF(B217="","",MAX(0,F217-H217))</x:f>
      </x:c>
      <x:c r="J217" s="46"/>
      <x:c r="K217" s="100" t="str">
        <x:f>IF(B217="","",IF(G217="TL",1,IF(G217="USD",KURLAR!$C$9,IF(G217="EUR",KURLAR!$C$10,0))))</x:f>
      </x:c>
      <x:c r="L217" s="68" t="str">
        <x:f>IF(B217="","",I217*K217)</x:f>
      </x:c>
      <x:c r="M217" s="46"/>
      <x:c r="N217" s="52" t="str">
        <x:f>IF(B217="","",IF(OR(M217="Tahsil Edildi",M217="İptal",J217="Riskli"),"Hayır","Evet"))</x:f>
      </x:c>
    </x:row>
    <x:row r="218">
      <x:c r="B218" s="46"/>
      <x:c r="C218" s="46"/>
      <x:c r="D218" s="112"/>
      <x:c r="E218" s="112"/>
      <x:c r="F218" s="92"/>
      <x:c r="G218" s="92"/>
      <x:c r="H218" s="92"/>
      <x:c r="I218" s="93" t="str">
        <x:f>IF(B218="","",MAX(0,F218-H218))</x:f>
      </x:c>
      <x:c r="J218" s="46"/>
      <x:c r="K218" s="100" t="str">
        <x:f>IF(B218="","",IF(G218="TL",1,IF(G218="USD",KURLAR!$C$9,IF(G218="EUR",KURLAR!$C$10,0))))</x:f>
      </x:c>
      <x:c r="L218" s="68" t="str">
        <x:f>IF(B218="","",I218*K218)</x:f>
      </x:c>
      <x:c r="M218" s="46"/>
      <x:c r="N218" s="52" t="str">
        <x:f>IF(B218="","",IF(OR(M218="Tahsil Edildi",M218="İptal",J218="Riskli"),"Hayır","Evet"))</x:f>
      </x:c>
    </x:row>
    <x:row r="219">
      <x:c r="B219" s="46"/>
      <x:c r="C219" s="46"/>
      <x:c r="D219" s="112"/>
      <x:c r="E219" s="112"/>
      <x:c r="F219" s="92"/>
      <x:c r="G219" s="92"/>
      <x:c r="H219" s="92"/>
      <x:c r="I219" s="93" t="str">
        <x:f>IF(B219="","",MAX(0,F219-H219))</x:f>
      </x:c>
      <x:c r="J219" s="46"/>
      <x:c r="K219" s="100" t="str">
        <x:f>IF(B219="","",IF(G219="TL",1,IF(G219="USD",KURLAR!$C$9,IF(G219="EUR",KURLAR!$C$10,0))))</x:f>
      </x:c>
      <x:c r="L219" s="68" t="str">
        <x:f>IF(B219="","",I219*K219)</x:f>
      </x:c>
      <x:c r="M219" s="46"/>
      <x:c r="N219" s="52" t="str">
        <x:f>IF(B219="","",IF(OR(M219="Tahsil Edildi",M219="İptal",J219="Riskli"),"Hayır","Evet"))</x:f>
      </x:c>
    </x:row>
    <x:row r="220">
      <x:c r="B220" s="46"/>
      <x:c r="C220" s="46"/>
      <x:c r="D220" s="112"/>
      <x:c r="E220" s="112"/>
      <x:c r="F220" s="92"/>
      <x:c r="G220" s="92"/>
      <x:c r="H220" s="92"/>
      <x:c r="I220" s="93" t="str">
        <x:f>IF(B220="","",MAX(0,F220-H220))</x:f>
      </x:c>
      <x:c r="J220" s="46"/>
      <x:c r="K220" s="100" t="str">
        <x:f>IF(B220="","",IF(G220="TL",1,IF(G220="USD",KURLAR!$C$9,IF(G220="EUR",KURLAR!$C$10,0))))</x:f>
      </x:c>
      <x:c r="L220" s="68" t="str">
        <x:f>IF(B220="","",I220*K220)</x:f>
      </x:c>
      <x:c r="M220" s="46"/>
      <x:c r="N220" s="52" t="str">
        <x:f>IF(B220="","",IF(OR(M220="Tahsil Edildi",M220="İptal",J220="Riskli"),"Hayır","Evet"))</x:f>
      </x:c>
    </x:row>
    <x:row r="221">
      <x:c r="B221" s="46"/>
      <x:c r="C221" s="46"/>
      <x:c r="D221" s="112"/>
      <x:c r="E221" s="112"/>
      <x:c r="F221" s="92"/>
      <x:c r="G221" s="92"/>
      <x:c r="H221" s="92"/>
      <x:c r="I221" s="93" t="str">
        <x:f>IF(B221="","",MAX(0,F221-H221))</x:f>
      </x:c>
      <x:c r="J221" s="46"/>
      <x:c r="K221" s="100" t="str">
        <x:f>IF(B221="","",IF(G221="TL",1,IF(G221="USD",KURLAR!$C$9,IF(G221="EUR",KURLAR!$C$10,0))))</x:f>
      </x:c>
      <x:c r="L221" s="68" t="str">
        <x:f>IF(B221="","",I221*K221)</x:f>
      </x:c>
      <x:c r="M221" s="46"/>
      <x:c r="N221" s="52" t="str">
        <x:f>IF(B221="","",IF(OR(M221="Tahsil Edildi",M221="İptal",J221="Riskli"),"Hayır","Evet"))</x:f>
      </x:c>
    </x:row>
    <x:row r="222">
      <x:c r="B222" s="46"/>
      <x:c r="C222" s="46"/>
      <x:c r="D222" s="112"/>
      <x:c r="E222" s="112"/>
      <x:c r="F222" s="92"/>
      <x:c r="G222" s="92"/>
      <x:c r="H222" s="92"/>
      <x:c r="I222" s="93" t="str">
        <x:f>IF(B222="","",MAX(0,F222-H222))</x:f>
      </x:c>
      <x:c r="J222" s="46"/>
      <x:c r="K222" s="100" t="str">
        <x:f>IF(B222="","",IF(G222="TL",1,IF(G222="USD",KURLAR!$C$9,IF(G222="EUR",KURLAR!$C$10,0))))</x:f>
      </x:c>
      <x:c r="L222" s="68" t="str">
        <x:f>IF(B222="","",I222*K222)</x:f>
      </x:c>
      <x:c r="M222" s="46"/>
      <x:c r="N222" s="52" t="str">
        <x:f>IF(B222="","",IF(OR(M222="Tahsil Edildi",M222="İptal",J222="Riskli"),"Hayır","Evet"))</x:f>
      </x:c>
    </x:row>
    <x:row r="223">
      <x:c r="B223" s="46"/>
      <x:c r="C223" s="46"/>
      <x:c r="D223" s="112"/>
      <x:c r="E223" s="112"/>
      <x:c r="F223" s="92"/>
      <x:c r="G223" s="92"/>
      <x:c r="H223" s="92"/>
      <x:c r="I223" s="93" t="str">
        <x:f>IF(B223="","",MAX(0,F223-H223))</x:f>
      </x:c>
      <x:c r="J223" s="46"/>
      <x:c r="K223" s="100" t="str">
        <x:f>IF(B223="","",IF(G223="TL",1,IF(G223="USD",KURLAR!$C$9,IF(G223="EUR",KURLAR!$C$10,0))))</x:f>
      </x:c>
      <x:c r="L223" s="68" t="str">
        <x:f>IF(B223="","",I223*K223)</x:f>
      </x:c>
      <x:c r="M223" s="46"/>
      <x:c r="N223" s="52" t="str">
        <x:f>IF(B223="","",IF(OR(M223="Tahsil Edildi",M223="İptal",J223="Riskli"),"Hayır","Evet"))</x:f>
      </x:c>
    </x:row>
    <x:row r="224">
      <x:c r="B224" s="46"/>
      <x:c r="C224" s="46"/>
      <x:c r="D224" s="112"/>
      <x:c r="E224" s="112"/>
      <x:c r="F224" s="92"/>
      <x:c r="G224" s="92"/>
      <x:c r="H224" s="92"/>
      <x:c r="I224" s="93" t="str">
        <x:f>IF(B224="","",MAX(0,F224-H224))</x:f>
      </x:c>
      <x:c r="J224" s="46"/>
      <x:c r="K224" s="100" t="str">
        <x:f>IF(B224="","",IF(G224="TL",1,IF(G224="USD",KURLAR!$C$9,IF(G224="EUR",KURLAR!$C$10,0))))</x:f>
      </x:c>
      <x:c r="L224" s="68" t="str">
        <x:f>IF(B224="","",I224*K224)</x:f>
      </x:c>
      <x:c r="M224" s="46"/>
      <x:c r="N224" s="52" t="str">
        <x:f>IF(B224="","",IF(OR(M224="Tahsil Edildi",M224="İptal",J224="Riskli"),"Hayır","Evet"))</x:f>
      </x:c>
    </x:row>
    <x:row r="225">
      <x:c r="B225" s="46"/>
      <x:c r="C225" s="46"/>
      <x:c r="D225" s="112"/>
      <x:c r="E225" s="112"/>
      <x:c r="F225" s="92"/>
      <x:c r="G225" s="92"/>
      <x:c r="H225" s="92"/>
      <x:c r="I225" s="93" t="str">
        <x:f>IF(B225="","",MAX(0,F225-H225))</x:f>
      </x:c>
      <x:c r="J225" s="46"/>
      <x:c r="K225" s="100" t="str">
        <x:f>IF(B225="","",IF(G225="TL",1,IF(G225="USD",KURLAR!$C$9,IF(G225="EUR",KURLAR!$C$10,0))))</x:f>
      </x:c>
      <x:c r="L225" s="68" t="str">
        <x:f>IF(B225="","",I225*K225)</x:f>
      </x:c>
      <x:c r="M225" s="46"/>
      <x:c r="N225" s="52" t="str">
        <x:f>IF(B225="","",IF(OR(M225="Tahsil Edildi",M225="İptal",J225="Riskli"),"Hayır","Evet"))</x:f>
      </x:c>
    </x:row>
    <x:row r="226">
      <x:c r="B226" s="46"/>
      <x:c r="C226" s="46"/>
      <x:c r="D226" s="112"/>
      <x:c r="E226" s="112"/>
      <x:c r="F226" s="92"/>
      <x:c r="G226" s="92"/>
      <x:c r="H226" s="92"/>
      <x:c r="I226" s="93" t="str">
        <x:f>IF(B226="","",MAX(0,F226-H226))</x:f>
      </x:c>
      <x:c r="J226" s="46"/>
      <x:c r="K226" s="100" t="str">
        <x:f>IF(B226="","",IF(G226="TL",1,IF(G226="USD",KURLAR!$C$9,IF(G226="EUR",KURLAR!$C$10,0))))</x:f>
      </x:c>
      <x:c r="L226" s="68" t="str">
        <x:f>IF(B226="","",I226*K226)</x:f>
      </x:c>
      <x:c r="M226" s="46"/>
      <x:c r="N226" s="52" t="str">
        <x:f>IF(B226="","",IF(OR(M226="Tahsil Edildi",M226="İptal",J226="Riskli"),"Hayır","Evet"))</x:f>
      </x:c>
    </x:row>
    <x:row r="227">
      <x:c r="B227" s="46"/>
      <x:c r="C227" s="46"/>
      <x:c r="D227" s="112"/>
      <x:c r="E227" s="112"/>
      <x:c r="F227" s="92"/>
      <x:c r="G227" s="92"/>
      <x:c r="H227" s="92"/>
      <x:c r="I227" s="93" t="str">
        <x:f>IF(B227="","",MAX(0,F227-H227))</x:f>
      </x:c>
      <x:c r="J227" s="46"/>
      <x:c r="K227" s="100" t="str">
        <x:f>IF(B227="","",IF(G227="TL",1,IF(G227="USD",KURLAR!$C$9,IF(G227="EUR",KURLAR!$C$10,0))))</x:f>
      </x:c>
      <x:c r="L227" s="68" t="str">
        <x:f>IF(B227="","",I227*K227)</x:f>
      </x:c>
      <x:c r="M227" s="46"/>
      <x:c r="N227" s="52" t="str">
        <x:f>IF(B227="","",IF(OR(M227="Tahsil Edildi",M227="İptal",J227="Riskli"),"Hayır","Evet"))</x:f>
      </x:c>
    </x:row>
    <x:row r="228">
      <x:c r="B228" s="46"/>
      <x:c r="C228" s="46"/>
      <x:c r="D228" s="112"/>
      <x:c r="E228" s="112"/>
      <x:c r="F228" s="92"/>
      <x:c r="G228" s="92"/>
      <x:c r="H228" s="92"/>
      <x:c r="I228" s="93" t="str">
        <x:f>IF(B228="","",MAX(0,F228-H228))</x:f>
      </x:c>
      <x:c r="J228" s="46"/>
      <x:c r="K228" s="100" t="str">
        <x:f>IF(B228="","",IF(G228="TL",1,IF(G228="USD",KURLAR!$C$9,IF(G228="EUR",KURLAR!$C$10,0))))</x:f>
      </x:c>
      <x:c r="L228" s="68" t="str">
        <x:f>IF(B228="","",I228*K228)</x:f>
      </x:c>
      <x:c r="M228" s="46"/>
      <x:c r="N228" s="52" t="str">
        <x:f>IF(B228="","",IF(OR(M228="Tahsil Edildi",M228="İptal",J228="Riskli"),"Hayır","Evet"))</x:f>
      </x:c>
    </x:row>
    <x:row r="229">
      <x:c r="B229" s="46"/>
      <x:c r="C229" s="46"/>
      <x:c r="D229" s="112"/>
      <x:c r="E229" s="112"/>
      <x:c r="F229" s="92"/>
      <x:c r="G229" s="92"/>
      <x:c r="H229" s="92"/>
      <x:c r="I229" s="93" t="str">
        <x:f>IF(B229="","",MAX(0,F229-H229))</x:f>
      </x:c>
      <x:c r="J229" s="46"/>
      <x:c r="K229" s="100" t="str">
        <x:f>IF(B229="","",IF(G229="TL",1,IF(G229="USD",KURLAR!$C$9,IF(G229="EUR",KURLAR!$C$10,0))))</x:f>
      </x:c>
      <x:c r="L229" s="68" t="str">
        <x:f>IF(B229="","",I229*K229)</x:f>
      </x:c>
      <x:c r="M229" s="46"/>
      <x:c r="N229" s="52" t="str">
        <x:f>IF(B229="","",IF(OR(M229="Tahsil Edildi",M229="İptal",J229="Riskli"),"Hayır","Evet"))</x:f>
      </x:c>
    </x:row>
    <x:row r="230">
      <x:c r="B230" s="46"/>
      <x:c r="C230" s="46"/>
      <x:c r="D230" s="112"/>
      <x:c r="E230" s="112"/>
      <x:c r="F230" s="92"/>
      <x:c r="G230" s="92"/>
      <x:c r="H230" s="92"/>
      <x:c r="I230" s="93" t="str">
        <x:f>IF(B230="","",MAX(0,F230-H230))</x:f>
      </x:c>
      <x:c r="J230" s="46"/>
      <x:c r="K230" s="100" t="str">
        <x:f>IF(B230="","",IF(G230="TL",1,IF(G230="USD",KURLAR!$C$9,IF(G230="EUR",KURLAR!$C$10,0))))</x:f>
      </x:c>
      <x:c r="L230" s="68" t="str">
        <x:f>IF(B230="","",I230*K230)</x:f>
      </x:c>
      <x:c r="M230" s="46"/>
      <x:c r="N230" s="52" t="str">
        <x:f>IF(B230="","",IF(OR(M230="Tahsil Edildi",M230="İptal",J230="Riskli"),"Hayır","Evet"))</x:f>
      </x:c>
    </x:row>
    <x:row r="231">
      <x:c r="B231" s="46"/>
      <x:c r="C231" s="46"/>
      <x:c r="D231" s="112"/>
      <x:c r="E231" s="112"/>
      <x:c r="F231" s="92"/>
      <x:c r="G231" s="92"/>
      <x:c r="H231" s="92"/>
      <x:c r="I231" s="93" t="str">
        <x:f>IF(B231="","",MAX(0,F231-H231))</x:f>
      </x:c>
      <x:c r="J231" s="46"/>
      <x:c r="K231" s="100" t="str">
        <x:f>IF(B231="","",IF(G231="TL",1,IF(G231="USD",KURLAR!$C$9,IF(G231="EUR",KURLAR!$C$10,0))))</x:f>
      </x:c>
      <x:c r="L231" s="68" t="str">
        <x:f>IF(B231="","",I231*K231)</x:f>
      </x:c>
      <x:c r="M231" s="46"/>
      <x:c r="N231" s="52" t="str">
        <x:f>IF(B231="","",IF(OR(M231="Tahsil Edildi",M231="İptal",J231="Riskli"),"Hayır","Evet"))</x:f>
      </x:c>
    </x:row>
    <x:row r="232">
      <x:c r="B232" s="46"/>
      <x:c r="C232" s="46"/>
      <x:c r="D232" s="112"/>
      <x:c r="E232" s="112"/>
      <x:c r="F232" s="92"/>
      <x:c r="G232" s="92"/>
      <x:c r="H232" s="92"/>
      <x:c r="I232" s="93" t="str">
        <x:f>IF(B232="","",MAX(0,F232-H232))</x:f>
      </x:c>
      <x:c r="J232" s="46"/>
      <x:c r="K232" s="100" t="str">
        <x:f>IF(B232="","",IF(G232="TL",1,IF(G232="USD",KURLAR!$C$9,IF(G232="EUR",KURLAR!$C$10,0))))</x:f>
      </x:c>
      <x:c r="L232" s="68" t="str">
        <x:f>IF(B232="","",I232*K232)</x:f>
      </x:c>
      <x:c r="M232" s="46"/>
      <x:c r="N232" s="52" t="str">
        <x:f>IF(B232="","",IF(OR(M232="Tahsil Edildi",M232="İptal",J232="Riskli"),"Hayır","Evet"))</x:f>
      </x:c>
    </x:row>
    <x:row r="233">
      <x:c r="B233" s="46"/>
      <x:c r="C233" s="46"/>
      <x:c r="D233" s="112"/>
      <x:c r="E233" s="112"/>
      <x:c r="F233" s="92"/>
      <x:c r="G233" s="92"/>
      <x:c r="H233" s="92"/>
      <x:c r="I233" s="93" t="str">
        <x:f>IF(B233="","",MAX(0,F233-H233))</x:f>
      </x:c>
      <x:c r="J233" s="46"/>
      <x:c r="K233" s="100" t="str">
        <x:f>IF(B233="","",IF(G233="TL",1,IF(G233="USD",KURLAR!$C$9,IF(G233="EUR",KURLAR!$C$10,0))))</x:f>
      </x:c>
      <x:c r="L233" s="68" t="str">
        <x:f>IF(B233="","",I233*K233)</x:f>
      </x:c>
      <x:c r="M233" s="46"/>
      <x:c r="N233" s="52" t="str">
        <x:f>IF(B233="","",IF(OR(M233="Tahsil Edildi",M233="İptal",J233="Riskli"),"Hayır","Evet"))</x:f>
      </x:c>
    </x:row>
    <x:row r="234">
      <x:c r="B234" s="46"/>
      <x:c r="C234" s="46"/>
      <x:c r="D234" s="112"/>
      <x:c r="E234" s="112"/>
      <x:c r="F234" s="92"/>
      <x:c r="G234" s="92"/>
      <x:c r="H234" s="92"/>
      <x:c r="I234" s="93" t="str">
        <x:f>IF(B234="","",MAX(0,F234-H234))</x:f>
      </x:c>
      <x:c r="J234" s="46"/>
      <x:c r="K234" s="100" t="str">
        <x:f>IF(B234="","",IF(G234="TL",1,IF(G234="USD",KURLAR!$C$9,IF(G234="EUR",KURLAR!$C$10,0))))</x:f>
      </x:c>
      <x:c r="L234" s="68" t="str">
        <x:f>IF(B234="","",I234*K234)</x:f>
      </x:c>
      <x:c r="M234" s="46"/>
      <x:c r="N234" s="52" t="str">
        <x:f>IF(B234="","",IF(OR(M234="Tahsil Edildi",M234="İptal",J234="Riskli"),"Hayır","Evet"))</x:f>
      </x:c>
    </x:row>
    <x:row r="235">
      <x:c r="B235" s="46"/>
      <x:c r="C235" s="46"/>
      <x:c r="D235" s="112"/>
      <x:c r="E235" s="112"/>
      <x:c r="F235" s="92"/>
      <x:c r="G235" s="92"/>
      <x:c r="H235" s="92"/>
      <x:c r="I235" s="93" t="str">
        <x:f>IF(B235="","",MAX(0,F235-H235))</x:f>
      </x:c>
      <x:c r="J235" s="46"/>
      <x:c r="K235" s="100" t="str">
        <x:f>IF(B235="","",IF(G235="TL",1,IF(G235="USD",KURLAR!$C$9,IF(G235="EUR",KURLAR!$C$10,0))))</x:f>
      </x:c>
      <x:c r="L235" s="68" t="str">
        <x:f>IF(B235="","",I235*K235)</x:f>
      </x:c>
      <x:c r="M235" s="46"/>
      <x:c r="N235" s="52" t="str">
        <x:f>IF(B235="","",IF(OR(M235="Tahsil Edildi",M235="İptal",J235="Riskli"),"Hayır","Evet"))</x:f>
      </x:c>
    </x:row>
    <x:row r="236">
      <x:c r="B236" s="46"/>
      <x:c r="C236" s="46"/>
      <x:c r="D236" s="112"/>
      <x:c r="E236" s="112"/>
      <x:c r="F236" s="92"/>
      <x:c r="G236" s="92"/>
      <x:c r="H236" s="92"/>
      <x:c r="I236" s="93" t="str">
        <x:f>IF(B236="","",MAX(0,F236-H236))</x:f>
      </x:c>
      <x:c r="J236" s="46"/>
      <x:c r="K236" s="100" t="str">
        <x:f>IF(B236="","",IF(G236="TL",1,IF(G236="USD",KURLAR!$C$9,IF(G236="EUR",KURLAR!$C$10,0))))</x:f>
      </x:c>
      <x:c r="L236" s="68" t="str">
        <x:f>IF(B236="","",I236*K236)</x:f>
      </x:c>
      <x:c r="M236" s="46"/>
      <x:c r="N236" s="52" t="str">
        <x:f>IF(B236="","",IF(OR(M236="Tahsil Edildi",M236="İptal",J236="Riskli"),"Hayır","Evet"))</x:f>
      </x:c>
    </x:row>
    <x:row r="237">
      <x:c r="B237" s="46"/>
      <x:c r="C237" s="46"/>
      <x:c r="D237" s="112"/>
      <x:c r="E237" s="112"/>
      <x:c r="F237" s="92"/>
      <x:c r="G237" s="92"/>
      <x:c r="H237" s="92"/>
      <x:c r="I237" s="93" t="str">
        <x:f>IF(B237="","",MAX(0,F237-H237))</x:f>
      </x:c>
      <x:c r="J237" s="46"/>
      <x:c r="K237" s="100" t="str">
        <x:f>IF(B237="","",IF(G237="TL",1,IF(G237="USD",KURLAR!$C$9,IF(G237="EUR",KURLAR!$C$10,0))))</x:f>
      </x:c>
      <x:c r="L237" s="68" t="str">
        <x:f>IF(B237="","",I237*K237)</x:f>
      </x:c>
      <x:c r="M237" s="46"/>
      <x:c r="N237" s="52" t="str">
        <x:f>IF(B237="","",IF(OR(M237="Tahsil Edildi",M237="İptal",J237="Riskli"),"Hayır","Evet"))</x:f>
      </x:c>
    </x:row>
    <x:row r="238">
      <x:c r="B238" s="46"/>
      <x:c r="C238" s="46"/>
      <x:c r="D238" s="112"/>
      <x:c r="E238" s="112"/>
      <x:c r="F238" s="92"/>
      <x:c r="G238" s="92"/>
      <x:c r="H238" s="92"/>
      <x:c r="I238" s="93" t="str">
        <x:f>IF(B238="","",MAX(0,F238-H238))</x:f>
      </x:c>
      <x:c r="J238" s="46"/>
      <x:c r="K238" s="100" t="str">
        <x:f>IF(B238="","",IF(G238="TL",1,IF(G238="USD",KURLAR!$C$9,IF(G238="EUR",KURLAR!$C$10,0))))</x:f>
      </x:c>
      <x:c r="L238" s="68" t="str">
        <x:f>IF(B238="","",I238*K238)</x:f>
      </x:c>
      <x:c r="M238" s="46"/>
      <x:c r="N238" s="52" t="str">
        <x:f>IF(B238="","",IF(OR(M238="Tahsil Edildi",M238="İptal",J238="Riskli"),"Hayır","Evet"))</x:f>
      </x:c>
    </x:row>
    <x:row r="239">
      <x:c r="B239" s="46"/>
      <x:c r="C239" s="46"/>
      <x:c r="D239" s="112"/>
      <x:c r="E239" s="112"/>
      <x:c r="F239" s="92"/>
      <x:c r="G239" s="92"/>
      <x:c r="H239" s="92"/>
      <x:c r="I239" s="93" t="str">
        <x:f>IF(B239="","",MAX(0,F239-H239))</x:f>
      </x:c>
      <x:c r="J239" s="46"/>
      <x:c r="K239" s="100" t="str">
        <x:f>IF(B239="","",IF(G239="TL",1,IF(G239="USD",KURLAR!$C$9,IF(G239="EUR",KURLAR!$C$10,0))))</x:f>
      </x:c>
      <x:c r="L239" s="68" t="str">
        <x:f>IF(B239="","",I239*K239)</x:f>
      </x:c>
      <x:c r="M239" s="46"/>
      <x:c r="N239" s="52" t="str">
        <x:f>IF(B239="","",IF(OR(M239="Tahsil Edildi",M239="İptal",J239="Riskli"),"Hayır","Evet"))</x:f>
      </x:c>
    </x:row>
    <x:row r="240">
      <x:c r="B240" s="46"/>
      <x:c r="C240" s="46"/>
      <x:c r="D240" s="112"/>
      <x:c r="E240" s="112"/>
      <x:c r="F240" s="92"/>
      <x:c r="G240" s="92"/>
      <x:c r="H240" s="92"/>
      <x:c r="I240" s="93" t="str">
        <x:f>IF(B240="","",MAX(0,F240-H240))</x:f>
      </x:c>
      <x:c r="J240" s="46"/>
      <x:c r="K240" s="100" t="str">
        <x:f>IF(B240="","",IF(G240="TL",1,IF(G240="USD",KURLAR!$C$9,IF(G240="EUR",KURLAR!$C$10,0))))</x:f>
      </x:c>
      <x:c r="L240" s="68" t="str">
        <x:f>IF(B240="","",I240*K240)</x:f>
      </x:c>
      <x:c r="M240" s="46"/>
      <x:c r="N240" s="52" t="str">
        <x:f>IF(B240="","",IF(OR(M240="Tahsil Edildi",M240="İptal",J240="Riskli"),"Hayır","Evet"))</x:f>
      </x:c>
    </x:row>
    <x:row r="241">
      <x:c r="B241" s="46"/>
      <x:c r="C241" s="46"/>
      <x:c r="D241" s="112"/>
      <x:c r="E241" s="112"/>
      <x:c r="F241" s="92"/>
      <x:c r="G241" s="92"/>
      <x:c r="H241" s="92"/>
      <x:c r="I241" s="93" t="str">
        <x:f>IF(B241="","",MAX(0,F241-H241))</x:f>
      </x:c>
      <x:c r="J241" s="46"/>
      <x:c r="K241" s="100" t="str">
        <x:f>IF(B241="","",IF(G241="TL",1,IF(G241="USD",KURLAR!$C$9,IF(G241="EUR",KURLAR!$C$10,0))))</x:f>
      </x:c>
      <x:c r="L241" s="68" t="str">
        <x:f>IF(B241="","",I241*K241)</x:f>
      </x:c>
      <x:c r="M241" s="46"/>
      <x:c r="N241" s="52" t="str">
        <x:f>IF(B241="","",IF(OR(M241="Tahsil Edildi",M241="İptal",J241="Riskli"),"Hayır","Evet"))</x:f>
      </x:c>
    </x:row>
    <x:row r="242">
      <x:c r="B242" s="46"/>
      <x:c r="C242" s="46"/>
      <x:c r="D242" s="112"/>
      <x:c r="E242" s="112"/>
      <x:c r="F242" s="92"/>
      <x:c r="G242" s="92"/>
      <x:c r="H242" s="92"/>
      <x:c r="I242" s="93" t="str">
        <x:f>IF(B242="","",MAX(0,F242-H242))</x:f>
      </x:c>
      <x:c r="J242" s="46"/>
      <x:c r="K242" s="100" t="str">
        <x:f>IF(B242="","",IF(G242="TL",1,IF(G242="USD",KURLAR!$C$9,IF(G242="EUR",KURLAR!$C$10,0))))</x:f>
      </x:c>
      <x:c r="L242" s="68" t="str">
        <x:f>IF(B242="","",I242*K242)</x:f>
      </x:c>
      <x:c r="M242" s="46"/>
      <x:c r="N242" s="52" t="str">
        <x:f>IF(B242="","",IF(OR(M242="Tahsil Edildi",M242="İptal",J242="Riskli"),"Hayır","Evet"))</x:f>
      </x:c>
    </x:row>
    <x:row r="243">
      <x:c r="B243" s="46"/>
      <x:c r="C243" s="46"/>
      <x:c r="D243" s="112"/>
      <x:c r="E243" s="112"/>
      <x:c r="F243" s="92"/>
      <x:c r="G243" s="92"/>
      <x:c r="H243" s="92"/>
      <x:c r="I243" s="93" t="str">
        <x:f>IF(B243="","",MAX(0,F243-H243))</x:f>
      </x:c>
      <x:c r="J243" s="46"/>
      <x:c r="K243" s="100" t="str">
        <x:f>IF(B243="","",IF(G243="TL",1,IF(G243="USD",KURLAR!$C$9,IF(G243="EUR",KURLAR!$C$10,0))))</x:f>
      </x:c>
      <x:c r="L243" s="68" t="str">
        <x:f>IF(B243="","",I243*K243)</x:f>
      </x:c>
      <x:c r="M243" s="46"/>
      <x:c r="N243" s="52" t="str">
        <x:f>IF(B243="","",IF(OR(M243="Tahsil Edildi",M243="İptal",J243="Riskli"),"Hayır","Evet"))</x:f>
      </x:c>
    </x:row>
    <x:row r="244">
      <x:c r="B244" s="46"/>
      <x:c r="C244" s="46"/>
      <x:c r="D244" s="112"/>
      <x:c r="E244" s="112"/>
      <x:c r="F244" s="92"/>
      <x:c r="G244" s="92"/>
      <x:c r="H244" s="92"/>
      <x:c r="I244" s="93" t="str">
        <x:f>IF(B244="","",MAX(0,F244-H244))</x:f>
      </x:c>
      <x:c r="J244" s="46"/>
      <x:c r="K244" s="100" t="str">
        <x:f>IF(B244="","",IF(G244="TL",1,IF(G244="USD",KURLAR!$C$9,IF(G244="EUR",KURLAR!$C$10,0))))</x:f>
      </x:c>
      <x:c r="L244" s="68" t="str">
        <x:f>IF(B244="","",I244*K244)</x:f>
      </x:c>
      <x:c r="M244" s="46"/>
      <x:c r="N244" s="52" t="str">
        <x:f>IF(B244="","",IF(OR(M244="Tahsil Edildi",M244="İptal",J244="Riskli"),"Hayır","Evet"))</x:f>
      </x:c>
    </x:row>
    <x:row r="245">
      <x:c r="B245" s="46"/>
      <x:c r="C245" s="46"/>
      <x:c r="D245" s="112"/>
      <x:c r="E245" s="112"/>
      <x:c r="F245" s="92"/>
      <x:c r="G245" s="92"/>
      <x:c r="H245" s="92"/>
      <x:c r="I245" s="93" t="str">
        <x:f>IF(B245="","",MAX(0,F245-H245))</x:f>
      </x:c>
      <x:c r="J245" s="46"/>
      <x:c r="K245" s="100" t="str">
        <x:f>IF(B245="","",IF(G245="TL",1,IF(G245="USD",KURLAR!$C$9,IF(G245="EUR",KURLAR!$C$10,0))))</x:f>
      </x:c>
      <x:c r="L245" s="68" t="str">
        <x:f>IF(B245="","",I245*K245)</x:f>
      </x:c>
      <x:c r="M245" s="46"/>
      <x:c r="N245" s="52" t="str">
        <x:f>IF(B245="","",IF(OR(M245="Tahsil Edildi",M245="İptal",J245="Riskli"),"Hayır","Evet"))</x:f>
      </x:c>
    </x:row>
    <x:row r="246">
      <x:c r="B246" s="46"/>
      <x:c r="C246" s="46"/>
      <x:c r="D246" s="112"/>
      <x:c r="E246" s="112"/>
      <x:c r="F246" s="92"/>
      <x:c r="G246" s="92"/>
      <x:c r="H246" s="92"/>
      <x:c r="I246" s="93" t="str">
        <x:f>IF(B246="","",MAX(0,F246-H246))</x:f>
      </x:c>
      <x:c r="J246" s="46"/>
      <x:c r="K246" s="100" t="str">
        <x:f>IF(B246="","",IF(G246="TL",1,IF(G246="USD",KURLAR!$C$9,IF(G246="EUR",KURLAR!$C$10,0))))</x:f>
      </x:c>
      <x:c r="L246" s="68" t="str">
        <x:f>IF(B246="","",I246*K246)</x:f>
      </x:c>
      <x:c r="M246" s="46"/>
      <x:c r="N246" s="52" t="str">
        <x:f>IF(B246="","",IF(OR(M246="Tahsil Edildi",M246="İptal",J246="Riskli"),"Hayır","Evet"))</x:f>
      </x:c>
    </x:row>
    <x:row r="247">
      <x:c r="B247" s="46"/>
      <x:c r="C247" s="46"/>
      <x:c r="D247" s="112"/>
      <x:c r="E247" s="112"/>
      <x:c r="F247" s="92"/>
      <x:c r="G247" s="92"/>
      <x:c r="H247" s="92"/>
      <x:c r="I247" s="93" t="str">
        <x:f>IF(B247="","",MAX(0,F247-H247))</x:f>
      </x:c>
      <x:c r="J247" s="46"/>
      <x:c r="K247" s="100" t="str">
        <x:f>IF(B247="","",IF(G247="TL",1,IF(G247="USD",KURLAR!$C$9,IF(G247="EUR",KURLAR!$C$10,0))))</x:f>
      </x:c>
      <x:c r="L247" s="68" t="str">
        <x:f>IF(B247="","",I247*K247)</x:f>
      </x:c>
      <x:c r="M247" s="46"/>
      <x:c r="N247" s="52" t="str">
        <x:f>IF(B247="","",IF(OR(M247="Tahsil Edildi",M247="İptal",J247="Riskli"),"Hayır","Evet"))</x:f>
      </x:c>
    </x:row>
    <x:row r="248">
      <x:c r="B248" s="46"/>
      <x:c r="C248" s="46"/>
      <x:c r="D248" s="112"/>
      <x:c r="E248" s="112"/>
      <x:c r="F248" s="92"/>
      <x:c r="G248" s="92"/>
      <x:c r="H248" s="92"/>
      <x:c r="I248" s="93" t="str">
        <x:f>IF(B248="","",MAX(0,F248-H248))</x:f>
      </x:c>
      <x:c r="J248" s="46"/>
      <x:c r="K248" s="100" t="str">
        <x:f>IF(B248="","",IF(G248="TL",1,IF(G248="USD",KURLAR!$C$9,IF(G248="EUR",KURLAR!$C$10,0))))</x:f>
      </x:c>
      <x:c r="L248" s="68" t="str">
        <x:f>IF(B248="","",I248*K248)</x:f>
      </x:c>
      <x:c r="M248" s="46"/>
      <x:c r="N248" s="52" t="str">
        <x:f>IF(B248="","",IF(OR(M248="Tahsil Edildi",M248="İptal",J248="Riskli"),"Hayır","Evet"))</x:f>
      </x:c>
    </x:row>
    <x:row r="249">
      <x:c r="B249" s="46"/>
      <x:c r="C249" s="46"/>
      <x:c r="D249" s="112"/>
      <x:c r="E249" s="112"/>
      <x:c r="F249" s="92"/>
      <x:c r="G249" s="92"/>
      <x:c r="H249" s="92"/>
      <x:c r="I249" s="93" t="str">
        <x:f>IF(B249="","",MAX(0,F249-H249))</x:f>
      </x:c>
      <x:c r="J249" s="46"/>
      <x:c r="K249" s="100" t="str">
        <x:f>IF(B249="","",IF(G249="TL",1,IF(G249="USD",KURLAR!$C$9,IF(G249="EUR",KURLAR!$C$10,0))))</x:f>
      </x:c>
      <x:c r="L249" s="68" t="str">
        <x:f>IF(B249="","",I249*K249)</x:f>
      </x:c>
      <x:c r="M249" s="46"/>
      <x:c r="N249" s="52" t="str">
        <x:f>IF(B249="","",IF(OR(M249="Tahsil Edildi",M249="İptal",J249="Riskli"),"Hayır","Evet"))</x:f>
      </x:c>
    </x:row>
    <x:row r="250">
      <x:c r="B250" s="46"/>
      <x:c r="C250" s="46"/>
      <x:c r="D250" s="112"/>
      <x:c r="E250" s="112"/>
      <x:c r="F250" s="92"/>
      <x:c r="G250" s="92"/>
      <x:c r="H250" s="92"/>
      <x:c r="I250" s="93" t="str">
        <x:f>IF(B250="","",MAX(0,F250-H250))</x:f>
      </x:c>
      <x:c r="J250" s="46"/>
      <x:c r="K250" s="100" t="str">
        <x:f>IF(B250="","",IF(G250="TL",1,IF(G250="USD",KURLAR!$C$9,IF(G250="EUR",KURLAR!$C$10,0))))</x:f>
      </x:c>
      <x:c r="L250" s="68" t="str">
        <x:f>IF(B250="","",I250*K250)</x:f>
      </x:c>
      <x:c r="M250" s="46"/>
      <x:c r="N250" s="52" t="str">
        <x:f>IF(B250="","",IF(OR(M250="Tahsil Edildi",M250="İptal",J250="Riskli"),"Hayır","Evet"))</x:f>
      </x:c>
    </x:row>
    <x:row r="251">
      <x:c r="B251" s="46"/>
      <x:c r="C251" s="46"/>
      <x:c r="D251" s="112"/>
      <x:c r="E251" s="112"/>
      <x:c r="F251" s="92"/>
      <x:c r="G251" s="92"/>
      <x:c r="H251" s="92"/>
      <x:c r="I251" s="93" t="str">
        <x:f>IF(B251="","",MAX(0,F251-H251))</x:f>
      </x:c>
      <x:c r="J251" s="46"/>
      <x:c r="K251" s="100" t="str">
        <x:f>IF(B251="","",IF(G251="TL",1,IF(G251="USD",KURLAR!$C$9,IF(G251="EUR",KURLAR!$C$10,0))))</x:f>
      </x:c>
      <x:c r="L251" s="68" t="str">
        <x:f>IF(B251="","",I251*K251)</x:f>
      </x:c>
      <x:c r="M251" s="46"/>
      <x:c r="N251" s="52" t="str">
        <x:f>IF(B251="","",IF(OR(M251="Tahsil Edildi",M251="İptal",J251="Riskli"),"Hayır","Evet"))</x:f>
      </x:c>
    </x:row>
    <x:row r="252">
      <x:c r="B252" s="46"/>
      <x:c r="C252" s="46"/>
      <x:c r="D252" s="112"/>
      <x:c r="E252" s="112"/>
      <x:c r="F252" s="92"/>
      <x:c r="G252" s="92"/>
      <x:c r="H252" s="92"/>
      <x:c r="I252" s="93" t="str">
        <x:f>IF(B252="","",MAX(0,F252-H252))</x:f>
      </x:c>
      <x:c r="J252" s="46"/>
      <x:c r="K252" s="100" t="str">
        <x:f>IF(B252="","",IF(G252="TL",1,IF(G252="USD",KURLAR!$C$9,IF(G252="EUR",KURLAR!$C$10,0))))</x:f>
      </x:c>
      <x:c r="L252" s="68" t="str">
        <x:f>IF(B252="","",I252*K252)</x:f>
      </x:c>
      <x:c r="M252" s="46"/>
      <x:c r="N252" s="52" t="str">
        <x:f>IF(B252="","",IF(OR(M252="Tahsil Edildi",M252="İptal",J252="Riskli"),"Hayır","Evet"))</x:f>
      </x:c>
    </x:row>
    <x:row r="253">
      <x:c r="B253" s="46"/>
      <x:c r="C253" s="46"/>
      <x:c r="D253" s="112"/>
      <x:c r="E253" s="112"/>
      <x:c r="F253" s="92"/>
      <x:c r="G253" s="92"/>
      <x:c r="H253" s="92"/>
      <x:c r="I253" s="93" t="str">
        <x:f>IF(B253="","",MAX(0,F253-H253))</x:f>
      </x:c>
      <x:c r="J253" s="46"/>
      <x:c r="K253" s="100" t="str">
        <x:f>IF(B253="","",IF(G253="TL",1,IF(G253="USD",KURLAR!$C$9,IF(G253="EUR",KURLAR!$C$10,0))))</x:f>
      </x:c>
      <x:c r="L253" s="68" t="str">
        <x:f>IF(B253="","",I253*K253)</x:f>
      </x:c>
      <x:c r="M253" s="46"/>
      <x:c r="N253" s="52" t="str">
        <x:f>IF(B253="","",IF(OR(M253="Tahsil Edildi",M253="İptal",J253="Riskli"),"Hayır","Evet"))</x:f>
      </x:c>
    </x:row>
    <x:row r="254">
      <x:c r="B254" s="46"/>
      <x:c r="C254" s="46"/>
      <x:c r="D254" s="112"/>
      <x:c r="E254" s="112"/>
      <x:c r="F254" s="92"/>
      <x:c r="G254" s="92"/>
      <x:c r="H254" s="92"/>
      <x:c r="I254" s="93" t="str">
        <x:f>IF(B254="","",MAX(0,F254-H254))</x:f>
      </x:c>
      <x:c r="J254" s="46"/>
      <x:c r="K254" s="100" t="str">
        <x:f>IF(B254="","",IF(G254="TL",1,IF(G254="USD",KURLAR!$C$9,IF(G254="EUR",KURLAR!$C$10,0))))</x:f>
      </x:c>
      <x:c r="L254" s="68" t="str">
        <x:f>IF(B254="","",I254*K254)</x:f>
      </x:c>
      <x:c r="M254" s="46"/>
      <x:c r="N254" s="52" t="str">
        <x:f>IF(B254="","",IF(OR(M254="Tahsil Edildi",M254="İptal",J254="Riskli"),"Hayır","Evet"))</x:f>
      </x:c>
    </x:row>
    <x:row r="255">
      <x:c r="B255" s="46"/>
      <x:c r="C255" s="46"/>
      <x:c r="D255" s="112"/>
      <x:c r="E255" s="112"/>
      <x:c r="F255" s="92"/>
      <x:c r="G255" s="92"/>
      <x:c r="H255" s="92"/>
      <x:c r="I255" s="93" t="str">
        <x:f>IF(B255="","",MAX(0,F255-H255))</x:f>
      </x:c>
      <x:c r="J255" s="46"/>
      <x:c r="K255" s="100" t="str">
        <x:f>IF(B255="","",IF(G255="TL",1,IF(G255="USD",KURLAR!$C$9,IF(G255="EUR",KURLAR!$C$10,0))))</x:f>
      </x:c>
      <x:c r="L255" s="68" t="str">
        <x:f>IF(B255="","",I255*K255)</x:f>
      </x:c>
      <x:c r="M255" s="46"/>
      <x:c r="N255" s="52" t="str">
        <x:f>IF(B255="","",IF(OR(M255="Tahsil Edildi",M255="İptal",J255="Riskli"),"Hayır","Evet"))</x:f>
      </x:c>
    </x:row>
    <x:row r="256">
      <x:c r="B256" s="46"/>
      <x:c r="C256" s="46"/>
      <x:c r="D256" s="112"/>
      <x:c r="E256" s="112"/>
      <x:c r="F256" s="92"/>
      <x:c r="G256" s="92"/>
      <x:c r="H256" s="92"/>
      <x:c r="I256" s="93" t="str">
        <x:f>IF(B256="","",MAX(0,F256-H256))</x:f>
      </x:c>
      <x:c r="J256" s="46"/>
      <x:c r="K256" s="100" t="str">
        <x:f>IF(B256="","",IF(G256="TL",1,IF(G256="USD",KURLAR!$C$9,IF(G256="EUR",KURLAR!$C$10,0))))</x:f>
      </x:c>
      <x:c r="L256" s="68" t="str">
        <x:f>IF(B256="","",I256*K256)</x:f>
      </x:c>
      <x:c r="M256" s="46"/>
      <x:c r="N256" s="52" t="str">
        <x:f>IF(B256="","",IF(OR(M256="Tahsil Edildi",M256="İptal",J256="Riskli"),"Hayır","Evet"))</x:f>
      </x:c>
    </x:row>
    <x:row r="257">
      <x:c r="B257" s="46"/>
      <x:c r="C257" s="46"/>
      <x:c r="D257" s="112"/>
      <x:c r="E257" s="112"/>
      <x:c r="F257" s="92"/>
      <x:c r="G257" s="92"/>
      <x:c r="H257" s="92"/>
      <x:c r="I257" s="93" t="str">
        <x:f>IF(B257="","",MAX(0,F257-H257))</x:f>
      </x:c>
      <x:c r="J257" s="46"/>
      <x:c r="K257" s="100" t="str">
        <x:f>IF(B257="","",IF(G257="TL",1,IF(G257="USD",KURLAR!$C$9,IF(G257="EUR",KURLAR!$C$10,0))))</x:f>
      </x:c>
      <x:c r="L257" s="68" t="str">
        <x:f>IF(B257="","",I257*K257)</x:f>
      </x:c>
      <x:c r="M257" s="46"/>
      <x:c r="N257" s="52" t="str">
        <x:f>IF(B257="","",IF(OR(M257="Tahsil Edildi",M257="İptal",J257="Riskli"),"Hayır","Evet"))</x:f>
      </x:c>
    </x:row>
    <x:row r="258">
      <x:c r="B258" s="46"/>
      <x:c r="C258" s="46"/>
      <x:c r="D258" s="112"/>
      <x:c r="E258" s="112"/>
      <x:c r="F258" s="92"/>
      <x:c r="G258" s="92"/>
      <x:c r="H258" s="92"/>
      <x:c r="I258" s="93" t="str">
        <x:f>IF(B258="","",MAX(0,F258-H258))</x:f>
      </x:c>
      <x:c r="J258" s="46"/>
      <x:c r="K258" s="100" t="str">
        <x:f>IF(B258="","",IF(G258="TL",1,IF(G258="USD",KURLAR!$C$9,IF(G258="EUR",KURLAR!$C$10,0))))</x:f>
      </x:c>
      <x:c r="L258" s="68" t="str">
        <x:f>IF(B258="","",I258*K258)</x:f>
      </x:c>
      <x:c r="M258" s="46"/>
      <x:c r="N258" s="52" t="str">
        <x:f>IF(B258="","",IF(OR(M258="Tahsil Edildi",M258="İptal",J258="Riskli"),"Hayır","Evet"))</x:f>
      </x:c>
    </x:row>
    <x:row r="259">
      <x:c r="B259" s="46"/>
      <x:c r="C259" s="46"/>
      <x:c r="D259" s="112"/>
      <x:c r="E259" s="112"/>
      <x:c r="F259" s="92"/>
      <x:c r="G259" s="92"/>
      <x:c r="H259" s="92"/>
      <x:c r="I259" s="93" t="str">
        <x:f>IF(B259="","",MAX(0,F259-H259))</x:f>
      </x:c>
      <x:c r="J259" s="46"/>
      <x:c r="K259" s="100" t="str">
        <x:f>IF(B259="","",IF(G259="TL",1,IF(G259="USD",KURLAR!$C$9,IF(G259="EUR",KURLAR!$C$10,0))))</x:f>
      </x:c>
      <x:c r="L259" s="68" t="str">
        <x:f>IF(B259="","",I259*K259)</x:f>
      </x:c>
      <x:c r="M259" s="46"/>
      <x:c r="N259" s="52" t="str">
        <x:f>IF(B259="","",IF(OR(M259="Tahsil Edildi",M259="İptal",J259="Riskli"),"Hayır","Evet"))</x:f>
      </x:c>
    </x:row>
    <x:row r="260">
      <x:c r="B260" s="46"/>
      <x:c r="C260" s="46"/>
      <x:c r="D260" s="112"/>
      <x:c r="E260" s="112"/>
      <x:c r="F260" s="92"/>
      <x:c r="G260" s="92"/>
      <x:c r="H260" s="92"/>
      <x:c r="I260" s="93" t="str">
        <x:f>IF(B260="","",MAX(0,F260-H260))</x:f>
      </x:c>
      <x:c r="J260" s="46"/>
      <x:c r="K260" s="100" t="str">
        <x:f>IF(B260="","",IF(G260="TL",1,IF(G260="USD",KURLAR!$C$9,IF(G260="EUR",KURLAR!$C$10,0))))</x:f>
      </x:c>
      <x:c r="L260" s="68" t="str">
        <x:f>IF(B260="","",I260*K260)</x:f>
      </x:c>
      <x:c r="M260" s="46"/>
      <x:c r="N260" s="52" t="str">
        <x:f>IF(B260="","",IF(OR(M260="Tahsil Edildi",M260="İptal",J260="Riskli"),"Hayır","Evet"))</x:f>
      </x:c>
    </x:row>
    <x:row r="261">
      <x:c r="B261" s="46"/>
      <x:c r="C261" s="46"/>
      <x:c r="D261" s="112"/>
      <x:c r="E261" s="112"/>
      <x:c r="F261" s="92"/>
      <x:c r="G261" s="92"/>
      <x:c r="H261" s="92"/>
      <x:c r="I261" s="93" t="str">
        <x:f>IF(B261="","",MAX(0,F261-H261))</x:f>
      </x:c>
      <x:c r="J261" s="46"/>
      <x:c r="K261" s="100" t="str">
        <x:f>IF(B261="","",IF(G261="TL",1,IF(G261="USD",KURLAR!$C$9,IF(G261="EUR",KURLAR!$C$10,0))))</x:f>
      </x:c>
      <x:c r="L261" s="68" t="str">
        <x:f>IF(B261="","",I261*K261)</x:f>
      </x:c>
      <x:c r="M261" s="46"/>
      <x:c r="N261" s="52" t="str">
        <x:f>IF(B261="","",IF(OR(M261="Tahsil Edildi",M261="İptal",J261="Riskli"),"Hayır","Evet"))</x:f>
      </x:c>
    </x:row>
    <x:row r="262">
      <x:c r="B262" s="46"/>
      <x:c r="C262" s="46"/>
      <x:c r="D262" s="112"/>
      <x:c r="E262" s="112"/>
      <x:c r="F262" s="92"/>
      <x:c r="G262" s="92"/>
      <x:c r="H262" s="92"/>
      <x:c r="I262" s="93" t="str">
        <x:f>IF(B262="","",MAX(0,F262-H262))</x:f>
      </x:c>
      <x:c r="J262" s="46"/>
      <x:c r="K262" s="100" t="str">
        <x:f>IF(B262="","",IF(G262="TL",1,IF(G262="USD",KURLAR!$C$9,IF(G262="EUR",KURLAR!$C$10,0))))</x:f>
      </x:c>
      <x:c r="L262" s="68" t="str">
        <x:f>IF(B262="","",I262*K262)</x:f>
      </x:c>
      <x:c r="M262" s="46"/>
      <x:c r="N262" s="52" t="str">
        <x:f>IF(B262="","",IF(OR(M262="Tahsil Edildi",M262="İptal",J262="Riskli"),"Hayır","Evet"))</x:f>
      </x:c>
    </x:row>
    <x:row r="263">
      <x:c r="B263" s="46"/>
      <x:c r="C263" s="46"/>
      <x:c r="D263" s="112"/>
      <x:c r="E263" s="112"/>
      <x:c r="F263" s="92"/>
      <x:c r="G263" s="92"/>
      <x:c r="H263" s="92"/>
      <x:c r="I263" s="93" t="str">
        <x:f>IF(B263="","",MAX(0,F263-H263))</x:f>
      </x:c>
      <x:c r="J263" s="46"/>
      <x:c r="K263" s="100" t="str">
        <x:f>IF(B263="","",IF(G263="TL",1,IF(G263="USD",KURLAR!$C$9,IF(G263="EUR",KURLAR!$C$10,0))))</x:f>
      </x:c>
      <x:c r="L263" s="68" t="str">
        <x:f>IF(B263="","",I263*K263)</x:f>
      </x:c>
      <x:c r="M263" s="46"/>
      <x:c r="N263" s="52" t="str">
        <x:f>IF(B263="","",IF(OR(M263="Tahsil Edildi",M263="İptal",J263="Riskli"),"Hayır","Evet"))</x:f>
      </x:c>
    </x:row>
    <x:row r="264">
      <x:c r="B264" s="46"/>
      <x:c r="C264" s="46"/>
      <x:c r="D264" s="112"/>
      <x:c r="E264" s="112"/>
      <x:c r="F264" s="92"/>
      <x:c r="G264" s="92"/>
      <x:c r="H264" s="92"/>
      <x:c r="I264" s="93" t="str">
        <x:f>IF(B264="","",MAX(0,F264-H264))</x:f>
      </x:c>
      <x:c r="J264" s="46"/>
      <x:c r="K264" s="100" t="str">
        <x:f>IF(B264="","",IF(G264="TL",1,IF(G264="USD",KURLAR!$C$9,IF(G264="EUR",KURLAR!$C$10,0))))</x:f>
      </x:c>
      <x:c r="L264" s="68" t="str">
        <x:f>IF(B264="","",I264*K264)</x:f>
      </x:c>
      <x:c r="M264" s="46"/>
      <x:c r="N264" s="52" t="str">
        <x:f>IF(B264="","",IF(OR(M264="Tahsil Edildi",M264="İptal",J264="Riskli"),"Hayır","Evet"))</x:f>
      </x:c>
    </x:row>
    <x:row r="265">
      <x:c r="B265" s="46"/>
      <x:c r="C265" s="46"/>
      <x:c r="D265" s="112"/>
      <x:c r="E265" s="112"/>
      <x:c r="F265" s="92"/>
      <x:c r="G265" s="92"/>
      <x:c r="H265" s="92"/>
      <x:c r="I265" s="93" t="str">
        <x:f>IF(B265="","",MAX(0,F265-H265))</x:f>
      </x:c>
      <x:c r="J265" s="46"/>
      <x:c r="K265" s="100" t="str">
        <x:f>IF(B265="","",IF(G265="TL",1,IF(G265="USD",KURLAR!$C$9,IF(G265="EUR",KURLAR!$C$10,0))))</x:f>
      </x:c>
      <x:c r="L265" s="68" t="str">
        <x:f>IF(B265="","",I265*K265)</x:f>
      </x:c>
      <x:c r="M265" s="46"/>
      <x:c r="N265" s="52" t="str">
        <x:f>IF(B265="","",IF(OR(M265="Tahsil Edildi",M265="İptal",J265="Riskli"),"Hayır","Evet"))</x:f>
      </x:c>
    </x:row>
    <x:row r="266">
      <x:c r="B266" s="46"/>
      <x:c r="C266" s="46"/>
      <x:c r="D266" s="112"/>
      <x:c r="E266" s="112"/>
      <x:c r="F266" s="92"/>
      <x:c r="G266" s="92"/>
      <x:c r="H266" s="92"/>
      <x:c r="I266" s="93" t="str">
        <x:f>IF(B266="","",MAX(0,F266-H266))</x:f>
      </x:c>
      <x:c r="J266" s="46"/>
      <x:c r="K266" s="100" t="str">
        <x:f>IF(B266="","",IF(G266="TL",1,IF(G266="USD",KURLAR!$C$9,IF(G266="EUR",KURLAR!$C$10,0))))</x:f>
      </x:c>
      <x:c r="L266" s="68" t="str">
        <x:f>IF(B266="","",I266*K266)</x:f>
      </x:c>
      <x:c r="M266" s="46"/>
      <x:c r="N266" s="52" t="str">
        <x:f>IF(B266="","",IF(OR(M266="Tahsil Edildi",M266="İptal",J266="Riskli"),"Hayır","Evet"))</x:f>
      </x:c>
    </x:row>
    <x:row r="267">
      <x:c r="B267" s="46"/>
      <x:c r="C267" s="46"/>
      <x:c r="D267" s="112"/>
      <x:c r="E267" s="112"/>
      <x:c r="F267" s="92"/>
      <x:c r="G267" s="92"/>
      <x:c r="H267" s="92"/>
      <x:c r="I267" s="93" t="str">
        <x:f>IF(B267="","",MAX(0,F267-H267))</x:f>
      </x:c>
      <x:c r="J267" s="46"/>
      <x:c r="K267" s="100" t="str">
        <x:f>IF(B267="","",IF(G267="TL",1,IF(G267="USD",KURLAR!$C$9,IF(G267="EUR",KURLAR!$C$10,0))))</x:f>
      </x:c>
      <x:c r="L267" s="68" t="str">
        <x:f>IF(B267="","",I267*K267)</x:f>
      </x:c>
      <x:c r="M267" s="46"/>
      <x:c r="N267" s="52" t="str">
        <x:f>IF(B267="","",IF(OR(M267="Tahsil Edildi",M267="İptal",J267="Riskli"),"Hayır","Evet"))</x:f>
      </x:c>
    </x:row>
    <x:row r="268">
      <x:c r="B268" s="46"/>
      <x:c r="C268" s="46"/>
      <x:c r="D268" s="112"/>
      <x:c r="E268" s="112"/>
      <x:c r="F268" s="92"/>
      <x:c r="G268" s="92"/>
      <x:c r="H268" s="92"/>
      <x:c r="I268" s="93" t="str">
        <x:f>IF(B268="","",MAX(0,F268-H268))</x:f>
      </x:c>
      <x:c r="J268" s="46"/>
      <x:c r="K268" s="100" t="str">
        <x:f>IF(B268="","",IF(G268="TL",1,IF(G268="USD",KURLAR!$C$9,IF(G268="EUR",KURLAR!$C$10,0))))</x:f>
      </x:c>
      <x:c r="L268" s="68" t="str">
        <x:f>IF(B268="","",I268*K268)</x:f>
      </x:c>
      <x:c r="M268" s="46"/>
      <x:c r="N268" s="52" t="str">
        <x:f>IF(B268="","",IF(OR(M268="Tahsil Edildi",M268="İptal",J268="Riskli"),"Hayır","Evet"))</x:f>
      </x:c>
    </x:row>
    <x:row r="269">
      <x:c r="B269" s="46"/>
      <x:c r="C269" s="46"/>
      <x:c r="D269" s="112"/>
      <x:c r="E269" s="112"/>
      <x:c r="F269" s="92"/>
      <x:c r="G269" s="92"/>
      <x:c r="H269" s="92"/>
      <x:c r="I269" s="93" t="str">
        <x:f>IF(B269="","",MAX(0,F269-H269))</x:f>
      </x:c>
      <x:c r="J269" s="46"/>
      <x:c r="K269" s="100" t="str">
        <x:f>IF(B269="","",IF(G269="TL",1,IF(G269="USD",KURLAR!$C$9,IF(G269="EUR",KURLAR!$C$10,0))))</x:f>
      </x:c>
      <x:c r="L269" s="68" t="str">
        <x:f>IF(B269="","",I269*K269)</x:f>
      </x:c>
      <x:c r="M269" s="46"/>
      <x:c r="N269" s="52" t="str">
        <x:f>IF(B269="","",IF(OR(M269="Tahsil Edildi",M269="İptal",J269="Riskli"),"Hayır","Evet"))</x:f>
      </x:c>
    </x:row>
    <x:row r="270">
      <x:c r="B270" s="46"/>
      <x:c r="C270" s="46"/>
      <x:c r="D270" s="112"/>
      <x:c r="E270" s="112"/>
      <x:c r="F270" s="92"/>
      <x:c r="G270" s="92"/>
      <x:c r="H270" s="92"/>
      <x:c r="I270" s="93" t="str">
        <x:f>IF(B270="","",MAX(0,F270-H270))</x:f>
      </x:c>
      <x:c r="J270" s="46"/>
      <x:c r="K270" s="100" t="str">
        <x:f>IF(B270="","",IF(G270="TL",1,IF(G270="USD",KURLAR!$C$9,IF(G270="EUR",KURLAR!$C$10,0))))</x:f>
      </x:c>
      <x:c r="L270" s="68" t="str">
        <x:f>IF(B270="","",I270*K270)</x:f>
      </x:c>
      <x:c r="M270" s="46"/>
      <x:c r="N270" s="52" t="str">
        <x:f>IF(B270="","",IF(OR(M270="Tahsil Edildi",M270="İptal",J270="Riskli"),"Hayır","Evet"))</x:f>
      </x:c>
    </x:row>
    <x:row r="271">
      <x:c r="B271" s="46"/>
      <x:c r="C271" s="46"/>
      <x:c r="D271" s="112"/>
      <x:c r="E271" s="112"/>
      <x:c r="F271" s="92"/>
      <x:c r="G271" s="92"/>
      <x:c r="H271" s="92"/>
      <x:c r="I271" s="93" t="str">
        <x:f>IF(B271="","",MAX(0,F271-H271))</x:f>
      </x:c>
      <x:c r="J271" s="46"/>
      <x:c r="K271" s="100" t="str">
        <x:f>IF(B271="","",IF(G271="TL",1,IF(G271="USD",KURLAR!$C$9,IF(G271="EUR",KURLAR!$C$10,0))))</x:f>
      </x:c>
      <x:c r="L271" s="68" t="str">
        <x:f>IF(B271="","",I271*K271)</x:f>
      </x:c>
      <x:c r="M271" s="46"/>
      <x:c r="N271" s="52" t="str">
        <x:f>IF(B271="","",IF(OR(M271="Tahsil Edildi",M271="İptal",J271="Riskli"),"Hayır","Evet"))</x:f>
      </x:c>
    </x:row>
    <x:row r="272">
      <x:c r="B272" s="46"/>
      <x:c r="C272" s="46"/>
      <x:c r="D272" s="112"/>
      <x:c r="E272" s="112"/>
      <x:c r="F272" s="92"/>
      <x:c r="G272" s="92"/>
      <x:c r="H272" s="92"/>
      <x:c r="I272" s="93" t="str">
        <x:f>IF(B272="","",MAX(0,F272-H272))</x:f>
      </x:c>
      <x:c r="J272" s="46"/>
      <x:c r="K272" s="100" t="str">
        <x:f>IF(B272="","",IF(G272="TL",1,IF(G272="USD",KURLAR!$C$9,IF(G272="EUR",KURLAR!$C$10,0))))</x:f>
      </x:c>
      <x:c r="L272" s="68" t="str">
        <x:f>IF(B272="","",I272*K272)</x:f>
      </x:c>
      <x:c r="M272" s="46"/>
      <x:c r="N272" s="52" t="str">
        <x:f>IF(B272="","",IF(OR(M272="Tahsil Edildi",M272="İptal",J272="Riskli"),"Hayır","Evet"))</x:f>
      </x:c>
    </x:row>
    <x:row r="273">
      <x:c r="B273" s="46"/>
      <x:c r="C273" s="46"/>
      <x:c r="D273" s="112"/>
      <x:c r="E273" s="112"/>
      <x:c r="F273" s="92"/>
      <x:c r="G273" s="92"/>
      <x:c r="H273" s="92"/>
      <x:c r="I273" s="93" t="str">
        <x:f>IF(B273="","",MAX(0,F273-H273))</x:f>
      </x:c>
      <x:c r="J273" s="46"/>
      <x:c r="K273" s="100" t="str">
        <x:f>IF(B273="","",IF(G273="TL",1,IF(G273="USD",KURLAR!$C$9,IF(G273="EUR",KURLAR!$C$10,0))))</x:f>
      </x:c>
      <x:c r="L273" s="68" t="str">
        <x:f>IF(B273="","",I273*K273)</x:f>
      </x:c>
      <x:c r="M273" s="46"/>
      <x:c r="N273" s="52" t="str">
        <x:f>IF(B273="","",IF(OR(M273="Tahsil Edildi",M273="İptal",J273="Riskli"),"Hayır","Evet"))</x:f>
      </x:c>
    </x:row>
    <x:row r="274">
      <x:c r="B274" s="46"/>
      <x:c r="C274" s="46"/>
      <x:c r="D274" s="112"/>
      <x:c r="E274" s="112"/>
      <x:c r="F274" s="92"/>
      <x:c r="G274" s="92"/>
      <x:c r="H274" s="92"/>
      <x:c r="I274" s="93" t="str">
        <x:f>IF(B274="","",MAX(0,F274-H274))</x:f>
      </x:c>
      <x:c r="J274" s="46"/>
      <x:c r="K274" s="100" t="str">
        <x:f>IF(B274="","",IF(G274="TL",1,IF(G274="USD",KURLAR!$C$9,IF(G274="EUR",KURLAR!$C$10,0))))</x:f>
      </x:c>
      <x:c r="L274" s="68" t="str">
        <x:f>IF(B274="","",I274*K274)</x:f>
      </x:c>
      <x:c r="M274" s="46"/>
      <x:c r="N274" s="52" t="str">
        <x:f>IF(B274="","",IF(OR(M274="Tahsil Edildi",M274="İptal",J274="Riskli"),"Hayır","Evet"))</x:f>
      </x:c>
    </x:row>
    <x:row r="275">
      <x:c r="B275" s="46"/>
      <x:c r="C275" s="46"/>
      <x:c r="D275" s="112"/>
      <x:c r="E275" s="112"/>
      <x:c r="F275" s="92"/>
      <x:c r="G275" s="92"/>
      <x:c r="H275" s="92"/>
      <x:c r="I275" s="93" t="str">
        <x:f>IF(B275="","",MAX(0,F275-H275))</x:f>
      </x:c>
      <x:c r="J275" s="46"/>
      <x:c r="K275" s="100" t="str">
        <x:f>IF(B275="","",IF(G275="TL",1,IF(G275="USD",KURLAR!$C$9,IF(G275="EUR",KURLAR!$C$10,0))))</x:f>
      </x:c>
      <x:c r="L275" s="68" t="str">
        <x:f>IF(B275="","",I275*K275)</x:f>
      </x:c>
      <x:c r="M275" s="46"/>
      <x:c r="N275" s="52" t="str">
        <x:f>IF(B275="","",IF(OR(M275="Tahsil Edildi",M275="İptal",J275="Riskli"),"Hayır","Evet"))</x:f>
      </x:c>
    </x:row>
    <x:row r="276">
      <x:c r="B276" s="46"/>
      <x:c r="C276" s="46"/>
      <x:c r="D276" s="112"/>
      <x:c r="E276" s="112"/>
      <x:c r="F276" s="92"/>
      <x:c r="G276" s="92"/>
      <x:c r="H276" s="92"/>
      <x:c r="I276" s="93" t="str">
        <x:f>IF(B276="","",MAX(0,F276-H276))</x:f>
      </x:c>
      <x:c r="J276" s="46"/>
      <x:c r="K276" s="100" t="str">
        <x:f>IF(B276="","",IF(G276="TL",1,IF(G276="USD",KURLAR!$C$9,IF(G276="EUR",KURLAR!$C$10,0))))</x:f>
      </x:c>
      <x:c r="L276" s="68" t="str">
        <x:f>IF(B276="","",I276*K276)</x:f>
      </x:c>
      <x:c r="M276" s="46"/>
      <x:c r="N276" s="52" t="str">
        <x:f>IF(B276="","",IF(OR(M276="Tahsil Edildi",M276="İptal",J276="Riskli"),"Hayır","Evet"))</x:f>
      </x:c>
    </x:row>
    <x:row r="277">
      <x:c r="B277" s="46"/>
      <x:c r="C277" s="46"/>
      <x:c r="D277" s="112"/>
      <x:c r="E277" s="112"/>
      <x:c r="F277" s="92"/>
      <x:c r="G277" s="92"/>
      <x:c r="H277" s="92"/>
      <x:c r="I277" s="93" t="str">
        <x:f>IF(B277="","",MAX(0,F277-H277))</x:f>
      </x:c>
      <x:c r="J277" s="46"/>
      <x:c r="K277" s="100" t="str">
        <x:f>IF(B277="","",IF(G277="TL",1,IF(G277="USD",KURLAR!$C$9,IF(G277="EUR",KURLAR!$C$10,0))))</x:f>
      </x:c>
      <x:c r="L277" s="68" t="str">
        <x:f>IF(B277="","",I277*K277)</x:f>
      </x:c>
      <x:c r="M277" s="46"/>
      <x:c r="N277" s="52" t="str">
        <x:f>IF(B277="","",IF(OR(M277="Tahsil Edildi",M277="İptal",J277="Riskli"),"Hayır","Evet"))</x:f>
      </x:c>
    </x:row>
    <x:row r="278">
      <x:c r="B278" s="46"/>
      <x:c r="C278" s="46"/>
      <x:c r="D278" s="112"/>
      <x:c r="E278" s="112"/>
      <x:c r="F278" s="92"/>
      <x:c r="G278" s="92"/>
      <x:c r="H278" s="92"/>
      <x:c r="I278" s="93" t="str">
        <x:f>IF(B278="","",MAX(0,F278-H278))</x:f>
      </x:c>
      <x:c r="J278" s="46"/>
      <x:c r="K278" s="100" t="str">
        <x:f>IF(B278="","",IF(G278="TL",1,IF(G278="USD",KURLAR!$C$9,IF(G278="EUR",KURLAR!$C$10,0))))</x:f>
      </x:c>
      <x:c r="L278" s="68" t="str">
        <x:f>IF(B278="","",I278*K278)</x:f>
      </x:c>
      <x:c r="M278" s="46"/>
      <x:c r="N278" s="52" t="str">
        <x:f>IF(B278="","",IF(OR(M278="Tahsil Edildi",M278="İptal",J278="Riskli"),"Hayır","Evet"))</x:f>
      </x:c>
    </x:row>
    <x:row r="279">
      <x:c r="B279" s="46"/>
      <x:c r="C279" s="46"/>
      <x:c r="D279" s="112"/>
      <x:c r="E279" s="112"/>
      <x:c r="F279" s="92"/>
      <x:c r="G279" s="92"/>
      <x:c r="H279" s="92"/>
      <x:c r="I279" s="93" t="str">
        <x:f>IF(B279="","",MAX(0,F279-H279))</x:f>
      </x:c>
      <x:c r="J279" s="46"/>
      <x:c r="K279" s="100" t="str">
        <x:f>IF(B279="","",IF(G279="TL",1,IF(G279="USD",KURLAR!$C$9,IF(G279="EUR",KURLAR!$C$10,0))))</x:f>
      </x:c>
      <x:c r="L279" s="68" t="str">
        <x:f>IF(B279="","",I279*K279)</x:f>
      </x:c>
      <x:c r="M279" s="46"/>
      <x:c r="N279" s="52" t="str">
        <x:f>IF(B279="","",IF(OR(M279="Tahsil Edildi",M279="İptal",J279="Riskli"),"Hayır","Evet"))</x:f>
      </x:c>
    </x:row>
    <x:row r="280">
      <x:c r="B280" s="46"/>
      <x:c r="C280" s="46"/>
      <x:c r="D280" s="112"/>
      <x:c r="E280" s="112"/>
      <x:c r="F280" s="92"/>
      <x:c r="G280" s="92"/>
      <x:c r="H280" s="92"/>
      <x:c r="I280" s="93" t="str">
        <x:f>IF(B280="","",MAX(0,F280-H280))</x:f>
      </x:c>
      <x:c r="J280" s="46"/>
      <x:c r="K280" s="100" t="str">
        <x:f>IF(B280="","",IF(G280="TL",1,IF(G280="USD",KURLAR!$C$9,IF(G280="EUR",KURLAR!$C$10,0))))</x:f>
      </x:c>
      <x:c r="L280" s="68" t="str">
        <x:f>IF(B280="","",I280*K280)</x:f>
      </x:c>
      <x:c r="M280" s="46"/>
      <x:c r="N280" s="52" t="str">
        <x:f>IF(B280="","",IF(OR(M280="Tahsil Edildi",M280="İptal",J280="Riskli"),"Hayır","Evet"))</x:f>
      </x:c>
    </x:row>
    <x:row r="281">
      <x:c r="B281" s="46"/>
      <x:c r="C281" s="46"/>
      <x:c r="D281" s="112"/>
      <x:c r="E281" s="112"/>
      <x:c r="F281" s="92"/>
      <x:c r="G281" s="92"/>
      <x:c r="H281" s="92"/>
      <x:c r="I281" s="93" t="str">
        <x:f>IF(B281="","",MAX(0,F281-H281))</x:f>
      </x:c>
      <x:c r="J281" s="46"/>
      <x:c r="K281" s="100" t="str">
        <x:f>IF(B281="","",IF(G281="TL",1,IF(G281="USD",KURLAR!$C$9,IF(G281="EUR",KURLAR!$C$10,0))))</x:f>
      </x:c>
      <x:c r="L281" s="68" t="str">
        <x:f>IF(B281="","",I281*K281)</x:f>
      </x:c>
      <x:c r="M281" s="46"/>
      <x:c r="N281" s="52" t="str">
        <x:f>IF(B281="","",IF(OR(M281="Tahsil Edildi",M281="İptal",J281="Riskli"),"Hayır","Evet"))</x:f>
      </x:c>
    </x:row>
    <x:row r="282">
      <x:c r="B282" s="46"/>
      <x:c r="C282" s="46"/>
      <x:c r="D282" s="112"/>
      <x:c r="E282" s="112"/>
      <x:c r="F282" s="92"/>
      <x:c r="G282" s="92"/>
      <x:c r="H282" s="92"/>
      <x:c r="I282" s="93" t="str">
        <x:f>IF(B282="","",MAX(0,F282-H282))</x:f>
      </x:c>
      <x:c r="J282" s="46"/>
      <x:c r="K282" s="100" t="str">
        <x:f>IF(B282="","",IF(G282="TL",1,IF(G282="USD",KURLAR!$C$9,IF(G282="EUR",KURLAR!$C$10,0))))</x:f>
      </x:c>
      <x:c r="L282" s="68" t="str">
        <x:f>IF(B282="","",I282*K282)</x:f>
      </x:c>
      <x:c r="M282" s="46"/>
      <x:c r="N282" s="52" t="str">
        <x:f>IF(B282="","",IF(OR(M282="Tahsil Edildi",M282="İptal",J282="Riskli"),"Hayır","Evet"))</x:f>
      </x:c>
    </x:row>
    <x:row r="283">
      <x:c r="B283" s="46"/>
      <x:c r="C283" s="46"/>
      <x:c r="D283" s="112"/>
      <x:c r="E283" s="112"/>
      <x:c r="F283" s="92"/>
      <x:c r="G283" s="92"/>
      <x:c r="H283" s="92"/>
      <x:c r="I283" s="93" t="str">
        <x:f>IF(B283="","",MAX(0,F283-H283))</x:f>
      </x:c>
      <x:c r="J283" s="46"/>
      <x:c r="K283" s="100" t="str">
        <x:f>IF(B283="","",IF(G283="TL",1,IF(G283="USD",KURLAR!$C$9,IF(G283="EUR",KURLAR!$C$10,0))))</x:f>
      </x:c>
      <x:c r="L283" s="68" t="str">
        <x:f>IF(B283="","",I283*K283)</x:f>
      </x:c>
      <x:c r="M283" s="46"/>
      <x:c r="N283" s="52" t="str">
        <x:f>IF(B283="","",IF(OR(M283="Tahsil Edildi",M283="İptal",J283="Riskli"),"Hayır","Evet"))</x:f>
      </x:c>
    </x:row>
    <x:row r="284">
      <x:c r="B284" s="46"/>
      <x:c r="C284" s="46"/>
      <x:c r="D284" s="112"/>
      <x:c r="E284" s="112"/>
      <x:c r="F284" s="92"/>
      <x:c r="G284" s="92"/>
      <x:c r="H284" s="92"/>
      <x:c r="I284" s="93" t="str">
        <x:f>IF(B284="","",MAX(0,F284-H284))</x:f>
      </x:c>
      <x:c r="J284" s="46"/>
      <x:c r="K284" s="100" t="str">
        <x:f>IF(B284="","",IF(G284="TL",1,IF(G284="USD",KURLAR!$C$9,IF(G284="EUR",KURLAR!$C$10,0))))</x:f>
      </x:c>
      <x:c r="L284" s="68" t="str">
        <x:f>IF(B284="","",I284*K284)</x:f>
      </x:c>
      <x:c r="M284" s="46"/>
      <x:c r="N284" s="52" t="str">
        <x:f>IF(B284="","",IF(OR(M284="Tahsil Edildi",M284="İptal",J284="Riskli"),"Hayır","Evet"))</x:f>
      </x:c>
    </x:row>
    <x:row r="285">
      <x:c r="B285" s="46"/>
      <x:c r="C285" s="46"/>
      <x:c r="D285" s="112"/>
      <x:c r="E285" s="112"/>
      <x:c r="F285" s="92"/>
      <x:c r="G285" s="92"/>
      <x:c r="H285" s="92"/>
      <x:c r="I285" s="93" t="str">
        <x:f>IF(B285="","",MAX(0,F285-H285))</x:f>
      </x:c>
      <x:c r="J285" s="46"/>
      <x:c r="K285" s="100" t="str">
        <x:f>IF(B285="","",IF(G285="TL",1,IF(G285="USD",KURLAR!$C$9,IF(G285="EUR",KURLAR!$C$10,0))))</x:f>
      </x:c>
      <x:c r="L285" s="68" t="str">
        <x:f>IF(B285="","",I285*K285)</x:f>
      </x:c>
      <x:c r="M285" s="46"/>
      <x:c r="N285" s="52" t="str">
        <x:f>IF(B285="","",IF(OR(M285="Tahsil Edildi",M285="İptal",J285="Riskli"),"Hayır","Evet"))</x:f>
      </x:c>
    </x:row>
    <x:row r="286">
      <x:c r="B286" s="46"/>
      <x:c r="C286" s="46"/>
      <x:c r="D286" s="112"/>
      <x:c r="E286" s="112"/>
      <x:c r="F286" s="92"/>
      <x:c r="G286" s="92"/>
      <x:c r="H286" s="92"/>
      <x:c r="I286" s="93" t="str">
        <x:f>IF(B286="","",MAX(0,F286-H286))</x:f>
      </x:c>
      <x:c r="J286" s="46"/>
      <x:c r="K286" s="100" t="str">
        <x:f>IF(B286="","",IF(G286="TL",1,IF(G286="USD",KURLAR!$C$9,IF(G286="EUR",KURLAR!$C$10,0))))</x:f>
      </x:c>
      <x:c r="L286" s="68" t="str">
        <x:f>IF(B286="","",I286*K286)</x:f>
      </x:c>
      <x:c r="M286" s="46"/>
      <x:c r="N286" s="52" t="str">
        <x:f>IF(B286="","",IF(OR(M286="Tahsil Edildi",M286="İptal",J286="Riskli"),"Hayır","Evet"))</x:f>
      </x:c>
    </x:row>
    <x:row r="287">
      <x:c r="B287" s="46"/>
      <x:c r="C287" s="46"/>
      <x:c r="D287" s="112"/>
      <x:c r="E287" s="112"/>
      <x:c r="F287" s="92"/>
      <x:c r="G287" s="92"/>
      <x:c r="H287" s="92"/>
      <x:c r="I287" s="93" t="str">
        <x:f>IF(B287="","",MAX(0,F287-H287))</x:f>
      </x:c>
      <x:c r="J287" s="46"/>
      <x:c r="K287" s="100" t="str">
        <x:f>IF(B287="","",IF(G287="TL",1,IF(G287="USD",KURLAR!$C$9,IF(G287="EUR",KURLAR!$C$10,0))))</x:f>
      </x:c>
      <x:c r="L287" s="68" t="str">
        <x:f>IF(B287="","",I287*K287)</x:f>
      </x:c>
      <x:c r="M287" s="46"/>
      <x:c r="N287" s="52" t="str">
        <x:f>IF(B287="","",IF(OR(M287="Tahsil Edildi",M287="İptal",J287="Riskli"),"Hayır","Evet"))</x:f>
      </x:c>
    </x:row>
    <x:row r="288">
      <x:c r="B288" s="46"/>
      <x:c r="C288" s="46"/>
      <x:c r="D288" s="112"/>
      <x:c r="E288" s="112"/>
      <x:c r="F288" s="92"/>
      <x:c r="G288" s="92"/>
      <x:c r="H288" s="92"/>
      <x:c r="I288" s="93" t="str">
        <x:f>IF(B288="","",MAX(0,F288-H288))</x:f>
      </x:c>
      <x:c r="J288" s="46"/>
      <x:c r="K288" s="100" t="str">
        <x:f>IF(B288="","",IF(G288="TL",1,IF(G288="USD",KURLAR!$C$9,IF(G288="EUR",KURLAR!$C$10,0))))</x:f>
      </x:c>
      <x:c r="L288" s="68" t="str">
        <x:f>IF(B288="","",I288*K288)</x:f>
      </x:c>
      <x:c r="M288" s="46"/>
      <x:c r="N288" s="52" t="str">
        <x:f>IF(B288="","",IF(OR(M288="Tahsil Edildi",M288="İptal",J288="Riskli"),"Hayır","Evet"))</x:f>
      </x:c>
    </x:row>
    <x:row r="289">
      <x:c r="B289" s="46"/>
      <x:c r="C289" s="46"/>
      <x:c r="D289" s="112"/>
      <x:c r="E289" s="112"/>
      <x:c r="F289" s="92"/>
      <x:c r="G289" s="92"/>
      <x:c r="H289" s="92"/>
      <x:c r="I289" s="93" t="str">
        <x:f>IF(B289="","",MAX(0,F289-H289))</x:f>
      </x:c>
      <x:c r="J289" s="46"/>
      <x:c r="K289" s="100" t="str">
        <x:f>IF(B289="","",IF(G289="TL",1,IF(G289="USD",KURLAR!$C$9,IF(G289="EUR",KURLAR!$C$10,0))))</x:f>
      </x:c>
      <x:c r="L289" s="68" t="str">
        <x:f>IF(B289="","",I289*K289)</x:f>
      </x:c>
      <x:c r="M289" s="46"/>
      <x:c r="N289" s="52" t="str">
        <x:f>IF(B289="","",IF(OR(M289="Tahsil Edildi",M289="İptal",J289="Riskli"),"Hayır","Evet"))</x:f>
      </x:c>
    </x:row>
    <x:row r="290">
      <x:c r="B290" s="46"/>
      <x:c r="C290" s="46"/>
      <x:c r="D290" s="112"/>
      <x:c r="E290" s="112"/>
      <x:c r="F290" s="92"/>
      <x:c r="G290" s="92"/>
      <x:c r="H290" s="92"/>
      <x:c r="I290" s="93" t="str">
        <x:f>IF(B290="","",MAX(0,F290-H290))</x:f>
      </x:c>
      <x:c r="J290" s="46"/>
      <x:c r="K290" s="100" t="str">
        <x:f>IF(B290="","",IF(G290="TL",1,IF(G290="USD",KURLAR!$C$9,IF(G290="EUR",KURLAR!$C$10,0))))</x:f>
      </x:c>
      <x:c r="L290" s="68" t="str">
        <x:f>IF(B290="","",I290*K290)</x:f>
      </x:c>
      <x:c r="M290" s="46"/>
      <x:c r="N290" s="52" t="str">
        <x:f>IF(B290="","",IF(OR(M290="Tahsil Edildi",M290="İptal",J290="Riskli"),"Hayır","Evet"))</x:f>
      </x:c>
    </x:row>
    <x:row r="291">
      <x:c r="B291" s="46"/>
      <x:c r="C291" s="46"/>
      <x:c r="D291" s="112"/>
      <x:c r="E291" s="112"/>
      <x:c r="F291" s="92"/>
      <x:c r="G291" s="92"/>
      <x:c r="H291" s="92"/>
      <x:c r="I291" s="93" t="str">
        <x:f>IF(B291="","",MAX(0,F291-H291))</x:f>
      </x:c>
      <x:c r="J291" s="46"/>
      <x:c r="K291" s="100" t="str">
        <x:f>IF(B291="","",IF(G291="TL",1,IF(G291="USD",KURLAR!$C$9,IF(G291="EUR",KURLAR!$C$10,0))))</x:f>
      </x:c>
      <x:c r="L291" s="68" t="str">
        <x:f>IF(B291="","",I291*K291)</x:f>
      </x:c>
      <x:c r="M291" s="46"/>
      <x:c r="N291" s="52" t="str">
        <x:f>IF(B291="","",IF(OR(M291="Tahsil Edildi",M291="İptal",J291="Riskli"),"Hayır","Evet"))</x:f>
      </x:c>
    </x:row>
    <x:row r="292">
      <x:c r="B292" s="46"/>
      <x:c r="C292" s="46"/>
      <x:c r="D292" s="112"/>
      <x:c r="E292" s="112"/>
      <x:c r="F292" s="92"/>
      <x:c r="G292" s="92"/>
      <x:c r="H292" s="92"/>
      <x:c r="I292" s="93" t="str">
        <x:f>IF(B292="","",MAX(0,F292-H292))</x:f>
      </x:c>
      <x:c r="J292" s="46"/>
      <x:c r="K292" s="100" t="str">
        <x:f>IF(B292="","",IF(G292="TL",1,IF(G292="USD",KURLAR!$C$9,IF(G292="EUR",KURLAR!$C$10,0))))</x:f>
      </x:c>
      <x:c r="L292" s="68" t="str">
        <x:f>IF(B292="","",I292*K292)</x:f>
      </x:c>
      <x:c r="M292" s="46"/>
      <x:c r="N292" s="52" t="str">
        <x:f>IF(B292="","",IF(OR(M292="Tahsil Edildi",M292="İptal",J292="Riskli"),"Hayır","Evet"))</x:f>
      </x:c>
    </x:row>
    <x:row r="293">
      <x:c r="B293" s="46"/>
      <x:c r="C293" s="46"/>
      <x:c r="D293" s="112"/>
      <x:c r="E293" s="112"/>
      <x:c r="F293" s="92"/>
      <x:c r="G293" s="92"/>
      <x:c r="H293" s="92"/>
      <x:c r="I293" s="93" t="str">
        <x:f>IF(B293="","",MAX(0,F293-H293))</x:f>
      </x:c>
      <x:c r="J293" s="46"/>
      <x:c r="K293" s="100" t="str">
        <x:f>IF(B293="","",IF(G293="TL",1,IF(G293="USD",KURLAR!$C$9,IF(G293="EUR",KURLAR!$C$10,0))))</x:f>
      </x:c>
      <x:c r="L293" s="68" t="str">
        <x:f>IF(B293="","",I293*K293)</x:f>
      </x:c>
      <x:c r="M293" s="46"/>
      <x:c r="N293" s="52" t="str">
        <x:f>IF(B293="","",IF(OR(M293="Tahsil Edildi",M293="İptal",J293="Riskli"),"Hayır","Evet"))</x:f>
      </x:c>
    </x:row>
    <x:row r="294">
      <x:c r="B294" s="46"/>
      <x:c r="C294" s="46"/>
      <x:c r="D294" s="112"/>
      <x:c r="E294" s="112"/>
      <x:c r="F294" s="92"/>
      <x:c r="G294" s="92"/>
      <x:c r="H294" s="92"/>
      <x:c r="I294" s="93" t="str">
        <x:f>IF(B294="","",MAX(0,F294-H294))</x:f>
      </x:c>
      <x:c r="J294" s="46"/>
      <x:c r="K294" s="100" t="str">
        <x:f>IF(B294="","",IF(G294="TL",1,IF(G294="USD",KURLAR!$C$9,IF(G294="EUR",KURLAR!$C$10,0))))</x:f>
      </x:c>
      <x:c r="L294" s="68" t="str">
        <x:f>IF(B294="","",I294*K294)</x:f>
      </x:c>
      <x:c r="M294" s="46"/>
      <x:c r="N294" s="52" t="str">
        <x:f>IF(B294="","",IF(OR(M294="Tahsil Edildi",M294="İptal",J294="Riskli"),"Hayır","Evet"))</x:f>
      </x:c>
    </x:row>
    <x:row r="295">
      <x:c r="B295" s="46"/>
      <x:c r="C295" s="46"/>
      <x:c r="D295" s="112"/>
      <x:c r="E295" s="112"/>
      <x:c r="F295" s="92"/>
      <x:c r="G295" s="92"/>
      <x:c r="H295" s="92"/>
      <x:c r="I295" s="93" t="str">
        <x:f>IF(B295="","",MAX(0,F295-H295))</x:f>
      </x:c>
      <x:c r="J295" s="46"/>
      <x:c r="K295" s="100" t="str">
        <x:f>IF(B295="","",IF(G295="TL",1,IF(G295="USD",KURLAR!$C$9,IF(G295="EUR",KURLAR!$C$10,0))))</x:f>
      </x:c>
      <x:c r="L295" s="68" t="str">
        <x:f>IF(B295="","",I295*K295)</x:f>
      </x:c>
      <x:c r="M295" s="46"/>
      <x:c r="N295" s="52" t="str">
        <x:f>IF(B295="","",IF(OR(M295="Tahsil Edildi",M295="İptal",J295="Riskli"),"Hayır","Evet"))</x:f>
      </x:c>
    </x:row>
    <x:row r="296">
      <x:c r="B296" s="46"/>
      <x:c r="C296" s="46"/>
      <x:c r="D296" s="112"/>
      <x:c r="E296" s="112"/>
      <x:c r="F296" s="92"/>
      <x:c r="G296" s="92"/>
      <x:c r="H296" s="92"/>
      <x:c r="I296" s="93" t="str">
        <x:f>IF(B296="","",MAX(0,F296-H296))</x:f>
      </x:c>
      <x:c r="J296" s="46"/>
      <x:c r="K296" s="100" t="str">
        <x:f>IF(B296="","",IF(G296="TL",1,IF(G296="USD",KURLAR!$C$9,IF(G296="EUR",KURLAR!$C$10,0))))</x:f>
      </x:c>
      <x:c r="L296" s="68" t="str">
        <x:f>IF(B296="","",I296*K296)</x:f>
      </x:c>
      <x:c r="M296" s="46"/>
      <x:c r="N296" s="52" t="str">
        <x:f>IF(B296="","",IF(OR(M296="Tahsil Edildi",M296="İptal",J296="Riskli"),"Hayır","Evet"))</x:f>
      </x:c>
    </x:row>
    <x:row r="297">
      <x:c r="B297" s="46"/>
      <x:c r="C297" s="46"/>
      <x:c r="D297" s="112"/>
      <x:c r="E297" s="112"/>
      <x:c r="F297" s="92"/>
      <x:c r="G297" s="92"/>
      <x:c r="H297" s="92"/>
      <x:c r="I297" s="93" t="str">
        <x:f>IF(B297="","",MAX(0,F297-H297))</x:f>
      </x:c>
      <x:c r="J297" s="46"/>
      <x:c r="K297" s="100" t="str">
        <x:f>IF(B297="","",IF(G297="TL",1,IF(G297="USD",KURLAR!$C$9,IF(G297="EUR",KURLAR!$C$10,0))))</x:f>
      </x:c>
      <x:c r="L297" s="68" t="str">
        <x:f>IF(B297="","",I297*K297)</x:f>
      </x:c>
      <x:c r="M297" s="46"/>
      <x:c r="N297" s="52" t="str">
        <x:f>IF(B297="","",IF(OR(M297="Tahsil Edildi",M297="İptal",J297="Riskli"),"Hayır","Evet"))</x:f>
      </x:c>
    </x:row>
    <x:row r="298">
      <x:c r="B298" s="46"/>
      <x:c r="C298" s="46"/>
      <x:c r="D298" s="112"/>
      <x:c r="E298" s="112"/>
      <x:c r="F298" s="92"/>
      <x:c r="G298" s="92"/>
      <x:c r="H298" s="92"/>
      <x:c r="I298" s="93" t="str">
        <x:f>IF(B298="","",MAX(0,F298-H298))</x:f>
      </x:c>
      <x:c r="J298" s="46"/>
      <x:c r="K298" s="100" t="str">
        <x:f>IF(B298="","",IF(G298="TL",1,IF(G298="USD",KURLAR!$C$9,IF(G298="EUR",KURLAR!$C$10,0))))</x:f>
      </x:c>
      <x:c r="L298" s="68" t="str">
        <x:f>IF(B298="","",I298*K298)</x:f>
      </x:c>
      <x:c r="M298" s="46"/>
      <x:c r="N298" s="52" t="str">
        <x:f>IF(B298="","",IF(OR(M298="Tahsil Edildi",M298="İptal",J298="Riskli"),"Hayır","Evet"))</x:f>
      </x:c>
    </x:row>
    <x:row r="299">
      <x:c r="B299" s="46"/>
      <x:c r="C299" s="46"/>
      <x:c r="D299" s="112"/>
      <x:c r="E299" s="112"/>
      <x:c r="F299" s="92"/>
      <x:c r="G299" s="92"/>
      <x:c r="H299" s="92"/>
      <x:c r="I299" s="93" t="str">
        <x:f>IF(B299="","",MAX(0,F299-H299))</x:f>
      </x:c>
      <x:c r="J299" s="46"/>
      <x:c r="K299" s="100" t="str">
        <x:f>IF(B299="","",IF(G299="TL",1,IF(G299="USD",KURLAR!$C$9,IF(G299="EUR",KURLAR!$C$10,0))))</x:f>
      </x:c>
      <x:c r="L299" s="68" t="str">
        <x:f>IF(B299="","",I299*K299)</x:f>
      </x:c>
      <x:c r="M299" s="46"/>
      <x:c r="N299" s="52" t="str">
        <x:f>IF(B299="","",IF(OR(M299="Tahsil Edildi",M299="İptal",J299="Riskli"),"Hayır","Evet"))</x:f>
      </x:c>
    </x:row>
    <x:row r="300">
      <x:c r="B300" s="46"/>
      <x:c r="C300" s="46"/>
      <x:c r="D300" s="112"/>
      <x:c r="E300" s="112"/>
      <x:c r="F300" s="92"/>
      <x:c r="G300" s="92"/>
      <x:c r="H300" s="92"/>
      <x:c r="I300" s="93" t="str">
        <x:f>IF(B300="","",MAX(0,F300-H300))</x:f>
      </x:c>
      <x:c r="J300" s="46"/>
      <x:c r="K300" s="100" t="str">
        <x:f>IF(B300="","",IF(G300="TL",1,IF(G300="USD",KURLAR!$C$9,IF(G300="EUR",KURLAR!$C$10,0))))</x:f>
      </x:c>
      <x:c r="L300" s="68" t="str">
        <x:f>IF(B300="","",I300*K300)</x:f>
      </x:c>
      <x:c r="M300" s="46"/>
      <x:c r="N300" s="52" t="str">
        <x:f>IF(B300="","",IF(OR(M300="Tahsil Edildi",M300="İptal",J300="Riskli"),"Hayır","Evet"))</x:f>
      </x:c>
    </x:row>
    <x:row r="301">
      <x:c r="B301" s="46"/>
      <x:c r="C301" s="46"/>
      <x:c r="D301" s="112"/>
      <x:c r="E301" s="112"/>
      <x:c r="F301" s="92"/>
      <x:c r="G301" s="92"/>
      <x:c r="H301" s="92"/>
      <x:c r="I301" s="93" t="str">
        <x:f>IF(B301="","",MAX(0,F301-H301))</x:f>
      </x:c>
      <x:c r="J301" s="46"/>
      <x:c r="K301" s="100" t="str">
        <x:f>IF(B301="","",IF(G301="TL",1,IF(G301="USD",KURLAR!$C$9,IF(G301="EUR",KURLAR!$C$10,0))))</x:f>
      </x:c>
      <x:c r="L301" s="68" t="str">
        <x:f>IF(B301="","",I301*K301)</x:f>
      </x:c>
      <x:c r="M301" s="46"/>
      <x:c r="N301" s="52" t="str">
        <x:f>IF(B301="","",IF(OR(M301="Tahsil Edildi",M301="İptal",J301="Riskli"),"Hayır","Evet"))</x:f>
      </x:c>
    </x:row>
    <x:row r="302">
      <x:c r="B302" s="46"/>
      <x:c r="C302" s="46"/>
      <x:c r="D302" s="112"/>
      <x:c r="E302" s="112"/>
      <x:c r="F302" s="92"/>
      <x:c r="G302" s="92"/>
      <x:c r="H302" s="92"/>
      <x:c r="I302" s="93" t="str">
        <x:f>IF(B302="","",MAX(0,F302-H302))</x:f>
      </x:c>
      <x:c r="J302" s="46"/>
      <x:c r="K302" s="100" t="str">
        <x:f>IF(B302="","",IF(G302="TL",1,IF(G302="USD",KURLAR!$C$9,IF(G302="EUR",KURLAR!$C$10,0))))</x:f>
      </x:c>
      <x:c r="L302" s="68" t="str">
        <x:f>IF(B302="","",I302*K302)</x:f>
      </x:c>
      <x:c r="M302" s="46"/>
      <x:c r="N302" s="52" t="str">
        <x:f>IF(B302="","",IF(OR(M302="Tahsil Edildi",M302="İptal",J302="Riskli"),"Hayır","Evet"))</x:f>
      </x:c>
    </x:row>
    <x:row r="303">
      <x:c r="B303" s="46"/>
      <x:c r="C303" s="46"/>
      <x:c r="D303" s="112"/>
      <x:c r="E303" s="112"/>
      <x:c r="F303" s="92"/>
      <x:c r="G303" s="92"/>
      <x:c r="H303" s="92"/>
      <x:c r="I303" s="93" t="str">
        <x:f>IF(B303="","",MAX(0,F303-H303))</x:f>
      </x:c>
      <x:c r="J303" s="46"/>
      <x:c r="K303" s="100" t="str">
        <x:f>IF(B303="","",IF(G303="TL",1,IF(G303="USD",KURLAR!$C$9,IF(G303="EUR",KURLAR!$C$10,0))))</x:f>
      </x:c>
      <x:c r="L303" s="68" t="str">
        <x:f>IF(B303="","",I303*K303)</x:f>
      </x:c>
      <x:c r="M303" s="46"/>
      <x:c r="N303" s="52" t="str">
        <x:f>IF(B303="","",IF(OR(M303="Tahsil Edildi",M303="İptal",J303="Riskli"),"Hayır","Evet"))</x:f>
      </x:c>
    </x:row>
    <x:row r="304">
      <x:c r="B304" s="46"/>
      <x:c r="C304" s="46"/>
      <x:c r="D304" s="112"/>
      <x:c r="E304" s="112"/>
      <x:c r="F304" s="92"/>
      <x:c r="G304" s="92"/>
      <x:c r="H304" s="92"/>
      <x:c r="I304" s="93" t="str">
        <x:f>IF(B304="","",MAX(0,F304-H304))</x:f>
      </x:c>
      <x:c r="J304" s="46"/>
      <x:c r="K304" s="100" t="str">
        <x:f>IF(B304="","",IF(G304="TL",1,IF(G304="USD",KURLAR!$C$9,IF(G304="EUR",KURLAR!$C$10,0))))</x:f>
      </x:c>
      <x:c r="L304" s="68" t="str">
        <x:f>IF(B304="","",I304*K304)</x:f>
      </x:c>
      <x:c r="M304" s="46"/>
      <x:c r="N304" s="52" t="str">
        <x:f>IF(B304="","",IF(OR(M304="Tahsil Edildi",M304="İptal",J304="Riskli"),"Hayır","Evet"))</x:f>
      </x:c>
    </x:row>
    <x:row r="305">
      <x:c r="B305" s="46"/>
      <x:c r="C305" s="46"/>
      <x:c r="D305" s="112"/>
      <x:c r="E305" s="112"/>
      <x:c r="F305" s="92"/>
      <x:c r="G305" s="92"/>
      <x:c r="H305" s="92"/>
      <x:c r="I305" s="93" t="str">
        <x:f>IF(B305="","",MAX(0,F305-H305))</x:f>
      </x:c>
      <x:c r="J305" s="46"/>
      <x:c r="K305" s="100" t="str">
        <x:f>IF(B305="","",IF(G305="TL",1,IF(G305="USD",KURLAR!$C$9,IF(G305="EUR",KURLAR!$C$10,0))))</x:f>
      </x:c>
      <x:c r="L305" s="68" t="str">
        <x:f>IF(B305="","",I305*K305)</x:f>
      </x:c>
      <x:c r="M305" s="46"/>
      <x:c r="N305" s="52" t="str">
        <x:f>IF(B305="","",IF(OR(M305="Tahsil Edildi",M305="İptal",J305="Riskli"),"Hayır","Evet"))</x:f>
      </x:c>
    </x:row>
    <x:row r="306">
      <x:c r="B306" s="46"/>
      <x:c r="C306" s="46"/>
      <x:c r="D306" s="112"/>
      <x:c r="E306" s="112"/>
      <x:c r="F306" s="92"/>
      <x:c r="G306" s="92"/>
      <x:c r="H306" s="92"/>
      <x:c r="I306" s="93" t="str">
        <x:f>IF(B306="","",MAX(0,F306-H306))</x:f>
      </x:c>
      <x:c r="J306" s="46"/>
      <x:c r="K306" s="100" t="str">
        <x:f>IF(B306="","",IF(G306="TL",1,IF(G306="USD",KURLAR!$C$9,IF(G306="EUR",KURLAR!$C$10,0))))</x:f>
      </x:c>
      <x:c r="L306" s="68" t="str">
        <x:f>IF(B306="","",I306*K306)</x:f>
      </x:c>
      <x:c r="M306" s="46"/>
      <x:c r="N306" s="52" t="str">
        <x:f>IF(B306="","",IF(OR(M306="Tahsil Edildi",M306="İptal",J306="Riskli"),"Hayır","Evet"))</x:f>
      </x:c>
    </x:row>
    <x:row r="307">
      <x:c r="B307" s="46"/>
      <x:c r="C307" s="46"/>
      <x:c r="D307" s="112"/>
      <x:c r="E307" s="112"/>
      <x:c r="F307" s="92"/>
      <x:c r="G307" s="92"/>
      <x:c r="H307" s="92"/>
      <x:c r="I307" s="93" t="str">
        <x:f>IF(B307="","",MAX(0,F307-H307))</x:f>
      </x:c>
      <x:c r="J307" s="46"/>
      <x:c r="K307" s="100" t="str">
        <x:f>IF(B307="","",IF(G307="TL",1,IF(G307="USD",KURLAR!$C$9,IF(G307="EUR",KURLAR!$C$10,0))))</x:f>
      </x:c>
      <x:c r="L307" s="68" t="str">
        <x:f>IF(B307="","",I307*K307)</x:f>
      </x:c>
      <x:c r="M307" s="46"/>
      <x:c r="N307" s="52" t="str">
        <x:f>IF(B307="","",IF(OR(M307="Tahsil Edildi",M307="İptal",J307="Riskli"),"Hayır","Evet"))</x:f>
      </x:c>
    </x:row>
    <x:row r="308">
      <x:c r="B308" s="46"/>
      <x:c r="C308" s="46"/>
      <x:c r="D308" s="112"/>
      <x:c r="E308" s="112"/>
      <x:c r="F308" s="92"/>
      <x:c r="G308" s="92"/>
      <x:c r="H308" s="92"/>
      <x:c r="I308" s="93" t="str">
        <x:f>IF(B308="","",MAX(0,F308-H308))</x:f>
      </x:c>
      <x:c r="J308" s="46"/>
      <x:c r="K308" s="100" t="str">
        <x:f>IF(B308="","",IF(G308="TL",1,IF(G308="USD",KURLAR!$C$9,IF(G308="EUR",KURLAR!$C$10,0))))</x:f>
      </x:c>
      <x:c r="L308" s="68" t="str">
        <x:f>IF(B308="","",I308*K308)</x:f>
      </x:c>
      <x:c r="M308" s="46"/>
      <x:c r="N308" s="52" t="str">
        <x:f>IF(B308="","",IF(OR(M308="Tahsil Edildi",M308="İptal",J308="Riskli"),"Hayır","Evet"))</x:f>
      </x:c>
    </x:row>
    <x:row r="309">
      <x:c r="B309" s="46"/>
      <x:c r="C309" s="46"/>
      <x:c r="D309" s="112"/>
      <x:c r="E309" s="112"/>
      <x:c r="F309" s="92"/>
      <x:c r="G309" s="92"/>
      <x:c r="H309" s="92"/>
      <x:c r="I309" s="93" t="str">
        <x:f>IF(B309="","",MAX(0,F309-H309))</x:f>
      </x:c>
      <x:c r="J309" s="46"/>
      <x:c r="K309" s="100" t="str">
        <x:f>IF(B309="","",IF(G309="TL",1,IF(G309="USD",KURLAR!$C$9,IF(G309="EUR",KURLAR!$C$10,0))))</x:f>
      </x:c>
      <x:c r="L309" s="68" t="str">
        <x:f>IF(B309="","",I309*K309)</x:f>
      </x:c>
      <x:c r="M309" s="46"/>
      <x:c r="N309" s="52" t="str">
        <x:f>IF(B309="","",IF(OR(M309="Tahsil Edildi",M309="İptal",J309="Riskli"),"Hayır","Evet"))</x:f>
      </x:c>
    </x:row>
    <x:row r="310">
      <x:c r="B310" s="46"/>
      <x:c r="C310" s="46"/>
      <x:c r="D310" s="112"/>
      <x:c r="E310" s="112"/>
      <x:c r="F310" s="92"/>
      <x:c r="G310" s="92"/>
      <x:c r="H310" s="92"/>
      <x:c r="I310" s="93" t="str">
        <x:f>IF(B310="","",MAX(0,F310-H310))</x:f>
      </x:c>
      <x:c r="J310" s="46"/>
      <x:c r="K310" s="100" t="str">
        <x:f>IF(B310="","",IF(G310="TL",1,IF(G310="USD",KURLAR!$C$9,IF(G310="EUR",KURLAR!$C$10,0))))</x:f>
      </x:c>
      <x:c r="L310" s="68" t="str">
        <x:f>IF(B310="","",I310*K310)</x:f>
      </x:c>
      <x:c r="M310" s="46"/>
      <x:c r="N310" s="52" t="str">
        <x:f>IF(B310="","",IF(OR(M310="Tahsil Edildi",M310="İptal",J310="Riskli"),"Hayır","Evet"))</x:f>
      </x:c>
    </x:row>
    <x:row r="311">
      <x:c r="B311" s="46"/>
      <x:c r="C311" s="46"/>
      <x:c r="D311" s="112"/>
      <x:c r="E311" s="112"/>
      <x:c r="F311" s="92"/>
      <x:c r="G311" s="92"/>
      <x:c r="H311" s="92"/>
      <x:c r="I311" s="93" t="str">
        <x:f>IF(B311="","",MAX(0,F311-H311))</x:f>
      </x:c>
      <x:c r="J311" s="46"/>
      <x:c r="K311" s="100" t="str">
        <x:f>IF(B311="","",IF(G311="TL",1,IF(G311="USD",KURLAR!$C$9,IF(G311="EUR",KURLAR!$C$10,0))))</x:f>
      </x:c>
      <x:c r="L311" s="68" t="str">
        <x:f>IF(B311="","",I311*K311)</x:f>
      </x:c>
      <x:c r="M311" s="46"/>
      <x:c r="N311" s="52" t="str">
        <x:f>IF(B311="","",IF(OR(M311="Tahsil Edildi",M311="İptal",J311="Riskli"),"Hayır","Evet"))</x:f>
      </x:c>
    </x:row>
    <x:row r="312">
      <x:c r="B312" s="46"/>
      <x:c r="C312" s="46"/>
      <x:c r="D312" s="112"/>
      <x:c r="E312" s="112"/>
      <x:c r="F312" s="92"/>
      <x:c r="G312" s="92"/>
      <x:c r="H312" s="92"/>
      <x:c r="I312" s="93" t="str">
        <x:f>IF(B312="","",MAX(0,F312-H312))</x:f>
      </x:c>
      <x:c r="J312" s="46"/>
      <x:c r="K312" s="100" t="str">
        <x:f>IF(B312="","",IF(G312="TL",1,IF(G312="USD",KURLAR!$C$9,IF(G312="EUR",KURLAR!$C$10,0))))</x:f>
      </x:c>
      <x:c r="L312" s="68" t="str">
        <x:f>IF(B312="","",I312*K312)</x:f>
      </x:c>
      <x:c r="M312" s="46"/>
      <x:c r="N312" s="52" t="str">
        <x:f>IF(B312="","",IF(OR(M312="Tahsil Edildi",M312="İptal",J312="Riskli"),"Hayır","Evet"))</x:f>
      </x:c>
    </x:row>
    <x:row r="313">
      <x:c r="B313" s="46"/>
      <x:c r="C313" s="46"/>
      <x:c r="D313" s="112"/>
      <x:c r="E313" s="112"/>
      <x:c r="F313" s="92"/>
      <x:c r="G313" s="92"/>
      <x:c r="H313" s="92"/>
      <x:c r="I313" s="93" t="str">
        <x:f>IF(B313="","",MAX(0,F313-H313))</x:f>
      </x:c>
      <x:c r="J313" s="46"/>
      <x:c r="K313" s="100" t="str">
        <x:f>IF(B313="","",IF(G313="TL",1,IF(G313="USD",KURLAR!$C$9,IF(G313="EUR",KURLAR!$C$10,0))))</x:f>
      </x:c>
      <x:c r="L313" s="68" t="str">
        <x:f>IF(B313="","",I313*K313)</x:f>
      </x:c>
      <x:c r="M313" s="46"/>
      <x:c r="N313" s="52" t="str">
        <x:f>IF(B313="","",IF(OR(M313="Tahsil Edildi",M313="İptal",J313="Riskli"),"Hayır","Evet"))</x:f>
      </x:c>
    </x:row>
    <x:row r="314">
      <x:c r="B314" s="46"/>
      <x:c r="C314" s="46"/>
      <x:c r="D314" s="112"/>
      <x:c r="E314" s="112"/>
      <x:c r="F314" s="92"/>
      <x:c r="G314" s="92"/>
      <x:c r="H314" s="92"/>
      <x:c r="I314" s="93" t="str">
        <x:f>IF(B314="","",MAX(0,F314-H314))</x:f>
      </x:c>
      <x:c r="J314" s="46"/>
      <x:c r="K314" s="100" t="str">
        <x:f>IF(B314="","",IF(G314="TL",1,IF(G314="USD",KURLAR!$C$9,IF(G314="EUR",KURLAR!$C$10,0))))</x:f>
      </x:c>
      <x:c r="L314" s="68" t="str">
        <x:f>IF(B314="","",I314*K314)</x:f>
      </x:c>
      <x:c r="M314" s="46"/>
      <x:c r="N314" s="52" t="str">
        <x:f>IF(B314="","",IF(OR(M314="Tahsil Edildi",M314="İptal",J314="Riskli"),"Hayır","Evet"))</x:f>
      </x:c>
    </x:row>
    <x:row r="315">
      <x:c r="B315" s="46"/>
      <x:c r="C315" s="46"/>
      <x:c r="D315" s="112"/>
      <x:c r="E315" s="112"/>
      <x:c r="F315" s="92"/>
      <x:c r="G315" s="92"/>
      <x:c r="H315" s="92"/>
      <x:c r="I315" s="93" t="str">
        <x:f>IF(B315="","",MAX(0,F315-H315))</x:f>
      </x:c>
      <x:c r="J315" s="46"/>
      <x:c r="K315" s="100" t="str">
        <x:f>IF(B315="","",IF(G315="TL",1,IF(G315="USD",KURLAR!$C$9,IF(G315="EUR",KURLAR!$C$10,0))))</x:f>
      </x:c>
      <x:c r="L315" s="68" t="str">
        <x:f>IF(B315="","",I315*K315)</x:f>
      </x:c>
      <x:c r="M315" s="46"/>
      <x:c r="N315" s="52" t="str">
        <x:f>IF(B315="","",IF(OR(M315="Tahsil Edildi",M315="İptal",J315="Riskli"),"Hayır","Evet"))</x:f>
      </x:c>
    </x:row>
    <x:row r="316">
      <x:c r="B316" s="46"/>
      <x:c r="C316" s="46"/>
      <x:c r="D316" s="112"/>
      <x:c r="E316" s="112"/>
      <x:c r="F316" s="92"/>
      <x:c r="G316" s="92"/>
      <x:c r="H316" s="92"/>
      <x:c r="I316" s="93" t="str">
        <x:f>IF(B316="","",MAX(0,F316-H316))</x:f>
      </x:c>
      <x:c r="J316" s="46"/>
      <x:c r="K316" s="100" t="str">
        <x:f>IF(B316="","",IF(G316="TL",1,IF(G316="USD",KURLAR!$C$9,IF(G316="EUR",KURLAR!$C$10,0))))</x:f>
      </x:c>
      <x:c r="L316" s="68" t="str">
        <x:f>IF(B316="","",I316*K316)</x:f>
      </x:c>
      <x:c r="M316" s="46"/>
      <x:c r="N316" s="52" t="str">
        <x:f>IF(B316="","",IF(OR(M316="Tahsil Edildi",M316="İptal",J316="Riskli"),"Hayır","Evet"))</x:f>
      </x:c>
    </x:row>
    <x:row r="317">
      <x:c r="B317" s="46"/>
      <x:c r="C317" s="46"/>
      <x:c r="D317" s="112"/>
      <x:c r="E317" s="112"/>
      <x:c r="F317" s="92"/>
      <x:c r="G317" s="92"/>
      <x:c r="H317" s="92"/>
      <x:c r="I317" s="93" t="str">
        <x:f>IF(B317="","",MAX(0,F317-H317))</x:f>
      </x:c>
      <x:c r="J317" s="46"/>
      <x:c r="K317" s="100" t="str">
        <x:f>IF(B317="","",IF(G317="TL",1,IF(G317="USD",KURLAR!$C$9,IF(G317="EUR",KURLAR!$C$10,0))))</x:f>
      </x:c>
      <x:c r="L317" s="68" t="str">
        <x:f>IF(B317="","",I317*K317)</x:f>
      </x:c>
      <x:c r="M317" s="46"/>
      <x:c r="N317" s="52" t="str">
        <x:f>IF(B317="","",IF(OR(M317="Tahsil Edildi",M317="İptal",J317="Riskli"),"Hayır","Evet"))</x:f>
      </x:c>
    </x:row>
    <x:row r="318">
      <x:c r="B318" s="46"/>
      <x:c r="C318" s="46"/>
      <x:c r="D318" s="112"/>
      <x:c r="E318" s="112"/>
      <x:c r="F318" s="92"/>
      <x:c r="G318" s="92"/>
      <x:c r="H318" s="92"/>
      <x:c r="I318" s="93" t="str">
        <x:f>IF(B318="","",MAX(0,F318-H318))</x:f>
      </x:c>
      <x:c r="J318" s="46"/>
      <x:c r="K318" s="100" t="str">
        <x:f>IF(B318="","",IF(G318="TL",1,IF(G318="USD",KURLAR!$C$9,IF(G318="EUR",KURLAR!$C$10,0))))</x:f>
      </x:c>
      <x:c r="L318" s="68" t="str">
        <x:f>IF(B318="","",I318*K318)</x:f>
      </x:c>
      <x:c r="M318" s="46"/>
      <x:c r="N318" s="52" t="str">
        <x:f>IF(B318="","",IF(OR(M318="Tahsil Edildi",M318="İptal",J318="Riskli"),"Hayır","Evet"))</x:f>
      </x:c>
    </x:row>
    <x:row r="319">
      <x:c r="B319" s="46"/>
      <x:c r="C319" s="46"/>
      <x:c r="D319" s="112"/>
      <x:c r="E319" s="112"/>
      <x:c r="F319" s="92"/>
      <x:c r="G319" s="92"/>
      <x:c r="H319" s="92"/>
      <x:c r="I319" s="93" t="str">
        <x:f>IF(B319="","",MAX(0,F319-H319))</x:f>
      </x:c>
      <x:c r="J319" s="46"/>
      <x:c r="K319" s="100" t="str">
        <x:f>IF(B319="","",IF(G319="TL",1,IF(G319="USD",KURLAR!$C$9,IF(G319="EUR",KURLAR!$C$10,0))))</x:f>
      </x:c>
      <x:c r="L319" s="68" t="str">
        <x:f>IF(B319="","",I319*K319)</x:f>
      </x:c>
      <x:c r="M319" s="46"/>
      <x:c r="N319" s="52" t="str">
        <x:f>IF(B319="","",IF(OR(M319="Tahsil Edildi",M319="İptal",J319="Riskli"),"Hayır","Evet"))</x:f>
      </x:c>
    </x:row>
    <x:row r="320">
      <x:c r="B320" s="46"/>
      <x:c r="C320" s="46"/>
      <x:c r="D320" s="112"/>
      <x:c r="E320" s="112"/>
      <x:c r="F320" s="92"/>
      <x:c r="G320" s="92"/>
      <x:c r="H320" s="92"/>
      <x:c r="I320" s="93" t="str">
        <x:f>IF(B320="","",MAX(0,F320-H320))</x:f>
      </x:c>
      <x:c r="J320" s="46"/>
      <x:c r="K320" s="100" t="str">
        <x:f>IF(B320="","",IF(G320="TL",1,IF(G320="USD",KURLAR!$C$9,IF(G320="EUR",KURLAR!$C$10,0))))</x:f>
      </x:c>
      <x:c r="L320" s="68" t="str">
        <x:f>IF(B320="","",I320*K320)</x:f>
      </x:c>
      <x:c r="M320" s="46"/>
      <x:c r="N320" s="52" t="str">
        <x:f>IF(B320="","",IF(OR(M320="Tahsil Edildi",M320="İptal",J320="Riskli"),"Hayır","Evet"))</x:f>
      </x:c>
    </x:row>
    <x:row r="321">
      <x:c r="B321" s="46"/>
      <x:c r="C321" s="46"/>
      <x:c r="D321" s="112"/>
      <x:c r="E321" s="112"/>
      <x:c r="F321" s="92"/>
      <x:c r="G321" s="92"/>
      <x:c r="H321" s="92"/>
      <x:c r="I321" s="93" t="str">
        <x:f>IF(B321="","",MAX(0,F321-H321))</x:f>
      </x:c>
      <x:c r="J321" s="46"/>
      <x:c r="K321" s="100" t="str">
        <x:f>IF(B321="","",IF(G321="TL",1,IF(G321="USD",KURLAR!$C$9,IF(G321="EUR",KURLAR!$C$10,0))))</x:f>
      </x:c>
      <x:c r="L321" s="68" t="str">
        <x:f>IF(B321="","",I321*K321)</x:f>
      </x:c>
      <x:c r="M321" s="46"/>
      <x:c r="N321" s="52" t="str">
        <x:f>IF(B321="","",IF(OR(M321="Tahsil Edildi",M321="İptal",J321="Riskli"),"Hayır","Evet"))</x:f>
      </x:c>
    </x:row>
    <x:row r="322">
      <x:c r="B322" s="46"/>
      <x:c r="C322" s="46"/>
      <x:c r="D322" s="112"/>
      <x:c r="E322" s="112"/>
      <x:c r="F322" s="92"/>
      <x:c r="G322" s="92"/>
      <x:c r="H322" s="92"/>
      <x:c r="I322" s="93" t="str">
        <x:f>IF(B322="","",MAX(0,F322-H322))</x:f>
      </x:c>
      <x:c r="J322" s="46"/>
      <x:c r="K322" s="100" t="str">
        <x:f>IF(B322="","",IF(G322="TL",1,IF(G322="USD",KURLAR!$C$9,IF(G322="EUR",KURLAR!$C$10,0))))</x:f>
      </x:c>
      <x:c r="L322" s="68" t="str">
        <x:f>IF(B322="","",I322*K322)</x:f>
      </x:c>
      <x:c r="M322" s="46"/>
      <x:c r="N322" s="52" t="str">
        <x:f>IF(B322="","",IF(OR(M322="Tahsil Edildi",M322="İptal",J322="Riskli"),"Hayır","Evet"))</x:f>
      </x:c>
    </x:row>
    <x:row r="323">
      <x:c r="B323" s="46"/>
      <x:c r="C323" s="46"/>
      <x:c r="D323" s="112"/>
      <x:c r="E323" s="112"/>
      <x:c r="F323" s="92"/>
      <x:c r="G323" s="92"/>
      <x:c r="H323" s="92"/>
      <x:c r="I323" s="93" t="str">
        <x:f>IF(B323="","",MAX(0,F323-H323))</x:f>
      </x:c>
      <x:c r="J323" s="46"/>
      <x:c r="K323" s="100" t="str">
        <x:f>IF(B323="","",IF(G323="TL",1,IF(G323="USD",KURLAR!$C$9,IF(G323="EUR",KURLAR!$C$10,0))))</x:f>
      </x:c>
      <x:c r="L323" s="68" t="str">
        <x:f>IF(B323="","",I323*K323)</x:f>
      </x:c>
      <x:c r="M323" s="46"/>
      <x:c r="N323" s="52" t="str">
        <x:f>IF(B323="","",IF(OR(M323="Tahsil Edildi",M323="İptal",J323="Riskli"),"Hayır","Evet"))</x:f>
      </x:c>
    </x:row>
    <x:row r="324">
      <x:c r="B324" s="46"/>
      <x:c r="C324" s="46"/>
      <x:c r="D324" s="112"/>
      <x:c r="E324" s="112"/>
      <x:c r="F324" s="92"/>
      <x:c r="G324" s="92"/>
      <x:c r="H324" s="92"/>
      <x:c r="I324" s="93" t="str">
        <x:f>IF(B324="","",MAX(0,F324-H324))</x:f>
      </x:c>
      <x:c r="J324" s="46"/>
      <x:c r="K324" s="100" t="str">
        <x:f>IF(B324="","",IF(G324="TL",1,IF(G324="USD",KURLAR!$C$9,IF(G324="EUR",KURLAR!$C$10,0))))</x:f>
      </x:c>
      <x:c r="L324" s="68" t="str">
        <x:f>IF(B324="","",I324*K324)</x:f>
      </x:c>
      <x:c r="M324" s="46"/>
      <x:c r="N324" s="52" t="str">
        <x:f>IF(B324="","",IF(OR(M324="Tahsil Edildi",M324="İptal",J324="Riskli"),"Hayır","Evet"))</x:f>
      </x:c>
    </x:row>
    <x:row r="325">
      <x:c r="B325" s="46"/>
      <x:c r="C325" s="46"/>
      <x:c r="D325" s="112"/>
      <x:c r="E325" s="112"/>
      <x:c r="F325" s="92"/>
      <x:c r="G325" s="92"/>
      <x:c r="H325" s="92"/>
      <x:c r="I325" s="93" t="str">
        <x:f>IF(B325="","",MAX(0,F325-H325))</x:f>
      </x:c>
      <x:c r="J325" s="46"/>
      <x:c r="K325" s="100" t="str">
        <x:f>IF(B325="","",IF(G325="TL",1,IF(G325="USD",KURLAR!$C$9,IF(G325="EUR",KURLAR!$C$10,0))))</x:f>
      </x:c>
      <x:c r="L325" s="68" t="str">
        <x:f>IF(B325="","",I325*K325)</x:f>
      </x:c>
      <x:c r="M325" s="46"/>
      <x:c r="N325" s="52" t="str">
        <x:f>IF(B325="","",IF(OR(M325="Tahsil Edildi",M325="İptal",J325="Riskli"),"Hayır","Evet"))</x:f>
      </x:c>
    </x:row>
    <x:row r="326">
      <x:c r="B326" s="46"/>
      <x:c r="C326" s="46"/>
      <x:c r="D326" s="112"/>
      <x:c r="E326" s="112"/>
      <x:c r="F326" s="92"/>
      <x:c r="G326" s="92"/>
      <x:c r="H326" s="92"/>
      <x:c r="I326" s="93" t="str">
        <x:f>IF(B326="","",MAX(0,F326-H326))</x:f>
      </x:c>
      <x:c r="J326" s="46"/>
      <x:c r="K326" s="100" t="str">
        <x:f>IF(B326="","",IF(G326="TL",1,IF(G326="USD",KURLAR!$C$9,IF(G326="EUR",KURLAR!$C$10,0))))</x:f>
      </x:c>
      <x:c r="L326" s="68" t="str">
        <x:f>IF(B326="","",I326*K326)</x:f>
      </x:c>
      <x:c r="M326" s="46"/>
      <x:c r="N326" s="52" t="str">
        <x:f>IF(B326="","",IF(OR(M326="Tahsil Edildi",M326="İptal",J326="Riskli"),"Hayır","Evet"))</x:f>
      </x:c>
    </x:row>
    <x:row r="327">
      <x:c r="B327" s="46"/>
      <x:c r="C327" s="46"/>
      <x:c r="D327" s="112"/>
      <x:c r="E327" s="112"/>
      <x:c r="F327" s="92"/>
      <x:c r="G327" s="92"/>
      <x:c r="H327" s="92"/>
      <x:c r="I327" s="93" t="str">
        <x:f>IF(B327="","",MAX(0,F327-H327))</x:f>
      </x:c>
      <x:c r="J327" s="46"/>
      <x:c r="K327" s="100" t="str">
        <x:f>IF(B327="","",IF(G327="TL",1,IF(G327="USD",KURLAR!$C$9,IF(G327="EUR",KURLAR!$C$10,0))))</x:f>
      </x:c>
      <x:c r="L327" s="68" t="str">
        <x:f>IF(B327="","",I327*K327)</x:f>
      </x:c>
      <x:c r="M327" s="46"/>
      <x:c r="N327" s="52" t="str">
        <x:f>IF(B327="","",IF(OR(M327="Tahsil Edildi",M327="İptal",J327="Riskli"),"Hayır","Evet"))</x:f>
      </x:c>
    </x:row>
    <x:row r="328">
      <x:c r="B328" s="46"/>
      <x:c r="C328" s="46"/>
      <x:c r="D328" s="112"/>
      <x:c r="E328" s="112"/>
      <x:c r="F328" s="92"/>
      <x:c r="G328" s="92"/>
      <x:c r="H328" s="92"/>
      <x:c r="I328" s="93" t="str">
        <x:f>IF(B328="","",MAX(0,F328-H328))</x:f>
      </x:c>
      <x:c r="J328" s="46"/>
      <x:c r="K328" s="100" t="str">
        <x:f>IF(B328="","",IF(G328="TL",1,IF(G328="USD",KURLAR!$C$9,IF(G328="EUR",KURLAR!$C$10,0))))</x:f>
      </x:c>
      <x:c r="L328" s="68" t="str">
        <x:f>IF(B328="","",I328*K328)</x:f>
      </x:c>
      <x:c r="M328" s="46"/>
      <x:c r="N328" s="52" t="str">
        <x:f>IF(B328="","",IF(OR(M328="Tahsil Edildi",M328="İptal",J328="Riskli"),"Hayır","Evet"))</x:f>
      </x:c>
    </x:row>
    <x:row r="329">
      <x:c r="B329" s="46"/>
      <x:c r="C329" s="46"/>
      <x:c r="D329" s="112"/>
      <x:c r="E329" s="112"/>
      <x:c r="F329" s="92"/>
      <x:c r="G329" s="92"/>
      <x:c r="H329" s="92"/>
      <x:c r="I329" s="93" t="str">
        <x:f>IF(B329="","",MAX(0,F329-H329))</x:f>
      </x:c>
      <x:c r="J329" s="46"/>
      <x:c r="K329" s="100" t="str">
        <x:f>IF(B329="","",IF(G329="TL",1,IF(G329="USD",KURLAR!$C$9,IF(G329="EUR",KURLAR!$C$10,0))))</x:f>
      </x:c>
      <x:c r="L329" s="68" t="str">
        <x:f>IF(B329="","",I329*K329)</x:f>
      </x:c>
      <x:c r="M329" s="46"/>
      <x:c r="N329" s="52" t="str">
        <x:f>IF(B329="","",IF(OR(M329="Tahsil Edildi",M329="İptal",J329="Riskli"),"Hayır","Evet"))</x:f>
      </x:c>
    </x:row>
    <x:row r="330">
      <x:c r="B330" s="46"/>
      <x:c r="C330" s="46"/>
      <x:c r="D330" s="112"/>
      <x:c r="E330" s="112"/>
      <x:c r="F330" s="92"/>
      <x:c r="G330" s="92"/>
      <x:c r="H330" s="92"/>
      <x:c r="I330" s="93" t="str">
        <x:f>IF(B330="","",MAX(0,F330-H330))</x:f>
      </x:c>
      <x:c r="J330" s="46"/>
      <x:c r="K330" s="100" t="str">
        <x:f>IF(B330="","",IF(G330="TL",1,IF(G330="USD",KURLAR!$C$9,IF(G330="EUR",KURLAR!$C$10,0))))</x:f>
      </x:c>
      <x:c r="L330" s="68" t="str">
        <x:f>IF(B330="","",I330*K330)</x:f>
      </x:c>
      <x:c r="M330" s="46"/>
      <x:c r="N330" s="52" t="str">
        <x:f>IF(B330="","",IF(OR(M330="Tahsil Edildi",M330="İptal",J330="Riskli"),"Hayır","Evet"))</x:f>
      </x:c>
    </x:row>
    <x:row r="331">
      <x:c r="B331" s="46"/>
      <x:c r="C331" s="46"/>
      <x:c r="D331" s="112"/>
      <x:c r="E331" s="112"/>
      <x:c r="F331" s="92"/>
      <x:c r="G331" s="92"/>
      <x:c r="H331" s="92"/>
      <x:c r="I331" s="93" t="str">
        <x:f>IF(B331="","",MAX(0,F331-H331))</x:f>
      </x:c>
      <x:c r="J331" s="46"/>
      <x:c r="K331" s="100" t="str">
        <x:f>IF(B331="","",IF(G331="TL",1,IF(G331="USD",KURLAR!$C$9,IF(G331="EUR",KURLAR!$C$10,0))))</x:f>
      </x:c>
      <x:c r="L331" s="68" t="str">
        <x:f>IF(B331="","",I331*K331)</x:f>
      </x:c>
      <x:c r="M331" s="46"/>
      <x:c r="N331" s="52" t="str">
        <x:f>IF(B331="","",IF(OR(M331="Tahsil Edildi",M331="İptal",J331="Riskli"),"Hayır","Evet"))</x:f>
      </x:c>
    </x:row>
    <x:row r="332">
      <x:c r="B332" s="46"/>
      <x:c r="C332" s="46"/>
      <x:c r="D332" s="112"/>
      <x:c r="E332" s="112"/>
      <x:c r="F332" s="92"/>
      <x:c r="G332" s="92"/>
      <x:c r="H332" s="92"/>
      <x:c r="I332" s="93" t="str">
        <x:f>IF(B332="","",MAX(0,F332-H332))</x:f>
      </x:c>
      <x:c r="J332" s="46"/>
      <x:c r="K332" s="100" t="str">
        <x:f>IF(B332="","",IF(G332="TL",1,IF(G332="USD",KURLAR!$C$9,IF(G332="EUR",KURLAR!$C$10,0))))</x:f>
      </x:c>
      <x:c r="L332" s="68" t="str">
        <x:f>IF(B332="","",I332*K332)</x:f>
      </x:c>
      <x:c r="M332" s="46"/>
      <x:c r="N332" s="52" t="str">
        <x:f>IF(B332="","",IF(OR(M332="Tahsil Edildi",M332="İptal",J332="Riskli"),"Hayır","Evet"))</x:f>
      </x:c>
    </x:row>
    <x:row r="333">
      <x:c r="B333" s="46"/>
      <x:c r="C333" s="46"/>
      <x:c r="D333" s="112"/>
      <x:c r="E333" s="112"/>
      <x:c r="F333" s="92"/>
      <x:c r="G333" s="92"/>
      <x:c r="H333" s="92"/>
      <x:c r="I333" s="93" t="str">
        <x:f>IF(B333="","",MAX(0,F333-H333))</x:f>
      </x:c>
      <x:c r="J333" s="46"/>
      <x:c r="K333" s="100" t="str">
        <x:f>IF(B333="","",IF(G333="TL",1,IF(G333="USD",KURLAR!$C$9,IF(G333="EUR",KURLAR!$C$10,0))))</x:f>
      </x:c>
      <x:c r="L333" s="68" t="str">
        <x:f>IF(B333="","",I333*K333)</x:f>
      </x:c>
      <x:c r="M333" s="46"/>
      <x:c r="N333" s="52" t="str">
        <x:f>IF(B333="","",IF(OR(M333="Tahsil Edildi",M333="İptal",J333="Riskli"),"Hayır","Evet"))</x:f>
      </x:c>
    </x:row>
    <x:row r="334">
      <x:c r="B334" s="46"/>
      <x:c r="C334" s="46"/>
      <x:c r="D334" s="112"/>
      <x:c r="E334" s="112"/>
      <x:c r="F334" s="92"/>
      <x:c r="G334" s="92"/>
      <x:c r="H334" s="92"/>
      <x:c r="I334" s="93" t="str">
        <x:f>IF(B334="","",MAX(0,F334-H334))</x:f>
      </x:c>
      <x:c r="J334" s="46"/>
      <x:c r="K334" s="100" t="str">
        <x:f>IF(B334="","",IF(G334="TL",1,IF(G334="USD",KURLAR!$C$9,IF(G334="EUR",KURLAR!$C$10,0))))</x:f>
      </x:c>
      <x:c r="L334" s="68" t="str">
        <x:f>IF(B334="","",I334*K334)</x:f>
      </x:c>
      <x:c r="M334" s="46"/>
      <x:c r="N334" s="52" t="str">
        <x:f>IF(B334="","",IF(OR(M334="Tahsil Edildi",M334="İptal",J334="Riskli"),"Hayır","Evet"))</x:f>
      </x:c>
    </x:row>
    <x:row r="335">
      <x:c r="B335" s="46"/>
      <x:c r="C335" s="46"/>
      <x:c r="D335" s="112"/>
      <x:c r="E335" s="112"/>
      <x:c r="F335" s="92"/>
      <x:c r="G335" s="92"/>
      <x:c r="H335" s="92"/>
      <x:c r="I335" s="93" t="str">
        <x:f>IF(B335="","",MAX(0,F335-H335))</x:f>
      </x:c>
      <x:c r="J335" s="46"/>
      <x:c r="K335" s="100" t="str">
        <x:f>IF(B335="","",IF(G335="TL",1,IF(G335="USD",KURLAR!$C$9,IF(G335="EUR",KURLAR!$C$10,0))))</x:f>
      </x:c>
      <x:c r="L335" s="68" t="str">
        <x:f>IF(B335="","",I335*K335)</x:f>
      </x:c>
      <x:c r="M335" s="46"/>
      <x:c r="N335" s="52" t="str">
        <x:f>IF(B335="","",IF(OR(M335="Tahsil Edildi",M335="İptal",J335="Riskli"),"Hayır","Evet"))</x:f>
      </x:c>
    </x:row>
    <x:row r="336">
      <x:c r="B336" s="46"/>
      <x:c r="C336" s="46"/>
      <x:c r="D336" s="112"/>
      <x:c r="E336" s="112"/>
      <x:c r="F336" s="92"/>
      <x:c r="G336" s="92"/>
      <x:c r="H336" s="92"/>
      <x:c r="I336" s="93" t="str">
        <x:f>IF(B336="","",MAX(0,F336-H336))</x:f>
      </x:c>
      <x:c r="J336" s="46"/>
      <x:c r="K336" s="100" t="str">
        <x:f>IF(B336="","",IF(G336="TL",1,IF(G336="USD",KURLAR!$C$9,IF(G336="EUR",KURLAR!$C$10,0))))</x:f>
      </x:c>
      <x:c r="L336" s="68" t="str">
        <x:f>IF(B336="","",I336*K336)</x:f>
      </x:c>
      <x:c r="M336" s="46"/>
      <x:c r="N336" s="52" t="str">
        <x:f>IF(B336="","",IF(OR(M336="Tahsil Edildi",M336="İptal",J336="Riskli"),"Hayır","Evet"))</x:f>
      </x:c>
    </x:row>
    <x:row r="337">
      <x:c r="B337" s="46"/>
      <x:c r="C337" s="46"/>
      <x:c r="D337" s="112"/>
      <x:c r="E337" s="112"/>
      <x:c r="F337" s="92"/>
      <x:c r="G337" s="92"/>
      <x:c r="H337" s="92"/>
      <x:c r="I337" s="93" t="str">
        <x:f>IF(B337="","",MAX(0,F337-H337))</x:f>
      </x:c>
      <x:c r="J337" s="46"/>
      <x:c r="K337" s="100" t="str">
        <x:f>IF(B337="","",IF(G337="TL",1,IF(G337="USD",KURLAR!$C$9,IF(G337="EUR",KURLAR!$C$10,0))))</x:f>
      </x:c>
      <x:c r="L337" s="68" t="str">
        <x:f>IF(B337="","",I337*K337)</x:f>
      </x:c>
      <x:c r="M337" s="46"/>
      <x:c r="N337" s="52" t="str">
        <x:f>IF(B337="","",IF(OR(M337="Tahsil Edildi",M337="İptal",J337="Riskli"),"Hayır","Evet"))</x:f>
      </x:c>
    </x:row>
    <x:row r="338">
      <x:c r="B338" s="46"/>
      <x:c r="C338" s="46"/>
      <x:c r="D338" s="112"/>
      <x:c r="E338" s="112"/>
      <x:c r="F338" s="92"/>
      <x:c r="G338" s="92"/>
      <x:c r="H338" s="92"/>
      <x:c r="I338" s="93" t="str">
        <x:f>IF(B338="","",MAX(0,F338-H338))</x:f>
      </x:c>
      <x:c r="J338" s="46"/>
      <x:c r="K338" s="100" t="str">
        <x:f>IF(B338="","",IF(G338="TL",1,IF(G338="USD",KURLAR!$C$9,IF(G338="EUR",KURLAR!$C$10,0))))</x:f>
      </x:c>
      <x:c r="L338" s="68" t="str">
        <x:f>IF(B338="","",I338*K338)</x:f>
      </x:c>
      <x:c r="M338" s="46"/>
      <x:c r="N338" s="52" t="str">
        <x:f>IF(B338="","",IF(OR(M338="Tahsil Edildi",M338="İptal",J338="Riskli"),"Hayır","Evet"))</x:f>
      </x:c>
    </x:row>
    <x:row r="339">
      <x:c r="B339" s="46"/>
      <x:c r="C339" s="46"/>
      <x:c r="D339" s="112"/>
      <x:c r="E339" s="112"/>
      <x:c r="F339" s="92"/>
      <x:c r="G339" s="92"/>
      <x:c r="H339" s="92"/>
      <x:c r="I339" s="93" t="str">
        <x:f>IF(B339="","",MAX(0,F339-H339))</x:f>
      </x:c>
      <x:c r="J339" s="46"/>
      <x:c r="K339" s="100" t="str">
        <x:f>IF(B339="","",IF(G339="TL",1,IF(G339="USD",KURLAR!$C$9,IF(G339="EUR",KURLAR!$C$10,0))))</x:f>
      </x:c>
      <x:c r="L339" s="68" t="str">
        <x:f>IF(B339="","",I339*K339)</x:f>
      </x:c>
      <x:c r="M339" s="46"/>
      <x:c r="N339" s="52" t="str">
        <x:f>IF(B339="","",IF(OR(M339="Tahsil Edildi",M339="İptal",J339="Riskli"),"Hayır","Evet"))</x:f>
      </x:c>
    </x:row>
    <x:row r="340">
      <x:c r="B340" s="46"/>
      <x:c r="C340" s="46"/>
      <x:c r="D340" s="112"/>
      <x:c r="E340" s="112"/>
      <x:c r="F340" s="92"/>
      <x:c r="G340" s="92"/>
      <x:c r="H340" s="92"/>
      <x:c r="I340" s="93" t="str">
        <x:f>IF(B340="","",MAX(0,F340-H340))</x:f>
      </x:c>
      <x:c r="J340" s="46"/>
      <x:c r="K340" s="100" t="str">
        <x:f>IF(B340="","",IF(G340="TL",1,IF(G340="USD",KURLAR!$C$9,IF(G340="EUR",KURLAR!$C$10,0))))</x:f>
      </x:c>
      <x:c r="L340" s="68" t="str">
        <x:f>IF(B340="","",I340*K340)</x:f>
      </x:c>
      <x:c r="M340" s="46"/>
      <x:c r="N340" s="52" t="str">
        <x:f>IF(B340="","",IF(OR(M340="Tahsil Edildi",M340="İptal",J340="Riskli"),"Hayır","Evet"))</x:f>
      </x:c>
    </x:row>
    <x:row r="341">
      <x:c r="B341" s="46"/>
      <x:c r="C341" s="46"/>
      <x:c r="D341" s="112"/>
      <x:c r="E341" s="112"/>
      <x:c r="F341" s="92"/>
      <x:c r="G341" s="92"/>
      <x:c r="H341" s="92"/>
      <x:c r="I341" s="93" t="str">
        <x:f>IF(B341="","",MAX(0,F341-H341))</x:f>
      </x:c>
      <x:c r="J341" s="46"/>
      <x:c r="K341" s="100" t="str">
        <x:f>IF(B341="","",IF(G341="TL",1,IF(G341="USD",KURLAR!$C$9,IF(G341="EUR",KURLAR!$C$10,0))))</x:f>
      </x:c>
      <x:c r="L341" s="68" t="str">
        <x:f>IF(B341="","",I341*K341)</x:f>
      </x:c>
      <x:c r="M341" s="46"/>
      <x:c r="N341" s="52" t="str">
        <x:f>IF(B341="","",IF(OR(M341="Tahsil Edildi",M341="İptal",J341="Riskli"),"Hayır","Evet"))</x:f>
      </x:c>
    </x:row>
    <x:row r="342">
      <x:c r="B342" s="46"/>
      <x:c r="C342" s="46"/>
      <x:c r="D342" s="112"/>
      <x:c r="E342" s="112"/>
      <x:c r="F342" s="92"/>
      <x:c r="G342" s="92"/>
      <x:c r="H342" s="92"/>
      <x:c r="I342" s="93" t="str">
        <x:f>IF(B342="","",MAX(0,F342-H342))</x:f>
      </x:c>
      <x:c r="J342" s="46"/>
      <x:c r="K342" s="100" t="str">
        <x:f>IF(B342="","",IF(G342="TL",1,IF(G342="USD",KURLAR!$C$9,IF(G342="EUR",KURLAR!$C$10,0))))</x:f>
      </x:c>
      <x:c r="L342" s="68" t="str">
        <x:f>IF(B342="","",I342*K342)</x:f>
      </x:c>
      <x:c r="M342" s="46"/>
      <x:c r="N342" s="52" t="str">
        <x:f>IF(B342="","",IF(OR(M342="Tahsil Edildi",M342="İptal",J342="Riskli"),"Hayır","Evet"))</x:f>
      </x:c>
    </x:row>
    <x:row r="343">
      <x:c r="B343" s="46"/>
      <x:c r="C343" s="46"/>
      <x:c r="D343" s="112"/>
      <x:c r="E343" s="112"/>
      <x:c r="F343" s="92"/>
      <x:c r="G343" s="92"/>
      <x:c r="H343" s="92"/>
      <x:c r="I343" s="93" t="str">
        <x:f>IF(B343="","",MAX(0,F343-H343))</x:f>
      </x:c>
      <x:c r="J343" s="46"/>
      <x:c r="K343" s="100" t="str">
        <x:f>IF(B343="","",IF(G343="TL",1,IF(G343="USD",KURLAR!$C$9,IF(G343="EUR",KURLAR!$C$10,0))))</x:f>
      </x:c>
      <x:c r="L343" s="68" t="str">
        <x:f>IF(B343="","",I343*K343)</x:f>
      </x:c>
      <x:c r="M343" s="46"/>
      <x:c r="N343" s="52" t="str">
        <x:f>IF(B343="","",IF(OR(M343="Tahsil Edildi",M343="İptal",J343="Riskli"),"Hayır","Evet"))</x:f>
      </x:c>
    </x:row>
    <x:row r="344">
      <x:c r="B344" s="46"/>
      <x:c r="C344" s="46"/>
      <x:c r="D344" s="112"/>
      <x:c r="E344" s="112"/>
      <x:c r="F344" s="92"/>
      <x:c r="G344" s="92"/>
      <x:c r="H344" s="92"/>
      <x:c r="I344" s="93" t="str">
        <x:f>IF(B344="","",MAX(0,F344-H344))</x:f>
      </x:c>
      <x:c r="J344" s="46"/>
      <x:c r="K344" s="100" t="str">
        <x:f>IF(B344="","",IF(G344="TL",1,IF(G344="USD",KURLAR!$C$9,IF(G344="EUR",KURLAR!$C$10,0))))</x:f>
      </x:c>
      <x:c r="L344" s="68" t="str">
        <x:f>IF(B344="","",I344*K344)</x:f>
      </x:c>
      <x:c r="M344" s="46"/>
      <x:c r="N344" s="52" t="str">
        <x:f>IF(B344="","",IF(OR(M344="Tahsil Edildi",M344="İptal",J344="Riskli"),"Hayır","Evet"))</x:f>
      </x:c>
    </x:row>
    <x:row r="345">
      <x:c r="B345" s="46"/>
      <x:c r="C345" s="46"/>
      <x:c r="D345" s="112"/>
      <x:c r="E345" s="112"/>
      <x:c r="F345" s="92"/>
      <x:c r="G345" s="92"/>
      <x:c r="H345" s="92"/>
      <x:c r="I345" s="93" t="str">
        <x:f>IF(B345="","",MAX(0,F345-H345))</x:f>
      </x:c>
      <x:c r="J345" s="46"/>
      <x:c r="K345" s="100" t="str">
        <x:f>IF(B345="","",IF(G345="TL",1,IF(G345="USD",KURLAR!$C$9,IF(G345="EUR",KURLAR!$C$10,0))))</x:f>
      </x:c>
      <x:c r="L345" s="68" t="str">
        <x:f>IF(B345="","",I345*K345)</x:f>
      </x:c>
      <x:c r="M345" s="46"/>
      <x:c r="N345" s="52" t="str">
        <x:f>IF(B345="","",IF(OR(M345="Tahsil Edildi",M345="İptal",J345="Riskli"),"Hayır","Evet"))</x:f>
      </x:c>
    </x:row>
    <x:row r="346">
      <x:c r="B346" s="46"/>
      <x:c r="C346" s="46"/>
      <x:c r="D346" s="112"/>
      <x:c r="E346" s="112"/>
      <x:c r="F346" s="92"/>
      <x:c r="G346" s="92"/>
      <x:c r="H346" s="92"/>
      <x:c r="I346" s="93" t="str">
        <x:f>IF(B346="","",MAX(0,F346-H346))</x:f>
      </x:c>
      <x:c r="J346" s="46"/>
      <x:c r="K346" s="100" t="str">
        <x:f>IF(B346="","",IF(G346="TL",1,IF(G346="USD",KURLAR!$C$9,IF(G346="EUR",KURLAR!$C$10,0))))</x:f>
      </x:c>
      <x:c r="L346" s="68" t="str">
        <x:f>IF(B346="","",I346*K346)</x:f>
      </x:c>
      <x:c r="M346" s="46"/>
      <x:c r="N346" s="52" t="str">
        <x:f>IF(B346="","",IF(OR(M346="Tahsil Edildi",M346="İptal",J346="Riskli"),"Hayır","Evet"))</x:f>
      </x:c>
    </x:row>
    <x:row r="347">
      <x:c r="B347" s="46"/>
      <x:c r="C347" s="46"/>
      <x:c r="D347" s="112"/>
      <x:c r="E347" s="112"/>
      <x:c r="F347" s="92"/>
      <x:c r="G347" s="92"/>
      <x:c r="H347" s="92"/>
      <x:c r="I347" s="93" t="str">
        <x:f>IF(B347="","",MAX(0,F347-H347))</x:f>
      </x:c>
      <x:c r="J347" s="46"/>
      <x:c r="K347" s="100" t="str">
        <x:f>IF(B347="","",IF(G347="TL",1,IF(G347="USD",KURLAR!$C$9,IF(G347="EUR",KURLAR!$C$10,0))))</x:f>
      </x:c>
      <x:c r="L347" s="68" t="str">
        <x:f>IF(B347="","",I347*K347)</x:f>
      </x:c>
      <x:c r="M347" s="46"/>
      <x:c r="N347" s="52" t="str">
        <x:f>IF(B347="","",IF(OR(M347="Tahsil Edildi",M347="İptal",J347="Riskli"),"Hayır","Evet"))</x:f>
      </x:c>
    </x:row>
    <x:row r="348">
      <x:c r="B348" s="46"/>
      <x:c r="C348" s="46"/>
      <x:c r="D348" s="112"/>
      <x:c r="E348" s="112"/>
      <x:c r="F348" s="92"/>
      <x:c r="G348" s="92"/>
      <x:c r="H348" s="92"/>
      <x:c r="I348" s="93" t="str">
        <x:f>IF(B348="","",MAX(0,F348-H348))</x:f>
      </x:c>
      <x:c r="J348" s="46"/>
      <x:c r="K348" s="100" t="str">
        <x:f>IF(B348="","",IF(G348="TL",1,IF(G348="USD",KURLAR!$C$9,IF(G348="EUR",KURLAR!$C$10,0))))</x:f>
      </x:c>
      <x:c r="L348" s="68" t="str">
        <x:f>IF(B348="","",I348*K348)</x:f>
      </x:c>
      <x:c r="M348" s="46"/>
      <x:c r="N348" s="52" t="str">
        <x:f>IF(B348="","",IF(OR(M348="Tahsil Edildi",M348="İptal",J348="Riskli"),"Hayır","Evet"))</x:f>
      </x:c>
    </x:row>
    <x:row r="349">
      <x:c r="B349" s="46"/>
      <x:c r="C349" s="46"/>
      <x:c r="D349" s="112"/>
      <x:c r="E349" s="112"/>
      <x:c r="F349" s="92"/>
      <x:c r="G349" s="92"/>
      <x:c r="H349" s="92"/>
      <x:c r="I349" s="93" t="str">
        <x:f>IF(B349="","",MAX(0,F349-H349))</x:f>
      </x:c>
      <x:c r="J349" s="46"/>
      <x:c r="K349" s="100" t="str">
        <x:f>IF(B349="","",IF(G349="TL",1,IF(G349="USD",KURLAR!$C$9,IF(G349="EUR",KURLAR!$C$10,0))))</x:f>
      </x:c>
      <x:c r="L349" s="68" t="str">
        <x:f>IF(B349="","",I349*K349)</x:f>
      </x:c>
      <x:c r="M349" s="46"/>
      <x:c r="N349" s="52" t="str">
        <x:f>IF(B349="","",IF(OR(M349="Tahsil Edildi",M349="İptal",J349="Riskli"),"Hayır","Evet"))</x:f>
      </x:c>
    </x:row>
    <x:row r="350">
      <x:c r="B350" s="46"/>
      <x:c r="C350" s="46"/>
      <x:c r="D350" s="112"/>
      <x:c r="E350" s="112"/>
      <x:c r="F350" s="92"/>
      <x:c r="G350" s="92"/>
      <x:c r="H350" s="92"/>
      <x:c r="I350" s="93" t="str">
        <x:f>IF(B350="","",MAX(0,F350-H350))</x:f>
      </x:c>
      <x:c r="J350" s="46"/>
      <x:c r="K350" s="100" t="str">
        <x:f>IF(B350="","",IF(G350="TL",1,IF(G350="USD",KURLAR!$C$9,IF(G350="EUR",KURLAR!$C$10,0))))</x:f>
      </x:c>
      <x:c r="L350" s="68" t="str">
        <x:f>IF(B350="","",I350*K350)</x:f>
      </x:c>
      <x:c r="M350" s="46"/>
      <x:c r="N350" s="52" t="str">
        <x:f>IF(B350="","",IF(OR(M350="Tahsil Edildi",M350="İptal",J350="Riskli"),"Hayır","Evet"))</x:f>
      </x:c>
    </x:row>
    <x:row r="351">
      <x:c r="B351" s="46"/>
      <x:c r="C351" s="46"/>
      <x:c r="D351" s="112"/>
      <x:c r="E351" s="112"/>
      <x:c r="F351" s="92"/>
      <x:c r="G351" s="92"/>
      <x:c r="H351" s="92"/>
      <x:c r="I351" s="93" t="str">
        <x:f>IF(B351="","",MAX(0,F351-H351))</x:f>
      </x:c>
      <x:c r="J351" s="46"/>
      <x:c r="K351" s="100" t="str">
        <x:f>IF(B351="","",IF(G351="TL",1,IF(G351="USD",KURLAR!$C$9,IF(G351="EUR",KURLAR!$C$10,0))))</x:f>
      </x:c>
      <x:c r="L351" s="68" t="str">
        <x:f>IF(B351="","",I351*K351)</x:f>
      </x:c>
      <x:c r="M351" s="46"/>
      <x:c r="N351" s="52" t="str">
        <x:f>IF(B351="","",IF(OR(M351="Tahsil Edildi",M351="İptal",J351="Riskli"),"Hayır","Evet"))</x:f>
      </x:c>
    </x:row>
    <x:row r="352">
      <x:c r="B352" s="46"/>
      <x:c r="C352" s="46"/>
      <x:c r="D352" s="112"/>
      <x:c r="E352" s="112"/>
      <x:c r="F352" s="92"/>
      <x:c r="G352" s="92"/>
      <x:c r="H352" s="92"/>
      <x:c r="I352" s="93" t="str">
        <x:f>IF(B352="","",MAX(0,F352-H352))</x:f>
      </x:c>
      <x:c r="J352" s="46"/>
      <x:c r="K352" s="100" t="str">
        <x:f>IF(B352="","",IF(G352="TL",1,IF(G352="USD",KURLAR!$C$9,IF(G352="EUR",KURLAR!$C$10,0))))</x:f>
      </x:c>
      <x:c r="L352" s="68" t="str">
        <x:f>IF(B352="","",I352*K352)</x:f>
      </x:c>
      <x:c r="M352" s="46"/>
      <x:c r="N352" s="52" t="str">
        <x:f>IF(B352="","",IF(OR(M352="Tahsil Edildi",M352="İptal",J352="Riskli"),"Hayır","Evet"))</x:f>
      </x:c>
    </x:row>
    <x:row r="353">
      <x:c r="B353" s="46"/>
      <x:c r="C353" s="46"/>
      <x:c r="D353" s="112"/>
      <x:c r="E353" s="112"/>
      <x:c r="F353" s="92"/>
      <x:c r="G353" s="92"/>
      <x:c r="H353" s="92"/>
      <x:c r="I353" s="93" t="str">
        <x:f>IF(B353="","",MAX(0,F353-H353))</x:f>
      </x:c>
      <x:c r="J353" s="46"/>
      <x:c r="K353" s="100" t="str">
        <x:f>IF(B353="","",IF(G353="TL",1,IF(G353="USD",KURLAR!$C$9,IF(G353="EUR",KURLAR!$C$10,0))))</x:f>
      </x:c>
      <x:c r="L353" s="68" t="str">
        <x:f>IF(B353="","",I353*K353)</x:f>
      </x:c>
      <x:c r="M353" s="46"/>
      <x:c r="N353" s="52" t="str">
        <x:f>IF(B353="","",IF(OR(M353="Tahsil Edildi",M353="İptal",J353="Riskli"),"Hayır","Evet"))</x:f>
      </x:c>
    </x:row>
    <x:row r="354">
      <x:c r="B354" s="46"/>
      <x:c r="C354" s="46"/>
      <x:c r="D354" s="112"/>
      <x:c r="E354" s="112"/>
      <x:c r="F354" s="92"/>
      <x:c r="G354" s="92"/>
      <x:c r="H354" s="92"/>
      <x:c r="I354" s="93" t="str">
        <x:f>IF(B354="","",MAX(0,F354-H354))</x:f>
      </x:c>
      <x:c r="J354" s="46"/>
      <x:c r="K354" s="100" t="str">
        <x:f>IF(B354="","",IF(G354="TL",1,IF(G354="USD",KURLAR!$C$9,IF(G354="EUR",KURLAR!$C$10,0))))</x:f>
      </x:c>
      <x:c r="L354" s="68" t="str">
        <x:f>IF(B354="","",I354*K354)</x:f>
      </x:c>
      <x:c r="M354" s="46"/>
      <x:c r="N354" s="52" t="str">
        <x:f>IF(B354="","",IF(OR(M354="Tahsil Edildi",M354="İptal",J354="Riskli"),"Hayır","Evet"))</x:f>
      </x:c>
    </x:row>
    <x:row r="355">
      <x:c r="B355" s="46"/>
      <x:c r="C355" s="46"/>
      <x:c r="D355" s="112"/>
      <x:c r="E355" s="112"/>
      <x:c r="F355" s="92"/>
      <x:c r="G355" s="92"/>
      <x:c r="H355" s="92"/>
      <x:c r="I355" s="93" t="str">
        <x:f>IF(B355="","",MAX(0,F355-H355))</x:f>
      </x:c>
      <x:c r="J355" s="46"/>
      <x:c r="K355" s="100" t="str">
        <x:f>IF(B355="","",IF(G355="TL",1,IF(G355="USD",KURLAR!$C$9,IF(G355="EUR",KURLAR!$C$10,0))))</x:f>
      </x:c>
      <x:c r="L355" s="68" t="str">
        <x:f>IF(B355="","",I355*K355)</x:f>
      </x:c>
      <x:c r="M355" s="46"/>
      <x:c r="N355" s="52" t="str">
        <x:f>IF(B355="","",IF(OR(M355="Tahsil Edildi",M355="İptal",J355="Riskli"),"Hayır","Evet"))</x:f>
      </x:c>
    </x:row>
    <x:row r="356">
      <x:c r="B356" s="46"/>
      <x:c r="C356" s="46"/>
      <x:c r="D356" s="112"/>
      <x:c r="E356" s="112"/>
      <x:c r="F356" s="92"/>
      <x:c r="G356" s="92"/>
      <x:c r="H356" s="92"/>
      <x:c r="I356" s="93" t="str">
        <x:f>IF(B356="","",MAX(0,F356-H356))</x:f>
      </x:c>
      <x:c r="J356" s="46"/>
      <x:c r="K356" s="100" t="str">
        <x:f>IF(B356="","",IF(G356="TL",1,IF(G356="USD",KURLAR!$C$9,IF(G356="EUR",KURLAR!$C$10,0))))</x:f>
      </x:c>
      <x:c r="L356" s="68" t="str">
        <x:f>IF(B356="","",I356*K356)</x:f>
      </x:c>
      <x:c r="M356" s="46"/>
      <x:c r="N356" s="52" t="str">
        <x:f>IF(B356="","",IF(OR(M356="Tahsil Edildi",M356="İptal",J356="Riskli"),"Hayır","Evet"))</x:f>
      </x:c>
    </x:row>
    <x:row r="357">
      <x:c r="B357" s="46"/>
      <x:c r="C357" s="46"/>
      <x:c r="D357" s="112"/>
      <x:c r="E357" s="112"/>
      <x:c r="F357" s="92"/>
      <x:c r="G357" s="92"/>
      <x:c r="H357" s="92"/>
      <x:c r="I357" s="93" t="str">
        <x:f>IF(B357="","",MAX(0,F357-H357))</x:f>
      </x:c>
      <x:c r="J357" s="46"/>
      <x:c r="K357" s="100" t="str">
        <x:f>IF(B357="","",IF(G357="TL",1,IF(G357="USD",KURLAR!$C$9,IF(G357="EUR",KURLAR!$C$10,0))))</x:f>
      </x:c>
      <x:c r="L357" s="68" t="str">
        <x:f>IF(B357="","",I357*K357)</x:f>
      </x:c>
      <x:c r="M357" s="46"/>
      <x:c r="N357" s="52" t="str">
        <x:f>IF(B357="","",IF(OR(M357="Tahsil Edildi",M357="İptal",J357="Riskli"),"Hayır","Evet"))</x:f>
      </x:c>
    </x:row>
    <x:row r="358">
      <x:c r="B358" s="46"/>
      <x:c r="C358" s="46"/>
      <x:c r="D358" s="112"/>
      <x:c r="E358" s="112"/>
      <x:c r="F358" s="92"/>
      <x:c r="G358" s="92"/>
      <x:c r="H358" s="92"/>
      <x:c r="I358" s="93" t="str">
        <x:f>IF(B358="","",MAX(0,F358-H358))</x:f>
      </x:c>
      <x:c r="J358" s="46"/>
      <x:c r="K358" s="100" t="str">
        <x:f>IF(B358="","",IF(G358="TL",1,IF(G358="USD",KURLAR!$C$9,IF(G358="EUR",KURLAR!$C$10,0))))</x:f>
      </x:c>
      <x:c r="L358" s="68" t="str">
        <x:f>IF(B358="","",I358*K358)</x:f>
      </x:c>
      <x:c r="M358" s="46"/>
      <x:c r="N358" s="52" t="str">
        <x:f>IF(B358="","",IF(OR(M358="Tahsil Edildi",M358="İptal",J358="Riskli"),"Hayır","Evet"))</x:f>
      </x:c>
    </x:row>
    <x:row r="359">
      <x:c r="B359" s="46"/>
      <x:c r="C359" s="46"/>
      <x:c r="D359" s="112"/>
      <x:c r="E359" s="112"/>
      <x:c r="F359" s="92"/>
      <x:c r="G359" s="92"/>
      <x:c r="H359" s="92"/>
      <x:c r="I359" s="93" t="str">
        <x:f>IF(B359="","",MAX(0,F359-H359))</x:f>
      </x:c>
      <x:c r="J359" s="46"/>
      <x:c r="K359" s="100" t="str">
        <x:f>IF(B359="","",IF(G359="TL",1,IF(G359="USD",KURLAR!$C$9,IF(G359="EUR",KURLAR!$C$10,0))))</x:f>
      </x:c>
      <x:c r="L359" s="68" t="str">
        <x:f>IF(B359="","",I359*K359)</x:f>
      </x:c>
      <x:c r="M359" s="46"/>
      <x:c r="N359" s="52" t="str">
        <x:f>IF(B359="","",IF(OR(M359="Tahsil Edildi",M359="İptal",J359="Riskli"),"Hayır","Evet"))</x:f>
      </x:c>
    </x:row>
    <x:row r="360">
      <x:c r="B360" s="46"/>
      <x:c r="C360" s="46"/>
      <x:c r="D360" s="112"/>
      <x:c r="E360" s="112"/>
      <x:c r="F360" s="92"/>
      <x:c r="G360" s="92"/>
      <x:c r="H360" s="92"/>
      <x:c r="I360" s="93" t="str">
        <x:f>IF(B360="","",MAX(0,F360-H360))</x:f>
      </x:c>
      <x:c r="J360" s="46"/>
      <x:c r="K360" s="100" t="str">
        <x:f>IF(B360="","",IF(G360="TL",1,IF(G360="USD",KURLAR!$C$9,IF(G360="EUR",KURLAR!$C$10,0))))</x:f>
      </x:c>
      <x:c r="L360" s="68" t="str">
        <x:f>IF(B360="","",I360*K360)</x:f>
      </x:c>
      <x:c r="M360" s="46"/>
      <x:c r="N360" s="52" t="str">
        <x:f>IF(B360="","",IF(OR(M360="Tahsil Edildi",M360="İptal",J360="Riskli"),"Hayır","Evet"))</x:f>
      </x:c>
    </x:row>
    <x:row r="361">
      <x:c r="B361" s="46"/>
      <x:c r="C361" s="46"/>
      <x:c r="D361" s="112"/>
      <x:c r="E361" s="112"/>
      <x:c r="F361" s="92"/>
      <x:c r="G361" s="92"/>
      <x:c r="H361" s="92"/>
      <x:c r="I361" s="93" t="str">
        <x:f>IF(B361="","",MAX(0,F361-H361))</x:f>
      </x:c>
      <x:c r="J361" s="46"/>
      <x:c r="K361" s="100" t="str">
        <x:f>IF(B361="","",IF(G361="TL",1,IF(G361="USD",KURLAR!$C$9,IF(G361="EUR",KURLAR!$C$10,0))))</x:f>
      </x:c>
      <x:c r="L361" s="68" t="str">
        <x:f>IF(B361="","",I361*K361)</x:f>
      </x:c>
      <x:c r="M361" s="46"/>
      <x:c r="N361" s="52" t="str">
        <x:f>IF(B361="","",IF(OR(M361="Tahsil Edildi",M361="İptal",J361="Riskli"),"Hayır","Evet"))</x:f>
      </x:c>
    </x:row>
    <x:row r="362">
      <x:c r="B362" s="46"/>
      <x:c r="C362" s="46"/>
      <x:c r="D362" s="112"/>
      <x:c r="E362" s="112"/>
      <x:c r="F362" s="92"/>
      <x:c r="G362" s="92"/>
      <x:c r="H362" s="92"/>
      <x:c r="I362" s="93" t="str">
        <x:f>IF(B362="","",MAX(0,F362-H362))</x:f>
      </x:c>
      <x:c r="J362" s="46"/>
      <x:c r="K362" s="100" t="str">
        <x:f>IF(B362="","",IF(G362="TL",1,IF(G362="USD",KURLAR!$C$9,IF(G362="EUR",KURLAR!$C$10,0))))</x:f>
      </x:c>
      <x:c r="L362" s="68" t="str">
        <x:f>IF(B362="","",I362*K362)</x:f>
      </x:c>
      <x:c r="M362" s="46"/>
      <x:c r="N362" s="52" t="str">
        <x:f>IF(B362="","",IF(OR(M362="Tahsil Edildi",M362="İptal",J362="Riskli"),"Hayır","Evet"))</x:f>
      </x:c>
    </x:row>
    <x:row r="363">
      <x:c r="B363" s="46"/>
      <x:c r="C363" s="46"/>
      <x:c r="D363" s="112"/>
      <x:c r="E363" s="112"/>
      <x:c r="F363" s="92"/>
      <x:c r="G363" s="92"/>
      <x:c r="H363" s="92"/>
      <x:c r="I363" s="93" t="str">
        <x:f>IF(B363="","",MAX(0,F363-H363))</x:f>
      </x:c>
      <x:c r="J363" s="46"/>
      <x:c r="K363" s="100" t="str">
        <x:f>IF(B363="","",IF(G363="TL",1,IF(G363="USD",KURLAR!$C$9,IF(G363="EUR",KURLAR!$C$10,0))))</x:f>
      </x:c>
      <x:c r="L363" s="68" t="str">
        <x:f>IF(B363="","",I363*K363)</x:f>
      </x:c>
      <x:c r="M363" s="46"/>
      <x:c r="N363" s="52" t="str">
        <x:f>IF(B363="","",IF(OR(M363="Tahsil Edildi",M363="İptal",J363="Riskli"),"Hayır","Evet"))</x:f>
      </x:c>
    </x:row>
    <x:row r="364">
      <x:c r="B364" s="46"/>
      <x:c r="C364" s="46"/>
      <x:c r="D364" s="112"/>
      <x:c r="E364" s="112"/>
      <x:c r="F364" s="92"/>
      <x:c r="G364" s="92"/>
      <x:c r="H364" s="92"/>
      <x:c r="I364" s="93" t="str">
        <x:f>IF(B364="","",MAX(0,F364-H364))</x:f>
      </x:c>
      <x:c r="J364" s="46"/>
      <x:c r="K364" s="100" t="str">
        <x:f>IF(B364="","",IF(G364="TL",1,IF(G364="USD",KURLAR!$C$9,IF(G364="EUR",KURLAR!$C$10,0))))</x:f>
      </x:c>
      <x:c r="L364" s="68" t="str">
        <x:f>IF(B364="","",I364*K364)</x:f>
      </x:c>
      <x:c r="M364" s="46"/>
      <x:c r="N364" s="52" t="str">
        <x:f>IF(B364="","",IF(OR(M364="Tahsil Edildi",M364="İptal",J364="Riskli"),"Hayır","Evet"))</x:f>
      </x:c>
    </x:row>
    <x:row r="365">
      <x:c r="B365" s="46"/>
      <x:c r="C365" s="46"/>
      <x:c r="D365" s="112"/>
      <x:c r="E365" s="112"/>
      <x:c r="F365" s="92"/>
      <x:c r="G365" s="92"/>
      <x:c r="H365" s="92"/>
      <x:c r="I365" s="93" t="str">
        <x:f>IF(B365="","",MAX(0,F365-H365))</x:f>
      </x:c>
      <x:c r="J365" s="46"/>
      <x:c r="K365" s="100" t="str">
        <x:f>IF(B365="","",IF(G365="TL",1,IF(G365="USD",KURLAR!$C$9,IF(G365="EUR",KURLAR!$C$10,0))))</x:f>
      </x:c>
      <x:c r="L365" s="68" t="str">
        <x:f>IF(B365="","",I365*K365)</x:f>
      </x:c>
      <x:c r="M365" s="46"/>
      <x:c r="N365" s="52" t="str">
        <x:f>IF(B365="","",IF(OR(M365="Tahsil Edildi",M365="İptal",J365="Riskli"),"Hayır","Evet"))</x:f>
      </x:c>
    </x:row>
    <x:row r="366">
      <x:c r="B366" s="46"/>
      <x:c r="C366" s="46"/>
      <x:c r="D366" s="112"/>
      <x:c r="E366" s="112"/>
      <x:c r="F366" s="92"/>
      <x:c r="G366" s="92"/>
      <x:c r="H366" s="92"/>
      <x:c r="I366" s="93" t="str">
        <x:f>IF(B366="","",MAX(0,F366-H366))</x:f>
      </x:c>
      <x:c r="J366" s="46"/>
      <x:c r="K366" s="100" t="str">
        <x:f>IF(B366="","",IF(G366="TL",1,IF(G366="USD",KURLAR!$C$9,IF(G366="EUR",KURLAR!$C$10,0))))</x:f>
      </x:c>
      <x:c r="L366" s="68" t="str">
        <x:f>IF(B366="","",I366*K366)</x:f>
      </x:c>
      <x:c r="M366" s="46"/>
      <x:c r="N366" s="52" t="str">
        <x:f>IF(B366="","",IF(OR(M366="Tahsil Edildi",M366="İptal",J366="Riskli"),"Hayır","Evet"))</x:f>
      </x:c>
    </x:row>
    <x:row r="367">
      <x:c r="B367" s="46"/>
      <x:c r="C367" s="46"/>
      <x:c r="D367" s="112"/>
      <x:c r="E367" s="112"/>
      <x:c r="F367" s="92"/>
      <x:c r="G367" s="92"/>
      <x:c r="H367" s="92"/>
      <x:c r="I367" s="93" t="str">
        <x:f>IF(B367="","",MAX(0,F367-H367))</x:f>
      </x:c>
      <x:c r="J367" s="46"/>
      <x:c r="K367" s="100" t="str">
        <x:f>IF(B367="","",IF(G367="TL",1,IF(G367="USD",KURLAR!$C$9,IF(G367="EUR",KURLAR!$C$10,0))))</x:f>
      </x:c>
      <x:c r="L367" s="68" t="str">
        <x:f>IF(B367="","",I367*K367)</x:f>
      </x:c>
      <x:c r="M367" s="46"/>
      <x:c r="N367" s="52" t="str">
        <x:f>IF(B367="","",IF(OR(M367="Tahsil Edildi",M367="İptal",J367="Riskli"),"Hayır","Evet"))</x:f>
      </x:c>
    </x:row>
    <x:row r="368">
      <x:c r="B368" s="46"/>
      <x:c r="C368" s="46"/>
      <x:c r="D368" s="112"/>
      <x:c r="E368" s="112"/>
      <x:c r="F368" s="92"/>
      <x:c r="G368" s="92"/>
      <x:c r="H368" s="92"/>
      <x:c r="I368" s="93" t="str">
        <x:f>IF(B368="","",MAX(0,F368-H368))</x:f>
      </x:c>
      <x:c r="J368" s="46"/>
      <x:c r="K368" s="100" t="str">
        <x:f>IF(B368="","",IF(G368="TL",1,IF(G368="USD",KURLAR!$C$9,IF(G368="EUR",KURLAR!$C$10,0))))</x:f>
      </x:c>
      <x:c r="L368" s="68" t="str">
        <x:f>IF(B368="","",I368*K368)</x:f>
      </x:c>
      <x:c r="M368" s="46"/>
      <x:c r="N368" s="52" t="str">
        <x:f>IF(B368="","",IF(OR(M368="Tahsil Edildi",M368="İptal",J368="Riskli"),"Hayır","Evet"))</x:f>
      </x:c>
    </x:row>
    <x:row r="369">
      <x:c r="B369" s="46"/>
      <x:c r="C369" s="46"/>
      <x:c r="D369" s="112"/>
      <x:c r="E369" s="112"/>
      <x:c r="F369" s="92"/>
      <x:c r="G369" s="92"/>
      <x:c r="H369" s="92"/>
      <x:c r="I369" s="93" t="str">
        <x:f>IF(B369="","",MAX(0,F369-H369))</x:f>
      </x:c>
      <x:c r="J369" s="46"/>
      <x:c r="K369" s="100" t="str">
        <x:f>IF(B369="","",IF(G369="TL",1,IF(G369="USD",KURLAR!$C$9,IF(G369="EUR",KURLAR!$C$10,0))))</x:f>
      </x:c>
      <x:c r="L369" s="68" t="str">
        <x:f>IF(B369="","",I369*K369)</x:f>
      </x:c>
      <x:c r="M369" s="46"/>
      <x:c r="N369" s="52" t="str">
        <x:f>IF(B369="","",IF(OR(M369="Tahsil Edildi",M369="İptal",J369="Riskli"),"Hayır","Evet"))</x:f>
      </x:c>
    </x:row>
    <x:row r="370">
      <x:c r="B370" s="46"/>
      <x:c r="C370" s="46"/>
      <x:c r="D370" s="112"/>
      <x:c r="E370" s="112"/>
      <x:c r="F370" s="92"/>
      <x:c r="G370" s="92"/>
      <x:c r="H370" s="92"/>
      <x:c r="I370" s="93" t="str">
        <x:f>IF(B370="","",MAX(0,F370-H370))</x:f>
      </x:c>
      <x:c r="J370" s="46"/>
      <x:c r="K370" s="100" t="str">
        <x:f>IF(B370="","",IF(G370="TL",1,IF(G370="USD",KURLAR!$C$9,IF(G370="EUR",KURLAR!$C$10,0))))</x:f>
      </x:c>
      <x:c r="L370" s="68" t="str">
        <x:f>IF(B370="","",I370*K370)</x:f>
      </x:c>
      <x:c r="M370" s="46"/>
      <x:c r="N370" s="52" t="str">
        <x:f>IF(B370="","",IF(OR(M370="Tahsil Edildi",M370="İptal",J370="Riskli"),"Hayır","Evet"))</x:f>
      </x:c>
    </x:row>
    <x:row r="371">
      <x:c r="B371" s="46"/>
      <x:c r="C371" s="46"/>
      <x:c r="D371" s="112"/>
      <x:c r="E371" s="112"/>
      <x:c r="F371" s="92"/>
      <x:c r="G371" s="92"/>
      <x:c r="H371" s="92"/>
      <x:c r="I371" s="93" t="str">
        <x:f>IF(B371="","",MAX(0,F371-H371))</x:f>
      </x:c>
      <x:c r="J371" s="46"/>
      <x:c r="K371" s="100" t="str">
        <x:f>IF(B371="","",IF(G371="TL",1,IF(G371="USD",KURLAR!$C$9,IF(G371="EUR",KURLAR!$C$10,0))))</x:f>
      </x:c>
      <x:c r="L371" s="68" t="str">
        <x:f>IF(B371="","",I371*K371)</x:f>
      </x:c>
      <x:c r="M371" s="46"/>
      <x:c r="N371" s="52" t="str">
        <x:f>IF(B371="","",IF(OR(M371="Tahsil Edildi",M371="İptal",J371="Riskli"),"Hayır","Evet"))</x:f>
      </x:c>
    </x:row>
    <x:row r="372">
      <x:c r="B372" s="46"/>
      <x:c r="C372" s="46"/>
      <x:c r="D372" s="112"/>
      <x:c r="E372" s="112"/>
      <x:c r="F372" s="92"/>
      <x:c r="G372" s="92"/>
      <x:c r="H372" s="92"/>
      <x:c r="I372" s="93" t="str">
        <x:f>IF(B372="","",MAX(0,F372-H372))</x:f>
      </x:c>
      <x:c r="J372" s="46"/>
      <x:c r="K372" s="100" t="str">
        <x:f>IF(B372="","",IF(G372="TL",1,IF(G372="USD",KURLAR!$C$9,IF(G372="EUR",KURLAR!$C$10,0))))</x:f>
      </x:c>
      <x:c r="L372" s="68" t="str">
        <x:f>IF(B372="","",I372*K372)</x:f>
      </x:c>
      <x:c r="M372" s="46"/>
      <x:c r="N372" s="52" t="str">
        <x:f>IF(B372="","",IF(OR(M372="Tahsil Edildi",M372="İptal",J372="Riskli"),"Hayır","Evet"))</x:f>
      </x:c>
    </x:row>
    <x:row r="373">
      <x:c r="B373" s="46"/>
      <x:c r="C373" s="46"/>
      <x:c r="D373" s="112"/>
      <x:c r="E373" s="112"/>
      <x:c r="F373" s="92"/>
      <x:c r="G373" s="92"/>
      <x:c r="H373" s="92"/>
      <x:c r="I373" s="93" t="str">
        <x:f>IF(B373="","",MAX(0,F373-H373))</x:f>
      </x:c>
      <x:c r="J373" s="46"/>
      <x:c r="K373" s="100" t="str">
        <x:f>IF(B373="","",IF(G373="TL",1,IF(G373="USD",KURLAR!$C$9,IF(G373="EUR",KURLAR!$C$10,0))))</x:f>
      </x:c>
      <x:c r="L373" s="68" t="str">
        <x:f>IF(B373="","",I373*K373)</x:f>
      </x:c>
      <x:c r="M373" s="46"/>
      <x:c r="N373" s="52" t="str">
        <x:f>IF(B373="","",IF(OR(M373="Tahsil Edildi",M373="İptal",J373="Riskli"),"Hayır","Evet"))</x:f>
      </x:c>
    </x:row>
    <x:row r="374">
      <x:c r="B374" s="46"/>
      <x:c r="C374" s="46"/>
      <x:c r="D374" s="112"/>
      <x:c r="E374" s="112"/>
      <x:c r="F374" s="92"/>
      <x:c r="G374" s="92"/>
      <x:c r="H374" s="92"/>
      <x:c r="I374" s="93" t="str">
        <x:f>IF(B374="","",MAX(0,F374-H374))</x:f>
      </x:c>
      <x:c r="J374" s="46"/>
      <x:c r="K374" s="100" t="str">
        <x:f>IF(B374="","",IF(G374="TL",1,IF(G374="USD",KURLAR!$C$9,IF(G374="EUR",KURLAR!$C$10,0))))</x:f>
      </x:c>
      <x:c r="L374" s="68" t="str">
        <x:f>IF(B374="","",I374*K374)</x:f>
      </x:c>
      <x:c r="M374" s="46"/>
      <x:c r="N374" s="52" t="str">
        <x:f>IF(B374="","",IF(OR(M374="Tahsil Edildi",M374="İptal",J374="Riskli"),"Hayır","Evet"))</x:f>
      </x:c>
    </x:row>
    <x:row r="375">
      <x:c r="B375" s="46"/>
      <x:c r="C375" s="46"/>
      <x:c r="D375" s="112"/>
      <x:c r="E375" s="112"/>
      <x:c r="F375" s="92"/>
      <x:c r="G375" s="92"/>
      <x:c r="H375" s="92"/>
      <x:c r="I375" s="93" t="str">
        <x:f>IF(B375="","",MAX(0,F375-H375))</x:f>
      </x:c>
      <x:c r="J375" s="46"/>
      <x:c r="K375" s="100" t="str">
        <x:f>IF(B375="","",IF(G375="TL",1,IF(G375="USD",KURLAR!$C$9,IF(G375="EUR",KURLAR!$C$10,0))))</x:f>
      </x:c>
      <x:c r="L375" s="68" t="str">
        <x:f>IF(B375="","",I375*K375)</x:f>
      </x:c>
      <x:c r="M375" s="46"/>
      <x:c r="N375" s="52" t="str">
        <x:f>IF(B375="","",IF(OR(M375="Tahsil Edildi",M375="İptal",J375="Riskli"),"Hayır","Evet"))</x:f>
      </x:c>
    </x:row>
    <x:row r="376">
      <x:c r="B376" s="46"/>
      <x:c r="C376" s="46"/>
      <x:c r="D376" s="112"/>
      <x:c r="E376" s="112"/>
      <x:c r="F376" s="92"/>
      <x:c r="G376" s="92"/>
      <x:c r="H376" s="92"/>
      <x:c r="I376" s="93" t="str">
        <x:f>IF(B376="","",MAX(0,F376-H376))</x:f>
      </x:c>
      <x:c r="J376" s="46"/>
      <x:c r="K376" s="100" t="str">
        <x:f>IF(B376="","",IF(G376="TL",1,IF(G376="USD",KURLAR!$C$9,IF(G376="EUR",KURLAR!$C$10,0))))</x:f>
      </x:c>
      <x:c r="L376" s="68" t="str">
        <x:f>IF(B376="","",I376*K376)</x:f>
      </x:c>
      <x:c r="M376" s="46"/>
      <x:c r="N376" s="52" t="str">
        <x:f>IF(B376="","",IF(OR(M376="Tahsil Edildi",M376="İptal",J376="Riskli"),"Hayır","Evet"))</x:f>
      </x:c>
    </x:row>
    <x:row r="377">
      <x:c r="B377" s="46"/>
      <x:c r="C377" s="46"/>
      <x:c r="D377" s="112"/>
      <x:c r="E377" s="112"/>
      <x:c r="F377" s="92"/>
      <x:c r="G377" s="92"/>
      <x:c r="H377" s="92"/>
      <x:c r="I377" s="93" t="str">
        <x:f>IF(B377="","",MAX(0,F377-H377))</x:f>
      </x:c>
      <x:c r="J377" s="46"/>
      <x:c r="K377" s="100" t="str">
        <x:f>IF(B377="","",IF(G377="TL",1,IF(G377="USD",KURLAR!$C$9,IF(G377="EUR",KURLAR!$C$10,0))))</x:f>
      </x:c>
      <x:c r="L377" s="68" t="str">
        <x:f>IF(B377="","",I377*K377)</x:f>
      </x:c>
      <x:c r="M377" s="46"/>
      <x:c r="N377" s="52" t="str">
        <x:f>IF(B377="","",IF(OR(M377="Tahsil Edildi",M377="İptal",J377="Riskli"),"Hayır","Evet"))</x:f>
      </x:c>
    </x:row>
    <x:row r="378">
      <x:c r="B378" s="46"/>
      <x:c r="C378" s="46"/>
      <x:c r="D378" s="112"/>
      <x:c r="E378" s="112"/>
      <x:c r="F378" s="92"/>
      <x:c r="G378" s="92"/>
      <x:c r="H378" s="92"/>
      <x:c r="I378" s="93" t="str">
        <x:f>IF(B378="","",MAX(0,F378-H378))</x:f>
      </x:c>
      <x:c r="J378" s="46"/>
      <x:c r="K378" s="100" t="str">
        <x:f>IF(B378="","",IF(G378="TL",1,IF(G378="USD",KURLAR!$C$9,IF(G378="EUR",KURLAR!$C$10,0))))</x:f>
      </x:c>
      <x:c r="L378" s="68" t="str">
        <x:f>IF(B378="","",I378*K378)</x:f>
      </x:c>
      <x:c r="M378" s="46"/>
      <x:c r="N378" s="52" t="str">
        <x:f>IF(B378="","",IF(OR(M378="Tahsil Edildi",M378="İptal",J378="Riskli"),"Hayır","Evet"))</x:f>
      </x:c>
    </x:row>
    <x:row r="379">
      <x:c r="B379" s="46"/>
      <x:c r="C379" s="46"/>
      <x:c r="D379" s="112"/>
      <x:c r="E379" s="112"/>
      <x:c r="F379" s="92"/>
      <x:c r="G379" s="92"/>
      <x:c r="H379" s="92"/>
      <x:c r="I379" s="93" t="str">
        <x:f>IF(B379="","",MAX(0,F379-H379))</x:f>
      </x:c>
      <x:c r="J379" s="46"/>
      <x:c r="K379" s="100" t="str">
        <x:f>IF(B379="","",IF(G379="TL",1,IF(G379="USD",KURLAR!$C$9,IF(G379="EUR",KURLAR!$C$10,0))))</x:f>
      </x:c>
      <x:c r="L379" s="68" t="str">
        <x:f>IF(B379="","",I379*K379)</x:f>
      </x:c>
      <x:c r="M379" s="46"/>
      <x:c r="N379" s="52" t="str">
        <x:f>IF(B379="","",IF(OR(M379="Tahsil Edildi",M379="İptal",J379="Riskli"),"Hayır","Evet"))</x:f>
      </x:c>
    </x:row>
    <x:row r="380">
      <x:c r="B380" s="46"/>
      <x:c r="C380" s="46"/>
      <x:c r="D380" s="112"/>
      <x:c r="E380" s="112"/>
      <x:c r="F380" s="92"/>
      <x:c r="G380" s="92"/>
      <x:c r="H380" s="92"/>
      <x:c r="I380" s="93" t="str">
        <x:f>IF(B380="","",MAX(0,F380-H380))</x:f>
      </x:c>
      <x:c r="J380" s="46"/>
      <x:c r="K380" s="100" t="str">
        <x:f>IF(B380="","",IF(G380="TL",1,IF(G380="USD",KURLAR!$C$9,IF(G380="EUR",KURLAR!$C$10,0))))</x:f>
      </x:c>
      <x:c r="L380" s="68" t="str">
        <x:f>IF(B380="","",I380*K380)</x:f>
      </x:c>
      <x:c r="M380" s="46"/>
      <x:c r="N380" s="52" t="str">
        <x:f>IF(B380="","",IF(OR(M380="Tahsil Edildi",M380="İptal",J380="Riskli"),"Hayır","Evet"))</x:f>
      </x:c>
    </x:row>
    <x:row r="381">
      <x:c r="B381" s="46"/>
      <x:c r="C381" s="46"/>
      <x:c r="D381" s="112"/>
      <x:c r="E381" s="112"/>
      <x:c r="F381" s="92"/>
      <x:c r="G381" s="92"/>
      <x:c r="H381" s="92"/>
      <x:c r="I381" s="93" t="str">
        <x:f>IF(B381="","",MAX(0,F381-H381))</x:f>
      </x:c>
      <x:c r="J381" s="46"/>
      <x:c r="K381" s="100" t="str">
        <x:f>IF(B381="","",IF(G381="TL",1,IF(G381="USD",KURLAR!$C$9,IF(G381="EUR",KURLAR!$C$10,0))))</x:f>
      </x:c>
      <x:c r="L381" s="68" t="str">
        <x:f>IF(B381="","",I381*K381)</x:f>
      </x:c>
      <x:c r="M381" s="46"/>
      <x:c r="N381" s="52" t="str">
        <x:f>IF(B381="","",IF(OR(M381="Tahsil Edildi",M381="İptal",J381="Riskli"),"Hayır","Evet"))</x:f>
      </x:c>
    </x:row>
    <x:row r="382">
      <x:c r="B382" s="46"/>
      <x:c r="C382" s="46"/>
      <x:c r="D382" s="112"/>
      <x:c r="E382" s="112"/>
      <x:c r="F382" s="92"/>
      <x:c r="G382" s="92"/>
      <x:c r="H382" s="92"/>
      <x:c r="I382" s="93" t="str">
        <x:f>IF(B382="","",MAX(0,F382-H382))</x:f>
      </x:c>
      <x:c r="J382" s="46"/>
      <x:c r="K382" s="100" t="str">
        <x:f>IF(B382="","",IF(G382="TL",1,IF(G382="USD",KURLAR!$C$9,IF(G382="EUR",KURLAR!$C$10,0))))</x:f>
      </x:c>
      <x:c r="L382" s="68" t="str">
        <x:f>IF(B382="","",I382*K382)</x:f>
      </x:c>
      <x:c r="M382" s="46"/>
      <x:c r="N382" s="52" t="str">
        <x:f>IF(B382="","",IF(OR(M382="Tahsil Edildi",M382="İptal",J382="Riskli"),"Hayır","Evet"))</x:f>
      </x:c>
    </x:row>
    <x:row r="383">
      <x:c r="B383" s="46"/>
      <x:c r="C383" s="46"/>
      <x:c r="D383" s="112"/>
      <x:c r="E383" s="112"/>
      <x:c r="F383" s="92"/>
      <x:c r="G383" s="92"/>
      <x:c r="H383" s="92"/>
      <x:c r="I383" s="93" t="str">
        <x:f>IF(B383="","",MAX(0,F383-H383))</x:f>
      </x:c>
      <x:c r="J383" s="46"/>
      <x:c r="K383" s="100" t="str">
        <x:f>IF(B383="","",IF(G383="TL",1,IF(G383="USD",KURLAR!$C$9,IF(G383="EUR",KURLAR!$C$10,0))))</x:f>
      </x:c>
      <x:c r="L383" s="68" t="str">
        <x:f>IF(B383="","",I383*K383)</x:f>
      </x:c>
      <x:c r="M383" s="46"/>
      <x:c r="N383" s="52" t="str">
        <x:f>IF(B383="","",IF(OR(M383="Tahsil Edildi",M383="İptal",J383="Riskli"),"Hayır","Evet"))</x:f>
      </x:c>
    </x:row>
    <x:row r="384">
      <x:c r="B384" s="46"/>
      <x:c r="C384" s="46"/>
      <x:c r="D384" s="112"/>
      <x:c r="E384" s="112"/>
      <x:c r="F384" s="92"/>
      <x:c r="G384" s="92"/>
      <x:c r="H384" s="92"/>
      <x:c r="I384" s="93" t="str">
        <x:f>IF(B384="","",MAX(0,F384-H384))</x:f>
      </x:c>
      <x:c r="J384" s="46"/>
      <x:c r="K384" s="100" t="str">
        <x:f>IF(B384="","",IF(G384="TL",1,IF(G384="USD",KURLAR!$C$9,IF(G384="EUR",KURLAR!$C$10,0))))</x:f>
      </x:c>
      <x:c r="L384" s="68" t="str">
        <x:f>IF(B384="","",I384*K384)</x:f>
      </x:c>
      <x:c r="M384" s="46"/>
      <x:c r="N384" s="52" t="str">
        <x:f>IF(B384="","",IF(OR(M384="Tahsil Edildi",M384="İptal",J384="Riskli"),"Hayır","Evet"))</x:f>
      </x:c>
    </x:row>
    <x:row r="385">
      <x:c r="B385" s="46"/>
      <x:c r="C385" s="46"/>
      <x:c r="D385" s="112"/>
      <x:c r="E385" s="112"/>
      <x:c r="F385" s="92"/>
      <x:c r="G385" s="92"/>
      <x:c r="H385" s="92"/>
      <x:c r="I385" s="93" t="str">
        <x:f>IF(B385="","",MAX(0,F385-H385))</x:f>
      </x:c>
      <x:c r="J385" s="46"/>
      <x:c r="K385" s="100" t="str">
        <x:f>IF(B385="","",IF(G385="TL",1,IF(G385="USD",KURLAR!$C$9,IF(G385="EUR",KURLAR!$C$10,0))))</x:f>
      </x:c>
      <x:c r="L385" s="68" t="str">
        <x:f>IF(B385="","",I385*K385)</x:f>
      </x:c>
      <x:c r="M385" s="46"/>
      <x:c r="N385" s="52" t="str">
        <x:f>IF(B385="","",IF(OR(M385="Tahsil Edildi",M385="İptal",J385="Riskli"),"Hayır","Evet"))</x:f>
      </x:c>
    </x:row>
    <x:row r="386">
      <x:c r="B386" s="46"/>
      <x:c r="C386" s="46"/>
      <x:c r="D386" s="112"/>
      <x:c r="E386" s="112"/>
      <x:c r="F386" s="92"/>
      <x:c r="G386" s="92"/>
      <x:c r="H386" s="92"/>
      <x:c r="I386" s="93" t="str">
        <x:f>IF(B386="","",MAX(0,F386-H386))</x:f>
      </x:c>
      <x:c r="J386" s="46"/>
      <x:c r="K386" s="100" t="str">
        <x:f>IF(B386="","",IF(G386="TL",1,IF(G386="USD",KURLAR!$C$9,IF(G386="EUR",KURLAR!$C$10,0))))</x:f>
      </x:c>
      <x:c r="L386" s="68" t="str">
        <x:f>IF(B386="","",I386*K386)</x:f>
      </x:c>
      <x:c r="M386" s="46"/>
      <x:c r="N386" s="52" t="str">
        <x:f>IF(B386="","",IF(OR(M386="Tahsil Edildi",M386="İptal",J386="Riskli"),"Hayır","Evet"))</x:f>
      </x:c>
    </x:row>
    <x:row r="387">
      <x:c r="B387" s="46"/>
      <x:c r="C387" s="46"/>
      <x:c r="D387" s="112"/>
      <x:c r="E387" s="112"/>
      <x:c r="F387" s="92"/>
      <x:c r="G387" s="92"/>
      <x:c r="H387" s="92"/>
      <x:c r="I387" s="93" t="str">
        <x:f>IF(B387="","",MAX(0,F387-H387))</x:f>
      </x:c>
      <x:c r="J387" s="46"/>
      <x:c r="K387" s="100" t="str">
        <x:f>IF(B387="","",IF(G387="TL",1,IF(G387="USD",KURLAR!$C$9,IF(G387="EUR",KURLAR!$C$10,0))))</x:f>
      </x:c>
      <x:c r="L387" s="68" t="str">
        <x:f>IF(B387="","",I387*K387)</x:f>
      </x:c>
      <x:c r="M387" s="46"/>
      <x:c r="N387" s="52" t="str">
        <x:f>IF(B387="","",IF(OR(M387="Tahsil Edildi",M387="İptal",J387="Riskli"),"Hayır","Evet"))</x:f>
      </x:c>
    </x:row>
    <x:row r="388">
      <x:c r="B388" s="46"/>
      <x:c r="C388" s="46"/>
      <x:c r="D388" s="112"/>
      <x:c r="E388" s="112"/>
      <x:c r="F388" s="92"/>
      <x:c r="G388" s="92"/>
      <x:c r="H388" s="92"/>
      <x:c r="I388" s="93" t="str">
        <x:f>IF(B388="","",MAX(0,F388-H388))</x:f>
      </x:c>
      <x:c r="J388" s="46"/>
      <x:c r="K388" s="100" t="str">
        <x:f>IF(B388="","",IF(G388="TL",1,IF(G388="USD",KURLAR!$C$9,IF(G388="EUR",KURLAR!$C$10,0))))</x:f>
      </x:c>
      <x:c r="L388" s="68" t="str">
        <x:f>IF(B388="","",I388*K388)</x:f>
      </x:c>
      <x:c r="M388" s="46"/>
      <x:c r="N388" s="52" t="str">
        <x:f>IF(B388="","",IF(OR(M388="Tahsil Edildi",M388="İptal",J388="Riskli"),"Hayır","Evet"))</x:f>
      </x:c>
    </x:row>
    <x:row r="389">
      <x:c r="B389" s="46"/>
      <x:c r="C389" s="46"/>
      <x:c r="D389" s="112"/>
      <x:c r="E389" s="112"/>
      <x:c r="F389" s="92"/>
      <x:c r="G389" s="92"/>
      <x:c r="H389" s="92"/>
      <x:c r="I389" s="93" t="str">
        <x:f>IF(B389="","",MAX(0,F389-H389))</x:f>
      </x:c>
      <x:c r="J389" s="46"/>
      <x:c r="K389" s="100" t="str">
        <x:f>IF(B389="","",IF(G389="TL",1,IF(G389="USD",KURLAR!$C$9,IF(G389="EUR",KURLAR!$C$10,0))))</x:f>
      </x:c>
      <x:c r="L389" s="68" t="str">
        <x:f>IF(B389="","",I389*K389)</x:f>
      </x:c>
      <x:c r="M389" s="46"/>
      <x:c r="N389" s="52" t="str">
        <x:f>IF(B389="","",IF(OR(M389="Tahsil Edildi",M389="İptal",J389="Riskli"),"Hayır","Evet"))</x:f>
      </x:c>
    </x:row>
    <x:row r="390">
      <x:c r="B390" s="46"/>
      <x:c r="C390" s="46"/>
      <x:c r="D390" s="112"/>
      <x:c r="E390" s="112"/>
      <x:c r="F390" s="92"/>
      <x:c r="G390" s="92"/>
      <x:c r="H390" s="92"/>
      <x:c r="I390" s="93" t="str">
        <x:f>IF(B390="","",MAX(0,F390-H390))</x:f>
      </x:c>
      <x:c r="J390" s="46"/>
      <x:c r="K390" s="100" t="str">
        <x:f>IF(B390="","",IF(G390="TL",1,IF(G390="USD",KURLAR!$C$9,IF(G390="EUR",KURLAR!$C$10,0))))</x:f>
      </x:c>
      <x:c r="L390" s="68" t="str">
        <x:f>IF(B390="","",I390*K390)</x:f>
      </x:c>
      <x:c r="M390" s="46"/>
      <x:c r="N390" s="52" t="str">
        <x:f>IF(B390="","",IF(OR(M390="Tahsil Edildi",M390="İptal",J390="Riskli"),"Hayır","Evet"))</x:f>
      </x:c>
    </x:row>
    <x:row r="391">
      <x:c r="B391" s="46"/>
      <x:c r="C391" s="46"/>
      <x:c r="D391" s="112"/>
      <x:c r="E391" s="112"/>
      <x:c r="F391" s="92"/>
      <x:c r="G391" s="92"/>
      <x:c r="H391" s="92"/>
      <x:c r="I391" s="93" t="str">
        <x:f>IF(B391="","",MAX(0,F391-H391))</x:f>
      </x:c>
      <x:c r="J391" s="46"/>
      <x:c r="K391" s="100" t="str">
        <x:f>IF(B391="","",IF(G391="TL",1,IF(G391="USD",KURLAR!$C$9,IF(G391="EUR",KURLAR!$C$10,0))))</x:f>
      </x:c>
      <x:c r="L391" s="68" t="str">
        <x:f>IF(B391="","",I391*K391)</x:f>
      </x:c>
      <x:c r="M391" s="46"/>
      <x:c r="N391" s="52" t="str">
        <x:f>IF(B391="","",IF(OR(M391="Tahsil Edildi",M391="İptal",J391="Riskli"),"Hayır","Evet"))</x:f>
      </x:c>
    </x:row>
    <x:row r="392">
      <x:c r="B392" s="46"/>
      <x:c r="C392" s="46"/>
      <x:c r="D392" s="112"/>
      <x:c r="E392" s="112"/>
      <x:c r="F392" s="92"/>
      <x:c r="G392" s="92"/>
      <x:c r="H392" s="92"/>
      <x:c r="I392" s="93" t="str">
        <x:f>IF(B392="","",MAX(0,F392-H392))</x:f>
      </x:c>
      <x:c r="J392" s="46"/>
      <x:c r="K392" s="100" t="str">
        <x:f>IF(B392="","",IF(G392="TL",1,IF(G392="USD",KURLAR!$C$9,IF(G392="EUR",KURLAR!$C$10,0))))</x:f>
      </x:c>
      <x:c r="L392" s="68" t="str">
        <x:f>IF(B392="","",I392*K392)</x:f>
      </x:c>
      <x:c r="M392" s="46"/>
      <x:c r="N392" s="52" t="str">
        <x:f>IF(B392="","",IF(OR(M392="Tahsil Edildi",M392="İptal",J392="Riskli"),"Hayır","Evet"))</x:f>
      </x:c>
    </x:row>
    <x:row r="393">
      <x:c r="B393" s="46"/>
      <x:c r="C393" s="46"/>
      <x:c r="D393" s="112"/>
      <x:c r="E393" s="112"/>
      <x:c r="F393" s="92"/>
      <x:c r="G393" s="92"/>
      <x:c r="H393" s="92"/>
      <x:c r="I393" s="93" t="str">
        <x:f>IF(B393="","",MAX(0,F393-H393))</x:f>
      </x:c>
      <x:c r="J393" s="46"/>
      <x:c r="K393" s="100" t="str">
        <x:f>IF(B393="","",IF(G393="TL",1,IF(G393="USD",KURLAR!$C$9,IF(G393="EUR",KURLAR!$C$10,0))))</x:f>
      </x:c>
      <x:c r="L393" s="68" t="str">
        <x:f>IF(B393="","",I393*K393)</x:f>
      </x:c>
      <x:c r="M393" s="46"/>
      <x:c r="N393" s="52" t="str">
        <x:f>IF(B393="","",IF(OR(M393="Tahsil Edildi",M393="İptal",J393="Riskli"),"Hayır","Evet"))</x:f>
      </x:c>
    </x:row>
    <x:row r="394">
      <x:c r="B394" s="46"/>
      <x:c r="C394" s="46"/>
      <x:c r="D394" s="112"/>
      <x:c r="E394" s="112"/>
      <x:c r="F394" s="92"/>
      <x:c r="G394" s="92"/>
      <x:c r="H394" s="92"/>
      <x:c r="I394" s="93" t="str">
        <x:f>IF(B394="","",MAX(0,F394-H394))</x:f>
      </x:c>
      <x:c r="J394" s="46"/>
      <x:c r="K394" s="100" t="str">
        <x:f>IF(B394="","",IF(G394="TL",1,IF(G394="USD",KURLAR!$C$9,IF(G394="EUR",KURLAR!$C$10,0))))</x:f>
      </x:c>
      <x:c r="L394" s="68" t="str">
        <x:f>IF(B394="","",I394*K394)</x:f>
      </x:c>
      <x:c r="M394" s="46"/>
      <x:c r="N394" s="52" t="str">
        <x:f>IF(B394="","",IF(OR(M394="Tahsil Edildi",M394="İptal",J394="Riskli"),"Hayır","Evet"))</x:f>
      </x:c>
    </x:row>
    <x:row r="395">
      <x:c r="B395" s="46"/>
      <x:c r="C395" s="46"/>
      <x:c r="D395" s="112"/>
      <x:c r="E395" s="112"/>
      <x:c r="F395" s="92"/>
      <x:c r="G395" s="92"/>
      <x:c r="H395" s="92"/>
      <x:c r="I395" s="93" t="str">
        <x:f>IF(B395="","",MAX(0,F395-H395))</x:f>
      </x:c>
      <x:c r="J395" s="46"/>
      <x:c r="K395" s="100" t="str">
        <x:f>IF(B395="","",IF(G395="TL",1,IF(G395="USD",KURLAR!$C$9,IF(G395="EUR",KURLAR!$C$10,0))))</x:f>
      </x:c>
      <x:c r="L395" s="68" t="str">
        <x:f>IF(B395="","",I395*K395)</x:f>
      </x:c>
      <x:c r="M395" s="46"/>
      <x:c r="N395" s="52" t="str">
        <x:f>IF(B395="","",IF(OR(M395="Tahsil Edildi",M395="İptal",J395="Riskli"),"Hayır","Evet"))</x:f>
      </x:c>
    </x:row>
    <x:row r="396">
      <x:c r="B396" s="46"/>
      <x:c r="C396" s="46"/>
      <x:c r="D396" s="112"/>
      <x:c r="E396" s="112"/>
      <x:c r="F396" s="92"/>
      <x:c r="G396" s="92"/>
      <x:c r="H396" s="92"/>
      <x:c r="I396" s="93" t="str">
        <x:f>IF(B396="","",MAX(0,F396-H396))</x:f>
      </x:c>
      <x:c r="J396" s="46"/>
      <x:c r="K396" s="100" t="str">
        <x:f>IF(B396="","",IF(G396="TL",1,IF(G396="USD",KURLAR!$C$9,IF(G396="EUR",KURLAR!$C$10,0))))</x:f>
      </x:c>
      <x:c r="L396" s="68" t="str">
        <x:f>IF(B396="","",I396*K396)</x:f>
      </x:c>
      <x:c r="M396" s="46"/>
      <x:c r="N396" s="52" t="str">
        <x:f>IF(B396="","",IF(OR(M396="Tahsil Edildi",M396="İptal",J396="Riskli"),"Hayır","Evet"))</x:f>
      </x:c>
    </x:row>
    <x:row r="397">
      <x:c r="B397" s="46"/>
      <x:c r="C397" s="46"/>
      <x:c r="D397" s="112"/>
      <x:c r="E397" s="112"/>
      <x:c r="F397" s="92"/>
      <x:c r="G397" s="92"/>
      <x:c r="H397" s="92"/>
      <x:c r="I397" s="93" t="str">
        <x:f>IF(B397="","",MAX(0,F397-H397))</x:f>
      </x:c>
      <x:c r="J397" s="46"/>
      <x:c r="K397" s="100" t="str">
        <x:f>IF(B397="","",IF(G397="TL",1,IF(G397="USD",KURLAR!$C$9,IF(G397="EUR",KURLAR!$C$10,0))))</x:f>
      </x:c>
      <x:c r="L397" s="68" t="str">
        <x:f>IF(B397="","",I397*K397)</x:f>
      </x:c>
      <x:c r="M397" s="46"/>
      <x:c r="N397" s="52" t="str">
        <x:f>IF(B397="","",IF(OR(M397="Tahsil Edildi",M397="İptal",J397="Riskli"),"Hayır","Evet"))</x:f>
      </x:c>
    </x:row>
    <x:row r="398">
      <x:c r="B398" s="46"/>
      <x:c r="C398" s="46"/>
      <x:c r="D398" s="112"/>
      <x:c r="E398" s="112"/>
      <x:c r="F398" s="92"/>
      <x:c r="G398" s="92"/>
      <x:c r="H398" s="92"/>
      <x:c r="I398" s="93" t="str">
        <x:f>IF(B398="","",MAX(0,F398-H398))</x:f>
      </x:c>
      <x:c r="J398" s="46"/>
      <x:c r="K398" s="100" t="str">
        <x:f>IF(B398="","",IF(G398="TL",1,IF(G398="USD",KURLAR!$C$9,IF(G398="EUR",KURLAR!$C$10,0))))</x:f>
      </x:c>
      <x:c r="L398" s="68" t="str">
        <x:f>IF(B398="","",I398*K398)</x:f>
      </x:c>
      <x:c r="M398" s="46"/>
      <x:c r="N398" s="52" t="str">
        <x:f>IF(B398="","",IF(OR(M398="Tahsil Edildi",M398="İptal",J398="Riskli"),"Hayır","Evet"))</x:f>
      </x:c>
    </x:row>
    <x:row r="399">
      <x:c r="B399" s="46"/>
      <x:c r="C399" s="46"/>
      <x:c r="D399" s="112"/>
      <x:c r="E399" s="112"/>
      <x:c r="F399" s="92"/>
      <x:c r="G399" s="92"/>
      <x:c r="H399" s="92"/>
      <x:c r="I399" s="93" t="str">
        <x:f>IF(B399="","",MAX(0,F399-H399))</x:f>
      </x:c>
      <x:c r="J399" s="46"/>
      <x:c r="K399" s="100" t="str">
        <x:f>IF(B399="","",IF(G399="TL",1,IF(G399="USD",KURLAR!$C$9,IF(G399="EUR",KURLAR!$C$10,0))))</x:f>
      </x:c>
      <x:c r="L399" s="68" t="str">
        <x:f>IF(B399="","",I399*K399)</x:f>
      </x:c>
      <x:c r="M399" s="46"/>
      <x:c r="N399" s="52" t="str">
        <x:f>IF(B399="","",IF(OR(M399="Tahsil Edildi",M399="İptal",J399="Riskli"),"Hayır","Evet"))</x:f>
      </x:c>
    </x:row>
    <x:row r="400">
      <x:c r="B400" s="46"/>
      <x:c r="C400" s="46"/>
      <x:c r="D400" s="112"/>
      <x:c r="E400" s="112"/>
      <x:c r="F400" s="92"/>
      <x:c r="G400" s="92"/>
      <x:c r="H400" s="92"/>
      <x:c r="I400" s="93" t="str">
        <x:f>IF(B400="","",MAX(0,F400-H400))</x:f>
      </x:c>
      <x:c r="J400" s="46"/>
      <x:c r="K400" s="100" t="str">
        <x:f>IF(B400="","",IF(G400="TL",1,IF(G400="USD",KURLAR!$C$9,IF(G400="EUR",KURLAR!$C$10,0))))</x:f>
      </x:c>
      <x:c r="L400" s="68" t="str">
        <x:f>IF(B400="","",I400*K400)</x:f>
      </x:c>
      <x:c r="M400" s="46"/>
      <x:c r="N400" s="52" t="str">
        <x:f>IF(B400="","",IF(OR(M400="Tahsil Edildi",M400="İptal",J400="Riskli"),"Hayır","Evet"))</x:f>
      </x:c>
    </x:row>
    <x:row r="401">
      <x:c r="B401" s="46"/>
      <x:c r="C401" s="46"/>
      <x:c r="D401" s="112"/>
      <x:c r="E401" s="112"/>
      <x:c r="F401" s="92"/>
      <x:c r="G401" s="92"/>
      <x:c r="H401" s="92"/>
      <x:c r="I401" s="93" t="str">
        <x:f>IF(B401="","",MAX(0,F401-H401))</x:f>
      </x:c>
      <x:c r="J401" s="46"/>
      <x:c r="K401" s="100" t="str">
        <x:f>IF(B401="","",IF(G401="TL",1,IF(G401="USD",KURLAR!$C$9,IF(G401="EUR",KURLAR!$C$10,0))))</x:f>
      </x:c>
      <x:c r="L401" s="68" t="str">
        <x:f>IF(B401="","",I401*K401)</x:f>
      </x:c>
      <x:c r="M401" s="46"/>
      <x:c r="N401" s="52" t="str">
        <x:f>IF(B401="","",IF(OR(M401="Tahsil Edildi",M401="İptal",J401="Riskli"),"Hayır","Evet"))</x:f>
      </x:c>
    </x:row>
    <x:row r="402">
      <x:c r="B402" s="46"/>
      <x:c r="C402" s="46"/>
      <x:c r="D402" s="112"/>
      <x:c r="E402" s="112"/>
      <x:c r="F402" s="92"/>
      <x:c r="G402" s="92"/>
      <x:c r="H402" s="92"/>
      <x:c r="I402" s="93" t="str">
        <x:f>IF(B402="","",MAX(0,F402-H402))</x:f>
      </x:c>
      <x:c r="J402" s="46"/>
      <x:c r="K402" s="100" t="str">
        <x:f>IF(B402="","",IF(G402="TL",1,IF(G402="USD",KURLAR!$C$9,IF(G402="EUR",KURLAR!$C$10,0))))</x:f>
      </x:c>
      <x:c r="L402" s="68" t="str">
        <x:f>IF(B402="","",I402*K402)</x:f>
      </x:c>
      <x:c r="M402" s="46"/>
      <x:c r="N402" s="52" t="str">
        <x:f>IF(B402="","",IF(OR(M402="Tahsil Edildi",M402="İptal",J402="Riskli"),"Hayır","Evet"))</x:f>
      </x:c>
    </x:row>
    <x:row r="403">
      <x:c r="B403" s="46"/>
      <x:c r="C403" s="46"/>
      <x:c r="D403" s="112"/>
      <x:c r="E403" s="112"/>
      <x:c r="F403" s="92"/>
      <x:c r="G403" s="92"/>
      <x:c r="H403" s="92"/>
      <x:c r="I403" s="93" t="str">
        <x:f>IF(B403="","",MAX(0,F403-H403))</x:f>
      </x:c>
      <x:c r="J403" s="46"/>
      <x:c r="K403" s="100" t="str">
        <x:f>IF(B403="","",IF(G403="TL",1,IF(G403="USD",KURLAR!$C$9,IF(G403="EUR",KURLAR!$C$10,0))))</x:f>
      </x:c>
      <x:c r="L403" s="68" t="str">
        <x:f>IF(B403="","",I403*K403)</x:f>
      </x:c>
      <x:c r="M403" s="46"/>
      <x:c r="N403" s="52" t="str">
        <x:f>IF(B403="","",IF(OR(M403="Tahsil Edildi",M403="İptal",J403="Riskli"),"Hayır","Evet"))</x:f>
      </x:c>
    </x:row>
    <x:row r="404">
      <x:c r="B404" s="46"/>
      <x:c r="C404" s="46"/>
      <x:c r="D404" s="112"/>
      <x:c r="E404" s="112"/>
      <x:c r="F404" s="92"/>
      <x:c r="G404" s="92"/>
      <x:c r="H404" s="92"/>
      <x:c r="I404" s="93" t="str">
        <x:f>IF(B404="","",MAX(0,F404-H404))</x:f>
      </x:c>
      <x:c r="J404" s="46"/>
      <x:c r="K404" s="100" t="str">
        <x:f>IF(B404="","",IF(G404="TL",1,IF(G404="USD",KURLAR!$C$9,IF(G404="EUR",KURLAR!$C$10,0))))</x:f>
      </x:c>
      <x:c r="L404" s="68" t="str">
        <x:f>IF(B404="","",I404*K404)</x:f>
      </x:c>
      <x:c r="M404" s="46"/>
      <x:c r="N404" s="52" t="str">
        <x:f>IF(B404="","",IF(OR(M404="Tahsil Edildi",M404="İptal",J404="Riskli"),"Hayır","Evet"))</x:f>
      </x:c>
    </x:row>
    <x:row r="405">
      <x:c r="B405" s="46"/>
      <x:c r="C405" s="46"/>
      <x:c r="D405" s="112"/>
      <x:c r="E405" s="112"/>
      <x:c r="F405" s="92"/>
      <x:c r="G405" s="92"/>
      <x:c r="H405" s="92"/>
      <x:c r="I405" s="93" t="str">
        <x:f>IF(B405="","",MAX(0,F405-H405))</x:f>
      </x:c>
      <x:c r="J405" s="46"/>
      <x:c r="K405" s="100" t="str">
        <x:f>IF(B405="","",IF(G405="TL",1,IF(G405="USD",KURLAR!$C$9,IF(G405="EUR",KURLAR!$C$10,0))))</x:f>
      </x:c>
      <x:c r="L405" s="68" t="str">
        <x:f>IF(B405="","",I405*K405)</x:f>
      </x:c>
      <x:c r="M405" s="46"/>
      <x:c r="N405" s="52" t="str">
        <x:f>IF(B405="","",IF(OR(M405="Tahsil Edildi",M405="İptal",J405="Riskli"),"Hayır","Evet"))</x:f>
      </x:c>
    </x:row>
    <x:row r="406">
      <x:c r="B406" s="46"/>
      <x:c r="C406" s="46"/>
      <x:c r="D406" s="112"/>
      <x:c r="E406" s="112"/>
      <x:c r="F406" s="92"/>
      <x:c r="G406" s="92"/>
      <x:c r="H406" s="92"/>
      <x:c r="I406" s="93" t="str">
        <x:f>IF(B406="","",MAX(0,F406-H406))</x:f>
      </x:c>
      <x:c r="J406" s="46"/>
      <x:c r="K406" s="100" t="str">
        <x:f>IF(B406="","",IF(G406="TL",1,IF(G406="USD",KURLAR!$C$9,IF(G406="EUR",KURLAR!$C$10,0))))</x:f>
      </x:c>
      <x:c r="L406" s="68" t="str">
        <x:f>IF(B406="","",I406*K406)</x:f>
      </x:c>
      <x:c r="M406" s="46"/>
      <x:c r="N406" s="52" t="str">
        <x:f>IF(B406="","",IF(OR(M406="Tahsil Edildi",M406="İptal",J406="Riskli"),"Hayır","Evet"))</x:f>
      </x:c>
    </x:row>
    <x:row r="407">
      <x:c r="B407" s="46"/>
      <x:c r="C407" s="46"/>
      <x:c r="D407" s="112"/>
      <x:c r="E407" s="112"/>
      <x:c r="F407" s="92"/>
      <x:c r="G407" s="92"/>
      <x:c r="H407" s="92"/>
      <x:c r="I407" s="93" t="str">
        <x:f>IF(B407="","",MAX(0,F407-H407))</x:f>
      </x:c>
      <x:c r="J407" s="46"/>
      <x:c r="K407" s="100" t="str">
        <x:f>IF(B407="","",IF(G407="TL",1,IF(G407="USD",KURLAR!$C$9,IF(G407="EUR",KURLAR!$C$10,0))))</x:f>
      </x:c>
      <x:c r="L407" s="68" t="str">
        <x:f>IF(B407="","",I407*K407)</x:f>
      </x:c>
      <x:c r="M407" s="46"/>
      <x:c r="N407" s="52" t="str">
        <x:f>IF(B407="","",IF(OR(M407="Tahsil Edildi",M407="İptal",J407="Riskli"),"Hayır","Evet"))</x:f>
      </x:c>
    </x:row>
    <x:row r="408">
      <x:c r="B408" s="46"/>
      <x:c r="C408" s="46"/>
      <x:c r="D408" s="112"/>
      <x:c r="E408" s="112"/>
      <x:c r="F408" s="92"/>
      <x:c r="G408" s="92"/>
      <x:c r="H408" s="92"/>
      <x:c r="I408" s="93" t="str">
        <x:f>IF(B408="","",MAX(0,F408-H408))</x:f>
      </x:c>
      <x:c r="J408" s="46"/>
      <x:c r="K408" s="100" t="str">
        <x:f>IF(B408="","",IF(G408="TL",1,IF(G408="USD",KURLAR!$C$9,IF(G408="EUR",KURLAR!$C$10,0))))</x:f>
      </x:c>
      <x:c r="L408" s="68" t="str">
        <x:f>IF(B408="","",I408*K408)</x:f>
      </x:c>
      <x:c r="M408" s="46"/>
      <x:c r="N408" s="52" t="str">
        <x:f>IF(B408="","",IF(OR(M408="Tahsil Edildi",M408="İptal",J408="Riskli"),"Hayır","Evet"))</x:f>
      </x:c>
    </x:row>
    <x:row r="409">
      <x:c r="B409" s="46"/>
      <x:c r="C409" s="46"/>
      <x:c r="D409" s="112"/>
      <x:c r="E409" s="112"/>
      <x:c r="F409" s="92"/>
      <x:c r="G409" s="92"/>
      <x:c r="H409" s="92"/>
      <x:c r="I409" s="93" t="str">
        <x:f>IF(B409="","",MAX(0,F409-H409))</x:f>
      </x:c>
      <x:c r="J409" s="46"/>
      <x:c r="K409" s="100" t="str">
        <x:f>IF(B409="","",IF(G409="TL",1,IF(G409="USD",KURLAR!$C$9,IF(G409="EUR",KURLAR!$C$10,0))))</x:f>
      </x:c>
      <x:c r="L409" s="68" t="str">
        <x:f>IF(B409="","",I409*K409)</x:f>
      </x:c>
      <x:c r="M409" s="46"/>
      <x:c r="N409" s="52" t="str">
        <x:f>IF(B409="","",IF(OR(M409="Tahsil Edildi",M409="İptal",J409="Riskli"),"Hayır","Evet"))</x:f>
      </x:c>
    </x:row>
    <x:row r="410">
      <x:c r="B410" s="46"/>
      <x:c r="C410" s="46"/>
      <x:c r="D410" s="112"/>
      <x:c r="E410" s="112"/>
      <x:c r="F410" s="92"/>
      <x:c r="G410" s="92"/>
      <x:c r="H410" s="92"/>
      <x:c r="I410" s="93" t="str">
        <x:f>IF(B410="","",MAX(0,F410-H410))</x:f>
      </x:c>
      <x:c r="J410" s="46"/>
      <x:c r="K410" s="100" t="str">
        <x:f>IF(B410="","",IF(G410="TL",1,IF(G410="USD",KURLAR!$C$9,IF(G410="EUR",KURLAR!$C$10,0))))</x:f>
      </x:c>
      <x:c r="L410" s="68" t="str">
        <x:f>IF(B410="","",I410*K410)</x:f>
      </x:c>
      <x:c r="M410" s="46"/>
      <x:c r="N410" s="52" t="str">
        <x:f>IF(B410="","",IF(OR(M410="Tahsil Edildi",M410="İptal",J410="Riskli"),"Hayır","Evet"))</x:f>
      </x:c>
    </x:row>
    <x:row r="411">
      <x:c r="B411" s="46"/>
      <x:c r="C411" s="46"/>
      <x:c r="D411" s="112"/>
      <x:c r="E411" s="112"/>
      <x:c r="F411" s="92"/>
      <x:c r="G411" s="92"/>
      <x:c r="H411" s="92"/>
      <x:c r="I411" s="93" t="str">
        <x:f>IF(B411="","",MAX(0,F411-H411))</x:f>
      </x:c>
      <x:c r="J411" s="46"/>
      <x:c r="K411" s="100" t="str">
        <x:f>IF(B411="","",IF(G411="TL",1,IF(G411="USD",KURLAR!$C$9,IF(G411="EUR",KURLAR!$C$10,0))))</x:f>
      </x:c>
      <x:c r="L411" s="68" t="str">
        <x:f>IF(B411="","",I411*K411)</x:f>
      </x:c>
      <x:c r="M411" s="46"/>
      <x:c r="N411" s="52" t="str">
        <x:f>IF(B411="","",IF(OR(M411="Tahsil Edildi",M411="İptal",J411="Riskli"),"Hayır","Evet"))</x:f>
      </x:c>
    </x:row>
    <x:row r="412">
      <x:c r="B412" s="46"/>
      <x:c r="C412" s="46"/>
      <x:c r="D412" s="112"/>
      <x:c r="E412" s="112"/>
      <x:c r="F412" s="92"/>
      <x:c r="G412" s="92"/>
      <x:c r="H412" s="92"/>
      <x:c r="I412" s="93" t="str">
        <x:f>IF(B412="","",MAX(0,F412-H412))</x:f>
      </x:c>
      <x:c r="J412" s="46"/>
      <x:c r="K412" s="100" t="str">
        <x:f>IF(B412="","",IF(G412="TL",1,IF(G412="USD",KURLAR!$C$9,IF(G412="EUR",KURLAR!$C$10,0))))</x:f>
      </x:c>
      <x:c r="L412" s="68" t="str">
        <x:f>IF(B412="","",I412*K412)</x:f>
      </x:c>
      <x:c r="M412" s="46"/>
      <x:c r="N412" s="52" t="str">
        <x:f>IF(B412="","",IF(OR(M412="Tahsil Edildi",M412="İptal",J412="Riskli"),"Hayır","Evet"))</x:f>
      </x:c>
    </x:row>
    <x:row r="413">
      <x:c r="B413" s="46"/>
      <x:c r="C413" s="46"/>
      <x:c r="D413" s="112"/>
      <x:c r="E413" s="112"/>
      <x:c r="F413" s="92"/>
      <x:c r="G413" s="92"/>
      <x:c r="H413" s="92"/>
      <x:c r="I413" s="93" t="str">
        <x:f>IF(B413="","",MAX(0,F413-H413))</x:f>
      </x:c>
      <x:c r="J413" s="46"/>
      <x:c r="K413" s="100" t="str">
        <x:f>IF(B413="","",IF(G413="TL",1,IF(G413="USD",KURLAR!$C$9,IF(G413="EUR",KURLAR!$C$10,0))))</x:f>
      </x:c>
      <x:c r="L413" s="68" t="str">
        <x:f>IF(B413="","",I413*K413)</x:f>
      </x:c>
      <x:c r="M413" s="46"/>
      <x:c r="N413" s="52" t="str">
        <x:f>IF(B413="","",IF(OR(M413="Tahsil Edildi",M413="İptal",J413="Riskli"),"Hayır","Evet"))</x:f>
      </x:c>
    </x:row>
    <x:row r="414">
      <x:c r="B414" s="46"/>
      <x:c r="C414" s="46"/>
      <x:c r="D414" s="112"/>
      <x:c r="E414" s="112"/>
      <x:c r="F414" s="92"/>
      <x:c r="G414" s="92"/>
      <x:c r="H414" s="92"/>
      <x:c r="I414" s="93" t="str">
        <x:f>IF(B414="","",MAX(0,F414-H414))</x:f>
      </x:c>
      <x:c r="J414" s="46"/>
      <x:c r="K414" s="100" t="str">
        <x:f>IF(B414="","",IF(G414="TL",1,IF(G414="USD",KURLAR!$C$9,IF(G414="EUR",KURLAR!$C$10,0))))</x:f>
      </x:c>
      <x:c r="L414" s="68" t="str">
        <x:f>IF(B414="","",I414*K414)</x:f>
      </x:c>
      <x:c r="M414" s="46"/>
      <x:c r="N414" s="52" t="str">
        <x:f>IF(B414="","",IF(OR(M414="Tahsil Edildi",M414="İptal",J414="Riskli"),"Hayır","Evet"))</x:f>
      </x:c>
    </x:row>
    <x:row r="415">
      <x:c r="B415" s="46"/>
      <x:c r="C415" s="46"/>
      <x:c r="D415" s="112"/>
      <x:c r="E415" s="112"/>
      <x:c r="F415" s="92"/>
      <x:c r="G415" s="92"/>
      <x:c r="H415" s="92"/>
      <x:c r="I415" s="93" t="str">
        <x:f>IF(B415="","",MAX(0,F415-H415))</x:f>
      </x:c>
      <x:c r="J415" s="46"/>
      <x:c r="K415" s="100" t="str">
        <x:f>IF(B415="","",IF(G415="TL",1,IF(G415="USD",KURLAR!$C$9,IF(G415="EUR",KURLAR!$C$10,0))))</x:f>
      </x:c>
      <x:c r="L415" s="68" t="str">
        <x:f>IF(B415="","",I415*K415)</x:f>
      </x:c>
      <x:c r="M415" s="46"/>
      <x:c r="N415" s="52" t="str">
        <x:f>IF(B415="","",IF(OR(M415="Tahsil Edildi",M415="İptal",J415="Riskli"),"Hayır","Evet"))</x:f>
      </x:c>
    </x:row>
    <x:row r="416">
      <x:c r="B416" s="46"/>
      <x:c r="C416" s="46"/>
      <x:c r="D416" s="112"/>
      <x:c r="E416" s="112"/>
      <x:c r="F416" s="92"/>
      <x:c r="G416" s="92"/>
      <x:c r="H416" s="92"/>
      <x:c r="I416" s="93" t="str">
        <x:f>IF(B416="","",MAX(0,F416-H416))</x:f>
      </x:c>
      <x:c r="J416" s="46"/>
      <x:c r="K416" s="100" t="str">
        <x:f>IF(B416="","",IF(G416="TL",1,IF(G416="USD",KURLAR!$C$9,IF(G416="EUR",KURLAR!$C$10,0))))</x:f>
      </x:c>
      <x:c r="L416" s="68" t="str">
        <x:f>IF(B416="","",I416*K416)</x:f>
      </x:c>
      <x:c r="M416" s="46"/>
      <x:c r="N416" s="52" t="str">
        <x:f>IF(B416="","",IF(OR(M416="Tahsil Edildi",M416="İptal",J416="Riskli"),"Hayır","Evet"))</x:f>
      </x:c>
    </x:row>
    <x:row r="417">
      <x:c r="B417" s="46"/>
      <x:c r="C417" s="46"/>
      <x:c r="D417" s="112"/>
      <x:c r="E417" s="112"/>
      <x:c r="F417" s="92"/>
      <x:c r="G417" s="92"/>
      <x:c r="H417" s="92"/>
      <x:c r="I417" s="93" t="str">
        <x:f>IF(B417="","",MAX(0,F417-H417))</x:f>
      </x:c>
      <x:c r="J417" s="46"/>
      <x:c r="K417" s="100" t="str">
        <x:f>IF(B417="","",IF(G417="TL",1,IF(G417="USD",KURLAR!$C$9,IF(G417="EUR",KURLAR!$C$10,0))))</x:f>
      </x:c>
      <x:c r="L417" s="68" t="str">
        <x:f>IF(B417="","",I417*K417)</x:f>
      </x:c>
      <x:c r="M417" s="46"/>
      <x:c r="N417" s="52" t="str">
        <x:f>IF(B417="","",IF(OR(M417="Tahsil Edildi",M417="İptal",J417="Riskli"),"Hayır","Evet"))</x:f>
      </x:c>
    </x:row>
    <x:row r="418">
      <x:c r="B418" s="46"/>
      <x:c r="C418" s="46"/>
      <x:c r="D418" s="112"/>
      <x:c r="E418" s="112"/>
      <x:c r="F418" s="92"/>
      <x:c r="G418" s="92"/>
      <x:c r="H418" s="92"/>
      <x:c r="I418" s="93" t="str">
        <x:f>IF(B418="","",MAX(0,F418-H418))</x:f>
      </x:c>
      <x:c r="J418" s="46"/>
      <x:c r="K418" s="100" t="str">
        <x:f>IF(B418="","",IF(G418="TL",1,IF(G418="USD",KURLAR!$C$9,IF(G418="EUR",KURLAR!$C$10,0))))</x:f>
      </x:c>
      <x:c r="L418" s="68" t="str">
        <x:f>IF(B418="","",I418*K418)</x:f>
      </x:c>
      <x:c r="M418" s="46"/>
      <x:c r="N418" s="52" t="str">
        <x:f>IF(B418="","",IF(OR(M418="Tahsil Edildi",M418="İptal",J418="Riskli"),"Hayır","Evet"))</x:f>
      </x:c>
    </x:row>
    <x:row r="419">
      <x:c r="B419" s="46"/>
      <x:c r="C419" s="46"/>
      <x:c r="D419" s="112"/>
      <x:c r="E419" s="112"/>
      <x:c r="F419" s="92"/>
      <x:c r="G419" s="92"/>
      <x:c r="H419" s="92"/>
      <x:c r="I419" s="93" t="str">
        <x:f>IF(B419="","",MAX(0,F419-H419))</x:f>
      </x:c>
      <x:c r="J419" s="46"/>
      <x:c r="K419" s="100" t="str">
        <x:f>IF(B419="","",IF(G419="TL",1,IF(G419="USD",KURLAR!$C$9,IF(G419="EUR",KURLAR!$C$10,0))))</x:f>
      </x:c>
      <x:c r="L419" s="68" t="str">
        <x:f>IF(B419="","",I419*K419)</x:f>
      </x:c>
      <x:c r="M419" s="46"/>
      <x:c r="N419" s="52" t="str">
        <x:f>IF(B419="","",IF(OR(M419="Tahsil Edildi",M419="İptal",J419="Riskli"),"Hayır","Evet"))</x:f>
      </x:c>
    </x:row>
    <x:row r="420">
      <x:c r="B420" s="46"/>
      <x:c r="C420" s="46"/>
      <x:c r="D420" s="112"/>
      <x:c r="E420" s="112"/>
      <x:c r="F420" s="92"/>
      <x:c r="G420" s="92"/>
      <x:c r="H420" s="92"/>
      <x:c r="I420" s="93" t="str">
        <x:f>IF(B420="","",MAX(0,F420-H420))</x:f>
      </x:c>
      <x:c r="J420" s="46"/>
      <x:c r="K420" s="100" t="str">
        <x:f>IF(B420="","",IF(G420="TL",1,IF(G420="USD",KURLAR!$C$9,IF(G420="EUR",KURLAR!$C$10,0))))</x:f>
      </x:c>
      <x:c r="L420" s="68" t="str">
        <x:f>IF(B420="","",I420*K420)</x:f>
      </x:c>
      <x:c r="M420" s="46"/>
      <x:c r="N420" s="52" t="str">
        <x:f>IF(B420="","",IF(OR(M420="Tahsil Edildi",M420="İptal",J420="Riskli"),"Hayır","Evet"))</x:f>
      </x:c>
    </x:row>
    <x:row r="421">
      <x:c r="B421" s="46"/>
      <x:c r="C421" s="46"/>
      <x:c r="D421" s="112"/>
      <x:c r="E421" s="112"/>
      <x:c r="F421" s="92"/>
      <x:c r="G421" s="92"/>
      <x:c r="H421" s="92"/>
      <x:c r="I421" s="93" t="str">
        <x:f>IF(B421="","",MAX(0,F421-H421))</x:f>
      </x:c>
      <x:c r="J421" s="46"/>
      <x:c r="K421" s="100" t="str">
        <x:f>IF(B421="","",IF(G421="TL",1,IF(G421="USD",KURLAR!$C$9,IF(G421="EUR",KURLAR!$C$10,0))))</x:f>
      </x:c>
      <x:c r="L421" s="68" t="str">
        <x:f>IF(B421="","",I421*K421)</x:f>
      </x:c>
      <x:c r="M421" s="46"/>
      <x:c r="N421" s="52" t="str">
        <x:f>IF(B421="","",IF(OR(M421="Tahsil Edildi",M421="İptal",J421="Riskli"),"Hayır","Evet"))</x:f>
      </x:c>
    </x:row>
    <x:row r="422">
      <x:c r="B422" s="46"/>
      <x:c r="C422" s="46"/>
      <x:c r="D422" s="112"/>
      <x:c r="E422" s="112"/>
      <x:c r="F422" s="92"/>
      <x:c r="G422" s="92"/>
      <x:c r="H422" s="92"/>
      <x:c r="I422" s="93" t="str">
        <x:f>IF(B422="","",MAX(0,F422-H422))</x:f>
      </x:c>
      <x:c r="J422" s="46"/>
      <x:c r="K422" s="100" t="str">
        <x:f>IF(B422="","",IF(G422="TL",1,IF(G422="USD",KURLAR!$C$9,IF(G422="EUR",KURLAR!$C$10,0))))</x:f>
      </x:c>
      <x:c r="L422" s="68" t="str">
        <x:f>IF(B422="","",I422*K422)</x:f>
      </x:c>
      <x:c r="M422" s="46"/>
      <x:c r="N422" s="52" t="str">
        <x:f>IF(B422="","",IF(OR(M422="Tahsil Edildi",M422="İptal",J422="Riskli"),"Hayır","Evet"))</x:f>
      </x:c>
    </x:row>
    <x:row r="423">
      <x:c r="B423" s="46"/>
      <x:c r="C423" s="46"/>
      <x:c r="D423" s="112"/>
      <x:c r="E423" s="112"/>
      <x:c r="F423" s="92"/>
      <x:c r="G423" s="92"/>
      <x:c r="H423" s="92"/>
      <x:c r="I423" s="93" t="str">
        <x:f>IF(B423="","",MAX(0,F423-H423))</x:f>
      </x:c>
      <x:c r="J423" s="46"/>
      <x:c r="K423" s="100" t="str">
        <x:f>IF(B423="","",IF(G423="TL",1,IF(G423="USD",KURLAR!$C$9,IF(G423="EUR",KURLAR!$C$10,0))))</x:f>
      </x:c>
      <x:c r="L423" s="68" t="str">
        <x:f>IF(B423="","",I423*K423)</x:f>
      </x:c>
      <x:c r="M423" s="46"/>
      <x:c r="N423" s="52" t="str">
        <x:f>IF(B423="","",IF(OR(M423="Tahsil Edildi",M423="İptal",J423="Riskli"),"Hayır","Evet"))</x:f>
      </x:c>
    </x:row>
    <x:row r="424">
      <x:c r="B424" s="46"/>
      <x:c r="C424" s="46"/>
      <x:c r="D424" s="112"/>
      <x:c r="E424" s="112"/>
      <x:c r="F424" s="92"/>
      <x:c r="G424" s="92"/>
      <x:c r="H424" s="92"/>
      <x:c r="I424" s="93" t="str">
        <x:f>IF(B424="","",MAX(0,F424-H424))</x:f>
      </x:c>
      <x:c r="J424" s="46"/>
      <x:c r="K424" s="100" t="str">
        <x:f>IF(B424="","",IF(G424="TL",1,IF(G424="USD",KURLAR!$C$9,IF(G424="EUR",KURLAR!$C$10,0))))</x:f>
      </x:c>
      <x:c r="L424" s="68" t="str">
        <x:f>IF(B424="","",I424*K424)</x:f>
      </x:c>
      <x:c r="M424" s="46"/>
      <x:c r="N424" s="52" t="str">
        <x:f>IF(B424="","",IF(OR(M424="Tahsil Edildi",M424="İptal",J424="Riskli"),"Hayır","Evet"))</x:f>
      </x:c>
    </x:row>
    <x:row r="425">
      <x:c r="B425" s="46"/>
      <x:c r="C425" s="46"/>
      <x:c r="D425" s="112"/>
      <x:c r="E425" s="112"/>
      <x:c r="F425" s="92"/>
      <x:c r="G425" s="92"/>
      <x:c r="H425" s="92"/>
      <x:c r="I425" s="93" t="str">
        <x:f>IF(B425="","",MAX(0,F425-H425))</x:f>
      </x:c>
      <x:c r="J425" s="46"/>
      <x:c r="K425" s="100" t="str">
        <x:f>IF(B425="","",IF(G425="TL",1,IF(G425="USD",KURLAR!$C$9,IF(G425="EUR",KURLAR!$C$10,0))))</x:f>
      </x:c>
      <x:c r="L425" s="68" t="str">
        <x:f>IF(B425="","",I425*K425)</x:f>
      </x:c>
      <x:c r="M425" s="46"/>
      <x:c r="N425" s="52" t="str">
        <x:f>IF(B425="","",IF(OR(M425="Tahsil Edildi",M425="İptal",J425="Riskli"),"Hayır","Evet"))</x:f>
      </x:c>
    </x:row>
    <x:row r="426">
      <x:c r="B426" s="46"/>
      <x:c r="C426" s="46"/>
      <x:c r="D426" s="112"/>
      <x:c r="E426" s="112"/>
      <x:c r="F426" s="92"/>
      <x:c r="G426" s="92"/>
      <x:c r="H426" s="92"/>
      <x:c r="I426" s="93" t="str">
        <x:f>IF(B426="","",MAX(0,F426-H426))</x:f>
      </x:c>
      <x:c r="J426" s="46"/>
      <x:c r="K426" s="100" t="str">
        <x:f>IF(B426="","",IF(G426="TL",1,IF(G426="USD",KURLAR!$C$9,IF(G426="EUR",KURLAR!$C$10,0))))</x:f>
      </x:c>
      <x:c r="L426" s="68" t="str">
        <x:f>IF(B426="","",I426*K426)</x:f>
      </x:c>
      <x:c r="M426" s="46"/>
      <x:c r="N426" s="52" t="str">
        <x:f>IF(B426="","",IF(OR(M426="Tahsil Edildi",M426="İptal",J426="Riskli"),"Hayır","Evet"))</x:f>
      </x:c>
    </x:row>
    <x:row r="427">
      <x:c r="B427" s="46"/>
      <x:c r="C427" s="46"/>
      <x:c r="D427" s="112"/>
      <x:c r="E427" s="112"/>
      <x:c r="F427" s="92"/>
      <x:c r="G427" s="92"/>
      <x:c r="H427" s="92"/>
      <x:c r="I427" s="93" t="str">
        <x:f>IF(B427="","",MAX(0,F427-H427))</x:f>
      </x:c>
      <x:c r="J427" s="46"/>
      <x:c r="K427" s="100" t="str">
        <x:f>IF(B427="","",IF(G427="TL",1,IF(G427="USD",KURLAR!$C$9,IF(G427="EUR",KURLAR!$C$10,0))))</x:f>
      </x:c>
      <x:c r="L427" s="68" t="str">
        <x:f>IF(B427="","",I427*K427)</x:f>
      </x:c>
      <x:c r="M427" s="46"/>
      <x:c r="N427" s="52" t="str">
        <x:f>IF(B427="","",IF(OR(M427="Tahsil Edildi",M427="İptal",J427="Riskli"),"Hayır","Evet"))</x:f>
      </x:c>
    </x:row>
    <x:row r="428">
      <x:c r="B428" s="46"/>
      <x:c r="C428" s="46"/>
      <x:c r="D428" s="112"/>
      <x:c r="E428" s="112"/>
      <x:c r="F428" s="92"/>
      <x:c r="G428" s="92"/>
      <x:c r="H428" s="92"/>
      <x:c r="I428" s="93" t="str">
        <x:f>IF(B428="","",MAX(0,F428-H428))</x:f>
      </x:c>
      <x:c r="J428" s="46"/>
      <x:c r="K428" s="100" t="str">
        <x:f>IF(B428="","",IF(G428="TL",1,IF(G428="USD",KURLAR!$C$9,IF(G428="EUR",KURLAR!$C$10,0))))</x:f>
      </x:c>
      <x:c r="L428" s="68" t="str">
        <x:f>IF(B428="","",I428*K428)</x:f>
      </x:c>
      <x:c r="M428" s="46"/>
      <x:c r="N428" s="52" t="str">
        <x:f>IF(B428="","",IF(OR(M428="Tahsil Edildi",M428="İptal",J428="Riskli"),"Hayır","Evet"))</x:f>
      </x:c>
    </x:row>
    <x:row r="429">
      <x:c r="B429" s="46"/>
      <x:c r="C429" s="46"/>
      <x:c r="D429" s="112"/>
      <x:c r="E429" s="112"/>
      <x:c r="F429" s="92"/>
      <x:c r="G429" s="92"/>
      <x:c r="H429" s="92"/>
      <x:c r="I429" s="93" t="str">
        <x:f>IF(B429="","",MAX(0,F429-H429))</x:f>
      </x:c>
      <x:c r="J429" s="46"/>
      <x:c r="K429" s="100" t="str">
        <x:f>IF(B429="","",IF(G429="TL",1,IF(G429="USD",KURLAR!$C$9,IF(G429="EUR",KURLAR!$C$10,0))))</x:f>
      </x:c>
      <x:c r="L429" s="68" t="str">
        <x:f>IF(B429="","",I429*K429)</x:f>
      </x:c>
      <x:c r="M429" s="46"/>
      <x:c r="N429" s="52" t="str">
        <x:f>IF(B429="","",IF(OR(M429="Tahsil Edildi",M429="İptal",J429="Riskli"),"Hayır","Evet"))</x:f>
      </x:c>
    </x:row>
    <x:row r="430">
      <x:c r="B430" s="46"/>
      <x:c r="C430" s="46"/>
      <x:c r="D430" s="112"/>
      <x:c r="E430" s="112"/>
      <x:c r="F430" s="92"/>
      <x:c r="G430" s="92"/>
      <x:c r="H430" s="92"/>
      <x:c r="I430" s="93" t="str">
        <x:f>IF(B430="","",MAX(0,F430-H430))</x:f>
      </x:c>
      <x:c r="J430" s="46"/>
      <x:c r="K430" s="100" t="str">
        <x:f>IF(B430="","",IF(G430="TL",1,IF(G430="USD",KURLAR!$C$9,IF(G430="EUR",KURLAR!$C$10,0))))</x:f>
      </x:c>
      <x:c r="L430" s="68" t="str">
        <x:f>IF(B430="","",I430*K430)</x:f>
      </x:c>
      <x:c r="M430" s="46"/>
      <x:c r="N430" s="52" t="str">
        <x:f>IF(B430="","",IF(OR(M430="Tahsil Edildi",M430="İptal",J430="Riskli"),"Hayır","Evet"))</x:f>
      </x:c>
    </x:row>
    <x:row r="431">
      <x:c r="B431" s="46"/>
      <x:c r="C431" s="46"/>
      <x:c r="D431" s="112"/>
      <x:c r="E431" s="112"/>
      <x:c r="F431" s="92"/>
      <x:c r="G431" s="92"/>
      <x:c r="H431" s="92"/>
      <x:c r="I431" s="93" t="str">
        <x:f>IF(B431="","",MAX(0,F431-H431))</x:f>
      </x:c>
      <x:c r="J431" s="46"/>
      <x:c r="K431" s="100" t="str">
        <x:f>IF(B431="","",IF(G431="TL",1,IF(G431="USD",KURLAR!$C$9,IF(G431="EUR",KURLAR!$C$10,0))))</x:f>
      </x:c>
      <x:c r="L431" s="68" t="str">
        <x:f>IF(B431="","",I431*K431)</x:f>
      </x:c>
      <x:c r="M431" s="46"/>
      <x:c r="N431" s="52" t="str">
        <x:f>IF(B431="","",IF(OR(M431="Tahsil Edildi",M431="İptal",J431="Riskli"),"Hayır","Evet"))</x:f>
      </x:c>
    </x:row>
    <x:row r="432">
      <x:c r="B432" s="46"/>
      <x:c r="C432" s="46"/>
      <x:c r="D432" s="112"/>
      <x:c r="E432" s="112"/>
      <x:c r="F432" s="92"/>
      <x:c r="G432" s="92"/>
      <x:c r="H432" s="92"/>
      <x:c r="I432" s="93" t="str">
        <x:f>IF(B432="","",MAX(0,F432-H432))</x:f>
      </x:c>
      <x:c r="J432" s="46"/>
      <x:c r="K432" s="100" t="str">
        <x:f>IF(B432="","",IF(G432="TL",1,IF(G432="USD",KURLAR!$C$9,IF(G432="EUR",KURLAR!$C$10,0))))</x:f>
      </x:c>
      <x:c r="L432" s="68" t="str">
        <x:f>IF(B432="","",I432*K432)</x:f>
      </x:c>
      <x:c r="M432" s="46"/>
      <x:c r="N432" s="52" t="str">
        <x:f>IF(B432="","",IF(OR(M432="Tahsil Edildi",M432="İptal",J432="Riskli"),"Hayır","Evet"))</x:f>
      </x:c>
    </x:row>
    <x:row r="433">
      <x:c r="B433" s="46"/>
      <x:c r="C433" s="46"/>
      <x:c r="D433" s="112"/>
      <x:c r="E433" s="112"/>
      <x:c r="F433" s="92"/>
      <x:c r="G433" s="92"/>
      <x:c r="H433" s="92"/>
      <x:c r="I433" s="93" t="str">
        <x:f>IF(B433="","",MAX(0,F433-H433))</x:f>
      </x:c>
      <x:c r="J433" s="46"/>
      <x:c r="K433" s="100" t="str">
        <x:f>IF(B433="","",IF(G433="TL",1,IF(G433="USD",KURLAR!$C$9,IF(G433="EUR",KURLAR!$C$10,0))))</x:f>
      </x:c>
      <x:c r="L433" s="68" t="str">
        <x:f>IF(B433="","",I433*K433)</x:f>
      </x:c>
      <x:c r="M433" s="46"/>
      <x:c r="N433" s="52" t="str">
        <x:f>IF(B433="","",IF(OR(M433="Tahsil Edildi",M433="İptal",J433="Riskli"),"Hayır","Evet"))</x:f>
      </x:c>
    </x:row>
    <x:row r="434">
      <x:c r="B434" s="46"/>
      <x:c r="C434" s="46"/>
      <x:c r="D434" s="112"/>
      <x:c r="E434" s="112"/>
      <x:c r="F434" s="92"/>
      <x:c r="G434" s="92"/>
      <x:c r="H434" s="92"/>
      <x:c r="I434" s="93" t="str">
        <x:f>IF(B434="","",MAX(0,F434-H434))</x:f>
      </x:c>
      <x:c r="J434" s="46"/>
      <x:c r="K434" s="100" t="str">
        <x:f>IF(B434="","",IF(G434="TL",1,IF(G434="USD",KURLAR!$C$9,IF(G434="EUR",KURLAR!$C$10,0))))</x:f>
      </x:c>
      <x:c r="L434" s="68" t="str">
        <x:f>IF(B434="","",I434*K434)</x:f>
      </x:c>
      <x:c r="M434" s="46"/>
      <x:c r="N434" s="52" t="str">
        <x:f>IF(B434="","",IF(OR(M434="Tahsil Edildi",M434="İptal",J434="Riskli"),"Hayır","Evet"))</x:f>
      </x:c>
    </x:row>
    <x:row r="435">
      <x:c r="B435" s="46"/>
      <x:c r="C435" s="46"/>
      <x:c r="D435" s="112"/>
      <x:c r="E435" s="112"/>
      <x:c r="F435" s="92"/>
      <x:c r="G435" s="92"/>
      <x:c r="H435" s="92"/>
      <x:c r="I435" s="93" t="str">
        <x:f>IF(B435="","",MAX(0,F435-H435))</x:f>
      </x:c>
      <x:c r="J435" s="46"/>
      <x:c r="K435" s="100" t="str">
        <x:f>IF(B435="","",IF(G435="TL",1,IF(G435="USD",KURLAR!$C$9,IF(G435="EUR",KURLAR!$C$10,0))))</x:f>
      </x:c>
      <x:c r="L435" s="68" t="str">
        <x:f>IF(B435="","",I435*K435)</x:f>
      </x:c>
      <x:c r="M435" s="46"/>
      <x:c r="N435" s="52" t="str">
        <x:f>IF(B435="","",IF(OR(M435="Tahsil Edildi",M435="İptal",J435="Riskli"),"Hayır","Evet"))</x:f>
      </x:c>
    </x:row>
    <x:row r="436">
      <x:c r="B436" s="46"/>
      <x:c r="C436" s="46"/>
      <x:c r="D436" s="112"/>
      <x:c r="E436" s="112"/>
      <x:c r="F436" s="92"/>
      <x:c r="G436" s="92"/>
      <x:c r="H436" s="92"/>
      <x:c r="I436" s="93" t="str">
        <x:f>IF(B436="","",MAX(0,F436-H436))</x:f>
      </x:c>
      <x:c r="J436" s="46"/>
      <x:c r="K436" s="100" t="str">
        <x:f>IF(B436="","",IF(G436="TL",1,IF(G436="USD",KURLAR!$C$9,IF(G436="EUR",KURLAR!$C$10,0))))</x:f>
      </x:c>
      <x:c r="L436" s="68" t="str">
        <x:f>IF(B436="","",I436*K436)</x:f>
      </x:c>
      <x:c r="M436" s="46"/>
      <x:c r="N436" s="52" t="str">
        <x:f>IF(B436="","",IF(OR(M436="Tahsil Edildi",M436="İptal",J436="Riskli"),"Hayır","Evet"))</x:f>
      </x:c>
    </x:row>
    <x:row r="437">
      <x:c r="B437" s="46"/>
      <x:c r="C437" s="46"/>
      <x:c r="D437" s="112"/>
      <x:c r="E437" s="112"/>
      <x:c r="F437" s="92"/>
      <x:c r="G437" s="92"/>
      <x:c r="H437" s="92"/>
      <x:c r="I437" s="93" t="str">
        <x:f>IF(B437="","",MAX(0,F437-H437))</x:f>
      </x:c>
      <x:c r="J437" s="46"/>
      <x:c r="K437" s="100" t="str">
        <x:f>IF(B437="","",IF(G437="TL",1,IF(G437="USD",KURLAR!$C$9,IF(G437="EUR",KURLAR!$C$10,0))))</x:f>
      </x:c>
      <x:c r="L437" s="68" t="str">
        <x:f>IF(B437="","",I437*K437)</x:f>
      </x:c>
      <x:c r="M437" s="46"/>
      <x:c r="N437" s="52" t="str">
        <x:f>IF(B437="","",IF(OR(M437="Tahsil Edildi",M437="İptal",J437="Riskli"),"Hayır","Evet"))</x:f>
      </x:c>
    </x:row>
    <x:row r="438">
      <x:c r="B438" s="46"/>
      <x:c r="C438" s="46"/>
      <x:c r="D438" s="112"/>
      <x:c r="E438" s="112"/>
      <x:c r="F438" s="92"/>
      <x:c r="G438" s="92"/>
      <x:c r="H438" s="92"/>
      <x:c r="I438" s="93" t="str">
        <x:f>IF(B438="","",MAX(0,F438-H438))</x:f>
      </x:c>
      <x:c r="J438" s="46"/>
      <x:c r="K438" s="100" t="str">
        <x:f>IF(B438="","",IF(G438="TL",1,IF(G438="USD",KURLAR!$C$9,IF(G438="EUR",KURLAR!$C$10,0))))</x:f>
      </x:c>
      <x:c r="L438" s="68" t="str">
        <x:f>IF(B438="","",I438*K438)</x:f>
      </x:c>
      <x:c r="M438" s="46"/>
      <x:c r="N438" s="52" t="str">
        <x:f>IF(B438="","",IF(OR(M438="Tahsil Edildi",M438="İptal",J438="Riskli"),"Hayır","Evet"))</x:f>
      </x:c>
    </x:row>
    <x:row r="439">
      <x:c r="B439" s="46"/>
      <x:c r="C439" s="46"/>
      <x:c r="D439" s="112"/>
      <x:c r="E439" s="112"/>
      <x:c r="F439" s="92"/>
      <x:c r="G439" s="92"/>
      <x:c r="H439" s="92"/>
      <x:c r="I439" s="93" t="str">
        <x:f>IF(B439="","",MAX(0,F439-H439))</x:f>
      </x:c>
      <x:c r="J439" s="46"/>
      <x:c r="K439" s="100" t="str">
        <x:f>IF(B439="","",IF(G439="TL",1,IF(G439="USD",KURLAR!$C$9,IF(G439="EUR",KURLAR!$C$10,0))))</x:f>
      </x:c>
      <x:c r="L439" s="68" t="str">
        <x:f>IF(B439="","",I439*K439)</x:f>
      </x:c>
      <x:c r="M439" s="46"/>
      <x:c r="N439" s="52" t="str">
        <x:f>IF(B439="","",IF(OR(M439="Tahsil Edildi",M439="İptal",J439="Riskli"),"Hayır","Evet"))</x:f>
      </x:c>
    </x:row>
    <x:row r="440">
      <x:c r="B440" s="46"/>
      <x:c r="C440" s="46"/>
      <x:c r="D440" s="112"/>
      <x:c r="E440" s="112"/>
      <x:c r="F440" s="92"/>
      <x:c r="G440" s="92"/>
      <x:c r="H440" s="92"/>
      <x:c r="I440" s="93" t="str">
        <x:f>IF(B440="","",MAX(0,F440-H440))</x:f>
      </x:c>
      <x:c r="J440" s="46"/>
      <x:c r="K440" s="100" t="str">
        <x:f>IF(B440="","",IF(G440="TL",1,IF(G440="USD",KURLAR!$C$9,IF(G440="EUR",KURLAR!$C$10,0))))</x:f>
      </x:c>
      <x:c r="L440" s="68" t="str">
        <x:f>IF(B440="","",I440*K440)</x:f>
      </x:c>
      <x:c r="M440" s="46"/>
      <x:c r="N440" s="52" t="str">
        <x:f>IF(B440="","",IF(OR(M440="Tahsil Edildi",M440="İptal",J440="Riskli"),"Hayır","Evet"))</x:f>
      </x:c>
    </x:row>
    <x:row r="441">
      <x:c r="B441" s="46"/>
      <x:c r="C441" s="46"/>
      <x:c r="D441" s="112"/>
      <x:c r="E441" s="112"/>
      <x:c r="F441" s="92"/>
      <x:c r="G441" s="92"/>
      <x:c r="H441" s="92"/>
      <x:c r="I441" s="93" t="str">
        <x:f>IF(B441="","",MAX(0,F441-H441))</x:f>
      </x:c>
      <x:c r="J441" s="46"/>
      <x:c r="K441" s="100" t="str">
        <x:f>IF(B441="","",IF(G441="TL",1,IF(G441="USD",KURLAR!$C$9,IF(G441="EUR",KURLAR!$C$10,0))))</x:f>
      </x:c>
      <x:c r="L441" s="68" t="str">
        <x:f>IF(B441="","",I441*K441)</x:f>
      </x:c>
      <x:c r="M441" s="46"/>
      <x:c r="N441" s="52" t="str">
        <x:f>IF(B441="","",IF(OR(M441="Tahsil Edildi",M441="İptal",J441="Riskli"),"Hayır","Evet"))</x:f>
      </x:c>
    </x:row>
    <x:row r="442">
      <x:c r="B442" s="46"/>
      <x:c r="C442" s="46"/>
      <x:c r="D442" s="112"/>
      <x:c r="E442" s="112"/>
      <x:c r="F442" s="92"/>
      <x:c r="G442" s="92"/>
      <x:c r="H442" s="92"/>
      <x:c r="I442" s="93" t="str">
        <x:f>IF(B442="","",MAX(0,F442-H442))</x:f>
      </x:c>
      <x:c r="J442" s="46"/>
      <x:c r="K442" s="100" t="str">
        <x:f>IF(B442="","",IF(G442="TL",1,IF(G442="USD",KURLAR!$C$9,IF(G442="EUR",KURLAR!$C$10,0))))</x:f>
      </x:c>
      <x:c r="L442" s="68" t="str">
        <x:f>IF(B442="","",I442*K442)</x:f>
      </x:c>
      <x:c r="M442" s="46"/>
      <x:c r="N442" s="52" t="str">
        <x:f>IF(B442="","",IF(OR(M442="Tahsil Edildi",M442="İptal",J442="Riskli"),"Hayır","Evet"))</x:f>
      </x:c>
    </x:row>
    <x:row r="443">
      <x:c r="B443" s="46"/>
      <x:c r="C443" s="46"/>
      <x:c r="D443" s="112"/>
      <x:c r="E443" s="112"/>
      <x:c r="F443" s="92"/>
      <x:c r="G443" s="92"/>
      <x:c r="H443" s="92"/>
      <x:c r="I443" s="93" t="str">
        <x:f>IF(B443="","",MAX(0,F443-H443))</x:f>
      </x:c>
      <x:c r="J443" s="46"/>
      <x:c r="K443" s="100" t="str">
        <x:f>IF(B443="","",IF(G443="TL",1,IF(G443="USD",KURLAR!$C$9,IF(G443="EUR",KURLAR!$C$10,0))))</x:f>
      </x:c>
      <x:c r="L443" s="68" t="str">
        <x:f>IF(B443="","",I443*K443)</x:f>
      </x:c>
      <x:c r="M443" s="46"/>
      <x:c r="N443" s="52" t="str">
        <x:f>IF(B443="","",IF(OR(M443="Tahsil Edildi",M443="İptal",J443="Riskli"),"Hayır","Evet"))</x:f>
      </x:c>
    </x:row>
    <x:row r="444">
      <x:c r="B444" s="46"/>
      <x:c r="C444" s="46"/>
      <x:c r="D444" s="112"/>
      <x:c r="E444" s="112"/>
      <x:c r="F444" s="92"/>
      <x:c r="G444" s="92"/>
      <x:c r="H444" s="92"/>
      <x:c r="I444" s="93" t="str">
        <x:f>IF(B444="","",MAX(0,F444-H444))</x:f>
      </x:c>
      <x:c r="J444" s="46"/>
      <x:c r="K444" s="100" t="str">
        <x:f>IF(B444="","",IF(G444="TL",1,IF(G444="USD",KURLAR!$C$9,IF(G444="EUR",KURLAR!$C$10,0))))</x:f>
      </x:c>
      <x:c r="L444" s="68" t="str">
        <x:f>IF(B444="","",I444*K444)</x:f>
      </x:c>
      <x:c r="M444" s="46"/>
      <x:c r="N444" s="52" t="str">
        <x:f>IF(B444="","",IF(OR(M444="Tahsil Edildi",M444="İptal",J444="Riskli"),"Hayır","Evet"))</x:f>
      </x:c>
    </x:row>
    <x:row r="445">
      <x:c r="B445" s="46"/>
      <x:c r="C445" s="46"/>
      <x:c r="D445" s="112"/>
      <x:c r="E445" s="112"/>
      <x:c r="F445" s="92"/>
      <x:c r="G445" s="92"/>
      <x:c r="H445" s="92"/>
      <x:c r="I445" s="93" t="str">
        <x:f>IF(B445="","",MAX(0,F445-H445))</x:f>
      </x:c>
      <x:c r="J445" s="46"/>
      <x:c r="K445" s="100" t="str">
        <x:f>IF(B445="","",IF(G445="TL",1,IF(G445="USD",KURLAR!$C$9,IF(G445="EUR",KURLAR!$C$10,0))))</x:f>
      </x:c>
      <x:c r="L445" s="68" t="str">
        <x:f>IF(B445="","",I445*K445)</x:f>
      </x:c>
      <x:c r="M445" s="46"/>
      <x:c r="N445" s="52" t="str">
        <x:f>IF(B445="","",IF(OR(M445="Tahsil Edildi",M445="İptal",J445="Riskli"),"Hayır","Evet"))</x:f>
      </x:c>
    </x:row>
    <x:row r="446">
      <x:c r="B446" s="46"/>
      <x:c r="C446" s="46"/>
      <x:c r="D446" s="112"/>
      <x:c r="E446" s="112"/>
      <x:c r="F446" s="92"/>
      <x:c r="G446" s="92"/>
      <x:c r="H446" s="92"/>
      <x:c r="I446" s="93" t="str">
        <x:f>IF(B446="","",MAX(0,F446-H446))</x:f>
      </x:c>
      <x:c r="J446" s="46"/>
      <x:c r="K446" s="100" t="str">
        <x:f>IF(B446="","",IF(G446="TL",1,IF(G446="USD",KURLAR!$C$9,IF(G446="EUR",KURLAR!$C$10,0))))</x:f>
      </x:c>
      <x:c r="L446" s="68" t="str">
        <x:f>IF(B446="","",I446*K446)</x:f>
      </x:c>
      <x:c r="M446" s="46"/>
      <x:c r="N446" s="52" t="str">
        <x:f>IF(B446="","",IF(OR(M446="Tahsil Edildi",M446="İptal",J446="Riskli"),"Hayır","Evet"))</x:f>
      </x:c>
    </x:row>
    <x:row r="447">
      <x:c r="B447" s="46"/>
      <x:c r="C447" s="46"/>
      <x:c r="D447" s="112"/>
      <x:c r="E447" s="112"/>
      <x:c r="F447" s="92"/>
      <x:c r="G447" s="92"/>
      <x:c r="H447" s="92"/>
      <x:c r="I447" s="93" t="str">
        <x:f>IF(B447="","",MAX(0,F447-H447))</x:f>
      </x:c>
      <x:c r="J447" s="46"/>
      <x:c r="K447" s="100" t="str">
        <x:f>IF(B447="","",IF(G447="TL",1,IF(G447="USD",KURLAR!$C$9,IF(G447="EUR",KURLAR!$C$10,0))))</x:f>
      </x:c>
      <x:c r="L447" s="68" t="str">
        <x:f>IF(B447="","",I447*K447)</x:f>
      </x:c>
      <x:c r="M447" s="46"/>
      <x:c r="N447" s="52" t="str">
        <x:f>IF(B447="","",IF(OR(M447="Tahsil Edildi",M447="İptal",J447="Riskli"),"Hayır","Evet"))</x:f>
      </x:c>
    </x:row>
    <x:row r="448">
      <x:c r="B448" s="46"/>
      <x:c r="C448" s="46"/>
      <x:c r="D448" s="112"/>
      <x:c r="E448" s="112"/>
      <x:c r="F448" s="92"/>
      <x:c r="G448" s="92"/>
      <x:c r="H448" s="92"/>
      <x:c r="I448" s="93" t="str">
        <x:f>IF(B448="","",MAX(0,F448-H448))</x:f>
      </x:c>
      <x:c r="J448" s="46"/>
      <x:c r="K448" s="100" t="str">
        <x:f>IF(B448="","",IF(G448="TL",1,IF(G448="USD",KURLAR!$C$9,IF(G448="EUR",KURLAR!$C$10,0))))</x:f>
      </x:c>
      <x:c r="L448" s="68" t="str">
        <x:f>IF(B448="","",I448*K448)</x:f>
      </x:c>
      <x:c r="M448" s="46"/>
      <x:c r="N448" s="52" t="str">
        <x:f>IF(B448="","",IF(OR(M448="Tahsil Edildi",M448="İptal",J448="Riskli"),"Hayır","Evet"))</x:f>
      </x:c>
    </x:row>
    <x:row r="449">
      <x:c r="B449" s="46"/>
      <x:c r="C449" s="46"/>
      <x:c r="D449" s="112"/>
      <x:c r="E449" s="112"/>
      <x:c r="F449" s="92"/>
      <x:c r="G449" s="92"/>
      <x:c r="H449" s="92"/>
      <x:c r="I449" s="93" t="str">
        <x:f>IF(B449="","",MAX(0,F449-H449))</x:f>
      </x:c>
      <x:c r="J449" s="46"/>
      <x:c r="K449" s="100" t="str">
        <x:f>IF(B449="","",IF(G449="TL",1,IF(G449="USD",KURLAR!$C$9,IF(G449="EUR",KURLAR!$C$10,0))))</x:f>
      </x:c>
      <x:c r="L449" s="68" t="str">
        <x:f>IF(B449="","",I449*K449)</x:f>
      </x:c>
      <x:c r="M449" s="46"/>
      <x:c r="N449" s="52" t="str">
        <x:f>IF(B449="","",IF(OR(M449="Tahsil Edildi",M449="İptal",J449="Riskli"),"Hayır","Evet"))</x:f>
      </x:c>
    </x:row>
    <x:row r="450">
      <x:c r="B450" s="46"/>
      <x:c r="C450" s="46"/>
      <x:c r="D450" s="112"/>
      <x:c r="E450" s="112"/>
      <x:c r="F450" s="92"/>
      <x:c r="G450" s="92"/>
      <x:c r="H450" s="92"/>
      <x:c r="I450" s="93" t="str">
        <x:f>IF(B450="","",MAX(0,F450-H450))</x:f>
      </x:c>
      <x:c r="J450" s="46"/>
      <x:c r="K450" s="100" t="str">
        <x:f>IF(B450="","",IF(G450="TL",1,IF(G450="USD",KURLAR!$C$9,IF(G450="EUR",KURLAR!$C$10,0))))</x:f>
      </x:c>
      <x:c r="L450" s="68" t="str">
        <x:f>IF(B450="","",I450*K450)</x:f>
      </x:c>
      <x:c r="M450" s="46"/>
      <x:c r="N450" s="52" t="str">
        <x:f>IF(B450="","",IF(OR(M450="Tahsil Edildi",M450="İptal",J450="Riskli"),"Hayır","Evet"))</x:f>
      </x:c>
    </x:row>
    <x:row r="451">
      <x:c r="B451" s="46"/>
      <x:c r="C451" s="46"/>
      <x:c r="D451" s="112"/>
      <x:c r="E451" s="112"/>
      <x:c r="F451" s="92"/>
      <x:c r="G451" s="92"/>
      <x:c r="H451" s="92"/>
      <x:c r="I451" s="93" t="str">
        <x:f>IF(B451="","",MAX(0,F451-H451))</x:f>
      </x:c>
      <x:c r="J451" s="46"/>
      <x:c r="K451" s="100" t="str">
        <x:f>IF(B451="","",IF(G451="TL",1,IF(G451="USD",KURLAR!$C$9,IF(G451="EUR",KURLAR!$C$10,0))))</x:f>
      </x:c>
      <x:c r="L451" s="68" t="str">
        <x:f>IF(B451="","",I451*K451)</x:f>
      </x:c>
      <x:c r="M451" s="46"/>
      <x:c r="N451" s="52" t="str">
        <x:f>IF(B451="","",IF(OR(M451="Tahsil Edildi",M451="İptal",J451="Riskli"),"Hayır","Evet"))</x:f>
      </x:c>
    </x:row>
    <x:row r="452">
      <x:c r="B452" s="46"/>
      <x:c r="C452" s="46"/>
      <x:c r="D452" s="112"/>
      <x:c r="E452" s="112"/>
      <x:c r="F452" s="92"/>
      <x:c r="G452" s="92"/>
      <x:c r="H452" s="92"/>
      <x:c r="I452" s="93" t="str">
        <x:f>IF(B452="","",MAX(0,F452-H452))</x:f>
      </x:c>
      <x:c r="J452" s="46"/>
      <x:c r="K452" s="100" t="str">
        <x:f>IF(B452="","",IF(G452="TL",1,IF(G452="USD",KURLAR!$C$9,IF(G452="EUR",KURLAR!$C$10,0))))</x:f>
      </x:c>
      <x:c r="L452" s="68" t="str">
        <x:f>IF(B452="","",I452*K452)</x:f>
      </x:c>
      <x:c r="M452" s="46"/>
      <x:c r="N452" s="52" t="str">
        <x:f>IF(B452="","",IF(OR(M452="Tahsil Edildi",M452="İptal",J452="Riskli"),"Hayır","Evet"))</x:f>
      </x:c>
    </x:row>
    <x:row r="453">
      <x:c r="B453" s="46"/>
      <x:c r="C453" s="46"/>
      <x:c r="D453" s="112"/>
      <x:c r="E453" s="112"/>
      <x:c r="F453" s="92"/>
      <x:c r="G453" s="92"/>
      <x:c r="H453" s="92"/>
      <x:c r="I453" s="93" t="str">
        <x:f>IF(B453="","",MAX(0,F453-H453))</x:f>
      </x:c>
      <x:c r="J453" s="46"/>
      <x:c r="K453" s="100" t="str">
        <x:f>IF(B453="","",IF(G453="TL",1,IF(G453="USD",KURLAR!$C$9,IF(G453="EUR",KURLAR!$C$10,0))))</x:f>
      </x:c>
      <x:c r="L453" s="68" t="str">
        <x:f>IF(B453="","",I453*K453)</x:f>
      </x:c>
      <x:c r="M453" s="46"/>
      <x:c r="N453" s="52" t="str">
        <x:f>IF(B453="","",IF(OR(M453="Tahsil Edildi",M453="İptal",J453="Riskli"),"Hayır","Evet"))</x:f>
      </x:c>
    </x:row>
    <x:row r="454">
      <x:c r="B454" s="46"/>
      <x:c r="C454" s="46"/>
      <x:c r="D454" s="112"/>
      <x:c r="E454" s="112"/>
      <x:c r="F454" s="92"/>
      <x:c r="G454" s="92"/>
      <x:c r="H454" s="92"/>
      <x:c r="I454" s="93" t="str">
        <x:f>IF(B454="","",MAX(0,F454-H454))</x:f>
      </x:c>
      <x:c r="J454" s="46"/>
      <x:c r="K454" s="100" t="str">
        <x:f>IF(B454="","",IF(G454="TL",1,IF(G454="USD",KURLAR!$C$9,IF(G454="EUR",KURLAR!$C$10,0))))</x:f>
      </x:c>
      <x:c r="L454" s="68" t="str">
        <x:f>IF(B454="","",I454*K454)</x:f>
      </x:c>
      <x:c r="M454" s="46"/>
      <x:c r="N454" s="52" t="str">
        <x:f>IF(B454="","",IF(OR(M454="Tahsil Edildi",M454="İptal",J454="Riskli"),"Hayır","Evet"))</x:f>
      </x:c>
    </x:row>
    <x:row r="455">
      <x:c r="B455" s="46"/>
      <x:c r="C455" s="46"/>
      <x:c r="D455" s="112"/>
      <x:c r="E455" s="112"/>
      <x:c r="F455" s="92"/>
      <x:c r="G455" s="92"/>
      <x:c r="H455" s="92"/>
      <x:c r="I455" s="93" t="str">
        <x:f>IF(B455="","",MAX(0,F455-H455))</x:f>
      </x:c>
      <x:c r="J455" s="46"/>
      <x:c r="K455" s="100" t="str">
        <x:f>IF(B455="","",IF(G455="TL",1,IF(G455="USD",KURLAR!$C$9,IF(G455="EUR",KURLAR!$C$10,0))))</x:f>
      </x:c>
      <x:c r="L455" s="68" t="str">
        <x:f>IF(B455="","",I455*K455)</x:f>
      </x:c>
      <x:c r="M455" s="46"/>
      <x:c r="N455" s="52" t="str">
        <x:f>IF(B455="","",IF(OR(M455="Tahsil Edildi",M455="İptal",J455="Riskli"),"Hayır","Evet"))</x:f>
      </x:c>
    </x:row>
    <x:row r="456">
      <x:c r="B456" s="46"/>
      <x:c r="C456" s="46"/>
      <x:c r="D456" s="112"/>
      <x:c r="E456" s="112"/>
      <x:c r="F456" s="92"/>
      <x:c r="G456" s="92"/>
      <x:c r="H456" s="92"/>
      <x:c r="I456" s="93" t="str">
        <x:f>IF(B456="","",MAX(0,F456-H456))</x:f>
      </x:c>
      <x:c r="J456" s="46"/>
      <x:c r="K456" s="100" t="str">
        <x:f>IF(B456="","",IF(G456="TL",1,IF(G456="USD",KURLAR!$C$9,IF(G456="EUR",KURLAR!$C$10,0))))</x:f>
      </x:c>
      <x:c r="L456" s="68" t="str">
        <x:f>IF(B456="","",I456*K456)</x:f>
      </x:c>
      <x:c r="M456" s="46"/>
      <x:c r="N456" s="52" t="str">
        <x:f>IF(B456="","",IF(OR(M456="Tahsil Edildi",M456="İptal",J456="Riskli"),"Hayır","Evet"))</x:f>
      </x:c>
    </x:row>
    <x:row r="457">
      <x:c r="B457" s="46"/>
      <x:c r="C457" s="46"/>
      <x:c r="D457" s="112"/>
      <x:c r="E457" s="112"/>
      <x:c r="F457" s="92"/>
      <x:c r="G457" s="92"/>
      <x:c r="H457" s="92"/>
      <x:c r="I457" s="93" t="str">
        <x:f>IF(B457="","",MAX(0,F457-H457))</x:f>
      </x:c>
      <x:c r="J457" s="46"/>
      <x:c r="K457" s="100" t="str">
        <x:f>IF(B457="","",IF(G457="TL",1,IF(G457="USD",KURLAR!$C$9,IF(G457="EUR",KURLAR!$C$10,0))))</x:f>
      </x:c>
      <x:c r="L457" s="68" t="str">
        <x:f>IF(B457="","",I457*K457)</x:f>
      </x:c>
      <x:c r="M457" s="46"/>
      <x:c r="N457" s="52" t="str">
        <x:f>IF(B457="","",IF(OR(M457="Tahsil Edildi",M457="İptal",J457="Riskli"),"Hayır","Evet"))</x:f>
      </x:c>
    </x:row>
    <x:row r="458">
      <x:c r="B458" s="46"/>
      <x:c r="C458" s="46"/>
      <x:c r="D458" s="112"/>
      <x:c r="E458" s="112"/>
      <x:c r="F458" s="92"/>
      <x:c r="G458" s="92"/>
      <x:c r="H458" s="92"/>
      <x:c r="I458" s="93" t="str">
        <x:f>IF(B458="","",MAX(0,F458-H458))</x:f>
      </x:c>
      <x:c r="J458" s="46"/>
      <x:c r="K458" s="100" t="str">
        <x:f>IF(B458="","",IF(G458="TL",1,IF(G458="USD",KURLAR!$C$9,IF(G458="EUR",KURLAR!$C$10,0))))</x:f>
      </x:c>
      <x:c r="L458" s="68" t="str">
        <x:f>IF(B458="","",I458*K458)</x:f>
      </x:c>
      <x:c r="M458" s="46"/>
      <x:c r="N458" s="52" t="str">
        <x:f>IF(B458="","",IF(OR(M458="Tahsil Edildi",M458="İptal",J458="Riskli"),"Hayır","Evet"))</x:f>
      </x:c>
    </x:row>
    <x:row r="459">
      <x:c r="B459" s="46"/>
      <x:c r="C459" s="46"/>
      <x:c r="D459" s="112"/>
      <x:c r="E459" s="112"/>
      <x:c r="F459" s="92"/>
      <x:c r="G459" s="92"/>
      <x:c r="H459" s="92"/>
      <x:c r="I459" s="93" t="str">
        <x:f>IF(B459="","",MAX(0,F459-H459))</x:f>
      </x:c>
      <x:c r="J459" s="46"/>
      <x:c r="K459" s="100" t="str">
        <x:f>IF(B459="","",IF(G459="TL",1,IF(G459="USD",KURLAR!$C$9,IF(G459="EUR",KURLAR!$C$10,0))))</x:f>
      </x:c>
      <x:c r="L459" s="68" t="str">
        <x:f>IF(B459="","",I459*K459)</x:f>
      </x:c>
      <x:c r="M459" s="46"/>
      <x:c r="N459" s="52" t="str">
        <x:f>IF(B459="","",IF(OR(M459="Tahsil Edildi",M459="İptal",J459="Riskli"),"Hayır","Evet"))</x:f>
      </x:c>
    </x:row>
    <x:row r="460">
      <x:c r="B460" s="46"/>
      <x:c r="C460" s="46"/>
      <x:c r="D460" s="112"/>
      <x:c r="E460" s="112"/>
      <x:c r="F460" s="92"/>
      <x:c r="G460" s="92"/>
      <x:c r="H460" s="92"/>
      <x:c r="I460" s="93" t="str">
        <x:f>IF(B460="","",MAX(0,F460-H460))</x:f>
      </x:c>
      <x:c r="J460" s="46"/>
      <x:c r="K460" s="100" t="str">
        <x:f>IF(B460="","",IF(G460="TL",1,IF(G460="USD",KURLAR!$C$9,IF(G460="EUR",KURLAR!$C$10,0))))</x:f>
      </x:c>
      <x:c r="L460" s="68" t="str">
        <x:f>IF(B460="","",I460*K460)</x:f>
      </x:c>
      <x:c r="M460" s="46"/>
      <x:c r="N460" s="52" t="str">
        <x:f>IF(B460="","",IF(OR(M460="Tahsil Edildi",M460="İptal",J460="Riskli"),"Hayır","Evet"))</x:f>
      </x:c>
    </x:row>
    <x:row r="461">
      <x:c r="B461" s="46"/>
      <x:c r="C461" s="46"/>
      <x:c r="D461" s="112"/>
      <x:c r="E461" s="112"/>
      <x:c r="F461" s="92"/>
      <x:c r="G461" s="92"/>
      <x:c r="H461" s="92"/>
      <x:c r="I461" s="93" t="str">
        <x:f>IF(B461="","",MAX(0,F461-H461))</x:f>
      </x:c>
      <x:c r="J461" s="46"/>
      <x:c r="K461" s="100" t="str">
        <x:f>IF(B461="","",IF(G461="TL",1,IF(G461="USD",KURLAR!$C$9,IF(G461="EUR",KURLAR!$C$10,0))))</x:f>
      </x:c>
      <x:c r="L461" s="68" t="str">
        <x:f>IF(B461="","",I461*K461)</x:f>
      </x:c>
      <x:c r="M461" s="46"/>
      <x:c r="N461" s="52" t="str">
        <x:f>IF(B461="","",IF(OR(M461="Tahsil Edildi",M461="İptal",J461="Riskli"),"Hayır","Evet"))</x:f>
      </x:c>
    </x:row>
    <x:row r="462">
      <x:c r="B462" s="46"/>
      <x:c r="C462" s="46"/>
      <x:c r="D462" s="112"/>
      <x:c r="E462" s="112"/>
      <x:c r="F462" s="92"/>
      <x:c r="G462" s="92"/>
      <x:c r="H462" s="92"/>
      <x:c r="I462" s="93" t="str">
        <x:f>IF(B462="","",MAX(0,F462-H462))</x:f>
      </x:c>
      <x:c r="J462" s="46"/>
      <x:c r="K462" s="100" t="str">
        <x:f>IF(B462="","",IF(G462="TL",1,IF(G462="USD",KURLAR!$C$9,IF(G462="EUR",KURLAR!$C$10,0))))</x:f>
      </x:c>
      <x:c r="L462" s="68" t="str">
        <x:f>IF(B462="","",I462*K462)</x:f>
      </x:c>
      <x:c r="M462" s="46"/>
      <x:c r="N462" s="52" t="str">
        <x:f>IF(B462="","",IF(OR(M462="Tahsil Edildi",M462="İptal",J462="Riskli"),"Hayır","Evet"))</x:f>
      </x:c>
    </x:row>
    <x:row r="463">
      <x:c r="B463" s="46"/>
      <x:c r="C463" s="46"/>
      <x:c r="D463" s="112"/>
      <x:c r="E463" s="112"/>
      <x:c r="F463" s="92"/>
      <x:c r="G463" s="92"/>
      <x:c r="H463" s="92"/>
      <x:c r="I463" s="93" t="str">
        <x:f>IF(B463="","",MAX(0,F463-H463))</x:f>
      </x:c>
      <x:c r="J463" s="46"/>
      <x:c r="K463" s="100" t="str">
        <x:f>IF(B463="","",IF(G463="TL",1,IF(G463="USD",KURLAR!$C$9,IF(G463="EUR",KURLAR!$C$10,0))))</x:f>
      </x:c>
      <x:c r="L463" s="68" t="str">
        <x:f>IF(B463="","",I463*K463)</x:f>
      </x:c>
      <x:c r="M463" s="46"/>
      <x:c r="N463" s="52" t="str">
        <x:f>IF(B463="","",IF(OR(M463="Tahsil Edildi",M463="İptal",J463="Riskli"),"Hayır","Evet"))</x:f>
      </x:c>
    </x:row>
    <x:row r="464">
      <x:c r="B464" s="46"/>
      <x:c r="C464" s="46"/>
      <x:c r="D464" s="112"/>
      <x:c r="E464" s="112"/>
      <x:c r="F464" s="92"/>
      <x:c r="G464" s="92"/>
      <x:c r="H464" s="92"/>
      <x:c r="I464" s="93" t="str">
        <x:f>IF(B464="","",MAX(0,F464-H464))</x:f>
      </x:c>
      <x:c r="J464" s="46"/>
      <x:c r="K464" s="100" t="str">
        <x:f>IF(B464="","",IF(G464="TL",1,IF(G464="USD",KURLAR!$C$9,IF(G464="EUR",KURLAR!$C$10,0))))</x:f>
      </x:c>
      <x:c r="L464" s="68" t="str">
        <x:f>IF(B464="","",I464*K464)</x:f>
      </x:c>
      <x:c r="M464" s="46"/>
      <x:c r="N464" s="52" t="str">
        <x:f>IF(B464="","",IF(OR(M464="Tahsil Edildi",M464="İptal",J464="Riskli"),"Hayır","Evet"))</x:f>
      </x:c>
    </x:row>
    <x:row r="465">
      <x:c r="B465" s="46"/>
      <x:c r="C465" s="46"/>
      <x:c r="D465" s="112"/>
      <x:c r="E465" s="112"/>
      <x:c r="F465" s="92"/>
      <x:c r="G465" s="92"/>
      <x:c r="H465" s="92"/>
      <x:c r="I465" s="93" t="str">
        <x:f>IF(B465="","",MAX(0,F465-H465))</x:f>
      </x:c>
      <x:c r="J465" s="46"/>
      <x:c r="K465" s="100" t="str">
        <x:f>IF(B465="","",IF(G465="TL",1,IF(G465="USD",KURLAR!$C$9,IF(G465="EUR",KURLAR!$C$10,0))))</x:f>
      </x:c>
      <x:c r="L465" s="68" t="str">
        <x:f>IF(B465="","",I465*K465)</x:f>
      </x:c>
      <x:c r="M465" s="46"/>
      <x:c r="N465" s="52" t="str">
        <x:f>IF(B465="","",IF(OR(M465="Tahsil Edildi",M465="İptal",J465="Riskli"),"Hayır","Evet"))</x:f>
      </x:c>
    </x:row>
    <x:row r="466">
      <x:c r="B466" s="46"/>
      <x:c r="C466" s="46"/>
      <x:c r="D466" s="112"/>
      <x:c r="E466" s="112"/>
      <x:c r="F466" s="92"/>
      <x:c r="G466" s="92"/>
      <x:c r="H466" s="92"/>
      <x:c r="I466" s="93" t="str">
        <x:f>IF(B466="","",MAX(0,F466-H466))</x:f>
      </x:c>
      <x:c r="J466" s="46"/>
      <x:c r="K466" s="100" t="str">
        <x:f>IF(B466="","",IF(G466="TL",1,IF(G466="USD",KURLAR!$C$9,IF(G466="EUR",KURLAR!$C$10,0))))</x:f>
      </x:c>
      <x:c r="L466" s="68" t="str">
        <x:f>IF(B466="","",I466*K466)</x:f>
      </x:c>
      <x:c r="M466" s="46"/>
      <x:c r="N466" s="52" t="str">
        <x:f>IF(B466="","",IF(OR(M466="Tahsil Edildi",M466="İptal",J466="Riskli"),"Hayır","Evet"))</x:f>
      </x:c>
    </x:row>
    <x:row r="467">
      <x:c r="B467" s="46"/>
      <x:c r="C467" s="46"/>
      <x:c r="D467" s="112"/>
      <x:c r="E467" s="112"/>
      <x:c r="F467" s="92"/>
      <x:c r="G467" s="92"/>
      <x:c r="H467" s="92"/>
      <x:c r="I467" s="93" t="str">
        <x:f>IF(B467="","",MAX(0,F467-H467))</x:f>
      </x:c>
      <x:c r="J467" s="46"/>
      <x:c r="K467" s="100" t="str">
        <x:f>IF(B467="","",IF(G467="TL",1,IF(G467="USD",KURLAR!$C$9,IF(G467="EUR",KURLAR!$C$10,0))))</x:f>
      </x:c>
      <x:c r="L467" s="68" t="str">
        <x:f>IF(B467="","",I467*K467)</x:f>
      </x:c>
      <x:c r="M467" s="46"/>
      <x:c r="N467" s="52" t="str">
        <x:f>IF(B467="","",IF(OR(M467="Tahsil Edildi",M467="İptal",J467="Riskli"),"Hayır","Evet"))</x:f>
      </x:c>
    </x:row>
    <x:row r="468">
      <x:c r="B468" s="46"/>
      <x:c r="C468" s="46"/>
      <x:c r="D468" s="112"/>
      <x:c r="E468" s="112"/>
      <x:c r="F468" s="92"/>
      <x:c r="G468" s="92"/>
      <x:c r="H468" s="92"/>
      <x:c r="I468" s="93" t="str">
        <x:f>IF(B468="","",MAX(0,F468-H468))</x:f>
      </x:c>
      <x:c r="J468" s="46"/>
      <x:c r="K468" s="100" t="str">
        <x:f>IF(B468="","",IF(G468="TL",1,IF(G468="USD",KURLAR!$C$9,IF(G468="EUR",KURLAR!$C$10,0))))</x:f>
      </x:c>
      <x:c r="L468" s="68" t="str">
        <x:f>IF(B468="","",I468*K468)</x:f>
      </x:c>
      <x:c r="M468" s="46"/>
      <x:c r="N468" s="52" t="str">
        <x:f>IF(B468="","",IF(OR(M468="Tahsil Edildi",M468="İptal",J468="Riskli"),"Hayır","Evet"))</x:f>
      </x:c>
    </x:row>
    <x:row r="469">
      <x:c r="B469" s="46"/>
      <x:c r="C469" s="46"/>
      <x:c r="D469" s="112"/>
      <x:c r="E469" s="112"/>
      <x:c r="F469" s="92"/>
      <x:c r="G469" s="92"/>
      <x:c r="H469" s="92"/>
      <x:c r="I469" s="93" t="str">
        <x:f>IF(B469="","",MAX(0,F469-H469))</x:f>
      </x:c>
      <x:c r="J469" s="46"/>
      <x:c r="K469" s="100" t="str">
        <x:f>IF(B469="","",IF(G469="TL",1,IF(G469="USD",KURLAR!$C$9,IF(G469="EUR",KURLAR!$C$10,0))))</x:f>
      </x:c>
      <x:c r="L469" s="68" t="str">
        <x:f>IF(B469="","",I469*K469)</x:f>
      </x:c>
      <x:c r="M469" s="46"/>
      <x:c r="N469" s="52" t="str">
        <x:f>IF(B469="","",IF(OR(M469="Tahsil Edildi",M469="İptal",J469="Riskli"),"Hayır","Evet"))</x:f>
      </x:c>
    </x:row>
    <x:row r="470">
      <x:c r="B470" s="46"/>
      <x:c r="C470" s="46"/>
      <x:c r="D470" s="112"/>
      <x:c r="E470" s="112"/>
      <x:c r="F470" s="92"/>
      <x:c r="G470" s="92"/>
      <x:c r="H470" s="92"/>
      <x:c r="I470" s="93" t="str">
        <x:f>IF(B470="","",MAX(0,F470-H470))</x:f>
      </x:c>
      <x:c r="J470" s="46"/>
      <x:c r="K470" s="100" t="str">
        <x:f>IF(B470="","",IF(G470="TL",1,IF(G470="USD",KURLAR!$C$9,IF(G470="EUR",KURLAR!$C$10,0))))</x:f>
      </x:c>
      <x:c r="L470" s="68" t="str">
        <x:f>IF(B470="","",I470*K470)</x:f>
      </x:c>
      <x:c r="M470" s="46"/>
      <x:c r="N470" s="52" t="str">
        <x:f>IF(B470="","",IF(OR(M470="Tahsil Edildi",M470="İptal",J470="Riskli"),"Hayır","Evet"))</x:f>
      </x:c>
    </x:row>
    <x:row r="471">
      <x:c r="B471" s="46"/>
      <x:c r="C471" s="46"/>
      <x:c r="D471" s="112"/>
      <x:c r="E471" s="112"/>
      <x:c r="F471" s="92"/>
      <x:c r="G471" s="92"/>
      <x:c r="H471" s="92"/>
      <x:c r="I471" s="93" t="str">
        <x:f>IF(B471="","",MAX(0,F471-H471))</x:f>
      </x:c>
      <x:c r="J471" s="46"/>
      <x:c r="K471" s="100" t="str">
        <x:f>IF(B471="","",IF(G471="TL",1,IF(G471="USD",KURLAR!$C$9,IF(G471="EUR",KURLAR!$C$10,0))))</x:f>
      </x:c>
      <x:c r="L471" s="68" t="str">
        <x:f>IF(B471="","",I471*K471)</x:f>
      </x:c>
      <x:c r="M471" s="46"/>
      <x:c r="N471" s="52" t="str">
        <x:f>IF(B471="","",IF(OR(M471="Tahsil Edildi",M471="İptal",J471="Riskli"),"Hayır","Evet"))</x:f>
      </x:c>
    </x:row>
    <x:row r="472">
      <x:c r="B472" s="46"/>
      <x:c r="C472" s="46"/>
      <x:c r="D472" s="112"/>
      <x:c r="E472" s="112"/>
      <x:c r="F472" s="92"/>
      <x:c r="G472" s="92"/>
      <x:c r="H472" s="92"/>
      <x:c r="I472" s="93" t="str">
        <x:f>IF(B472="","",MAX(0,F472-H472))</x:f>
      </x:c>
      <x:c r="J472" s="46"/>
      <x:c r="K472" s="100" t="str">
        <x:f>IF(B472="","",IF(G472="TL",1,IF(G472="USD",KURLAR!$C$9,IF(G472="EUR",KURLAR!$C$10,0))))</x:f>
      </x:c>
      <x:c r="L472" s="68" t="str">
        <x:f>IF(B472="","",I472*K472)</x:f>
      </x:c>
      <x:c r="M472" s="46"/>
      <x:c r="N472" s="52" t="str">
        <x:f>IF(B472="","",IF(OR(M472="Tahsil Edildi",M472="İptal",J472="Riskli"),"Hayır","Evet"))</x:f>
      </x:c>
    </x:row>
    <x:row r="473">
      <x:c r="B473" s="46"/>
      <x:c r="C473" s="46"/>
      <x:c r="D473" s="112"/>
      <x:c r="E473" s="112"/>
      <x:c r="F473" s="92"/>
      <x:c r="G473" s="92"/>
      <x:c r="H473" s="92"/>
      <x:c r="I473" s="93" t="str">
        <x:f>IF(B473="","",MAX(0,F473-H473))</x:f>
      </x:c>
      <x:c r="J473" s="46"/>
      <x:c r="K473" s="100" t="str">
        <x:f>IF(B473="","",IF(G473="TL",1,IF(G473="USD",KURLAR!$C$9,IF(G473="EUR",KURLAR!$C$10,0))))</x:f>
      </x:c>
      <x:c r="L473" s="68" t="str">
        <x:f>IF(B473="","",I473*K473)</x:f>
      </x:c>
      <x:c r="M473" s="46"/>
      <x:c r="N473" s="52" t="str">
        <x:f>IF(B473="","",IF(OR(M473="Tahsil Edildi",M473="İptal",J473="Riskli"),"Hayır","Evet"))</x:f>
      </x:c>
    </x:row>
    <x:row r="474">
      <x:c r="B474" s="46"/>
      <x:c r="C474" s="46"/>
      <x:c r="D474" s="112"/>
      <x:c r="E474" s="112"/>
      <x:c r="F474" s="92"/>
      <x:c r="G474" s="92"/>
      <x:c r="H474" s="92"/>
      <x:c r="I474" s="93" t="str">
        <x:f>IF(B474="","",MAX(0,F474-H474))</x:f>
      </x:c>
      <x:c r="J474" s="46"/>
      <x:c r="K474" s="100" t="str">
        <x:f>IF(B474="","",IF(G474="TL",1,IF(G474="USD",KURLAR!$C$9,IF(G474="EUR",KURLAR!$C$10,0))))</x:f>
      </x:c>
      <x:c r="L474" s="68" t="str">
        <x:f>IF(B474="","",I474*K474)</x:f>
      </x:c>
      <x:c r="M474" s="46"/>
      <x:c r="N474" s="52" t="str">
        <x:f>IF(B474="","",IF(OR(M474="Tahsil Edildi",M474="İptal",J474="Riskli"),"Hayır","Evet"))</x:f>
      </x:c>
    </x:row>
    <x:row r="475">
      <x:c r="B475" s="46"/>
      <x:c r="C475" s="46"/>
      <x:c r="D475" s="112"/>
      <x:c r="E475" s="112"/>
      <x:c r="F475" s="92"/>
      <x:c r="G475" s="92"/>
      <x:c r="H475" s="92"/>
      <x:c r="I475" s="93" t="str">
        <x:f>IF(B475="","",MAX(0,F475-H475))</x:f>
      </x:c>
      <x:c r="J475" s="46"/>
      <x:c r="K475" s="100" t="str">
        <x:f>IF(B475="","",IF(G475="TL",1,IF(G475="USD",KURLAR!$C$9,IF(G475="EUR",KURLAR!$C$10,0))))</x:f>
      </x:c>
      <x:c r="L475" s="68" t="str">
        <x:f>IF(B475="","",I475*K475)</x:f>
      </x:c>
      <x:c r="M475" s="46"/>
      <x:c r="N475" s="52" t="str">
        <x:f>IF(B475="","",IF(OR(M475="Tahsil Edildi",M475="İptal",J475="Riskli"),"Hayır","Evet"))</x:f>
      </x:c>
    </x:row>
    <x:row r="476">
      <x:c r="B476" s="46"/>
      <x:c r="C476" s="46"/>
      <x:c r="D476" s="112"/>
      <x:c r="E476" s="112"/>
      <x:c r="F476" s="92"/>
      <x:c r="G476" s="92"/>
      <x:c r="H476" s="92"/>
      <x:c r="I476" s="93" t="str">
        <x:f>IF(B476="","",MAX(0,F476-H476))</x:f>
      </x:c>
      <x:c r="J476" s="46"/>
      <x:c r="K476" s="100" t="str">
        <x:f>IF(B476="","",IF(G476="TL",1,IF(G476="USD",KURLAR!$C$9,IF(G476="EUR",KURLAR!$C$10,0))))</x:f>
      </x:c>
      <x:c r="L476" s="68" t="str">
        <x:f>IF(B476="","",I476*K476)</x:f>
      </x:c>
      <x:c r="M476" s="46"/>
      <x:c r="N476" s="52" t="str">
        <x:f>IF(B476="","",IF(OR(M476="Tahsil Edildi",M476="İptal",J476="Riskli"),"Hayır","Evet"))</x:f>
      </x:c>
    </x:row>
    <x:row r="477">
      <x:c r="B477" s="46"/>
      <x:c r="C477" s="46"/>
      <x:c r="D477" s="112"/>
      <x:c r="E477" s="112"/>
      <x:c r="F477" s="92"/>
      <x:c r="G477" s="92"/>
      <x:c r="H477" s="92"/>
      <x:c r="I477" s="93" t="str">
        <x:f>IF(B477="","",MAX(0,F477-H477))</x:f>
      </x:c>
      <x:c r="J477" s="46"/>
      <x:c r="K477" s="100" t="str">
        <x:f>IF(B477="","",IF(G477="TL",1,IF(G477="USD",KURLAR!$C$9,IF(G477="EUR",KURLAR!$C$10,0))))</x:f>
      </x:c>
      <x:c r="L477" s="68" t="str">
        <x:f>IF(B477="","",I477*K477)</x:f>
      </x:c>
      <x:c r="M477" s="46"/>
      <x:c r="N477" s="52" t="str">
        <x:f>IF(B477="","",IF(OR(M477="Tahsil Edildi",M477="İptal",J477="Riskli"),"Hayır","Evet"))</x:f>
      </x:c>
    </x:row>
    <x:row r="478">
      <x:c r="B478" s="46"/>
      <x:c r="C478" s="46"/>
      <x:c r="D478" s="112"/>
      <x:c r="E478" s="112"/>
      <x:c r="F478" s="92"/>
      <x:c r="G478" s="92"/>
      <x:c r="H478" s="92"/>
      <x:c r="I478" s="93" t="str">
        <x:f>IF(B478="","",MAX(0,F478-H478))</x:f>
      </x:c>
      <x:c r="J478" s="46"/>
      <x:c r="K478" s="100" t="str">
        <x:f>IF(B478="","",IF(G478="TL",1,IF(G478="USD",KURLAR!$C$9,IF(G478="EUR",KURLAR!$C$10,0))))</x:f>
      </x:c>
      <x:c r="L478" s="68" t="str">
        <x:f>IF(B478="","",I478*K478)</x:f>
      </x:c>
      <x:c r="M478" s="46"/>
      <x:c r="N478" s="52" t="str">
        <x:f>IF(B478="","",IF(OR(M478="Tahsil Edildi",M478="İptal",J478="Riskli"),"Hayır","Evet"))</x:f>
      </x:c>
    </x:row>
    <x:row r="479">
      <x:c r="B479" s="46"/>
      <x:c r="C479" s="46"/>
      <x:c r="D479" s="112"/>
      <x:c r="E479" s="112"/>
      <x:c r="F479" s="92"/>
      <x:c r="G479" s="92"/>
      <x:c r="H479" s="92"/>
      <x:c r="I479" s="93" t="str">
        <x:f>IF(B479="","",MAX(0,F479-H479))</x:f>
      </x:c>
      <x:c r="J479" s="46"/>
      <x:c r="K479" s="100" t="str">
        <x:f>IF(B479="","",IF(G479="TL",1,IF(G479="USD",KURLAR!$C$9,IF(G479="EUR",KURLAR!$C$10,0))))</x:f>
      </x:c>
      <x:c r="L479" s="68" t="str">
        <x:f>IF(B479="","",I479*K479)</x:f>
      </x:c>
      <x:c r="M479" s="46"/>
      <x:c r="N479" s="52" t="str">
        <x:f>IF(B479="","",IF(OR(M479="Tahsil Edildi",M479="İptal",J479="Riskli"),"Hayır","Evet"))</x:f>
      </x:c>
    </x:row>
    <x:row r="480">
      <x:c r="B480" s="46"/>
      <x:c r="C480" s="46"/>
      <x:c r="D480" s="112"/>
      <x:c r="E480" s="112"/>
      <x:c r="F480" s="92"/>
      <x:c r="G480" s="92"/>
      <x:c r="H480" s="92"/>
      <x:c r="I480" s="93" t="str">
        <x:f>IF(B480="","",MAX(0,F480-H480))</x:f>
      </x:c>
      <x:c r="J480" s="46"/>
      <x:c r="K480" s="100" t="str">
        <x:f>IF(B480="","",IF(G480="TL",1,IF(G480="USD",KURLAR!$C$9,IF(G480="EUR",KURLAR!$C$10,0))))</x:f>
      </x:c>
      <x:c r="L480" s="68" t="str">
        <x:f>IF(B480="","",I480*K480)</x:f>
      </x:c>
      <x:c r="M480" s="46"/>
      <x:c r="N480" s="52" t="str">
        <x:f>IF(B480="","",IF(OR(M480="Tahsil Edildi",M480="İptal",J480="Riskli"),"Hayır","Evet"))</x:f>
      </x:c>
    </x:row>
    <x:row r="481">
      <x:c r="B481" s="46"/>
      <x:c r="C481" s="46"/>
      <x:c r="D481" s="112"/>
      <x:c r="E481" s="112"/>
      <x:c r="F481" s="92"/>
      <x:c r="G481" s="92"/>
      <x:c r="H481" s="92"/>
      <x:c r="I481" s="93" t="str">
        <x:f>IF(B481="","",MAX(0,F481-H481))</x:f>
      </x:c>
      <x:c r="J481" s="46"/>
      <x:c r="K481" s="100" t="str">
        <x:f>IF(B481="","",IF(G481="TL",1,IF(G481="USD",KURLAR!$C$9,IF(G481="EUR",KURLAR!$C$10,0))))</x:f>
      </x:c>
      <x:c r="L481" s="68" t="str">
        <x:f>IF(B481="","",I481*K481)</x:f>
      </x:c>
      <x:c r="M481" s="46"/>
      <x:c r="N481" s="52" t="str">
        <x:f>IF(B481="","",IF(OR(M481="Tahsil Edildi",M481="İptal",J481="Riskli"),"Hayır","Evet"))</x:f>
      </x:c>
    </x:row>
    <x:row r="482">
      <x:c r="B482" s="46"/>
      <x:c r="C482" s="46"/>
      <x:c r="D482" s="112"/>
      <x:c r="E482" s="112"/>
      <x:c r="F482" s="92"/>
      <x:c r="G482" s="92"/>
      <x:c r="H482" s="92"/>
      <x:c r="I482" s="93" t="str">
        <x:f>IF(B482="","",MAX(0,F482-H482))</x:f>
      </x:c>
      <x:c r="J482" s="46"/>
      <x:c r="K482" s="100" t="str">
        <x:f>IF(B482="","",IF(G482="TL",1,IF(G482="USD",KURLAR!$C$9,IF(G482="EUR",KURLAR!$C$10,0))))</x:f>
      </x:c>
      <x:c r="L482" s="68" t="str">
        <x:f>IF(B482="","",I482*K482)</x:f>
      </x:c>
      <x:c r="M482" s="46"/>
      <x:c r="N482" s="52" t="str">
        <x:f>IF(B482="","",IF(OR(M482="Tahsil Edildi",M482="İptal",J482="Riskli"),"Hayır","Evet"))</x:f>
      </x:c>
    </x:row>
    <x:row r="483">
      <x:c r="B483" s="46"/>
      <x:c r="C483" s="46"/>
      <x:c r="D483" s="112"/>
      <x:c r="E483" s="112"/>
      <x:c r="F483" s="92"/>
      <x:c r="G483" s="92"/>
      <x:c r="H483" s="92"/>
      <x:c r="I483" s="93" t="str">
        <x:f>IF(B483="","",MAX(0,F483-H483))</x:f>
      </x:c>
      <x:c r="J483" s="46"/>
      <x:c r="K483" s="100" t="str">
        <x:f>IF(B483="","",IF(G483="TL",1,IF(G483="USD",KURLAR!$C$9,IF(G483="EUR",KURLAR!$C$10,0))))</x:f>
      </x:c>
      <x:c r="L483" s="68" t="str">
        <x:f>IF(B483="","",I483*K483)</x:f>
      </x:c>
      <x:c r="M483" s="46"/>
      <x:c r="N483" s="52" t="str">
        <x:f>IF(B483="","",IF(OR(M483="Tahsil Edildi",M483="İptal",J483="Riskli"),"Hayır","Evet"))</x:f>
      </x:c>
    </x:row>
    <x:row r="484">
      <x:c r="B484" s="46"/>
      <x:c r="C484" s="46"/>
      <x:c r="D484" s="112"/>
      <x:c r="E484" s="112"/>
      <x:c r="F484" s="92"/>
      <x:c r="G484" s="92"/>
      <x:c r="H484" s="92"/>
      <x:c r="I484" s="93" t="str">
        <x:f>IF(B484="","",MAX(0,F484-H484))</x:f>
      </x:c>
      <x:c r="J484" s="46"/>
      <x:c r="K484" s="100" t="str">
        <x:f>IF(B484="","",IF(G484="TL",1,IF(G484="USD",KURLAR!$C$9,IF(G484="EUR",KURLAR!$C$10,0))))</x:f>
      </x:c>
      <x:c r="L484" s="68" t="str">
        <x:f>IF(B484="","",I484*K484)</x:f>
      </x:c>
      <x:c r="M484" s="46"/>
      <x:c r="N484" s="52" t="str">
        <x:f>IF(B484="","",IF(OR(M484="Tahsil Edildi",M484="İptal",J484="Riskli"),"Hayır","Evet"))</x:f>
      </x:c>
    </x:row>
    <x:row r="485">
      <x:c r="B485" s="46"/>
      <x:c r="C485" s="46"/>
      <x:c r="D485" s="112"/>
      <x:c r="E485" s="112"/>
      <x:c r="F485" s="92"/>
      <x:c r="G485" s="92"/>
      <x:c r="H485" s="92"/>
      <x:c r="I485" s="93" t="str">
        <x:f>IF(B485="","",MAX(0,F485-H485))</x:f>
      </x:c>
      <x:c r="J485" s="46"/>
      <x:c r="K485" s="100" t="str">
        <x:f>IF(B485="","",IF(G485="TL",1,IF(G485="USD",KURLAR!$C$9,IF(G485="EUR",KURLAR!$C$10,0))))</x:f>
      </x:c>
      <x:c r="L485" s="68" t="str">
        <x:f>IF(B485="","",I485*K485)</x:f>
      </x:c>
      <x:c r="M485" s="46"/>
      <x:c r="N485" s="52" t="str">
        <x:f>IF(B485="","",IF(OR(M485="Tahsil Edildi",M485="İptal",J485="Riskli"),"Hayır","Evet"))</x:f>
      </x:c>
    </x:row>
    <x:row r="486">
      <x:c r="B486" s="46"/>
      <x:c r="C486" s="46"/>
      <x:c r="D486" s="112"/>
      <x:c r="E486" s="112"/>
      <x:c r="F486" s="92"/>
      <x:c r="G486" s="92"/>
      <x:c r="H486" s="92"/>
      <x:c r="I486" s="93" t="str">
        <x:f>IF(B486="","",MAX(0,F486-H486))</x:f>
      </x:c>
      <x:c r="J486" s="46"/>
      <x:c r="K486" s="100" t="str">
        <x:f>IF(B486="","",IF(G486="TL",1,IF(G486="USD",KURLAR!$C$9,IF(G486="EUR",KURLAR!$C$10,0))))</x:f>
      </x:c>
      <x:c r="L486" s="68" t="str">
        <x:f>IF(B486="","",I486*K486)</x:f>
      </x:c>
      <x:c r="M486" s="46"/>
      <x:c r="N486" s="52" t="str">
        <x:f>IF(B486="","",IF(OR(M486="Tahsil Edildi",M486="İptal",J486="Riskli"),"Hayır","Evet"))</x:f>
      </x:c>
    </x:row>
    <x:row r="487">
      <x:c r="B487" s="46"/>
      <x:c r="C487" s="46"/>
      <x:c r="D487" s="112"/>
      <x:c r="E487" s="112"/>
      <x:c r="F487" s="92"/>
      <x:c r="G487" s="92"/>
      <x:c r="H487" s="92"/>
      <x:c r="I487" s="93" t="str">
        <x:f>IF(B487="","",MAX(0,F487-H487))</x:f>
      </x:c>
      <x:c r="J487" s="46"/>
      <x:c r="K487" s="100" t="str">
        <x:f>IF(B487="","",IF(G487="TL",1,IF(G487="USD",KURLAR!$C$9,IF(G487="EUR",KURLAR!$C$10,0))))</x:f>
      </x:c>
      <x:c r="L487" s="68" t="str">
        <x:f>IF(B487="","",I487*K487)</x:f>
      </x:c>
      <x:c r="M487" s="46"/>
      <x:c r="N487" s="52" t="str">
        <x:f>IF(B487="","",IF(OR(M487="Tahsil Edildi",M487="İptal",J487="Riskli"),"Hayır","Evet"))</x:f>
      </x:c>
    </x:row>
    <x:row r="488">
      <x:c r="B488" s="46"/>
      <x:c r="C488" s="46"/>
      <x:c r="D488" s="112"/>
      <x:c r="E488" s="112"/>
      <x:c r="F488" s="92"/>
      <x:c r="G488" s="92"/>
      <x:c r="H488" s="92"/>
      <x:c r="I488" s="93" t="str">
        <x:f>IF(B488="","",MAX(0,F488-H488))</x:f>
      </x:c>
      <x:c r="J488" s="46"/>
      <x:c r="K488" s="100" t="str">
        <x:f>IF(B488="","",IF(G488="TL",1,IF(G488="USD",KURLAR!$C$9,IF(G488="EUR",KURLAR!$C$10,0))))</x:f>
      </x:c>
      <x:c r="L488" s="68" t="str">
        <x:f>IF(B488="","",I488*K488)</x:f>
      </x:c>
      <x:c r="M488" s="46"/>
      <x:c r="N488" s="52" t="str">
        <x:f>IF(B488="","",IF(OR(M488="Tahsil Edildi",M488="İptal",J488="Riskli"),"Hayır","Evet"))</x:f>
      </x:c>
    </x:row>
    <x:row r="489">
      <x:c r="B489" s="46"/>
      <x:c r="C489" s="46"/>
      <x:c r="D489" s="112"/>
      <x:c r="E489" s="112"/>
      <x:c r="F489" s="92"/>
      <x:c r="G489" s="92"/>
      <x:c r="H489" s="92"/>
      <x:c r="I489" s="93" t="str">
        <x:f>IF(B489="","",MAX(0,F489-H489))</x:f>
      </x:c>
      <x:c r="J489" s="46"/>
      <x:c r="K489" s="100" t="str">
        <x:f>IF(B489="","",IF(G489="TL",1,IF(G489="USD",KURLAR!$C$9,IF(G489="EUR",KURLAR!$C$10,0))))</x:f>
      </x:c>
      <x:c r="L489" s="68" t="str">
        <x:f>IF(B489="","",I489*K489)</x:f>
      </x:c>
      <x:c r="M489" s="46"/>
      <x:c r="N489" s="52" t="str">
        <x:f>IF(B489="","",IF(OR(M489="Tahsil Edildi",M489="İptal",J489="Riskli"),"Hayır","Evet"))</x:f>
      </x:c>
    </x:row>
    <x:row r="490">
      <x:c r="B490" s="46"/>
      <x:c r="C490" s="46"/>
      <x:c r="D490" s="112"/>
      <x:c r="E490" s="112"/>
      <x:c r="F490" s="92"/>
      <x:c r="G490" s="92"/>
      <x:c r="H490" s="92"/>
      <x:c r="I490" s="93" t="str">
        <x:f>IF(B490="","",MAX(0,F490-H490))</x:f>
      </x:c>
      <x:c r="J490" s="46"/>
      <x:c r="K490" s="100" t="str">
        <x:f>IF(B490="","",IF(G490="TL",1,IF(G490="USD",KURLAR!$C$9,IF(G490="EUR",KURLAR!$C$10,0))))</x:f>
      </x:c>
      <x:c r="L490" s="68" t="str">
        <x:f>IF(B490="","",I490*K490)</x:f>
      </x:c>
      <x:c r="M490" s="46"/>
      <x:c r="N490" s="52" t="str">
        <x:f>IF(B490="","",IF(OR(M490="Tahsil Edildi",M490="İptal",J490="Riskli"),"Hayır","Evet"))</x:f>
      </x:c>
    </x:row>
    <x:row r="491">
      <x:c r="B491" s="46"/>
      <x:c r="C491" s="46"/>
      <x:c r="D491" s="112"/>
      <x:c r="E491" s="112"/>
      <x:c r="F491" s="92"/>
      <x:c r="G491" s="92"/>
      <x:c r="H491" s="92"/>
      <x:c r="I491" s="93" t="str">
        <x:f>IF(B491="","",MAX(0,F491-H491))</x:f>
      </x:c>
      <x:c r="J491" s="46"/>
      <x:c r="K491" s="100" t="str">
        <x:f>IF(B491="","",IF(G491="TL",1,IF(G491="USD",KURLAR!$C$9,IF(G491="EUR",KURLAR!$C$10,0))))</x:f>
      </x:c>
      <x:c r="L491" s="68" t="str">
        <x:f>IF(B491="","",I491*K491)</x:f>
      </x:c>
      <x:c r="M491" s="46"/>
      <x:c r="N491" s="52" t="str">
        <x:f>IF(B491="","",IF(OR(M491="Tahsil Edildi",M491="İptal",J491="Riskli"),"Hayır","Evet"))</x:f>
      </x:c>
    </x:row>
    <x:row r="492">
      <x:c r="B492" s="46"/>
      <x:c r="C492" s="46"/>
      <x:c r="D492" s="112"/>
      <x:c r="E492" s="112"/>
      <x:c r="F492" s="92"/>
      <x:c r="G492" s="92"/>
      <x:c r="H492" s="92"/>
      <x:c r="I492" s="93" t="str">
        <x:f>IF(B492="","",MAX(0,F492-H492))</x:f>
      </x:c>
      <x:c r="J492" s="46"/>
      <x:c r="K492" s="100" t="str">
        <x:f>IF(B492="","",IF(G492="TL",1,IF(G492="USD",KURLAR!$C$9,IF(G492="EUR",KURLAR!$C$10,0))))</x:f>
      </x:c>
      <x:c r="L492" s="68" t="str">
        <x:f>IF(B492="","",I492*K492)</x:f>
      </x:c>
      <x:c r="M492" s="46"/>
      <x:c r="N492" s="52" t="str">
        <x:f>IF(B492="","",IF(OR(M492="Tahsil Edildi",M492="İptal",J492="Riskli"),"Hayır","Evet"))</x:f>
      </x:c>
    </x:row>
    <x:row r="493">
      <x:c r="B493" s="46"/>
      <x:c r="C493" s="46"/>
      <x:c r="D493" s="112"/>
      <x:c r="E493" s="112"/>
      <x:c r="F493" s="92"/>
      <x:c r="G493" s="92"/>
      <x:c r="H493" s="92"/>
      <x:c r="I493" s="93" t="str">
        <x:f>IF(B493="","",MAX(0,F493-H493))</x:f>
      </x:c>
      <x:c r="J493" s="46"/>
      <x:c r="K493" s="100" t="str">
        <x:f>IF(B493="","",IF(G493="TL",1,IF(G493="USD",KURLAR!$C$9,IF(G493="EUR",KURLAR!$C$10,0))))</x:f>
      </x:c>
      <x:c r="L493" s="68" t="str">
        <x:f>IF(B493="","",I493*K493)</x:f>
      </x:c>
      <x:c r="M493" s="46"/>
      <x:c r="N493" s="52" t="str">
        <x:f>IF(B493="","",IF(OR(M493="Tahsil Edildi",M493="İptal",J493="Riskli"),"Hayır","Evet"))</x:f>
      </x:c>
    </x:row>
    <x:row r="494">
      <x:c r="B494" s="46"/>
      <x:c r="C494" s="46"/>
      <x:c r="D494" s="112"/>
      <x:c r="E494" s="112"/>
      <x:c r="F494" s="92"/>
      <x:c r="G494" s="92"/>
      <x:c r="H494" s="92"/>
      <x:c r="I494" s="93" t="str">
        <x:f>IF(B494="","",MAX(0,F494-H494))</x:f>
      </x:c>
      <x:c r="J494" s="46"/>
      <x:c r="K494" s="100" t="str">
        <x:f>IF(B494="","",IF(G494="TL",1,IF(G494="USD",KURLAR!$C$9,IF(G494="EUR",KURLAR!$C$10,0))))</x:f>
      </x:c>
      <x:c r="L494" s="68" t="str">
        <x:f>IF(B494="","",I494*K494)</x:f>
      </x:c>
      <x:c r="M494" s="46"/>
      <x:c r="N494" s="52" t="str">
        <x:f>IF(B494="","",IF(OR(M494="Tahsil Edildi",M494="İptal",J494="Riskli"),"Hayır","Evet"))</x:f>
      </x:c>
    </x:row>
    <x:row r="495">
      <x:c r="B495" s="46"/>
      <x:c r="C495" s="46"/>
      <x:c r="D495" s="112"/>
      <x:c r="E495" s="112"/>
      <x:c r="F495" s="92"/>
      <x:c r="G495" s="92"/>
      <x:c r="H495" s="92"/>
      <x:c r="I495" s="93" t="str">
        <x:f>IF(B495="","",MAX(0,F495-H495))</x:f>
      </x:c>
      <x:c r="J495" s="46"/>
      <x:c r="K495" s="100" t="str">
        <x:f>IF(B495="","",IF(G495="TL",1,IF(G495="USD",KURLAR!$C$9,IF(G495="EUR",KURLAR!$C$10,0))))</x:f>
      </x:c>
      <x:c r="L495" s="68" t="str">
        <x:f>IF(B495="","",I495*K495)</x:f>
      </x:c>
      <x:c r="M495" s="46"/>
      <x:c r="N495" s="52" t="str">
        <x:f>IF(B495="","",IF(OR(M495="Tahsil Edildi",M495="İptal",J495="Riskli"),"Hayır","Evet"))</x:f>
      </x:c>
    </x:row>
    <x:row r="496">
      <x:c r="B496" s="46"/>
      <x:c r="C496" s="46"/>
      <x:c r="D496" s="112"/>
      <x:c r="E496" s="112"/>
      <x:c r="F496" s="92"/>
      <x:c r="G496" s="92"/>
      <x:c r="H496" s="92"/>
      <x:c r="I496" s="93" t="str">
        <x:f>IF(B496="","",MAX(0,F496-H496))</x:f>
      </x:c>
      <x:c r="J496" s="46"/>
      <x:c r="K496" s="100" t="str">
        <x:f>IF(B496="","",IF(G496="TL",1,IF(G496="USD",KURLAR!$C$9,IF(G496="EUR",KURLAR!$C$10,0))))</x:f>
      </x:c>
      <x:c r="L496" s="68" t="str">
        <x:f>IF(B496="","",I496*K496)</x:f>
      </x:c>
      <x:c r="M496" s="46"/>
      <x:c r="N496" s="52" t="str">
        <x:f>IF(B496="","",IF(OR(M496="Tahsil Edildi",M496="İptal",J496="Riskli"),"Hayır","Evet"))</x:f>
      </x:c>
    </x:row>
    <x:row r="497">
      <x:c r="B497" s="46"/>
      <x:c r="C497" s="46"/>
      <x:c r="D497" s="112"/>
      <x:c r="E497" s="112"/>
      <x:c r="F497" s="92"/>
      <x:c r="G497" s="92"/>
      <x:c r="H497" s="92"/>
      <x:c r="I497" s="93" t="str">
        <x:f>IF(B497="","",MAX(0,F497-H497))</x:f>
      </x:c>
      <x:c r="J497" s="46"/>
      <x:c r="K497" s="100" t="str">
        <x:f>IF(B497="","",IF(G497="TL",1,IF(G497="USD",KURLAR!$C$9,IF(G497="EUR",KURLAR!$C$10,0))))</x:f>
      </x:c>
      <x:c r="L497" s="68" t="str">
        <x:f>IF(B497="","",I497*K497)</x:f>
      </x:c>
      <x:c r="M497" s="46"/>
      <x:c r="N497" s="52" t="str">
        <x:f>IF(B497="","",IF(OR(M497="Tahsil Edildi",M497="İptal",J497="Riskli"),"Hayır","Evet"))</x:f>
      </x:c>
    </x:row>
    <x:row r="498">
      <x:c r="B498" s="46"/>
      <x:c r="C498" s="46"/>
      <x:c r="D498" s="112"/>
      <x:c r="E498" s="112"/>
      <x:c r="F498" s="92"/>
      <x:c r="G498" s="92"/>
      <x:c r="H498" s="92"/>
      <x:c r="I498" s="93" t="str">
        <x:f>IF(B498="","",MAX(0,F498-H498))</x:f>
      </x:c>
      <x:c r="J498" s="46"/>
      <x:c r="K498" s="100" t="str">
        <x:f>IF(B498="","",IF(G498="TL",1,IF(G498="USD",KURLAR!$C$9,IF(G498="EUR",KURLAR!$C$10,0))))</x:f>
      </x:c>
      <x:c r="L498" s="68" t="str">
        <x:f>IF(B498="","",I498*K498)</x:f>
      </x:c>
      <x:c r="M498" s="46"/>
      <x:c r="N498" s="52" t="str">
        <x:f>IF(B498="","",IF(OR(M498="Tahsil Edildi",M498="İptal",J498="Riskli"),"Hayır","Evet"))</x:f>
      </x:c>
    </x:row>
    <x:row r="499">
      <x:c r="B499" s="46"/>
      <x:c r="C499" s="46"/>
      <x:c r="D499" s="112"/>
      <x:c r="E499" s="112"/>
      <x:c r="F499" s="92"/>
      <x:c r="G499" s="92"/>
      <x:c r="H499" s="92"/>
      <x:c r="I499" s="93" t="str">
        <x:f>IF(B499="","",MAX(0,F499-H499))</x:f>
      </x:c>
      <x:c r="J499" s="46"/>
      <x:c r="K499" s="100" t="str">
        <x:f>IF(B499="","",IF(G499="TL",1,IF(G499="USD",KURLAR!$C$9,IF(G499="EUR",KURLAR!$C$10,0))))</x:f>
      </x:c>
      <x:c r="L499" s="68" t="str">
        <x:f>IF(B499="","",I499*K499)</x:f>
      </x:c>
      <x:c r="M499" s="46"/>
      <x:c r="N499" s="52" t="str">
        <x:f>IF(B499="","",IF(OR(M499="Tahsil Edildi",M499="İptal",J499="Riskli"),"Hayır","Evet"))</x:f>
      </x:c>
    </x:row>
    <x:row r="500">
      <x:c r="B500" s="46"/>
      <x:c r="C500" s="46"/>
      <x:c r="D500" s="112"/>
      <x:c r="E500" s="112"/>
      <x:c r="F500" s="92"/>
      <x:c r="G500" s="92"/>
      <x:c r="H500" s="92"/>
      <x:c r="I500" s="93" t="str">
        <x:f>IF(B500="","",MAX(0,F500-H500))</x:f>
      </x:c>
      <x:c r="J500" s="46"/>
      <x:c r="K500" s="100" t="str">
        <x:f>IF(B500="","",IF(G500="TL",1,IF(G500="USD",KURLAR!$C$9,IF(G500="EUR",KURLAR!$C$10,0))))</x:f>
      </x:c>
      <x:c r="L500" s="68" t="str">
        <x:f>IF(B500="","",I500*K500)</x:f>
      </x:c>
      <x:c r="M500" s="46"/>
      <x:c r="N500" s="52" t="str">
        <x:f>IF(B500="","",IF(OR(M500="Tahsil Edildi",M500="İptal",J500="Riskli"),"Hayır","Evet"))</x:f>
      </x:c>
    </x:row>
    <x:row r="501">
      <x:c r="B501" s="46"/>
      <x:c r="C501" s="46"/>
      <x:c r="D501" s="112"/>
      <x:c r="E501" s="112"/>
      <x:c r="F501" s="92"/>
      <x:c r="G501" s="92"/>
      <x:c r="H501" s="92"/>
      <x:c r="I501" s="93" t="str">
        <x:f>IF(B501="","",MAX(0,F501-H501))</x:f>
      </x:c>
      <x:c r="J501" s="46"/>
      <x:c r="K501" s="100" t="str">
        <x:f>IF(B501="","",IF(G501="TL",1,IF(G501="USD",KURLAR!$C$9,IF(G501="EUR",KURLAR!$C$10,0))))</x:f>
      </x:c>
      <x:c r="L501" s="68" t="str">
        <x:f>IF(B501="","",I501*K501)</x:f>
      </x:c>
      <x:c r="M501" s="46"/>
      <x:c r="N501" s="52" t="str">
        <x:f>IF(B501="","",IF(OR(M501="Tahsil Edildi",M501="İptal",J501="Riskli"),"Hayır","Evet"))</x:f>
      </x:c>
    </x:row>
    <x:row r="502">
      <x:c r="B502" s="46"/>
      <x:c r="C502" s="46"/>
      <x:c r="D502" s="112"/>
      <x:c r="E502" s="112"/>
      <x:c r="F502" s="92"/>
      <x:c r="G502" s="92"/>
      <x:c r="H502" s="92"/>
      <x:c r="I502" s="93" t="str">
        <x:f>IF(B502="","",MAX(0,F502-H502))</x:f>
      </x:c>
      <x:c r="J502" s="46"/>
      <x:c r="K502" s="100" t="str">
        <x:f>IF(B502="","",IF(G502="TL",1,IF(G502="USD",KURLAR!$C$9,IF(G502="EUR",KURLAR!$C$10,0))))</x:f>
      </x:c>
      <x:c r="L502" s="68" t="str">
        <x:f>IF(B502="","",I502*K502)</x:f>
      </x:c>
      <x:c r="M502" s="46"/>
      <x:c r="N502" s="52" t="str">
        <x:f>IF(B502="","",IF(OR(M502="Tahsil Edildi",M502="İptal",J502="Riskli"),"Hayır","Evet"))</x:f>
      </x:c>
    </x:row>
    <x:row r="503">
      <x:c r="B503" s="46"/>
      <x:c r="C503" s="46"/>
      <x:c r="D503" s="112"/>
      <x:c r="E503" s="112"/>
      <x:c r="F503" s="92"/>
      <x:c r="G503" s="92"/>
      <x:c r="H503" s="92"/>
      <x:c r="I503" s="93" t="str">
        <x:f>IF(B503="","",MAX(0,F503-H503))</x:f>
      </x:c>
      <x:c r="J503" s="46"/>
      <x:c r="K503" s="100" t="str">
        <x:f>IF(B503="","",IF(G503="TL",1,IF(G503="USD",KURLAR!$C$9,IF(G503="EUR",KURLAR!$C$10,0))))</x:f>
      </x:c>
      <x:c r="L503" s="68" t="str">
        <x:f>IF(B503="","",I503*K503)</x:f>
      </x:c>
      <x:c r="M503" s="46"/>
      <x:c r="N503" s="52" t="str">
        <x:f>IF(B503="","",IF(OR(M503="Tahsil Edildi",M503="İptal",J503="Riskli"),"Hayır","Evet"))</x:f>
      </x:c>
    </x:row>
    <x:row r="504">
      <x:c r="B504" s="46"/>
      <x:c r="C504" s="46"/>
      <x:c r="D504" s="112"/>
      <x:c r="E504" s="112"/>
      <x:c r="F504" s="92"/>
      <x:c r="G504" s="92"/>
      <x:c r="H504" s="92"/>
      <x:c r="I504" s="93" t="str">
        <x:f>IF(B504="","",MAX(0,F504-H504))</x:f>
      </x:c>
      <x:c r="J504" s="46"/>
      <x:c r="K504" s="100" t="str">
        <x:f>IF(B504="","",IF(G504="TL",1,IF(G504="USD",KURLAR!$C$9,IF(G504="EUR",KURLAR!$C$10,0))))</x:f>
      </x:c>
      <x:c r="L504" s="68" t="str">
        <x:f>IF(B504="","",I504*K504)</x:f>
      </x:c>
      <x:c r="M504" s="46"/>
      <x:c r="N504" s="52" t="str">
        <x:f>IF(B504="","",IF(OR(M504="Tahsil Edildi",M504="İptal",J504="Riskli"),"Hayır","Evet"))</x:f>
      </x:c>
    </x:row>
    <x:row r="505">
      <x:c r="B505" s="46"/>
      <x:c r="C505" s="46"/>
      <x:c r="D505" s="112"/>
      <x:c r="E505" s="112"/>
      <x:c r="F505" s="92"/>
      <x:c r="G505" s="92"/>
      <x:c r="H505" s="92"/>
      <x:c r="I505" s="93" t="str">
        <x:f>IF(B505="","",MAX(0,F505-H505))</x:f>
      </x:c>
      <x:c r="J505" s="46"/>
      <x:c r="K505" s="100" t="str">
        <x:f>IF(B505="","",IF(G505="TL",1,IF(G505="USD",KURLAR!$C$9,IF(G505="EUR",KURLAR!$C$10,0))))</x:f>
      </x:c>
      <x:c r="L505" s="68" t="str">
        <x:f>IF(B505="","",I505*K505)</x:f>
      </x:c>
      <x:c r="M505" s="46"/>
      <x:c r="N505" s="52" t="str">
        <x:f>IF(B505="","",IF(OR(M505="Tahsil Edildi",M505="İptal",J505="Riskli"),"Hayır","Evet"))</x:f>
      </x:c>
    </x:row>
    <x:row r="506">
      <x:c r="B506" s="46"/>
      <x:c r="C506" s="46"/>
      <x:c r="D506" s="112"/>
      <x:c r="E506" s="112"/>
      <x:c r="F506" s="92"/>
      <x:c r="G506" s="92"/>
      <x:c r="H506" s="92"/>
      <x:c r="I506" s="93" t="str">
        <x:f>IF(B506="","",MAX(0,F506-H506))</x:f>
      </x:c>
      <x:c r="J506" s="46"/>
      <x:c r="K506" s="100" t="str">
        <x:f>IF(B506="","",IF(G506="TL",1,IF(G506="USD",KURLAR!$C$9,IF(G506="EUR",KURLAR!$C$10,0))))</x:f>
      </x:c>
      <x:c r="L506" s="68" t="str">
        <x:f>IF(B506="","",I506*K506)</x:f>
      </x:c>
      <x:c r="M506" s="46"/>
      <x:c r="N506" s="52" t="str">
        <x:f>IF(B506="","",IF(OR(M506="Tahsil Edildi",M506="İptal",J506="Riskli"),"Hayır","Evet"))</x:f>
      </x:c>
    </x:row>
    <x:row r="507">
      <x:c r="B507" s="46"/>
      <x:c r="C507" s="46"/>
      <x:c r="D507" s="112"/>
      <x:c r="E507" s="112"/>
      <x:c r="F507" s="92"/>
      <x:c r="G507" s="92"/>
      <x:c r="H507" s="92"/>
      <x:c r="I507" s="93" t="str">
        <x:f>IF(B507="","",MAX(0,F507-H507))</x:f>
      </x:c>
      <x:c r="J507" s="46"/>
      <x:c r="K507" s="100" t="str">
        <x:f>IF(B507="","",IF(G507="TL",1,IF(G507="USD",KURLAR!$C$9,IF(G507="EUR",KURLAR!$C$10,0))))</x:f>
      </x:c>
      <x:c r="L507" s="68" t="str">
        <x:f>IF(B507="","",I507*K507)</x:f>
      </x:c>
      <x:c r="M507" s="46"/>
      <x:c r="N507" s="52" t="str">
        <x:f>IF(B507="","",IF(OR(M507="Tahsil Edildi",M507="İptal",J507="Riskli"),"Hayır","Evet"))</x:f>
      </x:c>
    </x:row>
    <x:row r="508">
      <x:c r="B508" s="46"/>
      <x:c r="C508" s="46"/>
      <x:c r="D508" s="112"/>
      <x:c r="E508" s="112"/>
      <x:c r="F508" s="92"/>
      <x:c r="G508" s="92"/>
      <x:c r="H508" s="92"/>
      <x:c r="I508" s="93" t="str">
        <x:f>IF(B508="","",MAX(0,F508-H508))</x:f>
      </x:c>
      <x:c r="J508" s="46"/>
      <x:c r="K508" s="100" t="str">
        <x:f>IF(B508="","",IF(G508="TL",1,IF(G508="USD",KURLAR!$C$9,IF(G508="EUR",KURLAR!$C$10,0))))</x:f>
      </x:c>
      <x:c r="L508" s="68" t="str">
        <x:f>IF(B508="","",I508*K508)</x:f>
      </x:c>
      <x:c r="M508" s="46"/>
      <x:c r="N508" s="52" t="str">
        <x:f>IF(B508="","",IF(OR(M508="Tahsil Edildi",M508="İptal",J508="Riskli"),"Hayır","Evet"))</x:f>
      </x:c>
    </x:row>
    <x:row r="509">
      <x:c r="B509" s="46"/>
      <x:c r="C509" s="46"/>
      <x:c r="D509" s="112"/>
      <x:c r="E509" s="112"/>
      <x:c r="F509" s="92"/>
      <x:c r="G509" s="92"/>
      <x:c r="H509" s="92"/>
      <x:c r="I509" s="93" t="str">
        <x:f>IF(B509="","",MAX(0,F509-H509))</x:f>
      </x:c>
      <x:c r="J509" s="46"/>
      <x:c r="K509" s="100" t="str">
        <x:f>IF(B509="","",IF(G509="TL",1,IF(G509="USD",KURLAR!$C$9,IF(G509="EUR",KURLAR!$C$10,0))))</x:f>
      </x:c>
      <x:c r="L509" s="68" t="str">
        <x:f>IF(B509="","",I509*K509)</x:f>
      </x:c>
      <x:c r="M509" s="46"/>
      <x:c r="N509" s="52" t="str">
        <x:f>IF(B509="","",IF(OR(M509="Tahsil Edildi",M509="İptal",J509="Riskli"),"Hayır","Evet"))</x:f>
      </x:c>
    </x:row>
    <x:row r="510">
      <x:c r="B510" s="46"/>
      <x:c r="C510" s="46"/>
      <x:c r="D510" s="112"/>
      <x:c r="E510" s="112"/>
      <x:c r="F510" s="92"/>
      <x:c r="G510" s="92"/>
      <x:c r="H510" s="92"/>
      <x:c r="I510" s="93" t="str">
        <x:f>IF(B510="","",MAX(0,F510-H510))</x:f>
      </x:c>
      <x:c r="J510" s="46"/>
      <x:c r="K510" s="100" t="str">
        <x:f>IF(B510="","",IF(G510="TL",1,IF(G510="USD",KURLAR!$C$9,IF(G510="EUR",KURLAR!$C$10,0))))</x:f>
      </x:c>
      <x:c r="L510" s="68" t="str">
        <x:f>IF(B510="","",I510*K510)</x:f>
      </x:c>
      <x:c r="M510" s="46"/>
      <x:c r="N510" s="52" t="str">
        <x:f>IF(B510="","",IF(OR(M510="Tahsil Edildi",M510="İptal",J510="Riskli"),"Hayır","Evet"))</x:f>
      </x:c>
    </x:row>
    <x:row r="511">
      <x:c r="B511" s="46"/>
      <x:c r="C511" s="46"/>
      <x:c r="D511" s="112"/>
      <x:c r="E511" s="112"/>
      <x:c r="F511" s="92"/>
      <x:c r="G511" s="92"/>
      <x:c r="H511" s="92"/>
      <x:c r="I511" s="93" t="str">
        <x:f>IF(B511="","",MAX(0,F511-H511))</x:f>
      </x:c>
      <x:c r="J511" s="46"/>
      <x:c r="K511" s="100" t="str">
        <x:f>IF(B511="","",IF(G511="TL",1,IF(G511="USD",KURLAR!$C$9,IF(G511="EUR",KURLAR!$C$10,0))))</x:f>
      </x:c>
      <x:c r="L511" s="68" t="str">
        <x:f>IF(B511="","",I511*K511)</x:f>
      </x:c>
      <x:c r="M511" s="46"/>
      <x:c r="N511" s="52" t="str">
        <x:f>IF(B511="","",IF(OR(M511="Tahsil Edildi",M511="İptal",J511="Riskli"),"Hayır","Evet"))</x:f>
      </x:c>
    </x:row>
    <x:row r="512">
      <x:c r="B512" s="46"/>
      <x:c r="C512" s="46"/>
      <x:c r="D512" s="112"/>
      <x:c r="E512" s="112"/>
      <x:c r="F512" s="92"/>
      <x:c r="G512" s="92"/>
      <x:c r="H512" s="92"/>
      <x:c r="I512" s="93" t="str">
        <x:f>IF(B512="","",MAX(0,F512-H512))</x:f>
      </x:c>
      <x:c r="J512" s="46"/>
      <x:c r="K512" s="100" t="str">
        <x:f>IF(B512="","",IF(G512="TL",1,IF(G512="USD",KURLAR!$C$9,IF(G512="EUR",KURLAR!$C$10,0))))</x:f>
      </x:c>
      <x:c r="L512" s="68" t="str">
        <x:f>IF(B512="","",I512*K512)</x:f>
      </x:c>
      <x:c r="M512" s="46"/>
      <x:c r="N512" s="52" t="str">
        <x:f>IF(B512="","",IF(OR(M512="Tahsil Edildi",M512="İptal",J512="Riskli"),"Hayır","Evet"))</x:f>
      </x:c>
    </x:row>
    <x:row r="513">
      <x:c r="B513" s="46"/>
      <x:c r="C513" s="46"/>
      <x:c r="D513" s="112"/>
      <x:c r="E513" s="112"/>
      <x:c r="F513" s="92"/>
      <x:c r="G513" s="92"/>
      <x:c r="H513" s="92"/>
      <x:c r="I513" s="93" t="str">
        <x:f>IF(B513="","",MAX(0,F513-H513))</x:f>
      </x:c>
      <x:c r="J513" s="46"/>
      <x:c r="K513" s="100" t="str">
        <x:f>IF(B513="","",IF(G513="TL",1,IF(G513="USD",KURLAR!$C$9,IF(G513="EUR",KURLAR!$C$10,0))))</x:f>
      </x:c>
      <x:c r="L513" s="68" t="str">
        <x:f>IF(B513="","",I513*K513)</x:f>
      </x:c>
      <x:c r="M513" s="46"/>
      <x:c r="N513" s="52" t="str">
        <x:f>IF(B513="","",IF(OR(M513="Tahsil Edildi",M513="İptal",J513="Riskli"),"Hayır","Evet"))</x:f>
      </x:c>
    </x:row>
    <x:row r="514">
      <x:c r="B514" s="46"/>
      <x:c r="C514" s="46"/>
      <x:c r="D514" s="112"/>
      <x:c r="E514" s="112"/>
      <x:c r="F514" s="92"/>
      <x:c r="G514" s="92"/>
      <x:c r="H514" s="92"/>
      <x:c r="I514" s="93" t="str">
        <x:f>IF(B514="","",MAX(0,F514-H514))</x:f>
      </x:c>
      <x:c r="J514" s="46"/>
      <x:c r="K514" s="100" t="str">
        <x:f>IF(B514="","",IF(G514="TL",1,IF(G514="USD",KURLAR!$C$9,IF(G514="EUR",KURLAR!$C$10,0))))</x:f>
      </x:c>
      <x:c r="L514" s="68" t="str">
        <x:f>IF(B514="","",I514*K514)</x:f>
      </x:c>
      <x:c r="M514" s="46"/>
      <x:c r="N514" s="52" t="str">
        <x:f>IF(B514="","",IF(OR(M514="Tahsil Edildi",M514="İptal",J514="Riskli"),"Hayır","Evet"))</x:f>
      </x:c>
    </x:row>
    <x:row r="515">
      <x:c r="B515" s="46"/>
      <x:c r="C515" s="46"/>
      <x:c r="D515" s="112"/>
      <x:c r="E515" s="112"/>
      <x:c r="F515" s="92"/>
      <x:c r="G515" s="92"/>
      <x:c r="H515" s="92"/>
      <x:c r="I515" s="93" t="str">
        <x:f>IF(B515="","",MAX(0,F515-H515))</x:f>
      </x:c>
      <x:c r="J515" s="46"/>
      <x:c r="K515" s="100" t="str">
        <x:f>IF(B515="","",IF(G515="TL",1,IF(G515="USD",KURLAR!$C$9,IF(G515="EUR",KURLAR!$C$10,0))))</x:f>
      </x:c>
      <x:c r="L515" s="68" t="str">
        <x:f>IF(B515="","",I515*K515)</x:f>
      </x:c>
      <x:c r="M515" s="46"/>
      <x:c r="N515" s="52" t="str">
        <x:f>IF(B515="","",IF(OR(M515="Tahsil Edildi",M515="İptal",J515="Riskli"),"Hayır","Evet"))</x:f>
      </x:c>
    </x:row>
    <x:row r="516">
      <x:c r="B516" s="46"/>
      <x:c r="C516" s="46"/>
      <x:c r="D516" s="112"/>
      <x:c r="E516" s="112"/>
      <x:c r="F516" s="92"/>
      <x:c r="G516" s="92"/>
      <x:c r="H516" s="92"/>
      <x:c r="I516" s="93" t="str">
        <x:f>IF(B516="","",MAX(0,F516-H516))</x:f>
      </x:c>
      <x:c r="J516" s="46"/>
      <x:c r="K516" s="100" t="str">
        <x:f>IF(B516="","",IF(G516="TL",1,IF(G516="USD",KURLAR!$C$9,IF(G516="EUR",KURLAR!$C$10,0))))</x:f>
      </x:c>
      <x:c r="L516" s="68" t="str">
        <x:f>IF(B516="","",I516*K516)</x:f>
      </x:c>
      <x:c r="M516" s="46"/>
      <x:c r="N516" s="52" t="str">
        <x:f>IF(B516="","",IF(OR(M516="Tahsil Edildi",M516="İptal",J516="Riskli"),"Hayır","Evet"))</x:f>
      </x:c>
    </x:row>
    <x:row r="517">
      <x:c r="B517" s="46"/>
      <x:c r="C517" s="46"/>
      <x:c r="D517" s="112"/>
      <x:c r="E517" s="112"/>
      <x:c r="F517" s="92"/>
      <x:c r="G517" s="92"/>
      <x:c r="H517" s="92"/>
      <x:c r="I517" s="93" t="str">
        <x:f>IF(B517="","",MAX(0,F517-H517))</x:f>
      </x:c>
      <x:c r="J517" s="46"/>
      <x:c r="K517" s="100" t="str">
        <x:f>IF(B517="","",IF(G517="TL",1,IF(G517="USD",KURLAR!$C$9,IF(G517="EUR",KURLAR!$C$10,0))))</x:f>
      </x:c>
      <x:c r="L517" s="68" t="str">
        <x:f>IF(B517="","",I517*K517)</x:f>
      </x:c>
      <x:c r="M517" s="46"/>
      <x:c r="N517" s="52" t="str">
        <x:f>IF(B517="","",IF(OR(M517="Tahsil Edildi",M517="İptal",J517="Riskli"),"Hayır","Evet"))</x:f>
      </x:c>
    </x:row>
    <x:row r="518">
      <x:c r="B518" s="46"/>
      <x:c r="C518" s="46"/>
      <x:c r="D518" s="112"/>
      <x:c r="E518" s="112"/>
      <x:c r="F518" s="92"/>
      <x:c r="G518" s="92"/>
      <x:c r="H518" s="92"/>
      <x:c r="I518" s="93" t="str">
        <x:f>IF(B518="","",MAX(0,F518-H518))</x:f>
      </x:c>
      <x:c r="J518" s="46"/>
      <x:c r="K518" s="100" t="str">
        <x:f>IF(B518="","",IF(G518="TL",1,IF(G518="USD",KURLAR!$C$9,IF(G518="EUR",KURLAR!$C$10,0))))</x:f>
      </x:c>
      <x:c r="L518" s="68" t="str">
        <x:f>IF(B518="","",I518*K518)</x:f>
      </x:c>
      <x:c r="M518" s="46"/>
      <x:c r="N518" s="52" t="str">
        <x:f>IF(B518="","",IF(OR(M518="Tahsil Edildi",M518="İptal",J518="Riskli"),"Hayır","Evet"))</x:f>
      </x:c>
    </x:row>
    <x:row r="519">
      <x:c r="B519" s="46"/>
      <x:c r="C519" s="46"/>
      <x:c r="D519" s="112"/>
      <x:c r="E519" s="112"/>
      <x:c r="F519" s="92"/>
      <x:c r="G519" s="92"/>
      <x:c r="H519" s="92"/>
      <x:c r="I519" s="93" t="str">
        <x:f>IF(B519="","",MAX(0,F519-H519))</x:f>
      </x:c>
      <x:c r="J519" s="46"/>
      <x:c r="K519" s="100" t="str">
        <x:f>IF(B519="","",IF(G519="TL",1,IF(G519="USD",KURLAR!$C$9,IF(G519="EUR",KURLAR!$C$10,0))))</x:f>
      </x:c>
      <x:c r="L519" s="68" t="str">
        <x:f>IF(B519="","",I519*K519)</x:f>
      </x:c>
      <x:c r="M519" s="46"/>
      <x:c r="N519" s="52" t="str">
        <x:f>IF(B519="","",IF(OR(M519="Tahsil Edildi",M519="İptal",J519="Riskli"),"Hayır","Evet"))</x:f>
      </x:c>
    </x:row>
    <x:row r="520">
      <x:c r="B520" s="46"/>
      <x:c r="C520" s="46"/>
      <x:c r="D520" s="112"/>
      <x:c r="E520" s="112"/>
      <x:c r="F520" s="92"/>
      <x:c r="G520" s="92"/>
      <x:c r="H520" s="92"/>
      <x:c r="I520" s="93" t="str">
        <x:f>IF(B520="","",MAX(0,F520-H520))</x:f>
      </x:c>
      <x:c r="J520" s="46"/>
      <x:c r="K520" s="100" t="str">
        <x:f>IF(B520="","",IF(G520="TL",1,IF(G520="USD",KURLAR!$C$9,IF(G520="EUR",KURLAR!$C$10,0))))</x:f>
      </x:c>
      <x:c r="L520" s="68" t="str">
        <x:f>IF(B520="","",I520*K520)</x:f>
      </x:c>
      <x:c r="M520" s="46"/>
      <x:c r="N520" s="52" t="str">
        <x:f>IF(B520="","",IF(OR(M520="Tahsil Edildi",M520="İptal",J520="Riskli"),"Hayır","Evet"))</x:f>
      </x:c>
    </x:row>
    <x:row r="521">
      <x:c r="B521" s="46"/>
      <x:c r="C521" s="46"/>
      <x:c r="D521" s="112"/>
      <x:c r="E521" s="112"/>
      <x:c r="F521" s="92"/>
      <x:c r="G521" s="92"/>
      <x:c r="H521" s="92"/>
      <x:c r="I521" s="93" t="str">
        <x:f>IF(B521="","",MAX(0,F521-H521))</x:f>
      </x:c>
      <x:c r="J521" s="46"/>
      <x:c r="K521" s="100" t="str">
        <x:f>IF(B521="","",IF(G521="TL",1,IF(G521="USD",KURLAR!$C$9,IF(G521="EUR",KURLAR!$C$10,0))))</x:f>
      </x:c>
      <x:c r="L521" s="68" t="str">
        <x:f>IF(B521="","",I521*K521)</x:f>
      </x:c>
      <x:c r="M521" s="46"/>
      <x:c r="N521" s="52" t="str">
        <x:f>IF(B521="","",IF(OR(M521="Tahsil Edildi",M521="İptal",J521="Riskli"),"Hayır","Evet"))</x:f>
      </x:c>
    </x:row>
    <x:row r="522">
      <x:c r="B522" s="46"/>
      <x:c r="C522" s="46"/>
      <x:c r="D522" s="112"/>
      <x:c r="E522" s="112"/>
      <x:c r="F522" s="92"/>
      <x:c r="G522" s="92"/>
      <x:c r="H522" s="92"/>
      <x:c r="I522" s="93" t="str">
        <x:f>IF(B522="","",MAX(0,F522-H522))</x:f>
      </x:c>
      <x:c r="J522" s="46"/>
      <x:c r="K522" s="100" t="str">
        <x:f>IF(B522="","",IF(G522="TL",1,IF(G522="USD",KURLAR!$C$9,IF(G522="EUR",KURLAR!$C$10,0))))</x:f>
      </x:c>
      <x:c r="L522" s="68" t="str">
        <x:f>IF(B522="","",I522*K522)</x:f>
      </x:c>
      <x:c r="M522" s="46"/>
      <x:c r="N522" s="52" t="str">
        <x:f>IF(B522="","",IF(OR(M522="Tahsil Edildi",M522="İptal",J522="Riskli"),"Hayır","Evet"))</x:f>
      </x:c>
    </x:row>
    <x:row r="523">
      <x:c r="B523" s="46"/>
      <x:c r="C523" s="46"/>
      <x:c r="D523" s="112"/>
      <x:c r="E523" s="112"/>
      <x:c r="F523" s="92"/>
      <x:c r="G523" s="92"/>
      <x:c r="H523" s="92"/>
      <x:c r="I523" s="93" t="str">
        <x:f>IF(B523="","",MAX(0,F523-H523))</x:f>
      </x:c>
      <x:c r="J523" s="46"/>
      <x:c r="K523" s="100" t="str">
        <x:f>IF(B523="","",IF(G523="TL",1,IF(G523="USD",KURLAR!$C$9,IF(G523="EUR",KURLAR!$C$10,0))))</x:f>
      </x:c>
      <x:c r="L523" s="68" t="str">
        <x:f>IF(B523="","",I523*K523)</x:f>
      </x:c>
      <x:c r="M523" s="46"/>
      <x:c r="N523" s="52" t="str">
        <x:f>IF(B523="","",IF(OR(M523="Tahsil Edildi",M523="İptal",J523="Riskli"),"Hayır","Evet"))</x:f>
      </x:c>
    </x:row>
    <x:row r="524">
      <x:c r="B524" s="46"/>
      <x:c r="C524" s="46"/>
      <x:c r="D524" s="112"/>
      <x:c r="E524" s="112"/>
      <x:c r="F524" s="92"/>
      <x:c r="G524" s="92"/>
      <x:c r="H524" s="92"/>
      <x:c r="I524" s="93" t="str">
        <x:f>IF(B524="","",MAX(0,F524-H524))</x:f>
      </x:c>
      <x:c r="J524" s="46"/>
      <x:c r="K524" s="100" t="str">
        <x:f>IF(B524="","",IF(G524="TL",1,IF(G524="USD",KURLAR!$C$9,IF(G524="EUR",KURLAR!$C$10,0))))</x:f>
      </x:c>
      <x:c r="L524" s="68" t="str">
        <x:f>IF(B524="","",I524*K524)</x:f>
      </x:c>
      <x:c r="M524" s="46"/>
      <x:c r="N524" s="52" t="str">
        <x:f>IF(B524="","",IF(OR(M524="Tahsil Edildi",M524="İptal",J524="Riskli"),"Hayır","Evet"))</x:f>
      </x:c>
    </x:row>
    <x:row r="525">
      <x:c r="B525" s="46"/>
      <x:c r="C525" s="46"/>
      <x:c r="D525" s="112"/>
      <x:c r="E525" s="112"/>
      <x:c r="F525" s="92"/>
      <x:c r="G525" s="92"/>
      <x:c r="H525" s="92"/>
      <x:c r="I525" s="93" t="str">
        <x:f>IF(B525="","",MAX(0,F525-H525))</x:f>
      </x:c>
      <x:c r="J525" s="46"/>
      <x:c r="K525" s="100" t="str">
        <x:f>IF(B525="","",IF(G525="TL",1,IF(G525="USD",KURLAR!$C$9,IF(G525="EUR",KURLAR!$C$10,0))))</x:f>
      </x:c>
      <x:c r="L525" s="68" t="str">
        <x:f>IF(B525="","",I525*K525)</x:f>
      </x:c>
      <x:c r="M525" s="46"/>
      <x:c r="N525" s="52" t="str">
        <x:f>IF(B525="","",IF(OR(M525="Tahsil Edildi",M525="İptal",J525="Riskli"),"Hayır","Evet"))</x:f>
      </x:c>
    </x:row>
    <x:row r="526">
      <x:c r="B526" s="46"/>
      <x:c r="C526" s="46"/>
      <x:c r="D526" s="112"/>
      <x:c r="E526" s="112"/>
      <x:c r="F526" s="92"/>
      <x:c r="G526" s="92"/>
      <x:c r="H526" s="92"/>
      <x:c r="I526" s="93" t="str">
        <x:f>IF(B526="","",MAX(0,F526-H526))</x:f>
      </x:c>
      <x:c r="J526" s="46"/>
      <x:c r="K526" s="100" t="str">
        <x:f>IF(B526="","",IF(G526="TL",1,IF(G526="USD",KURLAR!$C$9,IF(G526="EUR",KURLAR!$C$10,0))))</x:f>
      </x:c>
      <x:c r="L526" s="68" t="str">
        <x:f>IF(B526="","",I526*K526)</x:f>
      </x:c>
      <x:c r="M526" s="46"/>
      <x:c r="N526" s="52" t="str">
        <x:f>IF(B526="","",IF(OR(M526="Tahsil Edildi",M526="İptal",J526="Riskli"),"Hayır","Evet"))</x:f>
      </x:c>
    </x:row>
    <x:row r="527">
      <x:c r="B527" s="46"/>
      <x:c r="C527" s="46"/>
      <x:c r="D527" s="112"/>
      <x:c r="E527" s="112"/>
      <x:c r="F527" s="92"/>
      <x:c r="G527" s="92"/>
      <x:c r="H527" s="92"/>
      <x:c r="I527" s="93" t="str">
        <x:f>IF(B527="","",MAX(0,F527-H527))</x:f>
      </x:c>
      <x:c r="J527" s="46"/>
      <x:c r="K527" s="100" t="str">
        <x:f>IF(B527="","",IF(G527="TL",1,IF(G527="USD",KURLAR!$C$9,IF(G527="EUR",KURLAR!$C$10,0))))</x:f>
      </x:c>
      <x:c r="L527" s="68" t="str">
        <x:f>IF(B527="","",I527*K527)</x:f>
      </x:c>
      <x:c r="M527" s="46"/>
      <x:c r="N527" s="52" t="str">
        <x:f>IF(B527="","",IF(OR(M527="Tahsil Edildi",M527="İptal",J527="Riskli"),"Hayır","Evet"))</x:f>
      </x:c>
    </x:row>
    <x:row r="528">
      <x:c r="B528" s="46"/>
      <x:c r="C528" s="46"/>
      <x:c r="D528" s="112"/>
      <x:c r="E528" s="112"/>
      <x:c r="F528" s="92"/>
      <x:c r="G528" s="92"/>
      <x:c r="H528" s="92"/>
      <x:c r="I528" s="93" t="str">
        <x:f>IF(B528="","",MAX(0,F528-H528))</x:f>
      </x:c>
      <x:c r="J528" s="46"/>
      <x:c r="K528" s="100" t="str">
        <x:f>IF(B528="","",IF(G528="TL",1,IF(G528="USD",KURLAR!$C$9,IF(G528="EUR",KURLAR!$C$10,0))))</x:f>
      </x:c>
      <x:c r="L528" s="68" t="str">
        <x:f>IF(B528="","",I528*K528)</x:f>
      </x:c>
      <x:c r="M528" s="46"/>
      <x:c r="N528" s="52" t="str">
        <x:f>IF(B528="","",IF(OR(M528="Tahsil Edildi",M528="İptal",J528="Riskli"),"Hayır","Evet"))</x:f>
      </x:c>
    </x:row>
    <x:row r="529">
      <x:c r="B529" s="46"/>
      <x:c r="C529" s="46"/>
      <x:c r="D529" s="112"/>
      <x:c r="E529" s="112"/>
      <x:c r="F529" s="92"/>
      <x:c r="G529" s="92"/>
      <x:c r="H529" s="92"/>
      <x:c r="I529" s="93" t="str">
        <x:f>IF(B529="","",MAX(0,F529-H529))</x:f>
      </x:c>
      <x:c r="J529" s="46"/>
      <x:c r="K529" s="100" t="str">
        <x:f>IF(B529="","",IF(G529="TL",1,IF(G529="USD",KURLAR!$C$9,IF(G529="EUR",KURLAR!$C$10,0))))</x:f>
      </x:c>
      <x:c r="L529" s="68" t="str">
        <x:f>IF(B529="","",I529*K529)</x:f>
      </x:c>
      <x:c r="M529" s="46"/>
      <x:c r="N529" s="52" t="str">
        <x:f>IF(B529="","",IF(OR(M529="Tahsil Edildi",M529="İptal",J529="Riskli"),"Hayır","Evet"))</x:f>
      </x:c>
    </x:row>
    <x:row r="530">
      <x:c r="B530" s="46"/>
      <x:c r="C530" s="46"/>
      <x:c r="D530" s="112"/>
      <x:c r="E530" s="112"/>
      <x:c r="F530" s="92"/>
      <x:c r="G530" s="92"/>
      <x:c r="H530" s="92"/>
      <x:c r="I530" s="93" t="str">
        <x:f>IF(B530="","",MAX(0,F530-H530))</x:f>
      </x:c>
      <x:c r="J530" s="46"/>
      <x:c r="K530" s="100" t="str">
        <x:f>IF(B530="","",IF(G530="TL",1,IF(G530="USD",KURLAR!$C$9,IF(G530="EUR",KURLAR!$C$10,0))))</x:f>
      </x:c>
      <x:c r="L530" s="68" t="str">
        <x:f>IF(B530="","",I530*K530)</x:f>
      </x:c>
      <x:c r="M530" s="46"/>
      <x:c r="N530" s="52" t="str">
        <x:f>IF(B530="","",IF(OR(M530="Tahsil Edildi",M530="İptal",J530="Riskli"),"Hayır","Evet"))</x:f>
      </x:c>
    </x:row>
    <x:row r="531">
      <x:c r="B531" s="46"/>
      <x:c r="C531" s="46"/>
      <x:c r="D531" s="112"/>
      <x:c r="E531" s="112"/>
      <x:c r="F531" s="92"/>
      <x:c r="G531" s="92"/>
      <x:c r="H531" s="92"/>
      <x:c r="I531" s="93" t="str">
        <x:f>IF(B531="","",MAX(0,F531-H531))</x:f>
      </x:c>
      <x:c r="J531" s="46"/>
      <x:c r="K531" s="100" t="str">
        <x:f>IF(B531="","",IF(G531="TL",1,IF(G531="USD",KURLAR!$C$9,IF(G531="EUR",KURLAR!$C$10,0))))</x:f>
      </x:c>
      <x:c r="L531" s="68" t="str">
        <x:f>IF(B531="","",I531*K531)</x:f>
      </x:c>
      <x:c r="M531" s="46"/>
      <x:c r="N531" s="52" t="str">
        <x:f>IF(B531="","",IF(OR(M531="Tahsil Edildi",M531="İptal",J531="Riskli"),"Hayır","Evet"))</x:f>
      </x:c>
    </x:row>
    <x:row r="532">
      <x:c r="B532" s="46"/>
      <x:c r="C532" s="46"/>
      <x:c r="D532" s="112"/>
      <x:c r="E532" s="112"/>
      <x:c r="F532" s="92"/>
      <x:c r="G532" s="92"/>
      <x:c r="H532" s="92"/>
      <x:c r="I532" s="93" t="str">
        <x:f>IF(B532="","",MAX(0,F532-H532))</x:f>
      </x:c>
      <x:c r="J532" s="46"/>
      <x:c r="K532" s="100" t="str">
        <x:f>IF(B532="","",IF(G532="TL",1,IF(G532="USD",KURLAR!$C$9,IF(G532="EUR",KURLAR!$C$10,0))))</x:f>
      </x:c>
      <x:c r="L532" s="68" t="str">
        <x:f>IF(B532="","",I532*K532)</x:f>
      </x:c>
      <x:c r="M532" s="46"/>
      <x:c r="N532" s="52" t="str">
        <x:f>IF(B532="","",IF(OR(M532="Tahsil Edildi",M532="İptal",J532="Riskli"),"Hayır","Evet"))</x:f>
      </x:c>
    </x:row>
    <x:row r="533">
      <x:c r="B533" s="46"/>
      <x:c r="C533" s="46"/>
      <x:c r="D533" s="112"/>
      <x:c r="E533" s="112"/>
      <x:c r="F533" s="92"/>
      <x:c r="G533" s="92"/>
      <x:c r="H533" s="92"/>
      <x:c r="I533" s="93" t="str">
        <x:f>IF(B533="","",MAX(0,F533-H533))</x:f>
      </x:c>
      <x:c r="J533" s="46"/>
      <x:c r="K533" s="100" t="str">
        <x:f>IF(B533="","",IF(G533="TL",1,IF(G533="USD",KURLAR!$C$9,IF(G533="EUR",KURLAR!$C$10,0))))</x:f>
      </x:c>
      <x:c r="L533" s="68" t="str">
        <x:f>IF(B533="","",I533*K533)</x:f>
      </x:c>
      <x:c r="M533" s="46"/>
      <x:c r="N533" s="52" t="str">
        <x:f>IF(B533="","",IF(OR(M533="Tahsil Edildi",M533="İptal",J533="Riskli"),"Hayır","Evet"))</x:f>
      </x:c>
    </x:row>
    <x:row r="534">
      <x:c r="B534" s="46"/>
      <x:c r="C534" s="46"/>
      <x:c r="D534" s="112"/>
      <x:c r="E534" s="112"/>
      <x:c r="F534" s="92"/>
      <x:c r="G534" s="92"/>
      <x:c r="H534" s="92"/>
      <x:c r="I534" s="93" t="str">
        <x:f>IF(B534="","",MAX(0,F534-H534))</x:f>
      </x:c>
      <x:c r="J534" s="46"/>
      <x:c r="K534" s="100" t="str">
        <x:f>IF(B534="","",IF(G534="TL",1,IF(G534="USD",KURLAR!$C$9,IF(G534="EUR",KURLAR!$C$10,0))))</x:f>
      </x:c>
      <x:c r="L534" s="68" t="str">
        <x:f>IF(B534="","",I534*K534)</x:f>
      </x:c>
      <x:c r="M534" s="46"/>
      <x:c r="N534" s="52" t="str">
        <x:f>IF(B534="","",IF(OR(M534="Tahsil Edildi",M534="İptal",J534="Riskli"),"Hayır","Evet"))</x:f>
      </x:c>
    </x:row>
    <x:row r="535">
      <x:c r="B535" s="46"/>
      <x:c r="C535" s="46"/>
      <x:c r="D535" s="112"/>
      <x:c r="E535" s="112"/>
      <x:c r="F535" s="92"/>
      <x:c r="G535" s="92"/>
      <x:c r="H535" s="92"/>
      <x:c r="I535" s="93" t="str">
        <x:f>IF(B535="","",MAX(0,F535-H535))</x:f>
      </x:c>
      <x:c r="J535" s="46"/>
      <x:c r="K535" s="100" t="str">
        <x:f>IF(B535="","",IF(G535="TL",1,IF(G535="USD",KURLAR!$C$9,IF(G535="EUR",KURLAR!$C$10,0))))</x:f>
      </x:c>
      <x:c r="L535" s="68" t="str">
        <x:f>IF(B535="","",I535*K535)</x:f>
      </x:c>
      <x:c r="M535" s="46"/>
      <x:c r="N535" s="52" t="str">
        <x:f>IF(B535="","",IF(OR(M535="Tahsil Edildi",M535="İptal",J535="Riskli"),"Hayır","Evet"))</x:f>
      </x:c>
    </x:row>
    <x:row r="536">
      <x:c r="B536" s="46"/>
      <x:c r="C536" s="46"/>
      <x:c r="D536" s="112"/>
      <x:c r="E536" s="112"/>
      <x:c r="F536" s="92"/>
      <x:c r="G536" s="92"/>
      <x:c r="H536" s="92"/>
      <x:c r="I536" s="93" t="str">
        <x:f>IF(B536="","",MAX(0,F536-H536))</x:f>
      </x:c>
      <x:c r="J536" s="46"/>
      <x:c r="K536" s="100" t="str">
        <x:f>IF(B536="","",IF(G536="TL",1,IF(G536="USD",KURLAR!$C$9,IF(G536="EUR",KURLAR!$C$10,0))))</x:f>
      </x:c>
      <x:c r="L536" s="68" t="str">
        <x:f>IF(B536="","",I536*K536)</x:f>
      </x:c>
      <x:c r="M536" s="46"/>
      <x:c r="N536" s="52" t="str">
        <x:f>IF(B536="","",IF(OR(M536="Tahsil Edildi",M536="İptal",J536="Riskli"),"Hayır","Evet"))</x:f>
      </x:c>
    </x:row>
    <x:row r="537">
      <x:c r="B537" s="46"/>
      <x:c r="C537" s="46"/>
      <x:c r="D537" s="112"/>
      <x:c r="E537" s="112"/>
      <x:c r="F537" s="92"/>
      <x:c r="G537" s="92"/>
      <x:c r="H537" s="92"/>
      <x:c r="I537" s="93" t="str">
        <x:f>IF(B537="","",MAX(0,F537-H537))</x:f>
      </x:c>
      <x:c r="J537" s="46"/>
      <x:c r="K537" s="100" t="str">
        <x:f>IF(B537="","",IF(G537="TL",1,IF(G537="USD",KURLAR!$C$9,IF(G537="EUR",KURLAR!$C$10,0))))</x:f>
      </x:c>
      <x:c r="L537" s="68" t="str">
        <x:f>IF(B537="","",I537*K537)</x:f>
      </x:c>
      <x:c r="M537" s="46"/>
      <x:c r="N537" s="52" t="str">
        <x:f>IF(B537="","",IF(OR(M537="Tahsil Edildi",M537="İptal",J537="Riskli"),"Hayır","Evet"))</x:f>
      </x:c>
    </x:row>
    <x:row r="538">
      <x:c r="B538" s="46"/>
      <x:c r="C538" s="46"/>
      <x:c r="D538" s="112"/>
      <x:c r="E538" s="112"/>
      <x:c r="F538" s="92"/>
      <x:c r="G538" s="92"/>
      <x:c r="H538" s="92"/>
      <x:c r="I538" s="93" t="str">
        <x:f>IF(B538="","",MAX(0,F538-H538))</x:f>
      </x:c>
      <x:c r="J538" s="46"/>
      <x:c r="K538" s="100" t="str">
        <x:f>IF(B538="","",IF(G538="TL",1,IF(G538="USD",KURLAR!$C$9,IF(G538="EUR",KURLAR!$C$10,0))))</x:f>
      </x:c>
      <x:c r="L538" s="68" t="str">
        <x:f>IF(B538="","",I538*K538)</x:f>
      </x:c>
      <x:c r="M538" s="46"/>
      <x:c r="N538" s="52" t="str">
        <x:f>IF(B538="","",IF(OR(M538="Tahsil Edildi",M538="İptal",J538="Riskli"),"Hayır","Evet"))</x:f>
      </x:c>
    </x:row>
    <x:row r="539">
      <x:c r="B539" s="46"/>
      <x:c r="C539" s="46"/>
      <x:c r="D539" s="112"/>
      <x:c r="E539" s="112"/>
      <x:c r="F539" s="92"/>
      <x:c r="G539" s="92"/>
      <x:c r="H539" s="92"/>
      <x:c r="I539" s="93" t="str">
        <x:f>IF(B539="","",MAX(0,F539-H539))</x:f>
      </x:c>
      <x:c r="J539" s="46"/>
      <x:c r="K539" s="100" t="str">
        <x:f>IF(B539="","",IF(G539="TL",1,IF(G539="USD",KURLAR!$C$9,IF(G539="EUR",KURLAR!$C$10,0))))</x:f>
      </x:c>
      <x:c r="L539" s="68" t="str">
        <x:f>IF(B539="","",I539*K539)</x:f>
      </x:c>
      <x:c r="M539" s="46"/>
      <x:c r="N539" s="52" t="str">
        <x:f>IF(B539="","",IF(OR(M539="Tahsil Edildi",M539="İptal",J539="Riskli"),"Hayır","Evet"))</x:f>
      </x:c>
    </x:row>
    <x:row r="540">
      <x:c r="B540" s="46"/>
      <x:c r="C540" s="46"/>
      <x:c r="D540" s="112"/>
      <x:c r="E540" s="112"/>
      <x:c r="F540" s="92"/>
      <x:c r="G540" s="92"/>
      <x:c r="H540" s="92"/>
      <x:c r="I540" s="93" t="str">
        <x:f>IF(B540="","",MAX(0,F540-H540))</x:f>
      </x:c>
      <x:c r="J540" s="46"/>
      <x:c r="K540" s="100" t="str">
        <x:f>IF(B540="","",IF(G540="TL",1,IF(G540="USD",KURLAR!$C$9,IF(G540="EUR",KURLAR!$C$10,0))))</x:f>
      </x:c>
      <x:c r="L540" s="68" t="str">
        <x:f>IF(B540="","",I540*K540)</x:f>
      </x:c>
      <x:c r="M540" s="46"/>
      <x:c r="N540" s="52" t="str">
        <x:f>IF(B540="","",IF(OR(M540="Tahsil Edildi",M540="İptal",J540="Riskli"),"Hayır","Evet"))</x:f>
      </x:c>
    </x:row>
    <x:row r="541">
      <x:c r="B541" s="46"/>
      <x:c r="C541" s="46"/>
      <x:c r="D541" s="112"/>
      <x:c r="E541" s="112"/>
      <x:c r="F541" s="92"/>
      <x:c r="G541" s="92"/>
      <x:c r="H541" s="92"/>
      <x:c r="I541" s="93" t="str">
        <x:f>IF(B541="","",MAX(0,F541-H541))</x:f>
      </x:c>
      <x:c r="J541" s="46"/>
      <x:c r="K541" s="100" t="str">
        <x:f>IF(B541="","",IF(G541="TL",1,IF(G541="USD",KURLAR!$C$9,IF(G541="EUR",KURLAR!$C$10,0))))</x:f>
      </x:c>
      <x:c r="L541" s="68" t="str">
        <x:f>IF(B541="","",I541*K541)</x:f>
      </x:c>
      <x:c r="M541" s="46"/>
      <x:c r="N541" s="52" t="str">
        <x:f>IF(B541="","",IF(OR(M541="Tahsil Edildi",M541="İptal",J541="Riskli"),"Hayır","Evet"))</x:f>
      </x:c>
    </x:row>
    <x:row r="542">
      <x:c r="B542" s="46"/>
      <x:c r="C542" s="46"/>
      <x:c r="D542" s="112"/>
      <x:c r="E542" s="112"/>
      <x:c r="F542" s="92"/>
      <x:c r="G542" s="92"/>
      <x:c r="H542" s="92"/>
      <x:c r="I542" s="93" t="str">
        <x:f>IF(B542="","",MAX(0,F542-H542))</x:f>
      </x:c>
      <x:c r="J542" s="46"/>
      <x:c r="K542" s="100" t="str">
        <x:f>IF(B542="","",IF(G542="TL",1,IF(G542="USD",KURLAR!$C$9,IF(G542="EUR",KURLAR!$C$10,0))))</x:f>
      </x:c>
      <x:c r="L542" s="68" t="str">
        <x:f>IF(B542="","",I542*K542)</x:f>
      </x:c>
      <x:c r="M542" s="46"/>
      <x:c r="N542" s="52" t="str">
        <x:f>IF(B542="","",IF(OR(M542="Tahsil Edildi",M542="İptal",J542="Riskli"),"Hayır","Evet"))</x:f>
      </x:c>
    </x:row>
    <x:row r="543">
      <x:c r="B543" s="46"/>
      <x:c r="C543" s="46"/>
      <x:c r="D543" s="112"/>
      <x:c r="E543" s="112"/>
      <x:c r="F543" s="92"/>
      <x:c r="G543" s="92"/>
      <x:c r="H543" s="92"/>
      <x:c r="I543" s="93" t="str">
        <x:f>IF(B543="","",MAX(0,F543-H543))</x:f>
      </x:c>
      <x:c r="J543" s="46"/>
      <x:c r="K543" s="100" t="str">
        <x:f>IF(B543="","",IF(G543="TL",1,IF(G543="USD",KURLAR!$C$9,IF(G543="EUR",KURLAR!$C$10,0))))</x:f>
      </x:c>
      <x:c r="L543" s="68" t="str">
        <x:f>IF(B543="","",I543*K543)</x:f>
      </x:c>
      <x:c r="M543" s="46"/>
      <x:c r="N543" s="52" t="str">
        <x:f>IF(B543="","",IF(OR(M543="Tahsil Edildi",M543="İptal",J543="Riskli"),"Hayır","Evet"))</x:f>
      </x:c>
    </x:row>
    <x:row r="544">
      <x:c r="B544" s="46"/>
      <x:c r="C544" s="46"/>
      <x:c r="D544" s="112"/>
      <x:c r="E544" s="112"/>
      <x:c r="F544" s="92"/>
      <x:c r="G544" s="92"/>
      <x:c r="H544" s="92"/>
      <x:c r="I544" s="93" t="str">
        <x:f>IF(B544="","",MAX(0,F544-H544))</x:f>
      </x:c>
      <x:c r="J544" s="46"/>
      <x:c r="K544" s="100" t="str">
        <x:f>IF(B544="","",IF(G544="TL",1,IF(G544="USD",KURLAR!$C$9,IF(G544="EUR",KURLAR!$C$10,0))))</x:f>
      </x:c>
      <x:c r="L544" s="68" t="str">
        <x:f>IF(B544="","",I544*K544)</x:f>
      </x:c>
      <x:c r="M544" s="46"/>
      <x:c r="N544" s="52" t="str">
        <x:f>IF(B544="","",IF(OR(M544="Tahsil Edildi",M544="İptal",J544="Riskli"),"Hayır","Evet"))</x:f>
      </x:c>
    </x:row>
    <x:row r="545">
      <x:c r="B545" s="46"/>
      <x:c r="C545" s="46"/>
      <x:c r="D545" s="112"/>
      <x:c r="E545" s="112"/>
      <x:c r="F545" s="92"/>
      <x:c r="G545" s="92"/>
      <x:c r="H545" s="92"/>
      <x:c r="I545" s="93" t="str">
        <x:f>IF(B545="","",MAX(0,F545-H545))</x:f>
      </x:c>
      <x:c r="J545" s="46"/>
      <x:c r="K545" s="100" t="str">
        <x:f>IF(B545="","",IF(G545="TL",1,IF(G545="USD",KURLAR!$C$9,IF(G545="EUR",KURLAR!$C$10,0))))</x:f>
      </x:c>
      <x:c r="L545" s="68" t="str">
        <x:f>IF(B545="","",I545*K545)</x:f>
      </x:c>
      <x:c r="M545" s="46"/>
      <x:c r="N545" s="52" t="str">
        <x:f>IF(B545="","",IF(OR(M545="Tahsil Edildi",M545="İptal",J545="Riskli"),"Hayır","Evet"))</x:f>
      </x:c>
    </x:row>
    <x:row r="546">
      <x:c r="B546" s="46"/>
      <x:c r="C546" s="46"/>
      <x:c r="D546" s="112"/>
      <x:c r="E546" s="112"/>
      <x:c r="F546" s="92"/>
      <x:c r="G546" s="92"/>
      <x:c r="H546" s="92"/>
      <x:c r="I546" s="93" t="str">
        <x:f>IF(B546="","",MAX(0,F546-H546))</x:f>
      </x:c>
      <x:c r="J546" s="46"/>
      <x:c r="K546" s="100" t="str">
        <x:f>IF(B546="","",IF(G546="TL",1,IF(G546="USD",KURLAR!$C$9,IF(G546="EUR",KURLAR!$C$10,0))))</x:f>
      </x:c>
      <x:c r="L546" s="68" t="str">
        <x:f>IF(B546="","",I546*K546)</x:f>
      </x:c>
      <x:c r="M546" s="46"/>
      <x:c r="N546" s="52" t="str">
        <x:f>IF(B546="","",IF(OR(M546="Tahsil Edildi",M546="İptal",J546="Riskli"),"Hayır","Evet"))</x:f>
      </x:c>
    </x:row>
    <x:row r="547">
      <x:c r="B547" s="46"/>
      <x:c r="C547" s="46"/>
      <x:c r="D547" s="112"/>
      <x:c r="E547" s="112"/>
      <x:c r="F547" s="92"/>
      <x:c r="G547" s="92"/>
      <x:c r="H547" s="92"/>
      <x:c r="I547" s="93" t="str">
        <x:f>IF(B547="","",MAX(0,F547-H547))</x:f>
      </x:c>
      <x:c r="J547" s="46"/>
      <x:c r="K547" s="100" t="str">
        <x:f>IF(B547="","",IF(G547="TL",1,IF(G547="USD",KURLAR!$C$9,IF(G547="EUR",KURLAR!$C$10,0))))</x:f>
      </x:c>
      <x:c r="L547" s="68" t="str">
        <x:f>IF(B547="","",I547*K547)</x:f>
      </x:c>
      <x:c r="M547" s="46"/>
      <x:c r="N547" s="52" t="str">
        <x:f>IF(B547="","",IF(OR(M547="Tahsil Edildi",M547="İptal",J547="Riskli"),"Hayır","Evet"))</x:f>
      </x:c>
    </x:row>
    <x:row r="548">
      <x:c r="B548" s="46"/>
      <x:c r="C548" s="46"/>
      <x:c r="D548" s="112"/>
      <x:c r="E548" s="112"/>
      <x:c r="F548" s="92"/>
      <x:c r="G548" s="92"/>
      <x:c r="H548" s="92"/>
      <x:c r="I548" s="93" t="str">
        <x:f>IF(B548="","",MAX(0,F548-H548))</x:f>
      </x:c>
      <x:c r="J548" s="46"/>
      <x:c r="K548" s="100" t="str">
        <x:f>IF(B548="","",IF(G548="TL",1,IF(G548="USD",KURLAR!$C$9,IF(G548="EUR",KURLAR!$C$10,0))))</x:f>
      </x:c>
      <x:c r="L548" s="68" t="str">
        <x:f>IF(B548="","",I548*K548)</x:f>
      </x:c>
      <x:c r="M548" s="46"/>
      <x:c r="N548" s="52" t="str">
        <x:f>IF(B548="","",IF(OR(M548="Tahsil Edildi",M548="İptal",J548="Riskli"),"Hayır","Evet"))</x:f>
      </x:c>
    </x:row>
    <x:row r="549">
      <x:c r="B549" s="46"/>
      <x:c r="C549" s="46"/>
      <x:c r="D549" s="112"/>
      <x:c r="E549" s="112"/>
      <x:c r="F549" s="92"/>
      <x:c r="G549" s="92"/>
      <x:c r="H549" s="92"/>
      <x:c r="I549" s="93" t="str">
        <x:f>IF(B549="","",MAX(0,F549-H549))</x:f>
      </x:c>
      <x:c r="J549" s="46"/>
      <x:c r="K549" s="100" t="str">
        <x:f>IF(B549="","",IF(G549="TL",1,IF(G549="USD",KURLAR!$C$9,IF(G549="EUR",KURLAR!$C$10,0))))</x:f>
      </x:c>
      <x:c r="L549" s="68" t="str">
        <x:f>IF(B549="","",I549*K549)</x:f>
      </x:c>
      <x:c r="M549" s="46"/>
      <x:c r="N549" s="52" t="str">
        <x:f>IF(B549="","",IF(OR(M549="Tahsil Edildi",M549="İptal",J549="Riskli"),"Hayır","Evet"))</x:f>
      </x:c>
    </x:row>
    <x:row r="550">
      <x:c r="B550" s="46"/>
      <x:c r="C550" s="46"/>
      <x:c r="D550" s="112"/>
      <x:c r="E550" s="112"/>
      <x:c r="F550" s="92"/>
      <x:c r="G550" s="92"/>
      <x:c r="H550" s="92"/>
      <x:c r="I550" s="93" t="str">
        <x:f>IF(B550="","",MAX(0,F550-H550))</x:f>
      </x:c>
      <x:c r="J550" s="46"/>
      <x:c r="K550" s="100" t="str">
        <x:f>IF(B550="","",IF(G550="TL",1,IF(G550="USD",KURLAR!$C$9,IF(G550="EUR",KURLAR!$C$10,0))))</x:f>
      </x:c>
      <x:c r="L550" s="68" t="str">
        <x:f>IF(B550="","",I550*K550)</x:f>
      </x:c>
      <x:c r="M550" s="46"/>
      <x:c r="N550" s="52" t="str">
        <x:f>IF(B550="","",IF(OR(M550="Tahsil Edildi",M550="İptal",J550="Riskli"),"Hayır","Evet"))</x:f>
      </x:c>
    </x:row>
    <x:row r="551">
      <x:c r="B551" s="46"/>
      <x:c r="C551" s="46"/>
      <x:c r="D551" s="112"/>
      <x:c r="E551" s="112"/>
      <x:c r="F551" s="92"/>
      <x:c r="G551" s="92"/>
      <x:c r="H551" s="92"/>
      <x:c r="I551" s="93" t="str">
        <x:f>IF(B551="","",MAX(0,F551-H551))</x:f>
      </x:c>
      <x:c r="J551" s="46"/>
      <x:c r="K551" s="100" t="str">
        <x:f>IF(B551="","",IF(G551="TL",1,IF(G551="USD",KURLAR!$C$9,IF(G551="EUR",KURLAR!$C$10,0))))</x:f>
      </x:c>
      <x:c r="L551" s="68" t="str">
        <x:f>IF(B551="","",I551*K551)</x:f>
      </x:c>
      <x:c r="M551" s="46"/>
      <x:c r="N551" s="52" t="str">
        <x:f>IF(B551="","",IF(OR(M551="Tahsil Edildi",M551="İptal",J551="Riskli"),"Hayır","Evet"))</x:f>
      </x:c>
    </x:row>
    <x:row r="552">
      <x:c r="B552" s="46"/>
      <x:c r="C552" s="46"/>
      <x:c r="D552" s="112"/>
      <x:c r="E552" s="112"/>
      <x:c r="F552" s="92"/>
      <x:c r="G552" s="92"/>
      <x:c r="H552" s="92"/>
      <x:c r="I552" s="93" t="str">
        <x:f>IF(B552="","",MAX(0,F552-H552))</x:f>
      </x:c>
      <x:c r="J552" s="46"/>
      <x:c r="K552" s="100" t="str">
        <x:f>IF(B552="","",IF(G552="TL",1,IF(G552="USD",KURLAR!$C$9,IF(G552="EUR",KURLAR!$C$10,0))))</x:f>
      </x:c>
      <x:c r="L552" s="68" t="str">
        <x:f>IF(B552="","",I552*K552)</x:f>
      </x:c>
      <x:c r="M552" s="46"/>
      <x:c r="N552" s="52" t="str">
        <x:f>IF(B552="","",IF(OR(M552="Tahsil Edildi",M552="İptal",J552="Riskli"),"Hayır","Evet"))</x:f>
      </x:c>
    </x:row>
    <x:row r="553">
      <x:c r="B553" s="46"/>
      <x:c r="C553" s="46"/>
      <x:c r="D553" s="112"/>
      <x:c r="E553" s="112"/>
      <x:c r="F553" s="92"/>
      <x:c r="G553" s="92"/>
      <x:c r="H553" s="92"/>
      <x:c r="I553" s="93" t="str">
        <x:f>IF(B553="","",MAX(0,F553-H553))</x:f>
      </x:c>
      <x:c r="J553" s="46"/>
      <x:c r="K553" s="100" t="str">
        <x:f>IF(B553="","",IF(G553="TL",1,IF(G553="USD",KURLAR!$C$9,IF(G553="EUR",KURLAR!$C$10,0))))</x:f>
      </x:c>
      <x:c r="L553" s="68" t="str">
        <x:f>IF(B553="","",I553*K553)</x:f>
      </x:c>
      <x:c r="M553" s="46"/>
      <x:c r="N553" s="52" t="str">
        <x:f>IF(B553="","",IF(OR(M553="Tahsil Edildi",M553="İptal",J553="Riskli"),"Hayır","Evet"))</x:f>
      </x:c>
    </x:row>
    <x:row r="554">
      <x:c r="B554" s="46"/>
      <x:c r="C554" s="46"/>
      <x:c r="D554" s="112"/>
      <x:c r="E554" s="112"/>
      <x:c r="F554" s="92"/>
      <x:c r="G554" s="92"/>
      <x:c r="H554" s="92"/>
      <x:c r="I554" s="93" t="str">
        <x:f>IF(B554="","",MAX(0,F554-H554))</x:f>
      </x:c>
      <x:c r="J554" s="46"/>
      <x:c r="K554" s="100" t="str">
        <x:f>IF(B554="","",IF(G554="TL",1,IF(G554="USD",KURLAR!$C$9,IF(G554="EUR",KURLAR!$C$10,0))))</x:f>
      </x:c>
      <x:c r="L554" s="68" t="str">
        <x:f>IF(B554="","",I554*K554)</x:f>
      </x:c>
      <x:c r="M554" s="46"/>
      <x:c r="N554" s="52" t="str">
        <x:f>IF(B554="","",IF(OR(M554="Tahsil Edildi",M554="İptal",J554="Riskli"),"Hayır","Evet"))</x:f>
      </x:c>
    </x:row>
    <x:row r="555">
      <x:c r="B555" s="46"/>
      <x:c r="C555" s="46"/>
      <x:c r="D555" s="112"/>
      <x:c r="E555" s="112"/>
      <x:c r="F555" s="92"/>
      <x:c r="G555" s="92"/>
      <x:c r="H555" s="92"/>
      <x:c r="I555" s="93" t="str">
        <x:f>IF(B555="","",MAX(0,F555-H555))</x:f>
      </x:c>
      <x:c r="J555" s="46"/>
      <x:c r="K555" s="100" t="str">
        <x:f>IF(B555="","",IF(G555="TL",1,IF(G555="USD",KURLAR!$C$9,IF(G555="EUR",KURLAR!$C$10,0))))</x:f>
      </x:c>
      <x:c r="L555" s="68" t="str">
        <x:f>IF(B555="","",I555*K555)</x:f>
      </x:c>
      <x:c r="M555" s="46"/>
      <x:c r="N555" s="52" t="str">
        <x:f>IF(B555="","",IF(OR(M555="Tahsil Edildi",M555="İptal",J555="Riskli"),"Hayır","Evet"))</x:f>
      </x:c>
    </x:row>
    <x:row r="556">
      <x:c r="B556" s="46"/>
      <x:c r="C556" s="46"/>
      <x:c r="D556" s="112"/>
      <x:c r="E556" s="112"/>
      <x:c r="F556" s="92"/>
      <x:c r="G556" s="92"/>
      <x:c r="H556" s="92"/>
      <x:c r="I556" s="93" t="str">
        <x:f>IF(B556="","",MAX(0,F556-H556))</x:f>
      </x:c>
      <x:c r="J556" s="46"/>
      <x:c r="K556" s="100" t="str">
        <x:f>IF(B556="","",IF(G556="TL",1,IF(G556="USD",KURLAR!$C$9,IF(G556="EUR",KURLAR!$C$10,0))))</x:f>
      </x:c>
      <x:c r="L556" s="68" t="str">
        <x:f>IF(B556="","",I556*K556)</x:f>
      </x:c>
      <x:c r="M556" s="46"/>
      <x:c r="N556" s="52" t="str">
        <x:f>IF(B556="","",IF(OR(M556="Tahsil Edildi",M556="İptal",J556="Riskli"),"Hayır","Evet"))</x:f>
      </x:c>
    </x:row>
    <x:row r="557">
      <x:c r="B557" s="46"/>
      <x:c r="C557" s="46"/>
      <x:c r="D557" s="112"/>
      <x:c r="E557" s="112"/>
      <x:c r="F557" s="92"/>
      <x:c r="G557" s="92"/>
      <x:c r="H557" s="92"/>
      <x:c r="I557" s="93" t="str">
        <x:f>IF(B557="","",MAX(0,F557-H557))</x:f>
      </x:c>
      <x:c r="J557" s="46"/>
      <x:c r="K557" s="100" t="str">
        <x:f>IF(B557="","",IF(G557="TL",1,IF(G557="USD",KURLAR!$C$9,IF(G557="EUR",KURLAR!$C$10,0))))</x:f>
      </x:c>
      <x:c r="L557" s="68" t="str">
        <x:f>IF(B557="","",I557*K557)</x:f>
      </x:c>
      <x:c r="M557" s="46"/>
      <x:c r="N557" s="52" t="str">
        <x:f>IF(B557="","",IF(OR(M557="Tahsil Edildi",M557="İptal",J557="Riskli"),"Hayır","Evet"))</x:f>
      </x:c>
    </x:row>
    <x:row r="558">
      <x:c r="B558" s="46"/>
      <x:c r="C558" s="46"/>
      <x:c r="D558" s="112"/>
      <x:c r="E558" s="112"/>
      <x:c r="F558" s="92"/>
      <x:c r="G558" s="92"/>
      <x:c r="H558" s="92"/>
      <x:c r="I558" s="93" t="str">
        <x:f>IF(B558="","",MAX(0,F558-H558))</x:f>
      </x:c>
      <x:c r="J558" s="46"/>
      <x:c r="K558" s="100" t="str">
        <x:f>IF(B558="","",IF(G558="TL",1,IF(G558="USD",KURLAR!$C$9,IF(G558="EUR",KURLAR!$C$10,0))))</x:f>
      </x:c>
      <x:c r="L558" s="68" t="str">
        <x:f>IF(B558="","",I558*K558)</x:f>
      </x:c>
      <x:c r="M558" s="46"/>
      <x:c r="N558" s="52" t="str">
        <x:f>IF(B558="","",IF(OR(M558="Tahsil Edildi",M558="İptal",J558="Riskli"),"Hayır","Evet"))</x:f>
      </x:c>
    </x:row>
    <x:row r="559">
      <x:c r="B559" s="46"/>
      <x:c r="C559" s="46"/>
      <x:c r="D559" s="112"/>
      <x:c r="E559" s="112"/>
      <x:c r="F559" s="92"/>
      <x:c r="G559" s="92"/>
      <x:c r="H559" s="92"/>
      <x:c r="I559" s="93" t="str">
        <x:f>IF(B559="","",MAX(0,F559-H559))</x:f>
      </x:c>
      <x:c r="J559" s="46"/>
      <x:c r="K559" s="100" t="str">
        <x:f>IF(B559="","",IF(G559="TL",1,IF(G559="USD",KURLAR!$C$9,IF(G559="EUR",KURLAR!$C$10,0))))</x:f>
      </x:c>
      <x:c r="L559" s="68" t="str">
        <x:f>IF(B559="","",I559*K559)</x:f>
      </x:c>
      <x:c r="M559" s="46"/>
      <x:c r="N559" s="52" t="str">
        <x:f>IF(B559="","",IF(OR(M559="Tahsil Edildi",M559="İptal",J559="Riskli"),"Hayır","Evet"))</x:f>
      </x:c>
    </x:row>
    <x:row r="560">
      <x:c r="B560" s="46"/>
      <x:c r="C560" s="46"/>
      <x:c r="D560" s="112"/>
      <x:c r="E560" s="112"/>
      <x:c r="F560" s="92"/>
      <x:c r="G560" s="92"/>
      <x:c r="H560" s="92"/>
      <x:c r="I560" s="93" t="str">
        <x:f>IF(B560="","",MAX(0,F560-H560))</x:f>
      </x:c>
      <x:c r="J560" s="46"/>
      <x:c r="K560" s="100" t="str">
        <x:f>IF(B560="","",IF(G560="TL",1,IF(G560="USD",KURLAR!$C$9,IF(G560="EUR",KURLAR!$C$10,0))))</x:f>
      </x:c>
      <x:c r="L560" s="68" t="str">
        <x:f>IF(B560="","",I560*K560)</x:f>
      </x:c>
      <x:c r="M560" s="46"/>
      <x:c r="N560" s="52" t="str">
        <x:f>IF(B560="","",IF(OR(M560="Tahsil Edildi",M560="İptal",J560="Riskli"),"Hayır","Evet"))</x:f>
      </x:c>
    </x:row>
    <x:row r="561">
      <x:c r="B561" s="46"/>
      <x:c r="C561" s="46"/>
      <x:c r="D561" s="112"/>
      <x:c r="E561" s="112"/>
      <x:c r="F561" s="92"/>
      <x:c r="G561" s="92"/>
      <x:c r="H561" s="92"/>
      <x:c r="I561" s="93" t="str">
        <x:f>IF(B561="","",MAX(0,F561-H561))</x:f>
      </x:c>
      <x:c r="J561" s="46"/>
      <x:c r="K561" s="100" t="str">
        <x:f>IF(B561="","",IF(G561="TL",1,IF(G561="USD",KURLAR!$C$9,IF(G561="EUR",KURLAR!$C$10,0))))</x:f>
      </x:c>
      <x:c r="L561" s="68" t="str">
        <x:f>IF(B561="","",I561*K561)</x:f>
      </x:c>
      <x:c r="M561" s="46"/>
      <x:c r="N561" s="52" t="str">
        <x:f>IF(B561="","",IF(OR(M561="Tahsil Edildi",M561="İptal",J561="Riskli"),"Hayır","Evet"))</x:f>
      </x:c>
    </x:row>
    <x:row r="562">
      <x:c r="B562" s="46"/>
      <x:c r="C562" s="46"/>
      <x:c r="D562" s="112"/>
      <x:c r="E562" s="112"/>
      <x:c r="F562" s="92"/>
      <x:c r="G562" s="92"/>
      <x:c r="H562" s="92"/>
      <x:c r="I562" s="93" t="str">
        <x:f>IF(B562="","",MAX(0,F562-H562))</x:f>
      </x:c>
      <x:c r="J562" s="46"/>
      <x:c r="K562" s="100" t="str">
        <x:f>IF(B562="","",IF(G562="TL",1,IF(G562="USD",KURLAR!$C$9,IF(G562="EUR",KURLAR!$C$10,0))))</x:f>
      </x:c>
      <x:c r="L562" s="68" t="str">
        <x:f>IF(B562="","",I562*K562)</x:f>
      </x:c>
      <x:c r="M562" s="46"/>
      <x:c r="N562" s="52" t="str">
        <x:f>IF(B562="","",IF(OR(M562="Tahsil Edildi",M562="İptal",J562="Riskli"),"Hayır","Evet"))</x:f>
      </x:c>
    </x:row>
    <x:row r="563">
      <x:c r="B563" s="46"/>
      <x:c r="C563" s="46"/>
      <x:c r="D563" s="112"/>
      <x:c r="E563" s="112"/>
      <x:c r="F563" s="92"/>
      <x:c r="G563" s="92"/>
      <x:c r="H563" s="92"/>
      <x:c r="I563" s="93" t="str">
        <x:f>IF(B563="","",MAX(0,F563-H563))</x:f>
      </x:c>
      <x:c r="J563" s="46"/>
      <x:c r="K563" s="100" t="str">
        <x:f>IF(B563="","",IF(G563="TL",1,IF(G563="USD",KURLAR!$C$9,IF(G563="EUR",KURLAR!$C$10,0))))</x:f>
      </x:c>
      <x:c r="L563" s="68" t="str">
        <x:f>IF(B563="","",I563*K563)</x:f>
      </x:c>
      <x:c r="M563" s="46"/>
      <x:c r="N563" s="52" t="str">
        <x:f>IF(B563="","",IF(OR(M563="Tahsil Edildi",M563="İptal",J563="Riskli"),"Hayır","Evet"))</x:f>
      </x:c>
    </x:row>
    <x:row r="564">
      <x:c r="B564" s="46"/>
      <x:c r="C564" s="46"/>
      <x:c r="D564" s="112"/>
      <x:c r="E564" s="112"/>
      <x:c r="F564" s="92"/>
      <x:c r="G564" s="92"/>
      <x:c r="H564" s="92"/>
      <x:c r="I564" s="93" t="str">
        <x:f>IF(B564="","",MAX(0,F564-H564))</x:f>
      </x:c>
      <x:c r="J564" s="46"/>
      <x:c r="K564" s="100" t="str">
        <x:f>IF(B564="","",IF(G564="TL",1,IF(G564="USD",KURLAR!$C$9,IF(G564="EUR",KURLAR!$C$10,0))))</x:f>
      </x:c>
      <x:c r="L564" s="68" t="str">
        <x:f>IF(B564="","",I564*K564)</x:f>
      </x:c>
      <x:c r="M564" s="46"/>
      <x:c r="N564" s="52" t="str">
        <x:f>IF(B564="","",IF(OR(M564="Tahsil Edildi",M564="İptal",J564="Riskli"),"Hayır","Evet"))</x:f>
      </x:c>
    </x:row>
    <x:row r="565">
      <x:c r="B565" s="46"/>
      <x:c r="C565" s="46"/>
      <x:c r="D565" s="112"/>
      <x:c r="E565" s="112"/>
      <x:c r="F565" s="92"/>
      <x:c r="G565" s="92"/>
      <x:c r="H565" s="92"/>
      <x:c r="I565" s="93" t="str">
        <x:f>IF(B565="","",MAX(0,F565-H565))</x:f>
      </x:c>
      <x:c r="J565" s="46"/>
      <x:c r="K565" s="100" t="str">
        <x:f>IF(B565="","",IF(G565="TL",1,IF(G565="USD",KURLAR!$C$9,IF(G565="EUR",KURLAR!$C$10,0))))</x:f>
      </x:c>
      <x:c r="L565" s="68" t="str">
        <x:f>IF(B565="","",I565*K565)</x:f>
      </x:c>
      <x:c r="M565" s="46"/>
      <x:c r="N565" s="52" t="str">
        <x:f>IF(B565="","",IF(OR(M565="Tahsil Edildi",M565="İptal",J565="Riskli"),"Hayır","Evet"))</x:f>
      </x:c>
    </x:row>
    <x:row r="566">
      <x:c r="B566" s="46"/>
      <x:c r="C566" s="46"/>
      <x:c r="D566" s="112"/>
      <x:c r="E566" s="112"/>
      <x:c r="F566" s="92"/>
      <x:c r="G566" s="92"/>
      <x:c r="H566" s="92"/>
      <x:c r="I566" s="93" t="str">
        <x:f>IF(B566="","",MAX(0,F566-H566))</x:f>
      </x:c>
      <x:c r="J566" s="46"/>
      <x:c r="K566" s="100" t="str">
        <x:f>IF(B566="","",IF(G566="TL",1,IF(G566="USD",KURLAR!$C$9,IF(G566="EUR",KURLAR!$C$10,0))))</x:f>
      </x:c>
      <x:c r="L566" s="68" t="str">
        <x:f>IF(B566="","",I566*K566)</x:f>
      </x:c>
      <x:c r="M566" s="46"/>
      <x:c r="N566" s="52" t="str">
        <x:f>IF(B566="","",IF(OR(M566="Tahsil Edildi",M566="İptal",J566="Riskli"),"Hayır","Evet"))</x:f>
      </x:c>
    </x:row>
    <x:row r="567">
      <x:c r="B567" s="46"/>
      <x:c r="C567" s="46"/>
      <x:c r="D567" s="112"/>
      <x:c r="E567" s="112"/>
      <x:c r="F567" s="92"/>
      <x:c r="G567" s="92"/>
      <x:c r="H567" s="92"/>
      <x:c r="I567" s="93" t="str">
        <x:f>IF(B567="","",MAX(0,F567-H567))</x:f>
      </x:c>
      <x:c r="J567" s="46"/>
      <x:c r="K567" s="100" t="str">
        <x:f>IF(B567="","",IF(G567="TL",1,IF(G567="USD",KURLAR!$C$9,IF(G567="EUR",KURLAR!$C$10,0))))</x:f>
      </x:c>
      <x:c r="L567" s="68" t="str">
        <x:f>IF(B567="","",I567*K567)</x:f>
      </x:c>
      <x:c r="M567" s="46"/>
      <x:c r="N567" s="52" t="str">
        <x:f>IF(B567="","",IF(OR(M567="Tahsil Edildi",M567="İptal",J567="Riskli"),"Hayır","Evet"))</x:f>
      </x:c>
    </x:row>
    <x:row r="568">
      <x:c r="B568" s="46"/>
      <x:c r="C568" s="46"/>
      <x:c r="D568" s="112"/>
      <x:c r="E568" s="112"/>
      <x:c r="F568" s="92"/>
      <x:c r="G568" s="92"/>
      <x:c r="H568" s="92"/>
      <x:c r="I568" s="93" t="str">
        <x:f>IF(B568="","",MAX(0,F568-H568))</x:f>
      </x:c>
      <x:c r="J568" s="46"/>
      <x:c r="K568" s="100" t="str">
        <x:f>IF(B568="","",IF(G568="TL",1,IF(G568="USD",KURLAR!$C$9,IF(G568="EUR",KURLAR!$C$10,0))))</x:f>
      </x:c>
      <x:c r="L568" s="68" t="str">
        <x:f>IF(B568="","",I568*K568)</x:f>
      </x:c>
      <x:c r="M568" s="46"/>
      <x:c r="N568" s="52" t="str">
        <x:f>IF(B568="","",IF(OR(M568="Tahsil Edildi",M568="İptal",J568="Riskli"),"Hayır","Evet"))</x:f>
      </x:c>
    </x:row>
    <x:row r="569">
      <x:c r="B569" s="46"/>
      <x:c r="C569" s="46"/>
      <x:c r="D569" s="112"/>
      <x:c r="E569" s="112"/>
      <x:c r="F569" s="92"/>
      <x:c r="G569" s="92"/>
      <x:c r="H569" s="92"/>
      <x:c r="I569" s="93" t="str">
        <x:f>IF(B569="","",MAX(0,F569-H569))</x:f>
      </x:c>
      <x:c r="J569" s="46"/>
      <x:c r="K569" s="100" t="str">
        <x:f>IF(B569="","",IF(G569="TL",1,IF(G569="USD",KURLAR!$C$9,IF(G569="EUR",KURLAR!$C$10,0))))</x:f>
      </x:c>
      <x:c r="L569" s="68" t="str">
        <x:f>IF(B569="","",I569*K569)</x:f>
      </x:c>
      <x:c r="M569" s="46"/>
      <x:c r="N569" s="52" t="str">
        <x:f>IF(B569="","",IF(OR(M569="Tahsil Edildi",M569="İptal",J569="Riskli"),"Hayır","Evet"))</x:f>
      </x:c>
    </x:row>
    <x:row r="570">
      <x:c r="B570" s="46"/>
      <x:c r="C570" s="46"/>
      <x:c r="D570" s="112"/>
      <x:c r="E570" s="112"/>
      <x:c r="F570" s="92"/>
      <x:c r="G570" s="92"/>
      <x:c r="H570" s="92"/>
      <x:c r="I570" s="93" t="str">
        <x:f>IF(B570="","",MAX(0,F570-H570))</x:f>
      </x:c>
      <x:c r="J570" s="46"/>
      <x:c r="K570" s="100" t="str">
        <x:f>IF(B570="","",IF(G570="TL",1,IF(G570="USD",KURLAR!$C$9,IF(G570="EUR",KURLAR!$C$10,0))))</x:f>
      </x:c>
      <x:c r="L570" s="68" t="str">
        <x:f>IF(B570="","",I570*K570)</x:f>
      </x:c>
      <x:c r="M570" s="46"/>
      <x:c r="N570" s="52" t="str">
        <x:f>IF(B570="","",IF(OR(M570="Tahsil Edildi",M570="İptal",J570="Riskli"),"Hayır","Evet"))</x:f>
      </x:c>
    </x:row>
    <x:row r="571">
      <x:c r="B571" s="46"/>
      <x:c r="C571" s="46"/>
      <x:c r="D571" s="112"/>
      <x:c r="E571" s="112"/>
      <x:c r="F571" s="92"/>
      <x:c r="G571" s="92"/>
      <x:c r="H571" s="92"/>
      <x:c r="I571" s="93" t="str">
        <x:f>IF(B571="","",MAX(0,F571-H571))</x:f>
      </x:c>
      <x:c r="J571" s="46"/>
      <x:c r="K571" s="100" t="str">
        <x:f>IF(B571="","",IF(G571="TL",1,IF(G571="USD",KURLAR!$C$9,IF(G571="EUR",KURLAR!$C$10,0))))</x:f>
      </x:c>
      <x:c r="L571" s="68" t="str">
        <x:f>IF(B571="","",I571*K571)</x:f>
      </x:c>
      <x:c r="M571" s="46"/>
      <x:c r="N571" s="52" t="str">
        <x:f>IF(B571="","",IF(OR(M571="Tahsil Edildi",M571="İptal",J571="Riskli"),"Hayır","Evet"))</x:f>
      </x:c>
    </x:row>
    <x:row r="572">
      <x:c r="B572" s="46"/>
      <x:c r="C572" s="46"/>
      <x:c r="D572" s="112"/>
      <x:c r="E572" s="112"/>
      <x:c r="F572" s="92"/>
      <x:c r="G572" s="92"/>
      <x:c r="H572" s="92"/>
      <x:c r="I572" s="93" t="str">
        <x:f>IF(B572="","",MAX(0,F572-H572))</x:f>
      </x:c>
      <x:c r="J572" s="46"/>
      <x:c r="K572" s="100" t="str">
        <x:f>IF(B572="","",IF(G572="TL",1,IF(G572="USD",KURLAR!$C$9,IF(G572="EUR",KURLAR!$C$10,0))))</x:f>
      </x:c>
      <x:c r="L572" s="68" t="str">
        <x:f>IF(B572="","",I572*K572)</x:f>
      </x:c>
      <x:c r="M572" s="46"/>
      <x:c r="N572" s="52" t="str">
        <x:f>IF(B572="","",IF(OR(M572="Tahsil Edildi",M572="İptal",J572="Riskli"),"Hayır","Evet"))</x:f>
      </x:c>
    </x:row>
    <x:row r="573">
      <x:c r="B573" s="46"/>
      <x:c r="C573" s="46"/>
      <x:c r="D573" s="112"/>
      <x:c r="E573" s="112"/>
      <x:c r="F573" s="92"/>
      <x:c r="G573" s="92"/>
      <x:c r="H573" s="92"/>
      <x:c r="I573" s="93" t="str">
        <x:f>IF(B573="","",MAX(0,F573-H573))</x:f>
      </x:c>
      <x:c r="J573" s="46"/>
      <x:c r="K573" s="100" t="str">
        <x:f>IF(B573="","",IF(G573="TL",1,IF(G573="USD",KURLAR!$C$9,IF(G573="EUR",KURLAR!$C$10,0))))</x:f>
      </x:c>
      <x:c r="L573" s="68" t="str">
        <x:f>IF(B573="","",I573*K573)</x:f>
      </x:c>
      <x:c r="M573" s="46"/>
      <x:c r="N573" s="52" t="str">
        <x:f>IF(B573="","",IF(OR(M573="Tahsil Edildi",M573="İptal",J573="Riskli"),"Hayır","Evet"))</x:f>
      </x:c>
    </x:row>
    <x:row r="574">
      <x:c r="B574" s="46"/>
      <x:c r="C574" s="46"/>
      <x:c r="D574" s="112"/>
      <x:c r="E574" s="112"/>
      <x:c r="F574" s="92"/>
      <x:c r="G574" s="92"/>
      <x:c r="H574" s="92"/>
      <x:c r="I574" s="93" t="str">
        <x:f>IF(B574="","",MAX(0,F574-H574))</x:f>
      </x:c>
      <x:c r="J574" s="46"/>
      <x:c r="K574" s="100" t="str">
        <x:f>IF(B574="","",IF(G574="TL",1,IF(G574="USD",KURLAR!$C$9,IF(G574="EUR",KURLAR!$C$10,0))))</x:f>
      </x:c>
      <x:c r="L574" s="68" t="str">
        <x:f>IF(B574="","",I574*K574)</x:f>
      </x:c>
      <x:c r="M574" s="46"/>
      <x:c r="N574" s="52" t="str">
        <x:f>IF(B574="","",IF(OR(M574="Tahsil Edildi",M574="İptal",J574="Riskli"),"Hayır","Evet"))</x:f>
      </x:c>
    </x:row>
    <x:row r="575">
      <x:c r="B575" s="46"/>
      <x:c r="C575" s="46"/>
      <x:c r="D575" s="112"/>
      <x:c r="E575" s="112"/>
      <x:c r="F575" s="92"/>
      <x:c r="G575" s="92"/>
      <x:c r="H575" s="92"/>
      <x:c r="I575" s="93" t="str">
        <x:f>IF(B575="","",MAX(0,F575-H575))</x:f>
      </x:c>
      <x:c r="J575" s="46"/>
      <x:c r="K575" s="100" t="str">
        <x:f>IF(B575="","",IF(G575="TL",1,IF(G575="USD",KURLAR!$C$9,IF(G575="EUR",KURLAR!$C$10,0))))</x:f>
      </x:c>
      <x:c r="L575" s="68" t="str">
        <x:f>IF(B575="","",I575*K575)</x:f>
      </x:c>
      <x:c r="M575" s="46"/>
      <x:c r="N575" s="52" t="str">
        <x:f>IF(B575="","",IF(OR(M575="Tahsil Edildi",M575="İptal",J575="Riskli"),"Hayır","Evet"))</x:f>
      </x:c>
    </x:row>
    <x:row r="576">
      <x:c r="B576" s="46"/>
      <x:c r="C576" s="46"/>
      <x:c r="D576" s="112"/>
      <x:c r="E576" s="112"/>
      <x:c r="F576" s="92"/>
      <x:c r="G576" s="92"/>
      <x:c r="H576" s="92"/>
      <x:c r="I576" s="93" t="str">
        <x:f>IF(B576="","",MAX(0,F576-H576))</x:f>
      </x:c>
      <x:c r="J576" s="46"/>
      <x:c r="K576" s="100" t="str">
        <x:f>IF(B576="","",IF(G576="TL",1,IF(G576="USD",KURLAR!$C$9,IF(G576="EUR",KURLAR!$C$10,0))))</x:f>
      </x:c>
      <x:c r="L576" s="68" t="str">
        <x:f>IF(B576="","",I576*K576)</x:f>
      </x:c>
      <x:c r="M576" s="46"/>
      <x:c r="N576" s="52" t="str">
        <x:f>IF(B576="","",IF(OR(M576="Tahsil Edildi",M576="İptal",J576="Riskli"),"Hayır","Evet"))</x:f>
      </x:c>
    </x:row>
    <x:row r="577">
      <x:c r="B577" s="46"/>
      <x:c r="C577" s="46"/>
      <x:c r="D577" s="112"/>
      <x:c r="E577" s="112"/>
      <x:c r="F577" s="92"/>
      <x:c r="G577" s="92"/>
      <x:c r="H577" s="92"/>
      <x:c r="I577" s="93" t="str">
        <x:f>IF(B577="","",MAX(0,F577-H577))</x:f>
      </x:c>
      <x:c r="J577" s="46"/>
      <x:c r="K577" s="100" t="str">
        <x:f>IF(B577="","",IF(G577="TL",1,IF(G577="USD",KURLAR!$C$9,IF(G577="EUR",KURLAR!$C$10,0))))</x:f>
      </x:c>
      <x:c r="L577" s="68" t="str">
        <x:f>IF(B577="","",I577*K577)</x:f>
      </x:c>
      <x:c r="M577" s="46"/>
      <x:c r="N577" s="52" t="str">
        <x:f>IF(B577="","",IF(OR(M577="Tahsil Edildi",M577="İptal",J577="Riskli"),"Hayır","Evet"))</x:f>
      </x:c>
    </x:row>
    <x:row r="578">
      <x:c r="B578" s="46"/>
      <x:c r="C578" s="46"/>
      <x:c r="D578" s="112"/>
      <x:c r="E578" s="112"/>
      <x:c r="F578" s="92"/>
      <x:c r="G578" s="92"/>
      <x:c r="H578" s="92"/>
      <x:c r="I578" s="93" t="str">
        <x:f>IF(B578="","",MAX(0,F578-H578))</x:f>
      </x:c>
      <x:c r="J578" s="46"/>
      <x:c r="K578" s="100" t="str">
        <x:f>IF(B578="","",IF(G578="TL",1,IF(G578="USD",KURLAR!$C$9,IF(G578="EUR",KURLAR!$C$10,0))))</x:f>
      </x:c>
      <x:c r="L578" s="68" t="str">
        <x:f>IF(B578="","",I578*K578)</x:f>
      </x:c>
      <x:c r="M578" s="46"/>
      <x:c r="N578" s="52" t="str">
        <x:f>IF(B578="","",IF(OR(M578="Tahsil Edildi",M578="İptal",J578="Riskli"),"Hayır","Evet"))</x:f>
      </x:c>
    </x:row>
    <x:row r="579">
      <x:c r="B579" s="46"/>
      <x:c r="C579" s="46"/>
      <x:c r="D579" s="112"/>
      <x:c r="E579" s="112"/>
      <x:c r="F579" s="92"/>
      <x:c r="G579" s="92"/>
      <x:c r="H579" s="92"/>
      <x:c r="I579" s="93" t="str">
        <x:f>IF(B579="","",MAX(0,F579-H579))</x:f>
      </x:c>
      <x:c r="J579" s="46"/>
      <x:c r="K579" s="100" t="str">
        <x:f>IF(B579="","",IF(G579="TL",1,IF(G579="USD",KURLAR!$C$9,IF(G579="EUR",KURLAR!$C$10,0))))</x:f>
      </x:c>
      <x:c r="L579" s="68" t="str">
        <x:f>IF(B579="","",I579*K579)</x:f>
      </x:c>
      <x:c r="M579" s="46"/>
      <x:c r="N579" s="52" t="str">
        <x:f>IF(B579="","",IF(OR(M579="Tahsil Edildi",M579="İptal",J579="Riskli"),"Hayır","Evet"))</x:f>
      </x:c>
    </x:row>
    <x:row r="580">
      <x:c r="B580" s="46"/>
      <x:c r="C580" s="46"/>
      <x:c r="D580" s="112"/>
      <x:c r="E580" s="112"/>
      <x:c r="F580" s="92"/>
      <x:c r="G580" s="92"/>
      <x:c r="H580" s="92"/>
      <x:c r="I580" s="93" t="str">
        <x:f>IF(B580="","",MAX(0,F580-H580))</x:f>
      </x:c>
      <x:c r="J580" s="46"/>
      <x:c r="K580" s="100" t="str">
        <x:f>IF(B580="","",IF(G580="TL",1,IF(G580="USD",KURLAR!$C$9,IF(G580="EUR",KURLAR!$C$10,0))))</x:f>
      </x:c>
      <x:c r="L580" s="68" t="str">
        <x:f>IF(B580="","",I580*K580)</x:f>
      </x:c>
      <x:c r="M580" s="46"/>
      <x:c r="N580" s="52" t="str">
        <x:f>IF(B580="","",IF(OR(M580="Tahsil Edildi",M580="İptal",J580="Riskli"),"Hayır","Evet"))</x:f>
      </x:c>
    </x:row>
    <x:row r="581">
      <x:c r="B581" s="46"/>
      <x:c r="C581" s="46"/>
      <x:c r="D581" s="112"/>
      <x:c r="E581" s="112"/>
      <x:c r="F581" s="92"/>
      <x:c r="G581" s="92"/>
      <x:c r="H581" s="92"/>
      <x:c r="I581" s="93" t="str">
        <x:f>IF(B581="","",MAX(0,F581-H581))</x:f>
      </x:c>
      <x:c r="J581" s="46"/>
      <x:c r="K581" s="100" t="str">
        <x:f>IF(B581="","",IF(G581="TL",1,IF(G581="USD",KURLAR!$C$9,IF(G581="EUR",KURLAR!$C$10,0))))</x:f>
      </x:c>
      <x:c r="L581" s="68" t="str">
        <x:f>IF(B581="","",I581*K581)</x:f>
      </x:c>
      <x:c r="M581" s="46"/>
      <x:c r="N581" s="52" t="str">
        <x:f>IF(B581="","",IF(OR(M581="Tahsil Edildi",M581="İptal",J581="Riskli"),"Hayır","Evet"))</x:f>
      </x:c>
    </x:row>
    <x:row r="582">
      <x:c r="B582" s="46"/>
      <x:c r="C582" s="46"/>
      <x:c r="D582" s="112"/>
      <x:c r="E582" s="112"/>
      <x:c r="F582" s="92"/>
      <x:c r="G582" s="92"/>
      <x:c r="H582" s="92"/>
      <x:c r="I582" s="93" t="str">
        <x:f>IF(B582="","",MAX(0,F582-H582))</x:f>
      </x:c>
      <x:c r="J582" s="46"/>
      <x:c r="K582" s="100" t="str">
        <x:f>IF(B582="","",IF(G582="TL",1,IF(G582="USD",KURLAR!$C$9,IF(G582="EUR",KURLAR!$C$10,0))))</x:f>
      </x:c>
      <x:c r="L582" s="68" t="str">
        <x:f>IF(B582="","",I582*K582)</x:f>
      </x:c>
      <x:c r="M582" s="46"/>
      <x:c r="N582" s="52" t="str">
        <x:f>IF(B582="","",IF(OR(M582="Tahsil Edildi",M582="İptal",J582="Riskli"),"Hayır","Evet"))</x:f>
      </x:c>
    </x:row>
    <x:row r="583">
      <x:c r="B583" s="46"/>
      <x:c r="C583" s="46"/>
      <x:c r="D583" s="112"/>
      <x:c r="E583" s="112"/>
      <x:c r="F583" s="92"/>
      <x:c r="G583" s="92"/>
      <x:c r="H583" s="92"/>
      <x:c r="I583" s="93" t="str">
        <x:f>IF(B583="","",MAX(0,F583-H583))</x:f>
      </x:c>
      <x:c r="J583" s="46"/>
      <x:c r="K583" s="100" t="str">
        <x:f>IF(B583="","",IF(G583="TL",1,IF(G583="USD",KURLAR!$C$9,IF(G583="EUR",KURLAR!$C$10,0))))</x:f>
      </x:c>
      <x:c r="L583" s="68" t="str">
        <x:f>IF(B583="","",I583*K583)</x:f>
      </x:c>
      <x:c r="M583" s="46"/>
      <x:c r="N583" s="52" t="str">
        <x:f>IF(B583="","",IF(OR(M583="Tahsil Edildi",M583="İptal",J583="Riskli"),"Hayır","Evet"))</x:f>
      </x:c>
    </x:row>
    <x:row r="584">
      <x:c r="B584" s="46"/>
      <x:c r="C584" s="46"/>
      <x:c r="D584" s="112"/>
      <x:c r="E584" s="112"/>
      <x:c r="F584" s="92"/>
      <x:c r="G584" s="92"/>
      <x:c r="H584" s="92"/>
      <x:c r="I584" s="93" t="str">
        <x:f>IF(B584="","",MAX(0,F584-H584))</x:f>
      </x:c>
      <x:c r="J584" s="46"/>
      <x:c r="K584" s="100" t="str">
        <x:f>IF(B584="","",IF(G584="TL",1,IF(G584="USD",KURLAR!$C$9,IF(G584="EUR",KURLAR!$C$10,0))))</x:f>
      </x:c>
      <x:c r="L584" s="68" t="str">
        <x:f>IF(B584="","",I584*K584)</x:f>
      </x:c>
      <x:c r="M584" s="46"/>
      <x:c r="N584" s="52" t="str">
        <x:f>IF(B584="","",IF(OR(M584="Tahsil Edildi",M584="İptal",J584="Riskli"),"Hayır","Evet"))</x:f>
      </x:c>
    </x:row>
    <x:row r="585">
      <x:c r="B585" s="46"/>
      <x:c r="C585" s="46"/>
      <x:c r="D585" s="112"/>
      <x:c r="E585" s="112"/>
      <x:c r="F585" s="92"/>
      <x:c r="G585" s="92"/>
      <x:c r="H585" s="92"/>
      <x:c r="I585" s="93" t="str">
        <x:f>IF(B585="","",MAX(0,F585-H585))</x:f>
      </x:c>
      <x:c r="J585" s="46"/>
      <x:c r="K585" s="100" t="str">
        <x:f>IF(B585="","",IF(G585="TL",1,IF(G585="USD",KURLAR!$C$9,IF(G585="EUR",KURLAR!$C$10,0))))</x:f>
      </x:c>
      <x:c r="L585" s="68" t="str">
        <x:f>IF(B585="","",I585*K585)</x:f>
      </x:c>
      <x:c r="M585" s="46"/>
      <x:c r="N585" s="52" t="str">
        <x:f>IF(B585="","",IF(OR(M585="Tahsil Edildi",M585="İptal",J585="Riskli"),"Hayır","Evet"))</x:f>
      </x:c>
    </x:row>
    <x:row r="586">
      <x:c r="B586" s="46"/>
      <x:c r="C586" s="46"/>
      <x:c r="D586" s="112"/>
      <x:c r="E586" s="112"/>
      <x:c r="F586" s="92"/>
      <x:c r="G586" s="92"/>
      <x:c r="H586" s="92"/>
      <x:c r="I586" s="93" t="str">
        <x:f>IF(B586="","",MAX(0,F586-H586))</x:f>
      </x:c>
      <x:c r="J586" s="46"/>
      <x:c r="K586" s="100" t="str">
        <x:f>IF(B586="","",IF(G586="TL",1,IF(G586="USD",KURLAR!$C$9,IF(G586="EUR",KURLAR!$C$10,0))))</x:f>
      </x:c>
      <x:c r="L586" s="68" t="str">
        <x:f>IF(B586="","",I586*K586)</x:f>
      </x:c>
      <x:c r="M586" s="46"/>
      <x:c r="N586" s="52" t="str">
        <x:f>IF(B586="","",IF(OR(M586="Tahsil Edildi",M586="İptal",J586="Riskli"),"Hayır","Evet"))</x:f>
      </x:c>
    </x:row>
    <x:row r="587">
      <x:c r="B587" s="46"/>
      <x:c r="C587" s="46"/>
      <x:c r="D587" s="112"/>
      <x:c r="E587" s="112"/>
      <x:c r="F587" s="92"/>
      <x:c r="G587" s="92"/>
      <x:c r="H587" s="92"/>
      <x:c r="I587" s="93" t="str">
        <x:f>IF(B587="","",MAX(0,F587-H587))</x:f>
      </x:c>
      <x:c r="J587" s="46"/>
      <x:c r="K587" s="100" t="str">
        <x:f>IF(B587="","",IF(G587="TL",1,IF(G587="USD",KURLAR!$C$9,IF(G587="EUR",KURLAR!$C$10,0))))</x:f>
      </x:c>
      <x:c r="L587" s="68" t="str">
        <x:f>IF(B587="","",I587*K587)</x:f>
      </x:c>
      <x:c r="M587" s="46"/>
      <x:c r="N587" s="52" t="str">
        <x:f>IF(B587="","",IF(OR(M587="Tahsil Edildi",M587="İptal",J587="Riskli"),"Hayır","Evet"))</x:f>
      </x:c>
    </x:row>
    <x:row r="588">
      <x:c r="B588" s="46"/>
      <x:c r="C588" s="46"/>
      <x:c r="D588" s="112"/>
      <x:c r="E588" s="112"/>
      <x:c r="F588" s="92"/>
      <x:c r="G588" s="92"/>
      <x:c r="H588" s="92"/>
      <x:c r="I588" s="93" t="str">
        <x:f>IF(B588="","",MAX(0,F588-H588))</x:f>
      </x:c>
      <x:c r="J588" s="46"/>
      <x:c r="K588" s="100" t="str">
        <x:f>IF(B588="","",IF(G588="TL",1,IF(G588="USD",KURLAR!$C$9,IF(G588="EUR",KURLAR!$C$10,0))))</x:f>
      </x:c>
      <x:c r="L588" s="68" t="str">
        <x:f>IF(B588="","",I588*K588)</x:f>
      </x:c>
      <x:c r="M588" s="46"/>
      <x:c r="N588" s="52" t="str">
        <x:f>IF(B588="","",IF(OR(M588="Tahsil Edildi",M588="İptal",J588="Riskli"),"Hayır","Evet"))</x:f>
      </x:c>
    </x:row>
    <x:row r="589">
      <x:c r="B589" s="46"/>
      <x:c r="C589" s="46"/>
      <x:c r="D589" s="112"/>
      <x:c r="E589" s="112"/>
      <x:c r="F589" s="92"/>
      <x:c r="G589" s="92"/>
      <x:c r="H589" s="92"/>
      <x:c r="I589" s="93" t="str">
        <x:f>IF(B589="","",MAX(0,F589-H589))</x:f>
      </x:c>
      <x:c r="J589" s="46"/>
      <x:c r="K589" s="100" t="str">
        <x:f>IF(B589="","",IF(G589="TL",1,IF(G589="USD",KURLAR!$C$9,IF(G589="EUR",KURLAR!$C$10,0))))</x:f>
      </x:c>
      <x:c r="L589" s="68" t="str">
        <x:f>IF(B589="","",I589*K589)</x:f>
      </x:c>
      <x:c r="M589" s="46"/>
      <x:c r="N589" s="52" t="str">
        <x:f>IF(B589="","",IF(OR(M589="Tahsil Edildi",M589="İptal",J589="Riskli"),"Hayır","Evet"))</x:f>
      </x:c>
    </x:row>
    <x:row r="590">
      <x:c r="B590" s="46"/>
      <x:c r="C590" s="46"/>
      <x:c r="D590" s="112"/>
      <x:c r="E590" s="112"/>
      <x:c r="F590" s="92"/>
      <x:c r="G590" s="92"/>
      <x:c r="H590" s="92"/>
      <x:c r="I590" s="93" t="str">
        <x:f>IF(B590="","",MAX(0,F590-H590))</x:f>
      </x:c>
      <x:c r="J590" s="46"/>
      <x:c r="K590" s="100" t="str">
        <x:f>IF(B590="","",IF(G590="TL",1,IF(G590="USD",KURLAR!$C$9,IF(G590="EUR",KURLAR!$C$10,0))))</x:f>
      </x:c>
      <x:c r="L590" s="68" t="str">
        <x:f>IF(B590="","",I590*K590)</x:f>
      </x:c>
      <x:c r="M590" s="46"/>
      <x:c r="N590" s="52" t="str">
        <x:f>IF(B590="","",IF(OR(M590="Tahsil Edildi",M590="İptal",J590="Riskli"),"Hayır","Evet"))</x:f>
      </x:c>
    </x:row>
    <x:row r="591">
      <x:c r="B591" s="46"/>
      <x:c r="C591" s="46"/>
      <x:c r="D591" s="112"/>
      <x:c r="E591" s="112"/>
      <x:c r="F591" s="92"/>
      <x:c r="G591" s="92"/>
      <x:c r="H591" s="92"/>
      <x:c r="I591" s="93" t="str">
        <x:f>IF(B591="","",MAX(0,F591-H591))</x:f>
      </x:c>
      <x:c r="J591" s="46"/>
      <x:c r="K591" s="100" t="str">
        <x:f>IF(B591="","",IF(G591="TL",1,IF(G591="USD",KURLAR!$C$9,IF(G591="EUR",KURLAR!$C$10,0))))</x:f>
      </x:c>
      <x:c r="L591" s="68" t="str">
        <x:f>IF(B591="","",I591*K591)</x:f>
      </x:c>
      <x:c r="M591" s="46"/>
      <x:c r="N591" s="52" t="str">
        <x:f>IF(B591="","",IF(OR(M591="Tahsil Edildi",M591="İptal",J591="Riskli"),"Hayır","Evet"))</x:f>
      </x:c>
    </x:row>
    <x:row r="592">
      <x:c r="B592" s="46"/>
      <x:c r="C592" s="46"/>
      <x:c r="D592" s="112"/>
      <x:c r="E592" s="112"/>
      <x:c r="F592" s="92"/>
      <x:c r="G592" s="92"/>
      <x:c r="H592" s="92"/>
      <x:c r="I592" s="93" t="str">
        <x:f>IF(B592="","",MAX(0,F592-H592))</x:f>
      </x:c>
      <x:c r="J592" s="46"/>
      <x:c r="K592" s="100" t="str">
        <x:f>IF(B592="","",IF(G592="TL",1,IF(G592="USD",KURLAR!$C$9,IF(G592="EUR",KURLAR!$C$10,0))))</x:f>
      </x:c>
      <x:c r="L592" s="68" t="str">
        <x:f>IF(B592="","",I592*K592)</x:f>
      </x:c>
      <x:c r="M592" s="46"/>
      <x:c r="N592" s="52" t="str">
        <x:f>IF(B592="","",IF(OR(M592="Tahsil Edildi",M592="İptal",J592="Riskli"),"Hayır","Evet"))</x:f>
      </x:c>
    </x:row>
    <x:row r="593">
      <x:c r="B593" s="46"/>
      <x:c r="C593" s="46"/>
      <x:c r="D593" s="112"/>
      <x:c r="E593" s="112"/>
      <x:c r="F593" s="92"/>
      <x:c r="G593" s="92"/>
      <x:c r="H593" s="92"/>
      <x:c r="I593" s="93" t="str">
        <x:f>IF(B593="","",MAX(0,F593-H593))</x:f>
      </x:c>
      <x:c r="J593" s="46"/>
      <x:c r="K593" s="100" t="str">
        <x:f>IF(B593="","",IF(G593="TL",1,IF(G593="USD",KURLAR!$C$9,IF(G593="EUR",KURLAR!$C$10,0))))</x:f>
      </x:c>
      <x:c r="L593" s="68" t="str">
        <x:f>IF(B593="","",I593*K593)</x:f>
      </x:c>
      <x:c r="M593" s="46"/>
      <x:c r="N593" s="52" t="str">
        <x:f>IF(B593="","",IF(OR(M593="Tahsil Edildi",M593="İptal",J593="Riskli"),"Hayır","Evet"))</x:f>
      </x:c>
    </x:row>
    <x:row r="594">
      <x:c r="B594" s="46"/>
      <x:c r="C594" s="46"/>
      <x:c r="D594" s="112"/>
      <x:c r="E594" s="112"/>
      <x:c r="F594" s="92"/>
      <x:c r="G594" s="92"/>
      <x:c r="H594" s="92"/>
      <x:c r="I594" s="93" t="str">
        <x:f>IF(B594="","",MAX(0,F594-H594))</x:f>
      </x:c>
      <x:c r="J594" s="46"/>
      <x:c r="K594" s="100" t="str">
        <x:f>IF(B594="","",IF(G594="TL",1,IF(G594="USD",KURLAR!$C$9,IF(G594="EUR",KURLAR!$C$10,0))))</x:f>
      </x:c>
      <x:c r="L594" s="68" t="str">
        <x:f>IF(B594="","",I594*K594)</x:f>
      </x:c>
      <x:c r="M594" s="46"/>
      <x:c r="N594" s="52" t="str">
        <x:f>IF(B594="","",IF(OR(M594="Tahsil Edildi",M594="İptal",J594="Riskli"),"Hayır","Evet"))</x:f>
      </x:c>
    </x:row>
    <x:row r="595">
      <x:c r="B595" s="46"/>
      <x:c r="C595" s="46"/>
      <x:c r="D595" s="112"/>
      <x:c r="E595" s="112"/>
      <x:c r="F595" s="92"/>
      <x:c r="G595" s="92"/>
      <x:c r="H595" s="92"/>
      <x:c r="I595" s="93" t="str">
        <x:f>IF(B595="","",MAX(0,F595-H595))</x:f>
      </x:c>
      <x:c r="J595" s="46"/>
      <x:c r="K595" s="100" t="str">
        <x:f>IF(B595="","",IF(G595="TL",1,IF(G595="USD",KURLAR!$C$9,IF(G595="EUR",KURLAR!$C$10,0))))</x:f>
      </x:c>
      <x:c r="L595" s="68" t="str">
        <x:f>IF(B595="","",I595*K595)</x:f>
      </x:c>
      <x:c r="M595" s="46"/>
      <x:c r="N595" s="52" t="str">
        <x:f>IF(B595="","",IF(OR(M595="Tahsil Edildi",M595="İptal",J595="Riskli"),"Hayır","Evet"))</x:f>
      </x:c>
    </x:row>
    <x:row r="596">
      <x:c r="B596" s="46"/>
      <x:c r="C596" s="46"/>
      <x:c r="D596" s="112"/>
      <x:c r="E596" s="112"/>
      <x:c r="F596" s="92"/>
      <x:c r="G596" s="92"/>
      <x:c r="H596" s="92"/>
      <x:c r="I596" s="93" t="str">
        <x:f>IF(B596="","",MAX(0,F596-H596))</x:f>
      </x:c>
      <x:c r="J596" s="46"/>
      <x:c r="K596" s="100" t="str">
        <x:f>IF(B596="","",IF(G596="TL",1,IF(G596="USD",KURLAR!$C$9,IF(G596="EUR",KURLAR!$C$10,0))))</x:f>
      </x:c>
      <x:c r="L596" s="68" t="str">
        <x:f>IF(B596="","",I596*K596)</x:f>
      </x:c>
      <x:c r="M596" s="46"/>
      <x:c r="N596" s="52" t="str">
        <x:f>IF(B596="","",IF(OR(M596="Tahsil Edildi",M596="İptal",J596="Riskli"),"Hayır","Evet"))</x:f>
      </x:c>
    </x:row>
    <x:row r="597">
      <x:c r="B597" s="46"/>
      <x:c r="C597" s="46"/>
      <x:c r="D597" s="112"/>
      <x:c r="E597" s="112"/>
      <x:c r="F597" s="92"/>
      <x:c r="G597" s="92"/>
      <x:c r="H597" s="92"/>
      <x:c r="I597" s="93" t="str">
        <x:f>IF(B597="","",MAX(0,F597-H597))</x:f>
      </x:c>
      <x:c r="J597" s="46"/>
      <x:c r="K597" s="100" t="str">
        <x:f>IF(B597="","",IF(G597="TL",1,IF(G597="USD",KURLAR!$C$9,IF(G597="EUR",KURLAR!$C$10,0))))</x:f>
      </x:c>
      <x:c r="L597" s="68" t="str">
        <x:f>IF(B597="","",I597*K597)</x:f>
      </x:c>
      <x:c r="M597" s="46"/>
      <x:c r="N597" s="52" t="str">
        <x:f>IF(B597="","",IF(OR(M597="Tahsil Edildi",M597="İptal",J597="Riskli"),"Hayır","Evet"))</x:f>
      </x:c>
    </x:row>
    <x:row r="598">
      <x:c r="B598" s="46"/>
      <x:c r="C598" s="46"/>
      <x:c r="D598" s="112"/>
      <x:c r="E598" s="112"/>
      <x:c r="F598" s="92"/>
      <x:c r="G598" s="92"/>
      <x:c r="H598" s="92"/>
      <x:c r="I598" s="93" t="str">
        <x:f>IF(B598="","",MAX(0,F598-H598))</x:f>
      </x:c>
      <x:c r="J598" s="46"/>
      <x:c r="K598" s="100" t="str">
        <x:f>IF(B598="","",IF(G598="TL",1,IF(G598="USD",KURLAR!$C$9,IF(G598="EUR",KURLAR!$C$10,0))))</x:f>
      </x:c>
      <x:c r="L598" s="68" t="str">
        <x:f>IF(B598="","",I598*K598)</x:f>
      </x:c>
      <x:c r="M598" s="46"/>
      <x:c r="N598" s="52" t="str">
        <x:f>IF(B598="","",IF(OR(M598="Tahsil Edildi",M598="İptal",J598="Riskli"),"Hayır","Evet"))</x:f>
      </x:c>
    </x:row>
    <x:row r="599">
      <x:c r="B599" s="46"/>
      <x:c r="C599" s="46"/>
      <x:c r="D599" s="112"/>
      <x:c r="E599" s="112"/>
      <x:c r="F599" s="92"/>
      <x:c r="G599" s="92"/>
      <x:c r="H599" s="92"/>
      <x:c r="I599" s="93" t="str">
        <x:f>IF(B599="","",MAX(0,F599-H599))</x:f>
      </x:c>
      <x:c r="J599" s="46"/>
      <x:c r="K599" s="100" t="str">
        <x:f>IF(B599="","",IF(G599="TL",1,IF(G599="USD",KURLAR!$C$9,IF(G599="EUR",KURLAR!$C$10,0))))</x:f>
      </x:c>
      <x:c r="L599" s="68" t="str">
        <x:f>IF(B599="","",I599*K599)</x:f>
      </x:c>
      <x:c r="M599" s="46"/>
      <x:c r="N599" s="52" t="str">
        <x:f>IF(B599="","",IF(OR(M599="Tahsil Edildi",M599="İptal",J599="Riskli"),"Hayır","Evet"))</x:f>
      </x:c>
    </x:row>
    <x:row r="600">
      <x:c r="B600" s="46"/>
      <x:c r="C600" s="46"/>
      <x:c r="D600" s="112"/>
      <x:c r="E600" s="112"/>
      <x:c r="F600" s="92"/>
      <x:c r="G600" s="92"/>
      <x:c r="H600" s="92"/>
      <x:c r="I600" s="93" t="str">
        <x:f>IF(B600="","",MAX(0,F600-H600))</x:f>
      </x:c>
      <x:c r="J600" s="46"/>
      <x:c r="K600" s="100" t="str">
        <x:f>IF(B600="","",IF(G600="TL",1,IF(G600="USD",KURLAR!$C$9,IF(G600="EUR",KURLAR!$C$10,0))))</x:f>
      </x:c>
      <x:c r="L600" s="68" t="str">
        <x:f>IF(B600="","",I600*K600)</x:f>
      </x:c>
      <x:c r="M600" s="46"/>
      <x:c r="N600" s="52" t="str">
        <x:f>IF(B600="","",IF(OR(M600="Tahsil Edildi",M600="İptal",J600="Riskli"),"Hayır","Evet"))</x:f>
      </x:c>
    </x:row>
    <x:row r="601">
      <x:c r="B601" s="46"/>
      <x:c r="C601" s="46"/>
      <x:c r="D601" s="112"/>
      <x:c r="E601" s="112"/>
      <x:c r="F601" s="92"/>
      <x:c r="G601" s="92"/>
      <x:c r="H601" s="92"/>
      <x:c r="I601" s="93" t="str">
        <x:f>IF(B601="","",MAX(0,F601-H601))</x:f>
      </x:c>
      <x:c r="J601" s="46"/>
      <x:c r="K601" s="100" t="str">
        <x:f>IF(B601="","",IF(G601="TL",1,IF(G601="USD",KURLAR!$C$9,IF(G601="EUR",KURLAR!$C$10,0))))</x:f>
      </x:c>
      <x:c r="L601" s="68" t="str">
        <x:f>IF(B601="","",I601*K601)</x:f>
      </x:c>
      <x:c r="M601" s="46"/>
      <x:c r="N601" s="52" t="str">
        <x:f>IF(B601="","",IF(OR(M601="Tahsil Edildi",M601="İptal",J601="Riskli"),"Hayır","Evet"))</x:f>
      </x:c>
    </x:row>
    <x:row r="602">
      <x:c r="B602" s="46"/>
      <x:c r="C602" s="46"/>
      <x:c r="D602" s="112"/>
      <x:c r="E602" s="112"/>
      <x:c r="F602" s="92"/>
      <x:c r="G602" s="92"/>
      <x:c r="H602" s="92"/>
      <x:c r="I602" s="93" t="str">
        <x:f>IF(B602="","",MAX(0,F602-H602))</x:f>
      </x:c>
      <x:c r="J602" s="46"/>
      <x:c r="K602" s="100" t="str">
        <x:f>IF(B602="","",IF(G602="TL",1,IF(G602="USD",KURLAR!$C$9,IF(G602="EUR",KURLAR!$C$10,0))))</x:f>
      </x:c>
      <x:c r="L602" s="68" t="str">
        <x:f>IF(B602="","",I602*K602)</x:f>
      </x:c>
      <x:c r="M602" s="46"/>
      <x:c r="N602" s="52" t="str">
        <x:f>IF(B602="","",IF(OR(M602="Tahsil Edildi",M602="İptal",J602="Riskli"),"Hayır","Evet"))</x:f>
      </x:c>
    </x:row>
    <x:row r="603">
      <x:c r="B603" s="46"/>
      <x:c r="C603" s="46"/>
      <x:c r="D603" s="112"/>
      <x:c r="E603" s="112"/>
      <x:c r="F603" s="92"/>
      <x:c r="G603" s="92"/>
      <x:c r="H603" s="92"/>
      <x:c r="I603" s="93" t="str">
        <x:f>IF(B603="","",MAX(0,F603-H603))</x:f>
      </x:c>
      <x:c r="J603" s="46"/>
      <x:c r="K603" s="100" t="str">
        <x:f>IF(B603="","",IF(G603="TL",1,IF(G603="USD",KURLAR!$C$9,IF(G603="EUR",KURLAR!$C$10,0))))</x:f>
      </x:c>
      <x:c r="L603" s="68" t="str">
        <x:f>IF(B603="","",I603*K603)</x:f>
      </x:c>
      <x:c r="M603" s="46"/>
      <x:c r="N603" s="52" t="str">
        <x:f>IF(B603="","",IF(OR(M603="Tahsil Edildi",M603="İptal",J603="Riskli"),"Hayır","Evet"))</x:f>
      </x:c>
    </x:row>
    <x:row r="604">
      <x:c r="B604" s="46"/>
      <x:c r="C604" s="46"/>
      <x:c r="D604" s="112"/>
      <x:c r="E604" s="112"/>
      <x:c r="F604" s="92"/>
      <x:c r="G604" s="92"/>
      <x:c r="H604" s="92"/>
      <x:c r="I604" s="93" t="str">
        <x:f>IF(B604="","",MAX(0,F604-H604))</x:f>
      </x:c>
      <x:c r="J604" s="46"/>
      <x:c r="K604" s="100" t="str">
        <x:f>IF(B604="","",IF(G604="TL",1,IF(G604="USD",KURLAR!$C$9,IF(G604="EUR",KURLAR!$C$10,0))))</x:f>
      </x:c>
      <x:c r="L604" s="68" t="str">
        <x:f>IF(B604="","",I604*K604)</x:f>
      </x:c>
      <x:c r="M604" s="46"/>
      <x:c r="N604" s="52" t="str">
        <x:f>IF(B604="","",IF(OR(M604="Tahsil Edildi",M604="İptal",J604="Riskli"),"Hayır","Evet"))</x:f>
      </x:c>
    </x:row>
    <x:row r="605">
      <x:c r="B605" s="46"/>
      <x:c r="C605" s="46"/>
      <x:c r="D605" s="112"/>
      <x:c r="E605" s="112"/>
      <x:c r="F605" s="92"/>
      <x:c r="G605" s="92"/>
      <x:c r="H605" s="92"/>
      <x:c r="I605" s="93" t="str">
        <x:f>IF(B605="","",MAX(0,F605-H605))</x:f>
      </x:c>
      <x:c r="J605" s="46"/>
      <x:c r="K605" s="100" t="str">
        <x:f>IF(B605="","",IF(G605="TL",1,IF(G605="USD",KURLAR!$C$9,IF(G605="EUR",KURLAR!$C$10,0))))</x:f>
      </x:c>
      <x:c r="L605" s="68" t="str">
        <x:f>IF(B605="","",I605*K605)</x:f>
      </x:c>
      <x:c r="M605" s="46"/>
      <x:c r="N605" s="52" t="str">
        <x:f>IF(B605="","",IF(OR(M605="Tahsil Edildi",M605="İptal",J605="Riskli"),"Hayır","Evet"))</x:f>
      </x:c>
    </x:row>
    <x:row r="606">
      <x:c r="B606" s="46"/>
      <x:c r="C606" s="46"/>
      <x:c r="D606" s="112"/>
      <x:c r="E606" s="112"/>
      <x:c r="F606" s="92"/>
      <x:c r="G606" s="92"/>
      <x:c r="H606" s="92"/>
      <x:c r="I606" s="93" t="str">
        <x:f>IF(B606="","",MAX(0,F606-H606))</x:f>
      </x:c>
      <x:c r="J606" s="46"/>
      <x:c r="K606" s="100" t="str">
        <x:f>IF(B606="","",IF(G606="TL",1,IF(G606="USD",KURLAR!$C$9,IF(G606="EUR",KURLAR!$C$10,0))))</x:f>
      </x:c>
      <x:c r="L606" s="68" t="str">
        <x:f>IF(B606="","",I606*K606)</x:f>
      </x:c>
      <x:c r="M606" s="46"/>
      <x:c r="N606" s="52" t="str">
        <x:f>IF(B606="","",IF(OR(M606="Tahsil Edildi",M606="İptal",J606="Riskli"),"Hayır","Evet"))</x:f>
      </x:c>
    </x:row>
    <x:row r="607">
      <x:c r="B607" s="46"/>
      <x:c r="C607" s="46"/>
      <x:c r="D607" s="112"/>
      <x:c r="E607" s="112"/>
      <x:c r="F607" s="92"/>
      <x:c r="G607" s="92"/>
      <x:c r="H607" s="92"/>
      <x:c r="I607" s="93" t="str">
        <x:f>IF(B607="","",MAX(0,F607-H607))</x:f>
      </x:c>
      <x:c r="J607" s="46"/>
      <x:c r="K607" s="100" t="str">
        <x:f>IF(B607="","",IF(G607="TL",1,IF(G607="USD",KURLAR!$C$9,IF(G607="EUR",KURLAR!$C$10,0))))</x:f>
      </x:c>
      <x:c r="L607" s="68" t="str">
        <x:f>IF(B607="","",I607*K607)</x:f>
      </x:c>
      <x:c r="M607" s="46"/>
      <x:c r="N607" s="52" t="str">
        <x:f>IF(B607="","",IF(OR(M607="Tahsil Edildi",M607="İptal",J607="Riskli"),"Hayır","Evet"))</x:f>
      </x:c>
    </x:row>
    <x:row r="608">
      <x:c r="B608" s="46"/>
      <x:c r="C608" s="46"/>
      <x:c r="D608" s="112"/>
      <x:c r="E608" s="112"/>
      <x:c r="F608" s="92"/>
      <x:c r="G608" s="92"/>
      <x:c r="H608" s="92"/>
      <x:c r="I608" s="93" t="str">
        <x:f>IF(B608="","",MAX(0,F608-H608))</x:f>
      </x:c>
      <x:c r="J608" s="46"/>
      <x:c r="K608" s="100" t="str">
        <x:f>IF(B608="","",IF(G608="TL",1,IF(G608="USD",KURLAR!$C$9,IF(G608="EUR",KURLAR!$C$10,0))))</x:f>
      </x:c>
      <x:c r="L608" s="68" t="str">
        <x:f>IF(B608="","",I608*K608)</x:f>
      </x:c>
      <x:c r="M608" s="46"/>
      <x:c r="N608" s="52" t="str">
        <x:f>IF(B608="","",IF(OR(M608="Tahsil Edildi",M608="İptal",J608="Riskli"),"Hayır","Evet"))</x:f>
      </x:c>
    </x:row>
    <x:row r="609">
      <x:c r="B609" s="46"/>
      <x:c r="C609" s="46"/>
      <x:c r="D609" s="112"/>
      <x:c r="E609" s="112"/>
      <x:c r="F609" s="92"/>
      <x:c r="G609" s="92"/>
      <x:c r="H609" s="92"/>
      <x:c r="I609" s="93" t="str">
        <x:f>IF(B609="","",MAX(0,F609-H609))</x:f>
      </x:c>
      <x:c r="J609" s="46"/>
      <x:c r="K609" s="100" t="str">
        <x:f>IF(B609="","",IF(G609="TL",1,IF(G609="USD",KURLAR!$C$9,IF(G609="EUR",KURLAR!$C$10,0))))</x:f>
      </x:c>
      <x:c r="L609" s="68" t="str">
        <x:f>IF(B609="","",I609*K609)</x:f>
      </x:c>
      <x:c r="M609" s="46"/>
      <x:c r="N609" s="52" t="str">
        <x:f>IF(B609="","",IF(OR(M609="Tahsil Edildi",M609="İptal",J609="Riskli"),"Hayır","Evet"))</x:f>
      </x:c>
    </x:row>
    <x:row r="610">
      <x:c r="B610" s="46"/>
      <x:c r="C610" s="46"/>
      <x:c r="D610" s="112"/>
      <x:c r="E610" s="112"/>
      <x:c r="F610" s="92"/>
      <x:c r="G610" s="92"/>
      <x:c r="H610" s="92"/>
      <x:c r="I610" s="93" t="str">
        <x:f>IF(B610="","",MAX(0,F610-H610))</x:f>
      </x:c>
      <x:c r="J610" s="46"/>
      <x:c r="K610" s="100" t="str">
        <x:f>IF(B610="","",IF(G610="TL",1,IF(G610="USD",KURLAR!$C$9,IF(G610="EUR",KURLAR!$C$10,0))))</x:f>
      </x:c>
      <x:c r="L610" s="68" t="str">
        <x:f>IF(B610="","",I610*K610)</x:f>
      </x:c>
      <x:c r="M610" s="46"/>
      <x:c r="N610" s="52" t="str">
        <x:f>IF(B610="","",IF(OR(M610="Tahsil Edildi",M610="İptal",J610="Riskli"),"Hayır","Evet"))</x:f>
      </x:c>
    </x:row>
    <x:row r="611">
      <x:c r="B611" s="46"/>
      <x:c r="C611" s="46"/>
      <x:c r="D611" s="112"/>
      <x:c r="E611" s="112"/>
      <x:c r="F611" s="92"/>
      <x:c r="G611" s="92"/>
      <x:c r="H611" s="92"/>
      <x:c r="I611" s="93" t="str">
        <x:f>IF(B611="","",MAX(0,F611-H611))</x:f>
      </x:c>
      <x:c r="J611" s="46"/>
      <x:c r="K611" s="100" t="str">
        <x:f>IF(B611="","",IF(G611="TL",1,IF(G611="USD",KURLAR!$C$9,IF(G611="EUR",KURLAR!$C$10,0))))</x:f>
      </x:c>
      <x:c r="L611" s="68" t="str">
        <x:f>IF(B611="","",I611*K611)</x:f>
      </x:c>
      <x:c r="M611" s="46"/>
      <x:c r="N611" s="52" t="str">
        <x:f>IF(B611="","",IF(OR(M611="Tahsil Edildi",M611="İptal",J611="Riskli"),"Hayır","Evet"))</x:f>
      </x:c>
    </x:row>
    <x:row r="612">
      <x:c r="B612" s="46"/>
      <x:c r="C612" s="46"/>
      <x:c r="D612" s="112"/>
      <x:c r="E612" s="112"/>
      <x:c r="F612" s="92"/>
      <x:c r="G612" s="92"/>
      <x:c r="H612" s="92"/>
      <x:c r="I612" s="93" t="str">
        <x:f>IF(B612="","",MAX(0,F612-H612))</x:f>
      </x:c>
      <x:c r="J612" s="46"/>
      <x:c r="K612" s="100" t="str">
        <x:f>IF(B612="","",IF(G612="TL",1,IF(G612="USD",KURLAR!$C$9,IF(G612="EUR",KURLAR!$C$10,0))))</x:f>
      </x:c>
      <x:c r="L612" s="68" t="str">
        <x:f>IF(B612="","",I612*K612)</x:f>
      </x:c>
      <x:c r="M612" s="46"/>
      <x:c r="N612" s="52" t="str">
        <x:f>IF(B612="","",IF(OR(M612="Tahsil Edildi",M612="İptal",J612="Riskli"),"Hayır","Evet"))</x:f>
      </x:c>
    </x:row>
    <x:row r="613">
      <x:c r="B613" s="46"/>
      <x:c r="C613" s="46"/>
      <x:c r="D613" s="112"/>
      <x:c r="E613" s="112"/>
      <x:c r="F613" s="92"/>
      <x:c r="G613" s="92"/>
      <x:c r="H613" s="92"/>
      <x:c r="I613" s="93" t="str">
        <x:f>IF(B613="","",MAX(0,F613-H613))</x:f>
      </x:c>
      <x:c r="J613" s="46"/>
      <x:c r="K613" s="100" t="str">
        <x:f>IF(B613="","",IF(G613="TL",1,IF(G613="USD",KURLAR!$C$9,IF(G613="EUR",KURLAR!$C$10,0))))</x:f>
      </x:c>
      <x:c r="L613" s="68" t="str">
        <x:f>IF(B613="","",I613*K613)</x:f>
      </x:c>
      <x:c r="M613" s="46"/>
      <x:c r="N613" s="52" t="str">
        <x:f>IF(B613="","",IF(OR(M613="Tahsil Edildi",M613="İptal",J613="Riskli"),"Hayır","Evet"))</x:f>
      </x:c>
    </x:row>
    <x:row r="614">
      <x:c r="B614" s="46"/>
      <x:c r="C614" s="46"/>
      <x:c r="D614" s="112"/>
      <x:c r="E614" s="112"/>
      <x:c r="F614" s="92"/>
      <x:c r="G614" s="92"/>
      <x:c r="H614" s="92"/>
      <x:c r="I614" s="93" t="str">
        <x:f>IF(B614="","",MAX(0,F614-H614))</x:f>
      </x:c>
      <x:c r="J614" s="46"/>
      <x:c r="K614" s="100" t="str">
        <x:f>IF(B614="","",IF(G614="TL",1,IF(G614="USD",KURLAR!$C$9,IF(G614="EUR",KURLAR!$C$10,0))))</x:f>
      </x:c>
      <x:c r="L614" s="68" t="str">
        <x:f>IF(B614="","",I614*K614)</x:f>
      </x:c>
      <x:c r="M614" s="46"/>
      <x:c r="N614" s="52" t="str">
        <x:f>IF(B614="","",IF(OR(M614="Tahsil Edildi",M614="İptal",J614="Riskli"),"Hayır","Evet"))</x:f>
      </x:c>
    </x:row>
    <x:row r="615">
      <x:c r="B615" s="46"/>
      <x:c r="C615" s="46"/>
      <x:c r="D615" s="112"/>
      <x:c r="E615" s="112"/>
      <x:c r="F615" s="92"/>
      <x:c r="G615" s="92"/>
      <x:c r="H615" s="92"/>
      <x:c r="I615" s="93" t="str">
        <x:f>IF(B615="","",MAX(0,F615-H615))</x:f>
      </x:c>
      <x:c r="J615" s="46"/>
      <x:c r="K615" s="100" t="str">
        <x:f>IF(B615="","",IF(G615="TL",1,IF(G615="USD",KURLAR!$C$9,IF(G615="EUR",KURLAR!$C$10,0))))</x:f>
      </x:c>
      <x:c r="L615" s="68" t="str">
        <x:f>IF(B615="","",I615*K615)</x:f>
      </x:c>
      <x:c r="M615" s="46"/>
      <x:c r="N615" s="52" t="str">
        <x:f>IF(B615="","",IF(OR(M615="Tahsil Edildi",M615="İptal",J615="Riskli"),"Hayır","Evet"))</x:f>
      </x:c>
    </x:row>
    <x:row r="616">
      <x:c r="B616" s="46"/>
      <x:c r="C616" s="46"/>
      <x:c r="D616" s="112"/>
      <x:c r="E616" s="112"/>
      <x:c r="F616" s="92"/>
      <x:c r="G616" s="92"/>
      <x:c r="H616" s="92"/>
      <x:c r="I616" s="93" t="str">
        <x:f>IF(B616="","",MAX(0,F616-H616))</x:f>
      </x:c>
      <x:c r="J616" s="46"/>
      <x:c r="K616" s="100" t="str">
        <x:f>IF(B616="","",IF(G616="TL",1,IF(G616="USD",KURLAR!$C$9,IF(G616="EUR",KURLAR!$C$10,0))))</x:f>
      </x:c>
      <x:c r="L616" s="68" t="str">
        <x:f>IF(B616="","",I616*K616)</x:f>
      </x:c>
      <x:c r="M616" s="46"/>
      <x:c r="N616" s="52" t="str">
        <x:f>IF(B616="","",IF(OR(M616="Tahsil Edildi",M616="İptal",J616="Riskli"),"Hayır","Evet"))</x:f>
      </x:c>
    </x:row>
    <x:row r="617">
      <x:c r="B617" s="46"/>
      <x:c r="C617" s="46"/>
      <x:c r="D617" s="112"/>
      <x:c r="E617" s="112"/>
      <x:c r="F617" s="92"/>
      <x:c r="G617" s="92"/>
      <x:c r="H617" s="92"/>
      <x:c r="I617" s="93" t="str">
        <x:f>IF(B617="","",MAX(0,F617-H617))</x:f>
      </x:c>
      <x:c r="J617" s="46"/>
      <x:c r="K617" s="100" t="str">
        <x:f>IF(B617="","",IF(G617="TL",1,IF(G617="USD",KURLAR!$C$9,IF(G617="EUR",KURLAR!$C$10,0))))</x:f>
      </x:c>
      <x:c r="L617" s="68" t="str">
        <x:f>IF(B617="","",I617*K617)</x:f>
      </x:c>
      <x:c r="M617" s="46"/>
      <x:c r="N617" s="52" t="str">
        <x:f>IF(B617="","",IF(OR(M617="Tahsil Edildi",M617="İptal",J617="Riskli"),"Hayır","Evet"))</x:f>
      </x:c>
    </x:row>
    <x:row r="618">
      <x:c r="B618" s="46"/>
      <x:c r="C618" s="46"/>
      <x:c r="D618" s="112"/>
      <x:c r="E618" s="112"/>
      <x:c r="F618" s="92"/>
      <x:c r="G618" s="92"/>
      <x:c r="H618" s="92"/>
      <x:c r="I618" s="93" t="str">
        <x:f>IF(B618="","",MAX(0,F618-H618))</x:f>
      </x:c>
      <x:c r="J618" s="46"/>
      <x:c r="K618" s="100" t="str">
        <x:f>IF(B618="","",IF(G618="TL",1,IF(G618="USD",KURLAR!$C$9,IF(G618="EUR",KURLAR!$C$10,0))))</x:f>
      </x:c>
      <x:c r="L618" s="68" t="str">
        <x:f>IF(B618="","",I618*K618)</x:f>
      </x:c>
      <x:c r="M618" s="46"/>
      <x:c r="N618" s="52" t="str">
        <x:f>IF(B618="","",IF(OR(M618="Tahsil Edildi",M618="İptal",J618="Riskli"),"Hayır","Evet"))</x:f>
      </x:c>
    </x:row>
    <x:row r="619">
      <x:c r="B619" s="46"/>
      <x:c r="C619" s="46"/>
      <x:c r="D619" s="112"/>
      <x:c r="E619" s="112"/>
      <x:c r="F619" s="92"/>
      <x:c r="G619" s="92"/>
      <x:c r="H619" s="92"/>
      <x:c r="I619" s="93" t="str">
        <x:f>IF(B619="","",MAX(0,F619-H619))</x:f>
      </x:c>
      <x:c r="J619" s="46"/>
      <x:c r="K619" s="100" t="str">
        <x:f>IF(B619="","",IF(G619="TL",1,IF(G619="USD",KURLAR!$C$9,IF(G619="EUR",KURLAR!$C$10,0))))</x:f>
      </x:c>
      <x:c r="L619" s="68" t="str">
        <x:f>IF(B619="","",I619*K619)</x:f>
      </x:c>
      <x:c r="M619" s="46"/>
      <x:c r="N619" s="52" t="str">
        <x:f>IF(B619="","",IF(OR(M619="Tahsil Edildi",M619="İptal",J619="Riskli"),"Hayır","Evet"))</x:f>
      </x:c>
    </x:row>
    <x:row r="620">
      <x:c r="B620" s="46"/>
      <x:c r="C620" s="46"/>
      <x:c r="D620" s="112"/>
      <x:c r="E620" s="112"/>
      <x:c r="F620" s="92"/>
      <x:c r="G620" s="92"/>
      <x:c r="H620" s="92"/>
      <x:c r="I620" s="93" t="str">
        <x:f>IF(B620="","",MAX(0,F620-H620))</x:f>
      </x:c>
      <x:c r="J620" s="46"/>
      <x:c r="K620" s="100" t="str">
        <x:f>IF(B620="","",IF(G620="TL",1,IF(G620="USD",KURLAR!$C$9,IF(G620="EUR",KURLAR!$C$10,0))))</x:f>
      </x:c>
      <x:c r="L620" s="68" t="str">
        <x:f>IF(B620="","",I620*K620)</x:f>
      </x:c>
      <x:c r="M620" s="46"/>
      <x:c r="N620" s="52" t="str">
        <x:f>IF(B620="","",IF(OR(M620="Tahsil Edildi",M620="İptal",J620="Riskli"),"Hayır","Evet"))</x:f>
      </x:c>
    </x:row>
    <x:row r="621">
      <x:c r="B621" s="46"/>
      <x:c r="C621" s="46"/>
      <x:c r="D621" s="112"/>
      <x:c r="E621" s="112"/>
      <x:c r="F621" s="92"/>
      <x:c r="G621" s="92"/>
      <x:c r="H621" s="92"/>
      <x:c r="I621" s="93" t="str">
        <x:f>IF(B621="","",MAX(0,F621-H621))</x:f>
      </x:c>
      <x:c r="J621" s="46"/>
      <x:c r="K621" s="100" t="str">
        <x:f>IF(B621="","",IF(G621="TL",1,IF(G621="USD",KURLAR!$C$9,IF(G621="EUR",KURLAR!$C$10,0))))</x:f>
      </x:c>
      <x:c r="L621" s="68" t="str">
        <x:f>IF(B621="","",I621*K621)</x:f>
      </x:c>
      <x:c r="M621" s="46"/>
      <x:c r="N621" s="52" t="str">
        <x:f>IF(B621="","",IF(OR(M621="Tahsil Edildi",M621="İptal",J621="Riskli"),"Hayır","Evet"))</x:f>
      </x:c>
    </x:row>
    <x:row r="622">
      <x:c r="B622" s="46"/>
      <x:c r="C622" s="46"/>
      <x:c r="D622" s="112"/>
      <x:c r="E622" s="112"/>
      <x:c r="F622" s="92"/>
      <x:c r="G622" s="92"/>
      <x:c r="H622" s="92"/>
      <x:c r="I622" s="93" t="str">
        <x:f>IF(B622="","",MAX(0,F622-H622))</x:f>
      </x:c>
      <x:c r="J622" s="46"/>
      <x:c r="K622" s="100" t="str">
        <x:f>IF(B622="","",IF(G622="TL",1,IF(G622="USD",KURLAR!$C$9,IF(G622="EUR",KURLAR!$C$10,0))))</x:f>
      </x:c>
      <x:c r="L622" s="68" t="str">
        <x:f>IF(B622="","",I622*K622)</x:f>
      </x:c>
      <x:c r="M622" s="46"/>
      <x:c r="N622" s="52" t="str">
        <x:f>IF(B622="","",IF(OR(M622="Tahsil Edildi",M622="İptal",J622="Riskli"),"Hayır","Evet"))</x:f>
      </x:c>
    </x:row>
    <x:row r="623">
      <x:c r="B623" s="46"/>
      <x:c r="C623" s="46"/>
      <x:c r="D623" s="112"/>
      <x:c r="E623" s="112"/>
      <x:c r="F623" s="92"/>
      <x:c r="G623" s="92"/>
      <x:c r="H623" s="92"/>
      <x:c r="I623" s="93" t="str">
        <x:f>IF(B623="","",MAX(0,F623-H623))</x:f>
      </x:c>
      <x:c r="J623" s="46"/>
      <x:c r="K623" s="100" t="str">
        <x:f>IF(B623="","",IF(G623="TL",1,IF(G623="USD",KURLAR!$C$9,IF(G623="EUR",KURLAR!$C$10,0))))</x:f>
      </x:c>
      <x:c r="L623" s="68" t="str">
        <x:f>IF(B623="","",I623*K623)</x:f>
      </x:c>
      <x:c r="M623" s="46"/>
      <x:c r="N623" s="52" t="str">
        <x:f>IF(B623="","",IF(OR(M623="Tahsil Edildi",M623="İptal",J623="Riskli"),"Hayır","Evet"))</x:f>
      </x:c>
    </x:row>
    <x:row r="624">
      <x:c r="B624" s="46"/>
      <x:c r="C624" s="46"/>
      <x:c r="D624" s="112"/>
      <x:c r="E624" s="112"/>
      <x:c r="F624" s="92"/>
      <x:c r="G624" s="92"/>
      <x:c r="H624" s="92"/>
      <x:c r="I624" s="93" t="str">
        <x:f>IF(B624="","",MAX(0,F624-H624))</x:f>
      </x:c>
      <x:c r="J624" s="46"/>
      <x:c r="K624" s="100" t="str">
        <x:f>IF(B624="","",IF(G624="TL",1,IF(G624="USD",KURLAR!$C$9,IF(G624="EUR",KURLAR!$C$10,0))))</x:f>
      </x:c>
      <x:c r="L624" s="68" t="str">
        <x:f>IF(B624="","",I624*K624)</x:f>
      </x:c>
      <x:c r="M624" s="46"/>
      <x:c r="N624" s="52" t="str">
        <x:f>IF(B624="","",IF(OR(M624="Tahsil Edildi",M624="İptal",J624="Riskli"),"Hayır","Evet"))</x:f>
      </x:c>
    </x:row>
    <x:row r="625">
      <x:c r="B625" s="46"/>
      <x:c r="C625" s="46"/>
      <x:c r="D625" s="112"/>
      <x:c r="E625" s="112"/>
      <x:c r="F625" s="92"/>
      <x:c r="G625" s="92"/>
      <x:c r="H625" s="92"/>
      <x:c r="I625" s="93" t="str">
        <x:f>IF(B625="","",MAX(0,F625-H625))</x:f>
      </x:c>
      <x:c r="J625" s="46"/>
      <x:c r="K625" s="100" t="str">
        <x:f>IF(B625="","",IF(G625="TL",1,IF(G625="USD",KURLAR!$C$9,IF(G625="EUR",KURLAR!$C$10,0))))</x:f>
      </x:c>
      <x:c r="L625" s="68" t="str">
        <x:f>IF(B625="","",I625*K625)</x:f>
      </x:c>
      <x:c r="M625" s="46"/>
      <x:c r="N625" s="52" t="str">
        <x:f>IF(B625="","",IF(OR(M625="Tahsil Edildi",M625="İptal",J625="Riskli"),"Hayır","Evet"))</x:f>
      </x:c>
    </x:row>
    <x:row r="626">
      <x:c r="B626" s="46"/>
      <x:c r="C626" s="46"/>
      <x:c r="D626" s="112"/>
      <x:c r="E626" s="112"/>
      <x:c r="F626" s="92"/>
      <x:c r="G626" s="92"/>
      <x:c r="H626" s="92"/>
      <x:c r="I626" s="93" t="str">
        <x:f>IF(B626="","",MAX(0,F626-H626))</x:f>
      </x:c>
      <x:c r="J626" s="46"/>
      <x:c r="K626" s="100" t="str">
        <x:f>IF(B626="","",IF(G626="TL",1,IF(G626="USD",KURLAR!$C$9,IF(G626="EUR",KURLAR!$C$10,0))))</x:f>
      </x:c>
      <x:c r="L626" s="68" t="str">
        <x:f>IF(B626="","",I626*K626)</x:f>
      </x:c>
      <x:c r="M626" s="46"/>
      <x:c r="N626" s="52" t="str">
        <x:f>IF(B626="","",IF(OR(M626="Tahsil Edildi",M626="İptal",J626="Riskli"),"Hayır","Evet"))</x:f>
      </x:c>
    </x:row>
    <x:row r="627">
      <x:c r="B627" s="46"/>
      <x:c r="C627" s="46"/>
      <x:c r="D627" s="112"/>
      <x:c r="E627" s="112"/>
      <x:c r="F627" s="92"/>
      <x:c r="G627" s="92"/>
      <x:c r="H627" s="92"/>
      <x:c r="I627" s="93" t="str">
        <x:f>IF(B627="","",MAX(0,F627-H627))</x:f>
      </x:c>
      <x:c r="J627" s="46"/>
      <x:c r="K627" s="100" t="str">
        <x:f>IF(B627="","",IF(G627="TL",1,IF(G627="USD",KURLAR!$C$9,IF(G627="EUR",KURLAR!$C$10,0))))</x:f>
      </x:c>
      <x:c r="L627" s="68" t="str">
        <x:f>IF(B627="","",I627*K627)</x:f>
      </x:c>
      <x:c r="M627" s="46"/>
      <x:c r="N627" s="52" t="str">
        <x:f>IF(B627="","",IF(OR(M627="Tahsil Edildi",M627="İptal",J627="Riskli"),"Hayır","Evet"))</x:f>
      </x:c>
    </x:row>
    <x:row r="628">
      <x:c r="B628" s="46"/>
      <x:c r="C628" s="46"/>
      <x:c r="D628" s="112"/>
      <x:c r="E628" s="112"/>
      <x:c r="F628" s="92"/>
      <x:c r="G628" s="92"/>
      <x:c r="H628" s="92"/>
      <x:c r="I628" s="93" t="str">
        <x:f>IF(B628="","",MAX(0,F628-H628))</x:f>
      </x:c>
      <x:c r="J628" s="46"/>
      <x:c r="K628" s="100" t="str">
        <x:f>IF(B628="","",IF(G628="TL",1,IF(G628="USD",KURLAR!$C$9,IF(G628="EUR",KURLAR!$C$10,0))))</x:f>
      </x:c>
      <x:c r="L628" s="68" t="str">
        <x:f>IF(B628="","",I628*K628)</x:f>
      </x:c>
      <x:c r="M628" s="46"/>
      <x:c r="N628" s="52" t="str">
        <x:f>IF(B628="","",IF(OR(M628="Tahsil Edildi",M628="İptal",J628="Riskli"),"Hayır","Evet"))</x:f>
      </x:c>
    </x:row>
    <x:row r="629">
      <x:c r="B629" s="46"/>
      <x:c r="C629" s="46"/>
      <x:c r="D629" s="112"/>
      <x:c r="E629" s="112"/>
      <x:c r="F629" s="92"/>
      <x:c r="G629" s="92"/>
      <x:c r="H629" s="92"/>
      <x:c r="I629" s="93" t="str">
        <x:f>IF(B629="","",MAX(0,F629-H629))</x:f>
      </x:c>
      <x:c r="J629" s="46"/>
      <x:c r="K629" s="100" t="str">
        <x:f>IF(B629="","",IF(G629="TL",1,IF(G629="USD",KURLAR!$C$9,IF(G629="EUR",KURLAR!$C$10,0))))</x:f>
      </x:c>
      <x:c r="L629" s="68" t="str">
        <x:f>IF(B629="","",I629*K629)</x:f>
      </x:c>
      <x:c r="M629" s="46"/>
      <x:c r="N629" s="52" t="str">
        <x:f>IF(B629="","",IF(OR(M629="Tahsil Edildi",M629="İptal",J629="Riskli"),"Hayır","Evet"))</x:f>
      </x:c>
    </x:row>
    <x:row r="630">
      <x:c r="B630" s="46"/>
      <x:c r="C630" s="46"/>
      <x:c r="D630" s="112"/>
      <x:c r="E630" s="112"/>
      <x:c r="F630" s="92"/>
      <x:c r="G630" s="92"/>
      <x:c r="H630" s="92"/>
      <x:c r="I630" s="93" t="str">
        <x:f>IF(B630="","",MAX(0,F630-H630))</x:f>
      </x:c>
      <x:c r="J630" s="46"/>
      <x:c r="K630" s="100" t="str">
        <x:f>IF(B630="","",IF(G630="TL",1,IF(G630="USD",KURLAR!$C$9,IF(G630="EUR",KURLAR!$C$10,0))))</x:f>
      </x:c>
      <x:c r="L630" s="68" t="str">
        <x:f>IF(B630="","",I630*K630)</x:f>
      </x:c>
      <x:c r="M630" s="46"/>
      <x:c r="N630" s="52" t="str">
        <x:f>IF(B630="","",IF(OR(M630="Tahsil Edildi",M630="İptal",J630="Riskli"),"Hayır","Evet"))</x:f>
      </x:c>
    </x:row>
    <x:row r="631">
      <x:c r="B631" s="46"/>
      <x:c r="C631" s="46"/>
      <x:c r="D631" s="112"/>
      <x:c r="E631" s="112"/>
      <x:c r="F631" s="92"/>
      <x:c r="G631" s="92"/>
      <x:c r="H631" s="92"/>
      <x:c r="I631" s="93" t="str">
        <x:f>IF(B631="","",MAX(0,F631-H631))</x:f>
      </x:c>
      <x:c r="J631" s="46"/>
      <x:c r="K631" s="100" t="str">
        <x:f>IF(B631="","",IF(G631="TL",1,IF(G631="USD",KURLAR!$C$9,IF(G631="EUR",KURLAR!$C$10,0))))</x:f>
      </x:c>
      <x:c r="L631" s="68" t="str">
        <x:f>IF(B631="","",I631*K631)</x:f>
      </x:c>
      <x:c r="M631" s="46"/>
      <x:c r="N631" s="52" t="str">
        <x:f>IF(B631="","",IF(OR(M631="Tahsil Edildi",M631="İptal",J631="Riskli"),"Hayır","Evet"))</x:f>
      </x:c>
    </x:row>
    <x:row r="632">
      <x:c r="B632" s="46"/>
      <x:c r="C632" s="46"/>
      <x:c r="D632" s="112"/>
      <x:c r="E632" s="112"/>
      <x:c r="F632" s="92"/>
      <x:c r="G632" s="92"/>
      <x:c r="H632" s="92"/>
      <x:c r="I632" s="93" t="str">
        <x:f>IF(B632="","",MAX(0,F632-H632))</x:f>
      </x:c>
      <x:c r="J632" s="46"/>
      <x:c r="K632" s="100" t="str">
        <x:f>IF(B632="","",IF(G632="TL",1,IF(G632="USD",KURLAR!$C$9,IF(G632="EUR",KURLAR!$C$10,0))))</x:f>
      </x:c>
      <x:c r="L632" s="68" t="str">
        <x:f>IF(B632="","",I632*K632)</x:f>
      </x:c>
      <x:c r="M632" s="46"/>
      <x:c r="N632" s="52" t="str">
        <x:f>IF(B632="","",IF(OR(M632="Tahsil Edildi",M632="İptal",J632="Riskli"),"Hayır","Evet"))</x:f>
      </x:c>
    </x:row>
    <x:row r="633">
      <x:c r="B633" s="46"/>
      <x:c r="C633" s="46"/>
      <x:c r="D633" s="112"/>
      <x:c r="E633" s="112"/>
      <x:c r="F633" s="92"/>
      <x:c r="G633" s="92"/>
      <x:c r="H633" s="92"/>
      <x:c r="I633" s="93" t="str">
        <x:f>IF(B633="","",MAX(0,F633-H633))</x:f>
      </x:c>
      <x:c r="J633" s="46"/>
      <x:c r="K633" s="100" t="str">
        <x:f>IF(B633="","",IF(G633="TL",1,IF(G633="USD",KURLAR!$C$9,IF(G633="EUR",KURLAR!$C$10,0))))</x:f>
      </x:c>
      <x:c r="L633" s="68" t="str">
        <x:f>IF(B633="","",I633*K633)</x:f>
      </x:c>
      <x:c r="M633" s="46"/>
      <x:c r="N633" s="52" t="str">
        <x:f>IF(B633="","",IF(OR(M633="Tahsil Edildi",M633="İptal",J633="Riskli"),"Hayır","Evet"))</x:f>
      </x:c>
    </x:row>
    <x:row r="634">
      <x:c r="B634" s="46"/>
      <x:c r="C634" s="46"/>
      <x:c r="D634" s="112"/>
      <x:c r="E634" s="112"/>
      <x:c r="F634" s="92"/>
      <x:c r="G634" s="92"/>
      <x:c r="H634" s="92"/>
      <x:c r="I634" s="93" t="str">
        <x:f>IF(B634="","",MAX(0,F634-H634))</x:f>
      </x:c>
      <x:c r="J634" s="46"/>
      <x:c r="K634" s="100" t="str">
        <x:f>IF(B634="","",IF(G634="TL",1,IF(G634="USD",KURLAR!$C$9,IF(G634="EUR",KURLAR!$C$10,0))))</x:f>
      </x:c>
      <x:c r="L634" s="68" t="str">
        <x:f>IF(B634="","",I634*K634)</x:f>
      </x:c>
      <x:c r="M634" s="46"/>
      <x:c r="N634" s="52" t="str">
        <x:f>IF(B634="","",IF(OR(M634="Tahsil Edildi",M634="İptal",J634="Riskli"),"Hayır","Evet"))</x:f>
      </x:c>
    </x:row>
    <x:row r="635">
      <x:c r="B635" s="46"/>
      <x:c r="C635" s="46"/>
      <x:c r="D635" s="112"/>
      <x:c r="E635" s="112"/>
      <x:c r="F635" s="92"/>
      <x:c r="G635" s="92"/>
      <x:c r="H635" s="92"/>
      <x:c r="I635" s="93" t="str">
        <x:f>IF(B635="","",MAX(0,F635-H635))</x:f>
      </x:c>
      <x:c r="J635" s="46"/>
      <x:c r="K635" s="100" t="str">
        <x:f>IF(B635="","",IF(G635="TL",1,IF(G635="USD",KURLAR!$C$9,IF(G635="EUR",KURLAR!$C$10,0))))</x:f>
      </x:c>
      <x:c r="L635" s="68" t="str">
        <x:f>IF(B635="","",I635*K635)</x:f>
      </x:c>
      <x:c r="M635" s="46"/>
      <x:c r="N635" s="52" t="str">
        <x:f>IF(B635="","",IF(OR(M635="Tahsil Edildi",M635="İptal",J635="Riskli"),"Hayır","Evet"))</x:f>
      </x:c>
    </x:row>
    <x:row r="636">
      <x:c r="B636" s="46"/>
      <x:c r="C636" s="46"/>
      <x:c r="D636" s="112"/>
      <x:c r="E636" s="112"/>
      <x:c r="F636" s="92"/>
      <x:c r="G636" s="92"/>
      <x:c r="H636" s="92"/>
      <x:c r="I636" s="93" t="str">
        <x:f>IF(B636="","",MAX(0,F636-H636))</x:f>
      </x:c>
      <x:c r="J636" s="46"/>
      <x:c r="K636" s="100" t="str">
        <x:f>IF(B636="","",IF(G636="TL",1,IF(G636="USD",KURLAR!$C$9,IF(G636="EUR",KURLAR!$C$10,0))))</x:f>
      </x:c>
      <x:c r="L636" s="68" t="str">
        <x:f>IF(B636="","",I636*K636)</x:f>
      </x:c>
      <x:c r="M636" s="46"/>
      <x:c r="N636" s="52" t="str">
        <x:f>IF(B636="","",IF(OR(M636="Tahsil Edildi",M636="İptal",J636="Riskli"),"Hayır","Evet"))</x:f>
      </x:c>
    </x:row>
    <x:row r="637">
      <x:c r="B637" s="46"/>
      <x:c r="C637" s="46"/>
      <x:c r="D637" s="112"/>
      <x:c r="E637" s="112"/>
      <x:c r="F637" s="92"/>
      <x:c r="G637" s="92"/>
      <x:c r="H637" s="92"/>
      <x:c r="I637" s="93" t="str">
        <x:f>IF(B637="","",MAX(0,F637-H637))</x:f>
      </x:c>
      <x:c r="J637" s="46"/>
      <x:c r="K637" s="100" t="str">
        <x:f>IF(B637="","",IF(G637="TL",1,IF(G637="USD",KURLAR!$C$9,IF(G637="EUR",KURLAR!$C$10,0))))</x:f>
      </x:c>
      <x:c r="L637" s="68" t="str">
        <x:f>IF(B637="","",I637*K637)</x:f>
      </x:c>
      <x:c r="M637" s="46"/>
      <x:c r="N637" s="52" t="str">
        <x:f>IF(B637="","",IF(OR(M637="Tahsil Edildi",M637="İptal",J637="Riskli"),"Hayır","Evet"))</x:f>
      </x:c>
    </x:row>
    <x:row r="638">
      <x:c r="B638" s="46"/>
      <x:c r="C638" s="46"/>
      <x:c r="D638" s="112"/>
      <x:c r="E638" s="112"/>
      <x:c r="F638" s="92"/>
      <x:c r="G638" s="92"/>
      <x:c r="H638" s="92"/>
      <x:c r="I638" s="93" t="str">
        <x:f>IF(B638="","",MAX(0,F638-H638))</x:f>
      </x:c>
      <x:c r="J638" s="46"/>
      <x:c r="K638" s="100" t="str">
        <x:f>IF(B638="","",IF(G638="TL",1,IF(G638="USD",KURLAR!$C$9,IF(G638="EUR",KURLAR!$C$10,0))))</x:f>
      </x:c>
      <x:c r="L638" s="68" t="str">
        <x:f>IF(B638="","",I638*K638)</x:f>
      </x:c>
      <x:c r="M638" s="46"/>
      <x:c r="N638" s="52" t="str">
        <x:f>IF(B638="","",IF(OR(M638="Tahsil Edildi",M638="İptal",J638="Riskli"),"Hayır","Evet"))</x:f>
      </x:c>
    </x:row>
    <x:row r="639">
      <x:c r="B639" s="46"/>
      <x:c r="C639" s="46"/>
      <x:c r="D639" s="112"/>
      <x:c r="E639" s="112"/>
      <x:c r="F639" s="92"/>
      <x:c r="G639" s="92"/>
      <x:c r="H639" s="92"/>
      <x:c r="I639" s="93" t="str">
        <x:f>IF(B639="","",MAX(0,F639-H639))</x:f>
      </x:c>
      <x:c r="J639" s="46"/>
      <x:c r="K639" s="100" t="str">
        <x:f>IF(B639="","",IF(G639="TL",1,IF(G639="USD",KURLAR!$C$9,IF(G639="EUR",KURLAR!$C$10,0))))</x:f>
      </x:c>
      <x:c r="L639" s="68" t="str">
        <x:f>IF(B639="","",I639*K639)</x:f>
      </x:c>
      <x:c r="M639" s="46"/>
      <x:c r="N639" s="52" t="str">
        <x:f>IF(B639="","",IF(OR(M639="Tahsil Edildi",M639="İptal",J639="Riskli"),"Hayır","Evet"))</x:f>
      </x:c>
    </x:row>
    <x:row r="640">
      <x:c r="B640" s="46"/>
      <x:c r="C640" s="46"/>
      <x:c r="D640" s="112"/>
      <x:c r="E640" s="112"/>
      <x:c r="F640" s="92"/>
      <x:c r="G640" s="92"/>
      <x:c r="H640" s="92"/>
      <x:c r="I640" s="93" t="str">
        <x:f>IF(B640="","",MAX(0,F640-H640))</x:f>
      </x:c>
      <x:c r="J640" s="46"/>
      <x:c r="K640" s="100" t="str">
        <x:f>IF(B640="","",IF(G640="TL",1,IF(G640="USD",KURLAR!$C$9,IF(G640="EUR",KURLAR!$C$10,0))))</x:f>
      </x:c>
      <x:c r="L640" s="68" t="str">
        <x:f>IF(B640="","",I640*K640)</x:f>
      </x:c>
      <x:c r="M640" s="46"/>
      <x:c r="N640" s="52" t="str">
        <x:f>IF(B640="","",IF(OR(M640="Tahsil Edildi",M640="İptal",J640="Riskli"),"Hayır","Evet"))</x:f>
      </x:c>
    </x:row>
    <x:row r="641">
      <x:c r="B641" s="46"/>
      <x:c r="C641" s="46"/>
      <x:c r="D641" s="112"/>
      <x:c r="E641" s="112"/>
      <x:c r="F641" s="92"/>
      <x:c r="G641" s="92"/>
      <x:c r="H641" s="92"/>
      <x:c r="I641" s="93" t="str">
        <x:f>IF(B641="","",MAX(0,F641-H641))</x:f>
      </x:c>
      <x:c r="J641" s="46"/>
      <x:c r="K641" s="100" t="str">
        <x:f>IF(B641="","",IF(G641="TL",1,IF(G641="USD",KURLAR!$C$9,IF(G641="EUR",KURLAR!$C$10,0))))</x:f>
      </x:c>
      <x:c r="L641" s="68" t="str">
        <x:f>IF(B641="","",I641*K641)</x:f>
      </x:c>
      <x:c r="M641" s="46"/>
      <x:c r="N641" s="52" t="str">
        <x:f>IF(B641="","",IF(OR(M641="Tahsil Edildi",M641="İptal",J641="Riskli"),"Hayır","Evet"))</x:f>
      </x:c>
    </x:row>
    <x:row r="642">
      <x:c r="B642" s="46"/>
      <x:c r="C642" s="46"/>
      <x:c r="D642" s="112"/>
      <x:c r="E642" s="112"/>
      <x:c r="F642" s="92"/>
      <x:c r="G642" s="92"/>
      <x:c r="H642" s="92"/>
      <x:c r="I642" s="93" t="str">
        <x:f>IF(B642="","",MAX(0,F642-H642))</x:f>
      </x:c>
      <x:c r="J642" s="46"/>
      <x:c r="K642" s="100" t="str">
        <x:f>IF(B642="","",IF(G642="TL",1,IF(G642="USD",KURLAR!$C$9,IF(G642="EUR",KURLAR!$C$10,0))))</x:f>
      </x:c>
      <x:c r="L642" s="68" t="str">
        <x:f>IF(B642="","",I642*K642)</x:f>
      </x:c>
      <x:c r="M642" s="46"/>
      <x:c r="N642" s="52" t="str">
        <x:f>IF(B642="","",IF(OR(M642="Tahsil Edildi",M642="İptal",J642="Riskli"),"Hayır","Evet"))</x:f>
      </x:c>
    </x:row>
    <x:row r="643">
      <x:c r="B643" s="46"/>
      <x:c r="C643" s="46"/>
      <x:c r="D643" s="112"/>
      <x:c r="E643" s="112"/>
      <x:c r="F643" s="92"/>
      <x:c r="G643" s="92"/>
      <x:c r="H643" s="92"/>
      <x:c r="I643" s="93" t="str">
        <x:f>IF(B643="","",MAX(0,F643-H643))</x:f>
      </x:c>
      <x:c r="J643" s="46"/>
      <x:c r="K643" s="100" t="str">
        <x:f>IF(B643="","",IF(G643="TL",1,IF(G643="USD",KURLAR!$C$9,IF(G643="EUR",KURLAR!$C$10,0))))</x:f>
      </x:c>
      <x:c r="L643" s="68" t="str">
        <x:f>IF(B643="","",I643*K643)</x:f>
      </x:c>
      <x:c r="M643" s="46"/>
      <x:c r="N643" s="52" t="str">
        <x:f>IF(B643="","",IF(OR(M643="Tahsil Edildi",M643="İptal",J643="Riskli"),"Hayır","Evet"))</x:f>
      </x:c>
    </x:row>
    <x:row r="644">
      <x:c r="B644" s="46"/>
      <x:c r="C644" s="46"/>
      <x:c r="D644" s="112"/>
      <x:c r="E644" s="112"/>
      <x:c r="F644" s="92"/>
      <x:c r="G644" s="92"/>
      <x:c r="H644" s="92"/>
      <x:c r="I644" s="93" t="str">
        <x:f>IF(B644="","",MAX(0,F644-H644))</x:f>
      </x:c>
      <x:c r="J644" s="46"/>
      <x:c r="K644" s="100" t="str">
        <x:f>IF(B644="","",IF(G644="TL",1,IF(G644="USD",KURLAR!$C$9,IF(G644="EUR",KURLAR!$C$10,0))))</x:f>
      </x:c>
      <x:c r="L644" s="68" t="str">
        <x:f>IF(B644="","",I644*K644)</x:f>
      </x:c>
      <x:c r="M644" s="46"/>
      <x:c r="N644" s="52" t="str">
        <x:f>IF(B644="","",IF(OR(M644="Tahsil Edildi",M644="İptal",J644="Riskli"),"Hayır","Evet"))</x:f>
      </x:c>
    </x:row>
    <x:row r="645">
      <x:c r="B645" s="46"/>
      <x:c r="C645" s="46"/>
      <x:c r="D645" s="112"/>
      <x:c r="E645" s="112"/>
      <x:c r="F645" s="92"/>
      <x:c r="G645" s="92"/>
      <x:c r="H645" s="92"/>
      <x:c r="I645" s="93" t="str">
        <x:f>IF(B645="","",MAX(0,F645-H645))</x:f>
      </x:c>
      <x:c r="J645" s="46"/>
      <x:c r="K645" s="100" t="str">
        <x:f>IF(B645="","",IF(G645="TL",1,IF(G645="USD",KURLAR!$C$9,IF(G645="EUR",KURLAR!$C$10,0))))</x:f>
      </x:c>
      <x:c r="L645" s="68" t="str">
        <x:f>IF(B645="","",I645*K645)</x:f>
      </x:c>
      <x:c r="M645" s="46"/>
      <x:c r="N645" s="52" t="str">
        <x:f>IF(B645="","",IF(OR(M645="Tahsil Edildi",M645="İptal",J645="Riskli"),"Hayır","Evet"))</x:f>
      </x:c>
    </x:row>
    <x:row r="646">
      <x:c r="B646" s="46"/>
      <x:c r="C646" s="46"/>
      <x:c r="D646" s="112"/>
      <x:c r="E646" s="112"/>
      <x:c r="F646" s="92"/>
      <x:c r="G646" s="92"/>
      <x:c r="H646" s="92"/>
      <x:c r="I646" s="93" t="str">
        <x:f>IF(B646="","",MAX(0,F646-H646))</x:f>
      </x:c>
      <x:c r="J646" s="46"/>
      <x:c r="K646" s="100" t="str">
        <x:f>IF(B646="","",IF(G646="TL",1,IF(G646="USD",KURLAR!$C$9,IF(G646="EUR",KURLAR!$C$10,0))))</x:f>
      </x:c>
      <x:c r="L646" s="68" t="str">
        <x:f>IF(B646="","",I646*K646)</x:f>
      </x:c>
      <x:c r="M646" s="46"/>
      <x:c r="N646" s="52" t="str">
        <x:f>IF(B646="","",IF(OR(M646="Tahsil Edildi",M646="İptal",J646="Riskli"),"Hayır","Evet"))</x:f>
      </x:c>
    </x:row>
    <x:row r="647">
      <x:c r="B647" s="46"/>
      <x:c r="C647" s="46"/>
      <x:c r="D647" s="112"/>
      <x:c r="E647" s="112"/>
      <x:c r="F647" s="92"/>
      <x:c r="G647" s="92"/>
      <x:c r="H647" s="92"/>
      <x:c r="I647" s="93" t="str">
        <x:f>IF(B647="","",MAX(0,F647-H647))</x:f>
      </x:c>
      <x:c r="J647" s="46"/>
      <x:c r="K647" s="100" t="str">
        <x:f>IF(B647="","",IF(G647="TL",1,IF(G647="USD",KURLAR!$C$9,IF(G647="EUR",KURLAR!$C$10,0))))</x:f>
      </x:c>
      <x:c r="L647" s="68" t="str">
        <x:f>IF(B647="","",I647*K647)</x:f>
      </x:c>
      <x:c r="M647" s="46"/>
      <x:c r="N647" s="52" t="str">
        <x:f>IF(B647="","",IF(OR(M647="Tahsil Edildi",M647="İptal",J647="Riskli"),"Hayır","Evet"))</x:f>
      </x:c>
    </x:row>
    <x:row r="648">
      <x:c r="B648" s="46"/>
      <x:c r="C648" s="46"/>
      <x:c r="D648" s="112"/>
      <x:c r="E648" s="112"/>
      <x:c r="F648" s="92"/>
      <x:c r="G648" s="92"/>
      <x:c r="H648" s="92"/>
      <x:c r="I648" s="93" t="str">
        <x:f>IF(B648="","",MAX(0,F648-H648))</x:f>
      </x:c>
      <x:c r="J648" s="46"/>
      <x:c r="K648" s="100" t="str">
        <x:f>IF(B648="","",IF(G648="TL",1,IF(G648="USD",KURLAR!$C$9,IF(G648="EUR",KURLAR!$C$10,0))))</x:f>
      </x:c>
      <x:c r="L648" s="68" t="str">
        <x:f>IF(B648="","",I648*K648)</x:f>
      </x:c>
      <x:c r="M648" s="46"/>
      <x:c r="N648" s="52" t="str">
        <x:f>IF(B648="","",IF(OR(M648="Tahsil Edildi",M648="İptal",J648="Riskli"),"Hayır","Evet"))</x:f>
      </x:c>
    </x:row>
    <x:row r="649">
      <x:c r="B649" s="46"/>
      <x:c r="C649" s="46"/>
      <x:c r="D649" s="112"/>
      <x:c r="E649" s="112"/>
      <x:c r="F649" s="92"/>
      <x:c r="G649" s="92"/>
      <x:c r="H649" s="92"/>
      <x:c r="I649" s="93" t="str">
        <x:f>IF(B649="","",MAX(0,F649-H649))</x:f>
      </x:c>
      <x:c r="J649" s="46"/>
      <x:c r="K649" s="100" t="str">
        <x:f>IF(B649="","",IF(G649="TL",1,IF(G649="USD",KURLAR!$C$9,IF(G649="EUR",KURLAR!$C$10,0))))</x:f>
      </x:c>
      <x:c r="L649" s="68" t="str">
        <x:f>IF(B649="","",I649*K649)</x:f>
      </x:c>
      <x:c r="M649" s="46"/>
      <x:c r="N649" s="52" t="str">
        <x:f>IF(B649="","",IF(OR(M649="Tahsil Edildi",M649="İptal",J649="Riskli"),"Hayır","Evet"))</x:f>
      </x:c>
    </x:row>
    <x:row r="650">
      <x:c r="B650" s="46"/>
      <x:c r="C650" s="46"/>
      <x:c r="D650" s="112"/>
      <x:c r="E650" s="112"/>
      <x:c r="F650" s="92"/>
      <x:c r="G650" s="92"/>
      <x:c r="H650" s="92"/>
      <x:c r="I650" s="93" t="str">
        <x:f>IF(B650="","",MAX(0,F650-H650))</x:f>
      </x:c>
      <x:c r="J650" s="46"/>
      <x:c r="K650" s="100" t="str">
        <x:f>IF(B650="","",IF(G650="TL",1,IF(G650="USD",KURLAR!$C$9,IF(G650="EUR",KURLAR!$C$10,0))))</x:f>
      </x:c>
      <x:c r="L650" s="68" t="str">
        <x:f>IF(B650="","",I650*K650)</x:f>
      </x:c>
      <x:c r="M650" s="46"/>
      <x:c r="N650" s="52" t="str">
        <x:f>IF(B650="","",IF(OR(M650="Tahsil Edildi",M650="İptal",J650="Riskli"),"Hayır","Evet"))</x:f>
      </x:c>
    </x:row>
    <x:row r="651">
      <x:c r="B651" s="46"/>
      <x:c r="C651" s="46"/>
      <x:c r="D651" s="112"/>
      <x:c r="E651" s="112"/>
      <x:c r="F651" s="92"/>
      <x:c r="G651" s="92"/>
      <x:c r="H651" s="92"/>
      <x:c r="I651" s="93" t="str">
        <x:f>IF(B651="","",MAX(0,F651-H651))</x:f>
      </x:c>
      <x:c r="J651" s="46"/>
      <x:c r="K651" s="100" t="str">
        <x:f>IF(B651="","",IF(G651="TL",1,IF(G651="USD",KURLAR!$C$9,IF(G651="EUR",KURLAR!$C$10,0))))</x:f>
      </x:c>
      <x:c r="L651" s="68" t="str">
        <x:f>IF(B651="","",I651*K651)</x:f>
      </x:c>
      <x:c r="M651" s="46"/>
      <x:c r="N651" s="52" t="str">
        <x:f>IF(B651="","",IF(OR(M651="Tahsil Edildi",M651="İptal",J651="Riskli"),"Hayır","Evet"))</x:f>
      </x:c>
    </x:row>
    <x:row r="652">
      <x:c r="B652" s="46"/>
      <x:c r="C652" s="46"/>
      <x:c r="D652" s="112"/>
      <x:c r="E652" s="112"/>
      <x:c r="F652" s="92"/>
      <x:c r="G652" s="92"/>
      <x:c r="H652" s="92"/>
      <x:c r="I652" s="93" t="str">
        <x:f>IF(B652="","",MAX(0,F652-H652))</x:f>
      </x:c>
      <x:c r="J652" s="46"/>
      <x:c r="K652" s="100" t="str">
        <x:f>IF(B652="","",IF(G652="TL",1,IF(G652="USD",KURLAR!$C$9,IF(G652="EUR",KURLAR!$C$10,0))))</x:f>
      </x:c>
      <x:c r="L652" s="68" t="str">
        <x:f>IF(B652="","",I652*K652)</x:f>
      </x:c>
      <x:c r="M652" s="46"/>
      <x:c r="N652" s="52" t="str">
        <x:f>IF(B652="","",IF(OR(M652="Tahsil Edildi",M652="İptal",J652="Riskli"),"Hayır","Evet"))</x:f>
      </x:c>
    </x:row>
    <x:row r="653">
      <x:c r="B653" s="46"/>
      <x:c r="C653" s="46"/>
      <x:c r="D653" s="112"/>
      <x:c r="E653" s="112"/>
      <x:c r="F653" s="92"/>
      <x:c r="G653" s="92"/>
      <x:c r="H653" s="92"/>
      <x:c r="I653" s="93" t="str">
        <x:f>IF(B653="","",MAX(0,F653-H653))</x:f>
      </x:c>
      <x:c r="J653" s="46"/>
      <x:c r="K653" s="100" t="str">
        <x:f>IF(B653="","",IF(G653="TL",1,IF(G653="USD",KURLAR!$C$9,IF(G653="EUR",KURLAR!$C$10,0))))</x:f>
      </x:c>
      <x:c r="L653" s="68" t="str">
        <x:f>IF(B653="","",I653*K653)</x:f>
      </x:c>
      <x:c r="M653" s="46"/>
      <x:c r="N653" s="52" t="str">
        <x:f>IF(B653="","",IF(OR(M653="Tahsil Edildi",M653="İptal",J653="Riskli"),"Hayır","Evet"))</x:f>
      </x:c>
    </x:row>
    <x:row r="654">
      <x:c r="B654" s="46"/>
      <x:c r="C654" s="46"/>
      <x:c r="D654" s="112"/>
      <x:c r="E654" s="112"/>
      <x:c r="F654" s="92"/>
      <x:c r="G654" s="92"/>
      <x:c r="H654" s="92"/>
      <x:c r="I654" s="93" t="str">
        <x:f>IF(B654="","",MAX(0,F654-H654))</x:f>
      </x:c>
      <x:c r="J654" s="46"/>
      <x:c r="K654" s="100" t="str">
        <x:f>IF(B654="","",IF(G654="TL",1,IF(G654="USD",KURLAR!$C$9,IF(G654="EUR",KURLAR!$C$10,0))))</x:f>
      </x:c>
      <x:c r="L654" s="68" t="str">
        <x:f>IF(B654="","",I654*K654)</x:f>
      </x:c>
      <x:c r="M654" s="46"/>
      <x:c r="N654" s="52" t="str">
        <x:f>IF(B654="","",IF(OR(M654="Tahsil Edildi",M654="İptal",J654="Riskli"),"Hayır","Evet"))</x:f>
      </x:c>
    </x:row>
    <x:row r="655">
      <x:c r="B655" s="46"/>
      <x:c r="C655" s="46"/>
      <x:c r="D655" s="112"/>
      <x:c r="E655" s="112"/>
      <x:c r="F655" s="92"/>
      <x:c r="G655" s="92"/>
      <x:c r="H655" s="92"/>
      <x:c r="I655" s="93" t="str">
        <x:f>IF(B655="","",MAX(0,F655-H655))</x:f>
      </x:c>
      <x:c r="J655" s="46"/>
      <x:c r="K655" s="100" t="str">
        <x:f>IF(B655="","",IF(G655="TL",1,IF(G655="USD",KURLAR!$C$9,IF(G655="EUR",KURLAR!$C$10,0))))</x:f>
      </x:c>
      <x:c r="L655" s="68" t="str">
        <x:f>IF(B655="","",I655*K655)</x:f>
      </x:c>
      <x:c r="M655" s="46"/>
      <x:c r="N655" s="52" t="str">
        <x:f>IF(B655="","",IF(OR(M655="Tahsil Edildi",M655="İptal",J655="Riskli"),"Hayır","Evet"))</x:f>
      </x:c>
    </x:row>
    <x:row r="656">
      <x:c r="B656" s="46"/>
      <x:c r="C656" s="46"/>
      <x:c r="D656" s="112"/>
      <x:c r="E656" s="112"/>
      <x:c r="F656" s="92"/>
      <x:c r="G656" s="92"/>
      <x:c r="H656" s="92"/>
      <x:c r="I656" s="93" t="str">
        <x:f>IF(B656="","",MAX(0,F656-H656))</x:f>
      </x:c>
      <x:c r="J656" s="46"/>
      <x:c r="K656" s="100" t="str">
        <x:f>IF(B656="","",IF(G656="TL",1,IF(G656="USD",KURLAR!$C$9,IF(G656="EUR",KURLAR!$C$10,0))))</x:f>
      </x:c>
      <x:c r="L656" s="68" t="str">
        <x:f>IF(B656="","",I656*K656)</x:f>
      </x:c>
      <x:c r="M656" s="46"/>
      <x:c r="N656" s="52" t="str">
        <x:f>IF(B656="","",IF(OR(M656="Tahsil Edildi",M656="İptal",J656="Riskli"),"Hayır","Evet"))</x:f>
      </x:c>
    </x:row>
    <x:row r="657">
      <x:c r="B657" s="46"/>
      <x:c r="C657" s="46"/>
      <x:c r="D657" s="112"/>
      <x:c r="E657" s="112"/>
      <x:c r="F657" s="92"/>
      <x:c r="G657" s="92"/>
      <x:c r="H657" s="92"/>
      <x:c r="I657" s="93" t="str">
        <x:f>IF(B657="","",MAX(0,F657-H657))</x:f>
      </x:c>
      <x:c r="J657" s="46"/>
      <x:c r="K657" s="100" t="str">
        <x:f>IF(B657="","",IF(G657="TL",1,IF(G657="USD",KURLAR!$C$9,IF(G657="EUR",KURLAR!$C$10,0))))</x:f>
      </x:c>
      <x:c r="L657" s="68" t="str">
        <x:f>IF(B657="","",I657*K657)</x:f>
      </x:c>
      <x:c r="M657" s="46"/>
      <x:c r="N657" s="52" t="str">
        <x:f>IF(B657="","",IF(OR(M657="Tahsil Edildi",M657="İptal",J657="Riskli"),"Hayır","Evet"))</x:f>
      </x:c>
    </x:row>
    <x:row r="658">
      <x:c r="B658" s="46"/>
      <x:c r="C658" s="46"/>
      <x:c r="D658" s="112"/>
      <x:c r="E658" s="112"/>
      <x:c r="F658" s="92"/>
      <x:c r="G658" s="92"/>
      <x:c r="H658" s="92"/>
      <x:c r="I658" s="93" t="str">
        <x:f>IF(B658="","",MAX(0,F658-H658))</x:f>
      </x:c>
      <x:c r="J658" s="46"/>
      <x:c r="K658" s="100" t="str">
        <x:f>IF(B658="","",IF(G658="TL",1,IF(G658="USD",KURLAR!$C$9,IF(G658="EUR",KURLAR!$C$10,0))))</x:f>
      </x:c>
      <x:c r="L658" s="68" t="str">
        <x:f>IF(B658="","",I658*K658)</x:f>
      </x:c>
      <x:c r="M658" s="46"/>
      <x:c r="N658" s="52" t="str">
        <x:f>IF(B658="","",IF(OR(M658="Tahsil Edildi",M658="İptal",J658="Riskli"),"Hayır","Evet"))</x:f>
      </x:c>
    </x:row>
    <x:row r="659">
      <x:c r="B659" s="46"/>
      <x:c r="C659" s="46"/>
      <x:c r="D659" s="112"/>
      <x:c r="E659" s="112"/>
      <x:c r="F659" s="92"/>
      <x:c r="G659" s="92"/>
      <x:c r="H659" s="92"/>
      <x:c r="I659" s="93" t="str">
        <x:f>IF(B659="","",MAX(0,F659-H659))</x:f>
      </x:c>
      <x:c r="J659" s="46"/>
      <x:c r="K659" s="100" t="str">
        <x:f>IF(B659="","",IF(G659="TL",1,IF(G659="USD",KURLAR!$C$9,IF(G659="EUR",KURLAR!$C$10,0))))</x:f>
      </x:c>
      <x:c r="L659" s="68" t="str">
        <x:f>IF(B659="","",I659*K659)</x:f>
      </x:c>
      <x:c r="M659" s="46"/>
      <x:c r="N659" s="52" t="str">
        <x:f>IF(B659="","",IF(OR(M659="Tahsil Edildi",M659="İptal",J659="Riskli"),"Hayır","Evet"))</x:f>
      </x:c>
    </x:row>
    <x:row r="660">
      <x:c r="B660" s="46"/>
      <x:c r="C660" s="46"/>
      <x:c r="D660" s="112"/>
      <x:c r="E660" s="112"/>
      <x:c r="F660" s="92"/>
      <x:c r="G660" s="92"/>
      <x:c r="H660" s="92"/>
      <x:c r="I660" s="93" t="str">
        <x:f>IF(B660="","",MAX(0,F660-H660))</x:f>
      </x:c>
      <x:c r="J660" s="46"/>
      <x:c r="K660" s="100" t="str">
        <x:f>IF(B660="","",IF(G660="TL",1,IF(G660="USD",KURLAR!$C$9,IF(G660="EUR",KURLAR!$C$10,0))))</x:f>
      </x:c>
      <x:c r="L660" s="68" t="str">
        <x:f>IF(B660="","",I660*K660)</x:f>
      </x:c>
      <x:c r="M660" s="46"/>
      <x:c r="N660" s="52" t="str">
        <x:f>IF(B660="","",IF(OR(M660="Tahsil Edildi",M660="İptal",J660="Riskli"),"Hayır","Evet"))</x:f>
      </x:c>
    </x:row>
    <x:row r="661">
      <x:c r="B661" s="46"/>
      <x:c r="C661" s="46"/>
      <x:c r="D661" s="112"/>
      <x:c r="E661" s="112"/>
      <x:c r="F661" s="92"/>
      <x:c r="G661" s="92"/>
      <x:c r="H661" s="92"/>
      <x:c r="I661" s="93" t="str">
        <x:f>IF(B661="","",MAX(0,F661-H661))</x:f>
      </x:c>
      <x:c r="J661" s="46"/>
      <x:c r="K661" s="100" t="str">
        <x:f>IF(B661="","",IF(G661="TL",1,IF(G661="USD",KURLAR!$C$9,IF(G661="EUR",KURLAR!$C$10,0))))</x:f>
      </x:c>
      <x:c r="L661" s="68" t="str">
        <x:f>IF(B661="","",I661*K661)</x:f>
      </x:c>
      <x:c r="M661" s="46"/>
      <x:c r="N661" s="52" t="str">
        <x:f>IF(B661="","",IF(OR(M661="Tahsil Edildi",M661="İptal",J661="Riskli"),"Hayır","Evet"))</x:f>
      </x:c>
    </x:row>
    <x:row r="662">
      <x:c r="B662" s="46"/>
      <x:c r="C662" s="46"/>
      <x:c r="D662" s="112"/>
      <x:c r="E662" s="112"/>
      <x:c r="F662" s="92"/>
      <x:c r="G662" s="92"/>
      <x:c r="H662" s="92"/>
      <x:c r="I662" s="93" t="str">
        <x:f>IF(B662="","",MAX(0,F662-H662))</x:f>
      </x:c>
      <x:c r="J662" s="46"/>
      <x:c r="K662" s="100" t="str">
        <x:f>IF(B662="","",IF(G662="TL",1,IF(G662="USD",KURLAR!$C$9,IF(G662="EUR",KURLAR!$C$10,0))))</x:f>
      </x:c>
      <x:c r="L662" s="68" t="str">
        <x:f>IF(B662="","",I662*K662)</x:f>
      </x:c>
      <x:c r="M662" s="46"/>
      <x:c r="N662" s="52" t="str">
        <x:f>IF(B662="","",IF(OR(M662="Tahsil Edildi",M662="İptal",J662="Riskli"),"Hayır","Evet"))</x:f>
      </x:c>
    </x:row>
    <x:row r="663">
      <x:c r="B663" s="46"/>
      <x:c r="C663" s="46"/>
      <x:c r="D663" s="112"/>
      <x:c r="E663" s="112"/>
      <x:c r="F663" s="92"/>
      <x:c r="G663" s="92"/>
      <x:c r="H663" s="92"/>
      <x:c r="I663" s="93" t="str">
        <x:f>IF(B663="","",MAX(0,F663-H663))</x:f>
      </x:c>
      <x:c r="J663" s="46"/>
      <x:c r="K663" s="100" t="str">
        <x:f>IF(B663="","",IF(G663="TL",1,IF(G663="USD",KURLAR!$C$9,IF(G663="EUR",KURLAR!$C$10,0))))</x:f>
      </x:c>
      <x:c r="L663" s="68" t="str">
        <x:f>IF(B663="","",I663*K663)</x:f>
      </x:c>
      <x:c r="M663" s="46"/>
      <x:c r="N663" s="52" t="str">
        <x:f>IF(B663="","",IF(OR(M663="Tahsil Edildi",M663="İptal",J663="Riskli"),"Hayır","Evet"))</x:f>
      </x:c>
    </x:row>
    <x:row r="664">
      <x:c r="B664" s="46"/>
      <x:c r="C664" s="46"/>
      <x:c r="D664" s="112"/>
      <x:c r="E664" s="112"/>
      <x:c r="F664" s="92"/>
      <x:c r="G664" s="92"/>
      <x:c r="H664" s="92"/>
      <x:c r="I664" s="93" t="str">
        <x:f>IF(B664="","",MAX(0,F664-H664))</x:f>
      </x:c>
      <x:c r="J664" s="46"/>
      <x:c r="K664" s="100" t="str">
        <x:f>IF(B664="","",IF(G664="TL",1,IF(G664="USD",KURLAR!$C$9,IF(G664="EUR",KURLAR!$C$10,0))))</x:f>
      </x:c>
      <x:c r="L664" s="68" t="str">
        <x:f>IF(B664="","",I664*K664)</x:f>
      </x:c>
      <x:c r="M664" s="46"/>
      <x:c r="N664" s="52" t="str">
        <x:f>IF(B664="","",IF(OR(M664="Tahsil Edildi",M664="İptal",J664="Riskli"),"Hayır","Evet"))</x:f>
      </x:c>
    </x:row>
    <x:row r="665">
      <x:c r="B665" s="46"/>
      <x:c r="C665" s="46"/>
      <x:c r="D665" s="112"/>
      <x:c r="E665" s="112"/>
      <x:c r="F665" s="92"/>
      <x:c r="G665" s="92"/>
      <x:c r="H665" s="92"/>
      <x:c r="I665" s="93" t="str">
        <x:f>IF(B665="","",MAX(0,F665-H665))</x:f>
      </x:c>
      <x:c r="J665" s="46"/>
      <x:c r="K665" s="100" t="str">
        <x:f>IF(B665="","",IF(G665="TL",1,IF(G665="USD",KURLAR!$C$9,IF(G665="EUR",KURLAR!$C$10,0))))</x:f>
      </x:c>
      <x:c r="L665" s="68" t="str">
        <x:f>IF(B665="","",I665*K665)</x:f>
      </x:c>
      <x:c r="M665" s="46"/>
      <x:c r="N665" s="52" t="str">
        <x:f>IF(B665="","",IF(OR(M665="Tahsil Edildi",M665="İptal",J665="Riskli"),"Hayır","Evet"))</x:f>
      </x:c>
    </x:row>
    <x:row r="666">
      <x:c r="B666" s="46"/>
      <x:c r="C666" s="46"/>
      <x:c r="D666" s="112"/>
      <x:c r="E666" s="112"/>
      <x:c r="F666" s="92"/>
      <x:c r="G666" s="92"/>
      <x:c r="H666" s="92"/>
      <x:c r="I666" s="93" t="str">
        <x:f>IF(B666="","",MAX(0,F666-H666))</x:f>
      </x:c>
      <x:c r="J666" s="46"/>
      <x:c r="K666" s="100" t="str">
        <x:f>IF(B666="","",IF(G666="TL",1,IF(G666="USD",KURLAR!$C$9,IF(G666="EUR",KURLAR!$C$10,0))))</x:f>
      </x:c>
      <x:c r="L666" s="68" t="str">
        <x:f>IF(B666="","",I666*K666)</x:f>
      </x:c>
      <x:c r="M666" s="46"/>
      <x:c r="N666" s="52" t="str">
        <x:f>IF(B666="","",IF(OR(M666="Tahsil Edildi",M666="İptal",J666="Riskli"),"Hayır","Evet"))</x:f>
      </x:c>
    </x:row>
    <x:row r="667">
      <x:c r="B667" s="46"/>
      <x:c r="C667" s="46"/>
      <x:c r="D667" s="112"/>
      <x:c r="E667" s="112"/>
      <x:c r="F667" s="92"/>
      <x:c r="G667" s="92"/>
      <x:c r="H667" s="92"/>
      <x:c r="I667" s="93" t="str">
        <x:f>IF(B667="","",MAX(0,F667-H667))</x:f>
      </x:c>
      <x:c r="J667" s="46"/>
      <x:c r="K667" s="100" t="str">
        <x:f>IF(B667="","",IF(G667="TL",1,IF(G667="USD",KURLAR!$C$9,IF(G667="EUR",KURLAR!$C$10,0))))</x:f>
      </x:c>
      <x:c r="L667" s="68" t="str">
        <x:f>IF(B667="","",I667*K667)</x:f>
      </x:c>
      <x:c r="M667" s="46"/>
      <x:c r="N667" s="52" t="str">
        <x:f>IF(B667="","",IF(OR(M667="Tahsil Edildi",M667="İptal",J667="Riskli"),"Hayır","Evet"))</x:f>
      </x:c>
    </x:row>
    <x:row r="668">
      <x:c r="B668" s="46"/>
      <x:c r="C668" s="46"/>
      <x:c r="D668" s="112"/>
      <x:c r="E668" s="112"/>
      <x:c r="F668" s="92"/>
      <x:c r="G668" s="92"/>
      <x:c r="H668" s="92"/>
      <x:c r="I668" s="93" t="str">
        <x:f>IF(B668="","",MAX(0,F668-H668))</x:f>
      </x:c>
      <x:c r="J668" s="46"/>
      <x:c r="K668" s="100" t="str">
        <x:f>IF(B668="","",IF(G668="TL",1,IF(G668="USD",KURLAR!$C$9,IF(G668="EUR",KURLAR!$C$10,0))))</x:f>
      </x:c>
      <x:c r="L668" s="68" t="str">
        <x:f>IF(B668="","",I668*K668)</x:f>
      </x:c>
      <x:c r="M668" s="46"/>
      <x:c r="N668" s="52" t="str">
        <x:f>IF(B668="","",IF(OR(M668="Tahsil Edildi",M668="İptal",J668="Riskli"),"Hayır","Evet"))</x:f>
      </x:c>
    </x:row>
    <x:row r="669">
      <x:c r="B669" s="46"/>
      <x:c r="C669" s="46"/>
      <x:c r="D669" s="112"/>
      <x:c r="E669" s="112"/>
      <x:c r="F669" s="92"/>
      <x:c r="G669" s="92"/>
      <x:c r="H669" s="92"/>
      <x:c r="I669" s="93" t="str">
        <x:f>IF(B669="","",MAX(0,F669-H669))</x:f>
      </x:c>
      <x:c r="J669" s="46"/>
      <x:c r="K669" s="100" t="str">
        <x:f>IF(B669="","",IF(G669="TL",1,IF(G669="USD",KURLAR!$C$9,IF(G669="EUR",KURLAR!$C$10,0))))</x:f>
      </x:c>
      <x:c r="L669" s="68" t="str">
        <x:f>IF(B669="","",I669*K669)</x:f>
      </x:c>
      <x:c r="M669" s="46"/>
      <x:c r="N669" s="52" t="str">
        <x:f>IF(B669="","",IF(OR(M669="Tahsil Edildi",M669="İptal",J669="Riskli"),"Hayır","Evet"))</x:f>
      </x:c>
    </x:row>
    <x:row r="670">
      <x:c r="B670" s="46"/>
      <x:c r="C670" s="46"/>
      <x:c r="D670" s="112"/>
      <x:c r="E670" s="112"/>
      <x:c r="F670" s="92"/>
      <x:c r="G670" s="92"/>
      <x:c r="H670" s="92"/>
      <x:c r="I670" s="93" t="str">
        <x:f>IF(B670="","",MAX(0,F670-H670))</x:f>
      </x:c>
      <x:c r="J670" s="46"/>
      <x:c r="K670" s="100" t="str">
        <x:f>IF(B670="","",IF(G670="TL",1,IF(G670="USD",KURLAR!$C$9,IF(G670="EUR",KURLAR!$C$10,0))))</x:f>
      </x:c>
      <x:c r="L670" s="68" t="str">
        <x:f>IF(B670="","",I670*K670)</x:f>
      </x:c>
      <x:c r="M670" s="46"/>
      <x:c r="N670" s="52" t="str">
        <x:f>IF(B670="","",IF(OR(M670="Tahsil Edildi",M670="İptal",J670="Riskli"),"Hayır","Evet"))</x:f>
      </x:c>
    </x:row>
    <x:row r="671">
      <x:c r="B671" s="46"/>
      <x:c r="C671" s="46"/>
      <x:c r="D671" s="112"/>
      <x:c r="E671" s="112"/>
      <x:c r="F671" s="92"/>
      <x:c r="G671" s="92"/>
      <x:c r="H671" s="92"/>
      <x:c r="I671" s="93" t="str">
        <x:f>IF(B671="","",MAX(0,F671-H671))</x:f>
      </x:c>
      <x:c r="J671" s="46"/>
      <x:c r="K671" s="100" t="str">
        <x:f>IF(B671="","",IF(G671="TL",1,IF(G671="USD",KURLAR!$C$9,IF(G671="EUR",KURLAR!$C$10,0))))</x:f>
      </x:c>
      <x:c r="L671" s="68" t="str">
        <x:f>IF(B671="","",I671*K671)</x:f>
      </x:c>
      <x:c r="M671" s="46"/>
      <x:c r="N671" s="52" t="str">
        <x:f>IF(B671="","",IF(OR(M671="Tahsil Edildi",M671="İptal",J671="Riskli"),"Hayır","Evet"))</x:f>
      </x:c>
    </x:row>
    <x:row r="672">
      <x:c r="B672" s="46"/>
      <x:c r="C672" s="46"/>
      <x:c r="D672" s="112"/>
      <x:c r="E672" s="112"/>
      <x:c r="F672" s="92"/>
      <x:c r="G672" s="92"/>
      <x:c r="H672" s="92"/>
      <x:c r="I672" s="93" t="str">
        <x:f>IF(B672="","",MAX(0,F672-H672))</x:f>
      </x:c>
      <x:c r="J672" s="46"/>
      <x:c r="K672" s="100" t="str">
        <x:f>IF(B672="","",IF(G672="TL",1,IF(G672="USD",KURLAR!$C$9,IF(G672="EUR",KURLAR!$C$10,0))))</x:f>
      </x:c>
      <x:c r="L672" s="68" t="str">
        <x:f>IF(B672="","",I672*K672)</x:f>
      </x:c>
      <x:c r="M672" s="46"/>
      <x:c r="N672" s="52" t="str">
        <x:f>IF(B672="","",IF(OR(M672="Tahsil Edildi",M672="İptal",J672="Riskli"),"Hayır","Evet"))</x:f>
      </x:c>
    </x:row>
    <x:row r="673">
      <x:c r="B673" s="46"/>
      <x:c r="C673" s="46"/>
      <x:c r="D673" s="112"/>
      <x:c r="E673" s="112"/>
      <x:c r="F673" s="92"/>
      <x:c r="G673" s="92"/>
      <x:c r="H673" s="92"/>
      <x:c r="I673" s="93" t="str">
        <x:f>IF(B673="","",MAX(0,F673-H673))</x:f>
      </x:c>
      <x:c r="J673" s="46"/>
      <x:c r="K673" s="100" t="str">
        <x:f>IF(B673="","",IF(G673="TL",1,IF(G673="USD",KURLAR!$C$9,IF(G673="EUR",KURLAR!$C$10,0))))</x:f>
      </x:c>
      <x:c r="L673" s="68" t="str">
        <x:f>IF(B673="","",I673*K673)</x:f>
      </x:c>
      <x:c r="M673" s="46"/>
      <x:c r="N673" s="52" t="str">
        <x:f>IF(B673="","",IF(OR(M673="Tahsil Edildi",M673="İptal",J673="Riskli"),"Hayır","Evet"))</x:f>
      </x:c>
    </x:row>
    <x:row r="674">
      <x:c r="B674" s="46"/>
      <x:c r="C674" s="46"/>
      <x:c r="D674" s="112"/>
      <x:c r="E674" s="112"/>
      <x:c r="F674" s="92"/>
      <x:c r="G674" s="92"/>
      <x:c r="H674" s="92"/>
      <x:c r="I674" s="93" t="str">
        <x:f>IF(B674="","",MAX(0,F674-H674))</x:f>
      </x:c>
      <x:c r="J674" s="46"/>
      <x:c r="K674" s="100" t="str">
        <x:f>IF(B674="","",IF(G674="TL",1,IF(G674="USD",KURLAR!$C$9,IF(G674="EUR",KURLAR!$C$10,0))))</x:f>
      </x:c>
      <x:c r="L674" s="68" t="str">
        <x:f>IF(B674="","",I674*K674)</x:f>
      </x:c>
      <x:c r="M674" s="46"/>
      <x:c r="N674" s="52" t="str">
        <x:f>IF(B674="","",IF(OR(M674="Tahsil Edildi",M674="İptal",J674="Riskli"),"Hayır","Evet"))</x:f>
      </x:c>
    </x:row>
    <x:row r="675">
      <x:c r="B675" s="46"/>
      <x:c r="C675" s="46"/>
      <x:c r="D675" s="112"/>
      <x:c r="E675" s="112"/>
      <x:c r="F675" s="92"/>
      <x:c r="G675" s="92"/>
      <x:c r="H675" s="92"/>
      <x:c r="I675" s="93" t="str">
        <x:f>IF(B675="","",MAX(0,F675-H675))</x:f>
      </x:c>
      <x:c r="J675" s="46"/>
      <x:c r="K675" s="100" t="str">
        <x:f>IF(B675="","",IF(G675="TL",1,IF(G675="USD",KURLAR!$C$9,IF(G675="EUR",KURLAR!$C$10,0))))</x:f>
      </x:c>
      <x:c r="L675" s="68" t="str">
        <x:f>IF(B675="","",I675*K675)</x:f>
      </x:c>
      <x:c r="M675" s="46"/>
      <x:c r="N675" s="52" t="str">
        <x:f>IF(B675="","",IF(OR(M675="Tahsil Edildi",M675="İptal",J675="Riskli"),"Hayır","Evet"))</x:f>
      </x:c>
    </x:row>
    <x:row r="676">
      <x:c r="B676" s="46"/>
      <x:c r="C676" s="46"/>
      <x:c r="D676" s="112"/>
      <x:c r="E676" s="112"/>
      <x:c r="F676" s="92"/>
      <x:c r="G676" s="92"/>
      <x:c r="H676" s="92"/>
      <x:c r="I676" s="93" t="str">
        <x:f>IF(B676="","",MAX(0,F676-H676))</x:f>
      </x:c>
      <x:c r="J676" s="46"/>
      <x:c r="K676" s="100" t="str">
        <x:f>IF(B676="","",IF(G676="TL",1,IF(G676="USD",KURLAR!$C$9,IF(G676="EUR",KURLAR!$C$10,0))))</x:f>
      </x:c>
      <x:c r="L676" s="68" t="str">
        <x:f>IF(B676="","",I676*K676)</x:f>
      </x:c>
      <x:c r="M676" s="46"/>
      <x:c r="N676" s="52" t="str">
        <x:f>IF(B676="","",IF(OR(M676="Tahsil Edildi",M676="İptal",J676="Riskli"),"Hayır","Evet"))</x:f>
      </x:c>
    </x:row>
    <x:row r="677">
      <x:c r="B677" s="46"/>
      <x:c r="C677" s="46"/>
      <x:c r="D677" s="112"/>
      <x:c r="E677" s="112"/>
      <x:c r="F677" s="92"/>
      <x:c r="G677" s="92"/>
      <x:c r="H677" s="92"/>
      <x:c r="I677" s="93" t="str">
        <x:f>IF(B677="","",MAX(0,F677-H677))</x:f>
      </x:c>
      <x:c r="J677" s="46"/>
      <x:c r="K677" s="100" t="str">
        <x:f>IF(B677="","",IF(G677="TL",1,IF(G677="USD",KURLAR!$C$9,IF(G677="EUR",KURLAR!$C$10,0))))</x:f>
      </x:c>
      <x:c r="L677" s="68" t="str">
        <x:f>IF(B677="","",I677*K677)</x:f>
      </x:c>
      <x:c r="M677" s="46"/>
      <x:c r="N677" s="52" t="str">
        <x:f>IF(B677="","",IF(OR(M677="Tahsil Edildi",M677="İptal",J677="Riskli"),"Hayır","Evet"))</x:f>
      </x:c>
    </x:row>
    <x:row r="678">
      <x:c r="B678" s="46"/>
      <x:c r="C678" s="46"/>
      <x:c r="D678" s="112"/>
      <x:c r="E678" s="112"/>
      <x:c r="F678" s="92"/>
      <x:c r="G678" s="92"/>
      <x:c r="H678" s="92"/>
      <x:c r="I678" s="93" t="str">
        <x:f>IF(B678="","",MAX(0,F678-H678))</x:f>
      </x:c>
      <x:c r="J678" s="46"/>
      <x:c r="K678" s="100" t="str">
        <x:f>IF(B678="","",IF(G678="TL",1,IF(G678="USD",KURLAR!$C$9,IF(G678="EUR",KURLAR!$C$10,0))))</x:f>
      </x:c>
      <x:c r="L678" s="68" t="str">
        <x:f>IF(B678="","",I678*K678)</x:f>
      </x:c>
      <x:c r="M678" s="46"/>
      <x:c r="N678" s="52" t="str">
        <x:f>IF(B678="","",IF(OR(M678="Tahsil Edildi",M678="İptal",J678="Riskli"),"Hayır","Evet"))</x:f>
      </x:c>
    </x:row>
    <x:row r="679">
      <x:c r="B679" s="46"/>
      <x:c r="C679" s="46"/>
      <x:c r="D679" s="112"/>
      <x:c r="E679" s="112"/>
      <x:c r="F679" s="92"/>
      <x:c r="G679" s="92"/>
      <x:c r="H679" s="92"/>
      <x:c r="I679" s="93" t="str">
        <x:f>IF(B679="","",MAX(0,F679-H679))</x:f>
      </x:c>
      <x:c r="J679" s="46"/>
      <x:c r="K679" s="100" t="str">
        <x:f>IF(B679="","",IF(G679="TL",1,IF(G679="USD",KURLAR!$C$9,IF(G679="EUR",KURLAR!$C$10,0))))</x:f>
      </x:c>
      <x:c r="L679" s="68" t="str">
        <x:f>IF(B679="","",I679*K679)</x:f>
      </x:c>
      <x:c r="M679" s="46"/>
      <x:c r="N679" s="52" t="str">
        <x:f>IF(B679="","",IF(OR(M679="Tahsil Edildi",M679="İptal",J679="Riskli"),"Hayır","Evet"))</x:f>
      </x:c>
    </x:row>
    <x:row r="680">
      <x:c r="B680" s="46"/>
      <x:c r="C680" s="46"/>
      <x:c r="D680" s="112"/>
      <x:c r="E680" s="112"/>
      <x:c r="F680" s="92"/>
      <x:c r="G680" s="92"/>
      <x:c r="H680" s="92"/>
      <x:c r="I680" s="93" t="str">
        <x:f>IF(B680="","",MAX(0,F680-H680))</x:f>
      </x:c>
      <x:c r="J680" s="46"/>
      <x:c r="K680" s="100" t="str">
        <x:f>IF(B680="","",IF(G680="TL",1,IF(G680="USD",KURLAR!$C$9,IF(G680="EUR",KURLAR!$C$10,0))))</x:f>
      </x:c>
      <x:c r="L680" s="68" t="str">
        <x:f>IF(B680="","",I680*K680)</x:f>
      </x:c>
      <x:c r="M680" s="46"/>
      <x:c r="N680" s="52" t="str">
        <x:f>IF(B680="","",IF(OR(M680="Tahsil Edildi",M680="İptal",J680="Riskli"),"Hayır","Evet"))</x:f>
      </x:c>
    </x:row>
    <x:row r="681">
      <x:c r="B681" s="46"/>
      <x:c r="C681" s="46"/>
      <x:c r="D681" s="112"/>
      <x:c r="E681" s="112"/>
      <x:c r="F681" s="92"/>
      <x:c r="G681" s="92"/>
      <x:c r="H681" s="92"/>
      <x:c r="I681" s="93" t="str">
        <x:f>IF(B681="","",MAX(0,F681-H681))</x:f>
      </x:c>
      <x:c r="J681" s="46"/>
      <x:c r="K681" s="100" t="str">
        <x:f>IF(B681="","",IF(G681="TL",1,IF(G681="USD",KURLAR!$C$9,IF(G681="EUR",KURLAR!$C$10,0))))</x:f>
      </x:c>
      <x:c r="L681" s="68" t="str">
        <x:f>IF(B681="","",I681*K681)</x:f>
      </x:c>
      <x:c r="M681" s="46"/>
      <x:c r="N681" s="52" t="str">
        <x:f>IF(B681="","",IF(OR(M681="Tahsil Edildi",M681="İptal",J681="Riskli"),"Hayır","Evet"))</x:f>
      </x:c>
    </x:row>
    <x:row r="682">
      <x:c r="B682" s="46"/>
      <x:c r="C682" s="46"/>
      <x:c r="D682" s="112"/>
      <x:c r="E682" s="112"/>
      <x:c r="F682" s="92"/>
      <x:c r="G682" s="92"/>
      <x:c r="H682" s="92"/>
      <x:c r="I682" s="93" t="str">
        <x:f>IF(B682="","",MAX(0,F682-H682))</x:f>
      </x:c>
      <x:c r="J682" s="46"/>
      <x:c r="K682" s="100" t="str">
        <x:f>IF(B682="","",IF(G682="TL",1,IF(G682="USD",KURLAR!$C$9,IF(G682="EUR",KURLAR!$C$10,0))))</x:f>
      </x:c>
      <x:c r="L682" s="68" t="str">
        <x:f>IF(B682="","",I682*K682)</x:f>
      </x:c>
      <x:c r="M682" s="46"/>
      <x:c r="N682" s="52" t="str">
        <x:f>IF(B682="","",IF(OR(M682="Tahsil Edildi",M682="İptal",J682="Riskli"),"Hayır","Evet"))</x:f>
      </x:c>
    </x:row>
    <x:row r="683">
      <x:c r="B683" s="46"/>
      <x:c r="C683" s="46"/>
      <x:c r="D683" s="112"/>
      <x:c r="E683" s="112"/>
      <x:c r="F683" s="92"/>
      <x:c r="G683" s="92"/>
      <x:c r="H683" s="92"/>
      <x:c r="I683" s="93" t="str">
        <x:f>IF(B683="","",MAX(0,F683-H683))</x:f>
      </x:c>
      <x:c r="J683" s="46"/>
      <x:c r="K683" s="100" t="str">
        <x:f>IF(B683="","",IF(G683="TL",1,IF(G683="USD",KURLAR!$C$9,IF(G683="EUR",KURLAR!$C$10,0))))</x:f>
      </x:c>
      <x:c r="L683" s="68" t="str">
        <x:f>IF(B683="","",I683*K683)</x:f>
      </x:c>
      <x:c r="M683" s="46"/>
      <x:c r="N683" s="52" t="str">
        <x:f>IF(B683="","",IF(OR(M683="Tahsil Edildi",M683="İptal",J683="Riskli"),"Hayır","Evet"))</x:f>
      </x:c>
    </x:row>
    <x:row r="684">
      <x:c r="B684" s="46"/>
      <x:c r="C684" s="46"/>
      <x:c r="D684" s="112"/>
      <x:c r="E684" s="112"/>
      <x:c r="F684" s="92"/>
      <x:c r="G684" s="92"/>
      <x:c r="H684" s="92"/>
      <x:c r="I684" s="93" t="str">
        <x:f>IF(B684="","",MAX(0,F684-H684))</x:f>
      </x:c>
      <x:c r="J684" s="46"/>
      <x:c r="K684" s="100" t="str">
        <x:f>IF(B684="","",IF(G684="TL",1,IF(G684="USD",KURLAR!$C$9,IF(G684="EUR",KURLAR!$C$10,0))))</x:f>
      </x:c>
      <x:c r="L684" s="68" t="str">
        <x:f>IF(B684="","",I684*K684)</x:f>
      </x:c>
      <x:c r="M684" s="46"/>
      <x:c r="N684" s="52" t="str">
        <x:f>IF(B684="","",IF(OR(M684="Tahsil Edildi",M684="İptal",J684="Riskli"),"Hayır","Evet"))</x:f>
      </x:c>
    </x:row>
    <x:row r="685">
      <x:c r="B685" s="46"/>
      <x:c r="C685" s="46"/>
      <x:c r="D685" s="112"/>
      <x:c r="E685" s="112"/>
      <x:c r="F685" s="92"/>
      <x:c r="G685" s="92"/>
      <x:c r="H685" s="92"/>
      <x:c r="I685" s="93" t="str">
        <x:f>IF(B685="","",MAX(0,F685-H685))</x:f>
      </x:c>
      <x:c r="J685" s="46"/>
      <x:c r="K685" s="100" t="str">
        <x:f>IF(B685="","",IF(G685="TL",1,IF(G685="USD",KURLAR!$C$9,IF(G685="EUR",KURLAR!$C$10,0))))</x:f>
      </x:c>
      <x:c r="L685" s="68" t="str">
        <x:f>IF(B685="","",I685*K685)</x:f>
      </x:c>
      <x:c r="M685" s="46"/>
      <x:c r="N685" s="52" t="str">
        <x:f>IF(B685="","",IF(OR(M685="Tahsil Edildi",M685="İptal",J685="Riskli"),"Hayır","Evet"))</x:f>
      </x:c>
    </x:row>
    <x:row r="686">
      <x:c r="B686" s="46"/>
      <x:c r="C686" s="46"/>
      <x:c r="D686" s="112"/>
      <x:c r="E686" s="112"/>
      <x:c r="F686" s="92"/>
      <x:c r="G686" s="92"/>
      <x:c r="H686" s="92"/>
      <x:c r="I686" s="93" t="str">
        <x:f>IF(B686="","",MAX(0,F686-H686))</x:f>
      </x:c>
      <x:c r="J686" s="46"/>
      <x:c r="K686" s="100" t="str">
        <x:f>IF(B686="","",IF(G686="TL",1,IF(G686="USD",KURLAR!$C$9,IF(G686="EUR",KURLAR!$C$10,0))))</x:f>
      </x:c>
      <x:c r="L686" s="68" t="str">
        <x:f>IF(B686="","",I686*K686)</x:f>
      </x:c>
      <x:c r="M686" s="46"/>
      <x:c r="N686" s="52" t="str">
        <x:f>IF(B686="","",IF(OR(M686="Tahsil Edildi",M686="İptal",J686="Riskli"),"Hayır","Evet"))</x:f>
      </x:c>
    </x:row>
    <x:row r="687">
      <x:c r="B687" s="46"/>
      <x:c r="C687" s="46"/>
      <x:c r="D687" s="112"/>
      <x:c r="E687" s="112"/>
      <x:c r="F687" s="92"/>
      <x:c r="G687" s="92"/>
      <x:c r="H687" s="92"/>
      <x:c r="I687" s="93" t="str">
        <x:f>IF(B687="","",MAX(0,F687-H687))</x:f>
      </x:c>
      <x:c r="J687" s="46"/>
      <x:c r="K687" s="100" t="str">
        <x:f>IF(B687="","",IF(G687="TL",1,IF(G687="USD",KURLAR!$C$9,IF(G687="EUR",KURLAR!$C$10,0))))</x:f>
      </x:c>
      <x:c r="L687" s="68" t="str">
        <x:f>IF(B687="","",I687*K687)</x:f>
      </x:c>
      <x:c r="M687" s="46"/>
      <x:c r="N687" s="52" t="str">
        <x:f>IF(B687="","",IF(OR(M687="Tahsil Edildi",M687="İptal",J687="Riskli"),"Hayır","Evet"))</x:f>
      </x:c>
    </x:row>
    <x:row r="688">
      <x:c r="B688" s="46"/>
      <x:c r="C688" s="46"/>
      <x:c r="D688" s="112"/>
      <x:c r="E688" s="112"/>
      <x:c r="F688" s="92"/>
      <x:c r="G688" s="92"/>
      <x:c r="H688" s="92"/>
      <x:c r="I688" s="93" t="str">
        <x:f>IF(B688="","",MAX(0,F688-H688))</x:f>
      </x:c>
      <x:c r="J688" s="46"/>
      <x:c r="K688" s="100" t="str">
        <x:f>IF(B688="","",IF(G688="TL",1,IF(G688="USD",KURLAR!$C$9,IF(G688="EUR",KURLAR!$C$10,0))))</x:f>
      </x:c>
      <x:c r="L688" s="68" t="str">
        <x:f>IF(B688="","",I688*K688)</x:f>
      </x:c>
      <x:c r="M688" s="46"/>
      <x:c r="N688" s="52" t="str">
        <x:f>IF(B688="","",IF(OR(M688="Tahsil Edildi",M688="İptal",J688="Riskli"),"Hayır","Evet"))</x:f>
      </x:c>
    </x:row>
    <x:row r="689">
      <x:c r="B689" s="46"/>
      <x:c r="C689" s="46"/>
      <x:c r="D689" s="112"/>
      <x:c r="E689" s="112"/>
      <x:c r="F689" s="92"/>
      <x:c r="G689" s="92"/>
      <x:c r="H689" s="92"/>
      <x:c r="I689" s="93" t="str">
        <x:f>IF(B689="","",MAX(0,F689-H689))</x:f>
      </x:c>
      <x:c r="J689" s="46"/>
      <x:c r="K689" s="100" t="str">
        <x:f>IF(B689="","",IF(G689="TL",1,IF(G689="USD",KURLAR!$C$9,IF(G689="EUR",KURLAR!$C$10,0))))</x:f>
      </x:c>
      <x:c r="L689" s="68" t="str">
        <x:f>IF(B689="","",I689*K689)</x:f>
      </x:c>
      <x:c r="M689" s="46"/>
      <x:c r="N689" s="52" t="str">
        <x:f>IF(B689="","",IF(OR(M689="Tahsil Edildi",M689="İptal",J689="Riskli"),"Hayır","Evet"))</x:f>
      </x:c>
    </x:row>
    <x:row r="690">
      <x:c r="B690" s="46"/>
      <x:c r="C690" s="46"/>
      <x:c r="D690" s="112"/>
      <x:c r="E690" s="112"/>
      <x:c r="F690" s="92"/>
      <x:c r="G690" s="92"/>
      <x:c r="H690" s="92"/>
      <x:c r="I690" s="93" t="str">
        <x:f>IF(B690="","",MAX(0,F690-H690))</x:f>
      </x:c>
      <x:c r="J690" s="46"/>
      <x:c r="K690" s="100" t="str">
        <x:f>IF(B690="","",IF(G690="TL",1,IF(G690="USD",KURLAR!$C$9,IF(G690="EUR",KURLAR!$C$10,0))))</x:f>
      </x:c>
      <x:c r="L690" s="68" t="str">
        <x:f>IF(B690="","",I690*K690)</x:f>
      </x:c>
      <x:c r="M690" s="46"/>
      <x:c r="N690" s="52" t="str">
        <x:f>IF(B690="","",IF(OR(M690="Tahsil Edildi",M690="İptal",J690="Riskli"),"Hayır","Evet"))</x:f>
      </x:c>
    </x:row>
    <x:row r="691">
      <x:c r="B691" s="46"/>
      <x:c r="C691" s="46"/>
      <x:c r="D691" s="112"/>
      <x:c r="E691" s="112"/>
      <x:c r="F691" s="92"/>
      <x:c r="G691" s="92"/>
      <x:c r="H691" s="92"/>
      <x:c r="I691" s="93" t="str">
        <x:f>IF(B691="","",MAX(0,F691-H691))</x:f>
      </x:c>
      <x:c r="J691" s="46"/>
      <x:c r="K691" s="100" t="str">
        <x:f>IF(B691="","",IF(G691="TL",1,IF(G691="USD",KURLAR!$C$9,IF(G691="EUR",KURLAR!$C$10,0))))</x:f>
      </x:c>
      <x:c r="L691" s="68" t="str">
        <x:f>IF(B691="","",I691*K691)</x:f>
      </x:c>
      <x:c r="M691" s="46"/>
      <x:c r="N691" s="52" t="str">
        <x:f>IF(B691="","",IF(OR(M691="Tahsil Edildi",M691="İptal",J691="Riskli"),"Hayır","Evet"))</x:f>
      </x:c>
    </x:row>
    <x:row r="692">
      <x:c r="B692" s="46"/>
      <x:c r="C692" s="46"/>
      <x:c r="D692" s="112"/>
      <x:c r="E692" s="112"/>
      <x:c r="F692" s="92"/>
      <x:c r="G692" s="92"/>
      <x:c r="H692" s="92"/>
      <x:c r="I692" s="93" t="str">
        <x:f>IF(B692="","",MAX(0,F692-H692))</x:f>
      </x:c>
      <x:c r="J692" s="46"/>
      <x:c r="K692" s="100" t="str">
        <x:f>IF(B692="","",IF(G692="TL",1,IF(G692="USD",KURLAR!$C$9,IF(G692="EUR",KURLAR!$C$10,0))))</x:f>
      </x:c>
      <x:c r="L692" s="68" t="str">
        <x:f>IF(B692="","",I692*K692)</x:f>
      </x:c>
      <x:c r="M692" s="46"/>
      <x:c r="N692" s="52" t="str">
        <x:f>IF(B692="","",IF(OR(M692="Tahsil Edildi",M692="İptal",J692="Riskli"),"Hayır","Evet"))</x:f>
      </x:c>
    </x:row>
    <x:row r="693">
      <x:c r="B693" s="46"/>
      <x:c r="C693" s="46"/>
      <x:c r="D693" s="112"/>
      <x:c r="E693" s="112"/>
      <x:c r="F693" s="92"/>
      <x:c r="G693" s="92"/>
      <x:c r="H693" s="92"/>
      <x:c r="I693" s="93" t="str">
        <x:f>IF(B693="","",MAX(0,F693-H693))</x:f>
      </x:c>
      <x:c r="J693" s="46"/>
      <x:c r="K693" s="100" t="str">
        <x:f>IF(B693="","",IF(G693="TL",1,IF(G693="USD",KURLAR!$C$9,IF(G693="EUR",KURLAR!$C$10,0))))</x:f>
      </x:c>
      <x:c r="L693" s="68" t="str">
        <x:f>IF(B693="","",I693*K693)</x:f>
      </x:c>
      <x:c r="M693" s="46"/>
      <x:c r="N693" s="52" t="str">
        <x:f>IF(B693="","",IF(OR(M693="Tahsil Edildi",M693="İptal",J693="Riskli"),"Hayır","Evet"))</x:f>
      </x:c>
    </x:row>
    <x:row r="694">
      <x:c r="B694" s="46"/>
      <x:c r="C694" s="46"/>
      <x:c r="D694" s="112"/>
      <x:c r="E694" s="112"/>
      <x:c r="F694" s="92"/>
      <x:c r="G694" s="92"/>
      <x:c r="H694" s="92"/>
      <x:c r="I694" s="93" t="str">
        <x:f>IF(B694="","",MAX(0,F694-H694))</x:f>
      </x:c>
      <x:c r="J694" s="46"/>
      <x:c r="K694" s="100" t="str">
        <x:f>IF(B694="","",IF(G694="TL",1,IF(G694="USD",KURLAR!$C$9,IF(G694="EUR",KURLAR!$C$10,0))))</x:f>
      </x:c>
      <x:c r="L694" s="68" t="str">
        <x:f>IF(B694="","",I694*K694)</x:f>
      </x:c>
      <x:c r="M694" s="46"/>
      <x:c r="N694" s="52" t="str">
        <x:f>IF(B694="","",IF(OR(M694="Tahsil Edildi",M694="İptal",J694="Riskli"),"Hayır","Evet"))</x:f>
      </x:c>
    </x:row>
    <x:row r="695">
      <x:c r="B695" s="46"/>
      <x:c r="C695" s="46"/>
      <x:c r="D695" s="112"/>
      <x:c r="E695" s="112"/>
      <x:c r="F695" s="92"/>
      <x:c r="G695" s="92"/>
      <x:c r="H695" s="92"/>
      <x:c r="I695" s="93" t="str">
        <x:f>IF(B695="","",MAX(0,F695-H695))</x:f>
      </x:c>
      <x:c r="J695" s="46"/>
      <x:c r="K695" s="100" t="str">
        <x:f>IF(B695="","",IF(G695="TL",1,IF(G695="USD",KURLAR!$C$9,IF(G695="EUR",KURLAR!$C$10,0))))</x:f>
      </x:c>
      <x:c r="L695" s="68" t="str">
        <x:f>IF(B695="","",I695*K695)</x:f>
      </x:c>
      <x:c r="M695" s="46"/>
      <x:c r="N695" s="52" t="str">
        <x:f>IF(B695="","",IF(OR(M695="Tahsil Edildi",M695="İptal",J695="Riskli"),"Hayır","Evet"))</x:f>
      </x:c>
    </x:row>
    <x:row r="696">
      <x:c r="B696" s="46"/>
      <x:c r="C696" s="46"/>
      <x:c r="D696" s="112"/>
      <x:c r="E696" s="112"/>
      <x:c r="F696" s="92"/>
      <x:c r="G696" s="92"/>
      <x:c r="H696" s="92"/>
      <x:c r="I696" s="93" t="str">
        <x:f>IF(B696="","",MAX(0,F696-H696))</x:f>
      </x:c>
      <x:c r="J696" s="46"/>
      <x:c r="K696" s="100" t="str">
        <x:f>IF(B696="","",IF(G696="TL",1,IF(G696="USD",KURLAR!$C$9,IF(G696="EUR",KURLAR!$C$10,0))))</x:f>
      </x:c>
      <x:c r="L696" s="68" t="str">
        <x:f>IF(B696="","",I696*K696)</x:f>
      </x:c>
      <x:c r="M696" s="46"/>
      <x:c r="N696" s="52" t="str">
        <x:f>IF(B696="","",IF(OR(M696="Tahsil Edildi",M696="İptal",J696="Riskli"),"Hayır","Evet"))</x:f>
      </x:c>
    </x:row>
    <x:row r="697">
      <x:c r="B697" s="46"/>
      <x:c r="C697" s="46"/>
      <x:c r="D697" s="112"/>
      <x:c r="E697" s="112"/>
      <x:c r="F697" s="92"/>
      <x:c r="G697" s="92"/>
      <x:c r="H697" s="92"/>
      <x:c r="I697" s="93" t="str">
        <x:f>IF(B697="","",MAX(0,F697-H697))</x:f>
      </x:c>
      <x:c r="J697" s="46"/>
      <x:c r="K697" s="100" t="str">
        <x:f>IF(B697="","",IF(G697="TL",1,IF(G697="USD",KURLAR!$C$9,IF(G697="EUR",KURLAR!$C$10,0))))</x:f>
      </x:c>
      <x:c r="L697" s="68" t="str">
        <x:f>IF(B697="","",I697*K697)</x:f>
      </x:c>
      <x:c r="M697" s="46"/>
      <x:c r="N697" s="52" t="str">
        <x:f>IF(B697="","",IF(OR(M697="Tahsil Edildi",M697="İptal",J697="Riskli"),"Hayır","Evet"))</x:f>
      </x:c>
    </x:row>
    <x:row r="698">
      <x:c r="B698" s="46"/>
      <x:c r="C698" s="46"/>
      <x:c r="D698" s="112"/>
      <x:c r="E698" s="112"/>
      <x:c r="F698" s="92"/>
      <x:c r="G698" s="92"/>
      <x:c r="H698" s="92"/>
      <x:c r="I698" s="93" t="str">
        <x:f>IF(B698="","",MAX(0,F698-H698))</x:f>
      </x:c>
      <x:c r="J698" s="46"/>
      <x:c r="K698" s="100" t="str">
        <x:f>IF(B698="","",IF(G698="TL",1,IF(G698="USD",KURLAR!$C$9,IF(G698="EUR",KURLAR!$C$10,0))))</x:f>
      </x:c>
      <x:c r="L698" s="68" t="str">
        <x:f>IF(B698="","",I698*K698)</x:f>
      </x:c>
      <x:c r="M698" s="46"/>
      <x:c r="N698" s="52" t="str">
        <x:f>IF(B698="","",IF(OR(M698="Tahsil Edildi",M698="İptal",J698="Riskli"),"Hayır","Evet"))</x:f>
      </x:c>
    </x:row>
    <x:row r="699">
      <x:c r="B699" s="46"/>
      <x:c r="C699" s="46"/>
      <x:c r="D699" s="112"/>
      <x:c r="E699" s="112"/>
      <x:c r="F699" s="92"/>
      <x:c r="G699" s="92"/>
      <x:c r="H699" s="92"/>
      <x:c r="I699" s="93" t="str">
        <x:f>IF(B699="","",MAX(0,F699-H699))</x:f>
      </x:c>
      <x:c r="J699" s="46"/>
      <x:c r="K699" s="100" t="str">
        <x:f>IF(B699="","",IF(G699="TL",1,IF(G699="USD",KURLAR!$C$9,IF(G699="EUR",KURLAR!$C$10,0))))</x:f>
      </x:c>
      <x:c r="L699" s="68" t="str">
        <x:f>IF(B699="","",I699*K699)</x:f>
      </x:c>
      <x:c r="M699" s="46"/>
      <x:c r="N699" s="52" t="str">
        <x:f>IF(B699="","",IF(OR(M699="Tahsil Edildi",M699="İptal",J699="Riskli"),"Hayır","Evet"))</x:f>
      </x:c>
    </x:row>
    <x:row r="700">
      <x:c r="B700" s="46"/>
      <x:c r="C700" s="46"/>
      <x:c r="D700" s="112"/>
      <x:c r="E700" s="112"/>
      <x:c r="F700" s="92"/>
      <x:c r="G700" s="92"/>
      <x:c r="H700" s="92"/>
      <x:c r="I700" s="93" t="str">
        <x:f>IF(B700="","",MAX(0,F700-H700))</x:f>
      </x:c>
      <x:c r="J700" s="46"/>
      <x:c r="K700" s="100" t="str">
        <x:f>IF(B700="","",IF(G700="TL",1,IF(G700="USD",KURLAR!$C$9,IF(G700="EUR",KURLAR!$C$10,0))))</x:f>
      </x:c>
      <x:c r="L700" s="68" t="str">
        <x:f>IF(B700="","",I700*K700)</x:f>
      </x:c>
      <x:c r="M700" s="46"/>
      <x:c r="N700" s="52" t="str">
        <x:f>IF(B700="","",IF(OR(M700="Tahsil Edildi",M700="İptal",J700="Riskli"),"Hayır","Evet"))</x:f>
      </x:c>
    </x:row>
    <x:row r="701">
      <x:c r="B701" s="46"/>
      <x:c r="C701" s="46"/>
      <x:c r="D701" s="112"/>
      <x:c r="E701" s="112"/>
      <x:c r="F701" s="92"/>
      <x:c r="G701" s="92"/>
      <x:c r="H701" s="92"/>
      <x:c r="I701" s="93" t="str">
        <x:f>IF(B701="","",MAX(0,F701-H701))</x:f>
      </x:c>
      <x:c r="J701" s="46"/>
      <x:c r="K701" s="100" t="str">
        <x:f>IF(B701="","",IF(G701="TL",1,IF(G701="USD",KURLAR!$C$9,IF(G701="EUR",KURLAR!$C$10,0))))</x:f>
      </x:c>
      <x:c r="L701" s="68" t="str">
        <x:f>IF(B701="","",I701*K701)</x:f>
      </x:c>
      <x:c r="M701" s="46"/>
      <x:c r="N701" s="52" t="str">
        <x:f>IF(B701="","",IF(OR(M701="Tahsil Edildi",M701="İptal",J701="Riskli"),"Hayır","Evet"))</x:f>
      </x:c>
    </x:row>
    <x:row r="702">
      <x:c r="B702" s="46"/>
      <x:c r="C702" s="46"/>
      <x:c r="D702" s="112"/>
      <x:c r="E702" s="112"/>
      <x:c r="F702" s="92"/>
      <x:c r="G702" s="92"/>
      <x:c r="H702" s="92"/>
      <x:c r="I702" s="93" t="str">
        <x:f>IF(B702="","",MAX(0,F702-H702))</x:f>
      </x:c>
      <x:c r="J702" s="46"/>
      <x:c r="K702" s="100" t="str">
        <x:f>IF(B702="","",IF(G702="TL",1,IF(G702="USD",KURLAR!$C$9,IF(G702="EUR",KURLAR!$C$10,0))))</x:f>
      </x:c>
      <x:c r="L702" s="68" t="str">
        <x:f>IF(B702="","",I702*K702)</x:f>
      </x:c>
      <x:c r="M702" s="46"/>
      <x:c r="N702" s="52" t="str">
        <x:f>IF(B702="","",IF(OR(M702="Tahsil Edildi",M702="İptal",J702="Riskli"),"Hayır","Evet"))</x:f>
      </x:c>
    </x:row>
    <x:row r="703">
      <x:c r="B703" s="46"/>
      <x:c r="C703" s="46"/>
      <x:c r="D703" s="112"/>
      <x:c r="E703" s="112"/>
      <x:c r="F703" s="92"/>
      <x:c r="G703" s="92"/>
      <x:c r="H703" s="92"/>
      <x:c r="I703" s="93" t="str">
        <x:f>IF(B703="","",MAX(0,F703-H703))</x:f>
      </x:c>
      <x:c r="J703" s="46"/>
      <x:c r="K703" s="100" t="str">
        <x:f>IF(B703="","",IF(G703="TL",1,IF(G703="USD",KURLAR!$C$9,IF(G703="EUR",KURLAR!$C$10,0))))</x:f>
      </x:c>
      <x:c r="L703" s="68" t="str">
        <x:f>IF(B703="","",I703*K703)</x:f>
      </x:c>
      <x:c r="M703" s="46"/>
      <x:c r="N703" s="52" t="str">
        <x:f>IF(B703="","",IF(OR(M703="Tahsil Edildi",M703="İptal",J703="Riskli"),"Hayır","Evet"))</x:f>
      </x:c>
    </x:row>
    <x:row r="704">
      <x:c r="B704" s="46"/>
      <x:c r="C704" s="46"/>
      <x:c r="D704" s="112"/>
      <x:c r="E704" s="112"/>
      <x:c r="F704" s="92"/>
      <x:c r="G704" s="92"/>
      <x:c r="H704" s="92"/>
      <x:c r="I704" s="93" t="str">
        <x:f>IF(B704="","",MAX(0,F704-H704))</x:f>
      </x:c>
      <x:c r="J704" s="46"/>
      <x:c r="K704" s="100" t="str">
        <x:f>IF(B704="","",IF(G704="TL",1,IF(G704="USD",KURLAR!$C$9,IF(G704="EUR",KURLAR!$C$10,0))))</x:f>
      </x:c>
      <x:c r="L704" s="68" t="str">
        <x:f>IF(B704="","",I704*K704)</x:f>
      </x:c>
      <x:c r="M704" s="46"/>
      <x:c r="N704" s="52" t="str">
        <x:f>IF(B704="","",IF(OR(M704="Tahsil Edildi",M704="İptal",J704="Riskli"),"Hayır","Evet"))</x:f>
      </x:c>
    </x:row>
    <x:row r="705">
      <x:c r="B705" s="46"/>
      <x:c r="C705" s="46"/>
      <x:c r="D705" s="112"/>
      <x:c r="E705" s="112"/>
      <x:c r="F705" s="92"/>
      <x:c r="G705" s="92"/>
      <x:c r="H705" s="92"/>
      <x:c r="I705" s="93" t="str">
        <x:f>IF(B705="","",MAX(0,F705-H705))</x:f>
      </x:c>
      <x:c r="J705" s="46"/>
      <x:c r="K705" s="100" t="str">
        <x:f>IF(B705="","",IF(G705="TL",1,IF(G705="USD",KURLAR!$C$9,IF(G705="EUR",KURLAR!$C$10,0))))</x:f>
      </x:c>
      <x:c r="L705" s="68" t="str">
        <x:f>IF(B705="","",I705*K705)</x:f>
      </x:c>
      <x:c r="M705" s="46"/>
      <x:c r="N705" s="52" t="str">
        <x:f>IF(B705="","",IF(OR(M705="Tahsil Edildi",M705="İptal",J705="Riskli"),"Hayır","Evet"))</x:f>
      </x:c>
    </x:row>
    <x:row r="706">
      <x:c r="B706" s="46"/>
      <x:c r="C706" s="46"/>
      <x:c r="D706" s="112"/>
      <x:c r="E706" s="112"/>
      <x:c r="F706" s="92"/>
      <x:c r="G706" s="92"/>
      <x:c r="H706" s="92"/>
      <x:c r="I706" s="93" t="str">
        <x:f>IF(B706="","",MAX(0,F706-H706))</x:f>
      </x:c>
      <x:c r="J706" s="46"/>
      <x:c r="K706" s="100" t="str">
        <x:f>IF(B706="","",IF(G706="TL",1,IF(G706="USD",KURLAR!$C$9,IF(G706="EUR",KURLAR!$C$10,0))))</x:f>
      </x:c>
      <x:c r="L706" s="68" t="str">
        <x:f>IF(B706="","",I706*K706)</x:f>
      </x:c>
      <x:c r="M706" s="46"/>
      <x:c r="N706" s="52" t="str">
        <x:f>IF(B706="","",IF(OR(M706="Tahsil Edildi",M706="İptal",J706="Riskli"),"Hayır","Evet"))</x:f>
      </x:c>
    </x:row>
    <x:row r="707">
      <x:c r="B707" s="46"/>
      <x:c r="C707" s="46"/>
      <x:c r="D707" s="112"/>
      <x:c r="E707" s="112"/>
      <x:c r="F707" s="92"/>
      <x:c r="G707" s="92"/>
      <x:c r="H707" s="92"/>
      <x:c r="I707" s="93" t="str">
        <x:f>IF(B707="","",MAX(0,F707-H707))</x:f>
      </x:c>
      <x:c r="J707" s="46"/>
      <x:c r="K707" s="100" t="str">
        <x:f>IF(B707="","",IF(G707="TL",1,IF(G707="USD",KURLAR!$C$9,IF(G707="EUR",KURLAR!$C$10,0))))</x:f>
      </x:c>
      <x:c r="L707" s="68" t="str">
        <x:f>IF(B707="","",I707*K707)</x:f>
      </x:c>
      <x:c r="M707" s="46"/>
      <x:c r="N707" s="52" t="str">
        <x:f>IF(B707="","",IF(OR(M707="Tahsil Edildi",M707="İptal",J707="Riskli"),"Hayır","Evet"))</x:f>
      </x:c>
    </x:row>
    <x:row r="708">
      <x:c r="B708" s="46"/>
      <x:c r="C708" s="46"/>
      <x:c r="D708" s="112"/>
      <x:c r="E708" s="112"/>
      <x:c r="F708" s="92"/>
      <x:c r="G708" s="92"/>
      <x:c r="H708" s="92"/>
      <x:c r="I708" s="93" t="str">
        <x:f>IF(B708="","",MAX(0,F708-H708))</x:f>
      </x:c>
      <x:c r="J708" s="46"/>
      <x:c r="K708" s="100" t="str">
        <x:f>IF(B708="","",IF(G708="TL",1,IF(G708="USD",KURLAR!$C$9,IF(G708="EUR",KURLAR!$C$10,0))))</x:f>
      </x:c>
      <x:c r="L708" s="68" t="str">
        <x:f>IF(B708="","",I708*K708)</x:f>
      </x:c>
      <x:c r="M708" s="46"/>
      <x:c r="N708" s="52" t="str">
        <x:f>IF(B708="","",IF(OR(M708="Tahsil Edildi",M708="İptal",J708="Riskli"),"Hayır","Evet"))</x:f>
      </x:c>
    </x:row>
    <x:row r="709">
      <x:c r="B709" s="46"/>
      <x:c r="C709" s="46"/>
      <x:c r="D709" s="112"/>
      <x:c r="E709" s="112"/>
      <x:c r="F709" s="92"/>
      <x:c r="G709" s="92"/>
      <x:c r="H709" s="92"/>
      <x:c r="I709" s="93" t="str">
        <x:f>IF(B709="","",MAX(0,F709-H709))</x:f>
      </x:c>
      <x:c r="J709" s="46"/>
      <x:c r="K709" s="100" t="str">
        <x:f>IF(B709="","",IF(G709="TL",1,IF(G709="USD",KURLAR!$C$9,IF(G709="EUR",KURLAR!$C$10,0))))</x:f>
      </x:c>
      <x:c r="L709" s="68" t="str">
        <x:f>IF(B709="","",I709*K709)</x:f>
      </x:c>
      <x:c r="M709" s="46"/>
      <x:c r="N709" s="52" t="str">
        <x:f>IF(B709="","",IF(OR(M709="Tahsil Edildi",M709="İptal",J709="Riskli"),"Hayır","Evet"))</x:f>
      </x:c>
    </x:row>
    <x:row r="710">
      <x:c r="B710" s="46"/>
      <x:c r="C710" s="46"/>
      <x:c r="D710" s="112"/>
      <x:c r="E710" s="112"/>
      <x:c r="F710" s="92"/>
      <x:c r="G710" s="92"/>
      <x:c r="H710" s="92"/>
      <x:c r="I710" s="93" t="str">
        <x:f>IF(B710="","",MAX(0,F710-H710))</x:f>
      </x:c>
      <x:c r="J710" s="46"/>
      <x:c r="K710" s="100" t="str">
        <x:f>IF(B710="","",IF(G710="TL",1,IF(G710="USD",KURLAR!$C$9,IF(G710="EUR",KURLAR!$C$10,0))))</x:f>
      </x:c>
      <x:c r="L710" s="68" t="str">
        <x:f>IF(B710="","",I710*K710)</x:f>
      </x:c>
      <x:c r="M710" s="46"/>
      <x:c r="N710" s="52" t="str">
        <x:f>IF(B710="","",IF(OR(M710="Tahsil Edildi",M710="İptal",J710="Riskli"),"Hayır","Evet"))</x:f>
      </x:c>
    </x:row>
    <x:row r="711">
      <x:c r="B711" s="46"/>
      <x:c r="C711" s="46"/>
      <x:c r="D711" s="112"/>
      <x:c r="E711" s="112"/>
      <x:c r="F711" s="92"/>
      <x:c r="G711" s="92"/>
      <x:c r="H711" s="92"/>
      <x:c r="I711" s="93" t="str">
        <x:f>IF(B711="","",MAX(0,F711-H711))</x:f>
      </x:c>
      <x:c r="J711" s="46"/>
      <x:c r="K711" s="100" t="str">
        <x:f>IF(B711="","",IF(G711="TL",1,IF(G711="USD",KURLAR!$C$9,IF(G711="EUR",KURLAR!$C$10,0))))</x:f>
      </x:c>
      <x:c r="L711" s="68" t="str">
        <x:f>IF(B711="","",I711*K711)</x:f>
      </x:c>
      <x:c r="M711" s="46"/>
      <x:c r="N711" s="52" t="str">
        <x:f>IF(B711="","",IF(OR(M711="Tahsil Edildi",M711="İptal",J711="Riskli"),"Hayır","Evet"))</x:f>
      </x:c>
    </x:row>
    <x:row r="712">
      <x:c r="B712" s="46"/>
      <x:c r="C712" s="46"/>
      <x:c r="D712" s="112"/>
      <x:c r="E712" s="112"/>
      <x:c r="F712" s="92"/>
      <x:c r="G712" s="92"/>
      <x:c r="H712" s="92"/>
      <x:c r="I712" s="93" t="str">
        <x:f>IF(B712="","",MAX(0,F712-H712))</x:f>
      </x:c>
      <x:c r="J712" s="46"/>
      <x:c r="K712" s="100" t="str">
        <x:f>IF(B712="","",IF(G712="TL",1,IF(G712="USD",KURLAR!$C$9,IF(G712="EUR",KURLAR!$C$10,0))))</x:f>
      </x:c>
      <x:c r="L712" s="68" t="str">
        <x:f>IF(B712="","",I712*K712)</x:f>
      </x:c>
      <x:c r="M712" s="46"/>
      <x:c r="N712" s="52" t="str">
        <x:f>IF(B712="","",IF(OR(M712="Tahsil Edildi",M712="İptal",J712="Riskli"),"Hayır","Evet"))</x:f>
      </x:c>
    </x:row>
    <x:row r="713">
      <x:c r="B713" s="46"/>
      <x:c r="C713" s="46"/>
      <x:c r="D713" s="112"/>
      <x:c r="E713" s="112"/>
      <x:c r="F713" s="92"/>
      <x:c r="G713" s="92"/>
      <x:c r="H713" s="92"/>
      <x:c r="I713" s="93" t="str">
        <x:f>IF(B713="","",MAX(0,F713-H713))</x:f>
      </x:c>
      <x:c r="J713" s="46"/>
      <x:c r="K713" s="100" t="str">
        <x:f>IF(B713="","",IF(G713="TL",1,IF(G713="USD",KURLAR!$C$9,IF(G713="EUR",KURLAR!$C$10,0))))</x:f>
      </x:c>
      <x:c r="L713" s="68" t="str">
        <x:f>IF(B713="","",I713*K713)</x:f>
      </x:c>
      <x:c r="M713" s="46"/>
      <x:c r="N713" s="52" t="str">
        <x:f>IF(B713="","",IF(OR(M713="Tahsil Edildi",M713="İptal",J713="Riskli"),"Hayır","Evet"))</x:f>
      </x:c>
    </x:row>
    <x:row r="714">
      <x:c r="B714" s="46"/>
      <x:c r="C714" s="46"/>
      <x:c r="D714" s="112"/>
      <x:c r="E714" s="112"/>
      <x:c r="F714" s="92"/>
      <x:c r="G714" s="92"/>
      <x:c r="H714" s="92"/>
      <x:c r="I714" s="93" t="str">
        <x:f>IF(B714="","",MAX(0,F714-H714))</x:f>
      </x:c>
      <x:c r="J714" s="46"/>
      <x:c r="K714" s="100" t="str">
        <x:f>IF(B714="","",IF(G714="TL",1,IF(G714="USD",KURLAR!$C$9,IF(G714="EUR",KURLAR!$C$10,0))))</x:f>
      </x:c>
      <x:c r="L714" s="68" t="str">
        <x:f>IF(B714="","",I714*K714)</x:f>
      </x:c>
      <x:c r="M714" s="46"/>
      <x:c r="N714" s="52" t="str">
        <x:f>IF(B714="","",IF(OR(M714="Tahsil Edildi",M714="İptal",J714="Riskli"),"Hayır","Evet"))</x:f>
      </x:c>
    </x:row>
    <x:row r="715">
      <x:c r="B715" s="46"/>
      <x:c r="C715" s="46"/>
      <x:c r="D715" s="112"/>
      <x:c r="E715" s="112"/>
      <x:c r="F715" s="92"/>
      <x:c r="G715" s="92"/>
      <x:c r="H715" s="92"/>
      <x:c r="I715" s="93" t="str">
        <x:f>IF(B715="","",MAX(0,F715-H715))</x:f>
      </x:c>
      <x:c r="J715" s="46"/>
      <x:c r="K715" s="100" t="str">
        <x:f>IF(B715="","",IF(G715="TL",1,IF(G715="USD",KURLAR!$C$9,IF(G715="EUR",KURLAR!$C$10,0))))</x:f>
      </x:c>
      <x:c r="L715" s="68" t="str">
        <x:f>IF(B715="","",I715*K715)</x:f>
      </x:c>
      <x:c r="M715" s="46"/>
      <x:c r="N715" s="52" t="str">
        <x:f>IF(B715="","",IF(OR(M715="Tahsil Edildi",M715="İptal",J715="Riskli"),"Hayır","Evet"))</x:f>
      </x:c>
    </x:row>
    <x:row r="716">
      <x:c r="B716" s="46"/>
      <x:c r="C716" s="46"/>
      <x:c r="D716" s="112"/>
      <x:c r="E716" s="112"/>
      <x:c r="F716" s="92"/>
      <x:c r="G716" s="92"/>
      <x:c r="H716" s="92"/>
      <x:c r="I716" s="93" t="str">
        <x:f>IF(B716="","",MAX(0,F716-H716))</x:f>
      </x:c>
      <x:c r="J716" s="46"/>
      <x:c r="K716" s="100" t="str">
        <x:f>IF(B716="","",IF(G716="TL",1,IF(G716="USD",KURLAR!$C$9,IF(G716="EUR",KURLAR!$C$10,0))))</x:f>
      </x:c>
      <x:c r="L716" s="68" t="str">
        <x:f>IF(B716="","",I716*K716)</x:f>
      </x:c>
      <x:c r="M716" s="46"/>
      <x:c r="N716" s="52" t="str">
        <x:f>IF(B716="","",IF(OR(M716="Tahsil Edildi",M716="İptal",J716="Riskli"),"Hayır","Evet"))</x:f>
      </x:c>
    </x:row>
    <x:row r="717">
      <x:c r="B717" s="46"/>
      <x:c r="C717" s="46"/>
      <x:c r="D717" s="112"/>
      <x:c r="E717" s="112"/>
      <x:c r="F717" s="92"/>
      <x:c r="G717" s="92"/>
      <x:c r="H717" s="92"/>
      <x:c r="I717" s="93" t="str">
        <x:f>IF(B717="","",MAX(0,F717-H717))</x:f>
      </x:c>
      <x:c r="J717" s="46"/>
      <x:c r="K717" s="100" t="str">
        <x:f>IF(B717="","",IF(G717="TL",1,IF(G717="USD",KURLAR!$C$9,IF(G717="EUR",KURLAR!$C$10,0))))</x:f>
      </x:c>
      <x:c r="L717" s="68" t="str">
        <x:f>IF(B717="","",I717*K717)</x:f>
      </x:c>
      <x:c r="M717" s="46"/>
      <x:c r="N717" s="52" t="str">
        <x:f>IF(B717="","",IF(OR(M717="Tahsil Edildi",M717="İptal",J717="Riskli"),"Hayır","Evet"))</x:f>
      </x:c>
    </x:row>
    <x:row r="718">
      <x:c r="B718" s="46"/>
      <x:c r="C718" s="46"/>
      <x:c r="D718" s="112"/>
      <x:c r="E718" s="112"/>
      <x:c r="F718" s="92"/>
      <x:c r="G718" s="92"/>
      <x:c r="H718" s="92"/>
      <x:c r="I718" s="93" t="str">
        <x:f>IF(B718="","",MAX(0,F718-H718))</x:f>
      </x:c>
      <x:c r="J718" s="46"/>
      <x:c r="K718" s="100" t="str">
        <x:f>IF(B718="","",IF(G718="TL",1,IF(G718="USD",KURLAR!$C$9,IF(G718="EUR",KURLAR!$C$10,0))))</x:f>
      </x:c>
      <x:c r="L718" s="68" t="str">
        <x:f>IF(B718="","",I718*K718)</x:f>
      </x:c>
      <x:c r="M718" s="46"/>
      <x:c r="N718" s="52" t="str">
        <x:f>IF(B718="","",IF(OR(M718="Tahsil Edildi",M718="İptal",J718="Riskli"),"Hayır","Evet"))</x:f>
      </x:c>
    </x:row>
    <x:row r="719">
      <x:c r="B719" s="46"/>
      <x:c r="C719" s="46"/>
      <x:c r="D719" s="112"/>
      <x:c r="E719" s="112"/>
      <x:c r="F719" s="92"/>
      <x:c r="G719" s="92"/>
      <x:c r="H719" s="92"/>
      <x:c r="I719" s="93" t="str">
        <x:f>IF(B719="","",MAX(0,F719-H719))</x:f>
      </x:c>
      <x:c r="J719" s="46"/>
      <x:c r="K719" s="100" t="str">
        <x:f>IF(B719="","",IF(G719="TL",1,IF(G719="USD",KURLAR!$C$9,IF(G719="EUR",KURLAR!$C$10,0))))</x:f>
      </x:c>
      <x:c r="L719" s="68" t="str">
        <x:f>IF(B719="","",I719*K719)</x:f>
      </x:c>
      <x:c r="M719" s="46"/>
      <x:c r="N719" s="52" t="str">
        <x:f>IF(B719="","",IF(OR(M719="Tahsil Edildi",M719="İptal",J719="Riskli"),"Hayır","Evet"))</x:f>
      </x:c>
    </x:row>
    <x:row r="720">
      <x:c r="B720" s="46"/>
      <x:c r="C720" s="46"/>
      <x:c r="D720" s="112"/>
      <x:c r="E720" s="112"/>
      <x:c r="F720" s="92"/>
      <x:c r="G720" s="92"/>
      <x:c r="H720" s="92"/>
      <x:c r="I720" s="93" t="str">
        <x:f>IF(B720="","",MAX(0,F720-H720))</x:f>
      </x:c>
      <x:c r="J720" s="46"/>
      <x:c r="K720" s="100" t="str">
        <x:f>IF(B720="","",IF(G720="TL",1,IF(G720="USD",KURLAR!$C$9,IF(G720="EUR",KURLAR!$C$10,0))))</x:f>
      </x:c>
      <x:c r="L720" s="68" t="str">
        <x:f>IF(B720="","",I720*K720)</x:f>
      </x:c>
      <x:c r="M720" s="46"/>
      <x:c r="N720" s="52" t="str">
        <x:f>IF(B720="","",IF(OR(M720="Tahsil Edildi",M720="İptal",J720="Riskli"),"Hayır","Evet"))</x:f>
      </x:c>
    </x:row>
    <x:row r="721">
      <x:c r="B721" s="46"/>
      <x:c r="C721" s="46"/>
      <x:c r="D721" s="112"/>
      <x:c r="E721" s="112"/>
      <x:c r="F721" s="92"/>
      <x:c r="G721" s="92"/>
      <x:c r="H721" s="92"/>
      <x:c r="I721" s="93" t="str">
        <x:f>IF(B721="","",MAX(0,F721-H721))</x:f>
      </x:c>
      <x:c r="J721" s="46"/>
      <x:c r="K721" s="100" t="str">
        <x:f>IF(B721="","",IF(G721="TL",1,IF(G721="USD",KURLAR!$C$9,IF(G721="EUR",KURLAR!$C$10,0))))</x:f>
      </x:c>
      <x:c r="L721" s="68" t="str">
        <x:f>IF(B721="","",I721*K721)</x:f>
      </x:c>
      <x:c r="M721" s="46"/>
      <x:c r="N721" s="52" t="str">
        <x:f>IF(B721="","",IF(OR(M721="Tahsil Edildi",M721="İptal",J721="Riskli"),"Hayır","Evet"))</x:f>
      </x:c>
    </x:row>
    <x:row r="722">
      <x:c r="B722" s="46"/>
      <x:c r="C722" s="46"/>
      <x:c r="D722" s="112"/>
      <x:c r="E722" s="112"/>
      <x:c r="F722" s="92"/>
      <x:c r="G722" s="92"/>
      <x:c r="H722" s="92"/>
      <x:c r="I722" s="93" t="str">
        <x:f>IF(B722="","",MAX(0,F722-H722))</x:f>
      </x:c>
      <x:c r="J722" s="46"/>
      <x:c r="K722" s="100" t="str">
        <x:f>IF(B722="","",IF(G722="TL",1,IF(G722="USD",KURLAR!$C$9,IF(G722="EUR",KURLAR!$C$10,0))))</x:f>
      </x:c>
      <x:c r="L722" s="68" t="str">
        <x:f>IF(B722="","",I722*K722)</x:f>
      </x:c>
      <x:c r="M722" s="46"/>
      <x:c r="N722" s="52" t="str">
        <x:f>IF(B722="","",IF(OR(M722="Tahsil Edildi",M722="İptal",J722="Riskli"),"Hayır","Evet"))</x:f>
      </x:c>
    </x:row>
    <x:row r="723">
      <x:c r="B723" s="46"/>
      <x:c r="C723" s="46"/>
      <x:c r="D723" s="112"/>
      <x:c r="E723" s="112"/>
      <x:c r="F723" s="92"/>
      <x:c r="G723" s="92"/>
      <x:c r="H723" s="92"/>
      <x:c r="I723" s="93" t="str">
        <x:f>IF(B723="","",MAX(0,F723-H723))</x:f>
      </x:c>
      <x:c r="J723" s="46"/>
      <x:c r="K723" s="100" t="str">
        <x:f>IF(B723="","",IF(G723="TL",1,IF(G723="USD",KURLAR!$C$9,IF(G723="EUR",KURLAR!$C$10,0))))</x:f>
      </x:c>
      <x:c r="L723" s="68" t="str">
        <x:f>IF(B723="","",I723*K723)</x:f>
      </x:c>
      <x:c r="M723" s="46"/>
      <x:c r="N723" s="52" t="str">
        <x:f>IF(B723="","",IF(OR(M723="Tahsil Edildi",M723="İptal",J723="Riskli"),"Hayır","Evet"))</x:f>
      </x:c>
    </x:row>
    <x:row r="724">
      <x:c r="B724" s="46"/>
      <x:c r="C724" s="46"/>
      <x:c r="D724" s="112"/>
      <x:c r="E724" s="112"/>
      <x:c r="F724" s="92"/>
      <x:c r="G724" s="92"/>
      <x:c r="H724" s="92"/>
      <x:c r="I724" s="93" t="str">
        <x:f>IF(B724="","",MAX(0,F724-H724))</x:f>
      </x:c>
      <x:c r="J724" s="46"/>
      <x:c r="K724" s="100" t="str">
        <x:f>IF(B724="","",IF(G724="TL",1,IF(G724="USD",KURLAR!$C$9,IF(G724="EUR",KURLAR!$C$10,0))))</x:f>
      </x:c>
      <x:c r="L724" s="68" t="str">
        <x:f>IF(B724="","",I724*K724)</x:f>
      </x:c>
      <x:c r="M724" s="46"/>
      <x:c r="N724" s="52" t="str">
        <x:f>IF(B724="","",IF(OR(M724="Tahsil Edildi",M724="İptal",J724="Riskli"),"Hayır","Evet"))</x:f>
      </x:c>
    </x:row>
    <x:row r="725">
      <x:c r="B725" s="46"/>
      <x:c r="C725" s="46"/>
      <x:c r="D725" s="112"/>
      <x:c r="E725" s="112"/>
      <x:c r="F725" s="92"/>
      <x:c r="G725" s="92"/>
      <x:c r="H725" s="92"/>
      <x:c r="I725" s="93" t="str">
        <x:f>IF(B725="","",MAX(0,F725-H725))</x:f>
      </x:c>
      <x:c r="J725" s="46"/>
      <x:c r="K725" s="100" t="str">
        <x:f>IF(B725="","",IF(G725="TL",1,IF(G725="USD",KURLAR!$C$9,IF(G725="EUR",KURLAR!$C$10,0))))</x:f>
      </x:c>
      <x:c r="L725" s="68" t="str">
        <x:f>IF(B725="","",I725*K725)</x:f>
      </x:c>
      <x:c r="M725" s="46"/>
      <x:c r="N725" s="52" t="str">
        <x:f>IF(B725="","",IF(OR(M725="Tahsil Edildi",M725="İptal",J725="Riskli"),"Hayır","Evet"))</x:f>
      </x:c>
    </x:row>
    <x:row r="726">
      <x:c r="B726" s="46"/>
      <x:c r="C726" s="46"/>
      <x:c r="D726" s="112"/>
      <x:c r="E726" s="112"/>
      <x:c r="F726" s="92"/>
      <x:c r="G726" s="92"/>
      <x:c r="H726" s="92"/>
      <x:c r="I726" s="93" t="str">
        <x:f>IF(B726="","",MAX(0,F726-H726))</x:f>
      </x:c>
      <x:c r="J726" s="46"/>
      <x:c r="K726" s="100" t="str">
        <x:f>IF(B726="","",IF(G726="TL",1,IF(G726="USD",KURLAR!$C$9,IF(G726="EUR",KURLAR!$C$10,0))))</x:f>
      </x:c>
      <x:c r="L726" s="68" t="str">
        <x:f>IF(B726="","",I726*K726)</x:f>
      </x:c>
      <x:c r="M726" s="46"/>
      <x:c r="N726" s="52" t="str">
        <x:f>IF(B726="","",IF(OR(M726="Tahsil Edildi",M726="İptal",J726="Riskli"),"Hayır","Evet"))</x:f>
      </x:c>
    </x:row>
    <x:row r="727">
      <x:c r="B727" s="46"/>
      <x:c r="C727" s="46"/>
      <x:c r="D727" s="112"/>
      <x:c r="E727" s="112"/>
      <x:c r="F727" s="92"/>
      <x:c r="G727" s="92"/>
      <x:c r="H727" s="92"/>
      <x:c r="I727" s="93" t="str">
        <x:f>IF(B727="","",MAX(0,F727-H727))</x:f>
      </x:c>
      <x:c r="J727" s="46"/>
      <x:c r="K727" s="100" t="str">
        <x:f>IF(B727="","",IF(G727="TL",1,IF(G727="USD",KURLAR!$C$9,IF(G727="EUR",KURLAR!$C$10,0))))</x:f>
      </x:c>
      <x:c r="L727" s="68" t="str">
        <x:f>IF(B727="","",I727*K727)</x:f>
      </x:c>
      <x:c r="M727" s="46"/>
      <x:c r="N727" s="52" t="str">
        <x:f>IF(B727="","",IF(OR(M727="Tahsil Edildi",M727="İptal",J727="Riskli"),"Hayır","Evet"))</x:f>
      </x:c>
    </x:row>
    <x:row r="728">
      <x:c r="B728" s="46"/>
      <x:c r="C728" s="46"/>
      <x:c r="D728" s="112"/>
      <x:c r="E728" s="112"/>
      <x:c r="F728" s="92"/>
      <x:c r="G728" s="92"/>
      <x:c r="H728" s="92"/>
      <x:c r="I728" s="93" t="str">
        <x:f>IF(B728="","",MAX(0,F728-H728))</x:f>
      </x:c>
      <x:c r="J728" s="46"/>
      <x:c r="K728" s="100" t="str">
        <x:f>IF(B728="","",IF(G728="TL",1,IF(G728="USD",KURLAR!$C$9,IF(G728="EUR",KURLAR!$C$10,0))))</x:f>
      </x:c>
      <x:c r="L728" s="68" t="str">
        <x:f>IF(B728="","",I728*K728)</x:f>
      </x:c>
      <x:c r="M728" s="46"/>
      <x:c r="N728" s="52" t="str">
        <x:f>IF(B728="","",IF(OR(M728="Tahsil Edildi",M728="İptal",J728="Riskli"),"Hayır","Evet"))</x:f>
      </x:c>
    </x:row>
    <x:row r="729">
      <x:c r="B729" s="46"/>
      <x:c r="C729" s="46"/>
      <x:c r="D729" s="112"/>
      <x:c r="E729" s="112"/>
      <x:c r="F729" s="92"/>
      <x:c r="G729" s="92"/>
      <x:c r="H729" s="92"/>
      <x:c r="I729" s="93" t="str">
        <x:f>IF(B729="","",MAX(0,F729-H729))</x:f>
      </x:c>
      <x:c r="J729" s="46"/>
      <x:c r="K729" s="100" t="str">
        <x:f>IF(B729="","",IF(G729="TL",1,IF(G729="USD",KURLAR!$C$9,IF(G729="EUR",KURLAR!$C$10,0))))</x:f>
      </x:c>
      <x:c r="L729" s="68" t="str">
        <x:f>IF(B729="","",I729*K729)</x:f>
      </x:c>
      <x:c r="M729" s="46"/>
      <x:c r="N729" s="52" t="str">
        <x:f>IF(B729="","",IF(OR(M729="Tahsil Edildi",M729="İptal",J729="Riskli"),"Hayır","Evet"))</x:f>
      </x:c>
    </x:row>
    <x:row r="730">
      <x:c r="B730" s="46"/>
      <x:c r="C730" s="46"/>
      <x:c r="D730" s="112"/>
      <x:c r="E730" s="112"/>
      <x:c r="F730" s="92"/>
      <x:c r="G730" s="92"/>
      <x:c r="H730" s="92"/>
      <x:c r="I730" s="93" t="str">
        <x:f>IF(B730="","",MAX(0,F730-H730))</x:f>
      </x:c>
      <x:c r="J730" s="46"/>
      <x:c r="K730" s="100" t="str">
        <x:f>IF(B730="","",IF(G730="TL",1,IF(G730="USD",KURLAR!$C$9,IF(G730="EUR",KURLAR!$C$10,0))))</x:f>
      </x:c>
      <x:c r="L730" s="68" t="str">
        <x:f>IF(B730="","",I730*K730)</x:f>
      </x:c>
      <x:c r="M730" s="46"/>
      <x:c r="N730" s="52" t="str">
        <x:f>IF(B730="","",IF(OR(M730="Tahsil Edildi",M730="İptal",J730="Riskli"),"Hayır","Evet"))</x:f>
      </x:c>
    </x:row>
    <x:row r="731">
      <x:c r="B731" s="46"/>
      <x:c r="C731" s="46"/>
      <x:c r="D731" s="112"/>
      <x:c r="E731" s="112"/>
      <x:c r="F731" s="92"/>
      <x:c r="G731" s="92"/>
      <x:c r="H731" s="92"/>
      <x:c r="I731" s="93" t="str">
        <x:f>IF(B731="","",MAX(0,F731-H731))</x:f>
      </x:c>
      <x:c r="J731" s="46"/>
      <x:c r="K731" s="100" t="str">
        <x:f>IF(B731="","",IF(G731="TL",1,IF(G731="USD",KURLAR!$C$9,IF(G731="EUR",KURLAR!$C$10,0))))</x:f>
      </x:c>
      <x:c r="L731" s="68" t="str">
        <x:f>IF(B731="","",I731*K731)</x:f>
      </x:c>
      <x:c r="M731" s="46"/>
      <x:c r="N731" s="52" t="str">
        <x:f>IF(B731="","",IF(OR(M731="Tahsil Edildi",M731="İptal",J731="Riskli"),"Hayır","Evet"))</x:f>
      </x:c>
    </x:row>
    <x:row r="732">
      <x:c r="B732" s="46"/>
      <x:c r="C732" s="46"/>
      <x:c r="D732" s="112"/>
      <x:c r="E732" s="112"/>
      <x:c r="F732" s="92"/>
      <x:c r="G732" s="92"/>
      <x:c r="H732" s="92"/>
      <x:c r="I732" s="93" t="str">
        <x:f>IF(B732="","",MAX(0,F732-H732))</x:f>
      </x:c>
      <x:c r="J732" s="46"/>
      <x:c r="K732" s="100" t="str">
        <x:f>IF(B732="","",IF(G732="TL",1,IF(G732="USD",KURLAR!$C$9,IF(G732="EUR",KURLAR!$C$10,0))))</x:f>
      </x:c>
      <x:c r="L732" s="68" t="str">
        <x:f>IF(B732="","",I732*K732)</x:f>
      </x:c>
      <x:c r="M732" s="46"/>
      <x:c r="N732" s="52" t="str">
        <x:f>IF(B732="","",IF(OR(M732="Tahsil Edildi",M732="İptal",J732="Riskli"),"Hayır","Evet"))</x:f>
      </x:c>
    </x:row>
    <x:row r="733">
      <x:c r="B733" s="46"/>
      <x:c r="C733" s="46"/>
      <x:c r="D733" s="112"/>
      <x:c r="E733" s="112"/>
      <x:c r="F733" s="92"/>
      <x:c r="G733" s="92"/>
      <x:c r="H733" s="92"/>
      <x:c r="I733" s="93" t="str">
        <x:f>IF(B733="","",MAX(0,F733-H733))</x:f>
      </x:c>
      <x:c r="J733" s="46"/>
      <x:c r="K733" s="100" t="str">
        <x:f>IF(B733="","",IF(G733="TL",1,IF(G733="USD",KURLAR!$C$9,IF(G733="EUR",KURLAR!$C$10,0))))</x:f>
      </x:c>
      <x:c r="L733" s="68" t="str">
        <x:f>IF(B733="","",I733*K733)</x:f>
      </x:c>
      <x:c r="M733" s="46"/>
      <x:c r="N733" s="52" t="str">
        <x:f>IF(B733="","",IF(OR(M733="Tahsil Edildi",M733="İptal",J733="Riskli"),"Hayır","Evet"))</x:f>
      </x:c>
    </x:row>
    <x:row r="734">
      <x:c r="B734" s="46"/>
      <x:c r="C734" s="46"/>
      <x:c r="D734" s="112"/>
      <x:c r="E734" s="112"/>
      <x:c r="F734" s="92"/>
      <x:c r="G734" s="92"/>
      <x:c r="H734" s="92"/>
      <x:c r="I734" s="93" t="str">
        <x:f>IF(B734="","",MAX(0,F734-H734))</x:f>
      </x:c>
      <x:c r="J734" s="46"/>
      <x:c r="K734" s="100" t="str">
        <x:f>IF(B734="","",IF(G734="TL",1,IF(G734="USD",KURLAR!$C$9,IF(G734="EUR",KURLAR!$C$10,0))))</x:f>
      </x:c>
      <x:c r="L734" s="68" t="str">
        <x:f>IF(B734="","",I734*K734)</x:f>
      </x:c>
      <x:c r="M734" s="46"/>
      <x:c r="N734" s="52" t="str">
        <x:f>IF(B734="","",IF(OR(M734="Tahsil Edildi",M734="İptal",J734="Riskli"),"Hayır","Evet"))</x:f>
      </x:c>
    </x:row>
    <x:row r="735">
      <x:c r="B735" s="46"/>
      <x:c r="C735" s="46"/>
      <x:c r="D735" s="112"/>
      <x:c r="E735" s="112"/>
      <x:c r="F735" s="92"/>
      <x:c r="G735" s="92"/>
      <x:c r="H735" s="92"/>
      <x:c r="I735" s="93" t="str">
        <x:f>IF(B735="","",MAX(0,F735-H735))</x:f>
      </x:c>
      <x:c r="J735" s="46"/>
      <x:c r="K735" s="100" t="str">
        <x:f>IF(B735="","",IF(G735="TL",1,IF(G735="USD",KURLAR!$C$9,IF(G735="EUR",KURLAR!$C$10,0))))</x:f>
      </x:c>
      <x:c r="L735" s="68" t="str">
        <x:f>IF(B735="","",I735*K735)</x:f>
      </x:c>
      <x:c r="M735" s="46"/>
      <x:c r="N735" s="52" t="str">
        <x:f>IF(B735="","",IF(OR(M735="Tahsil Edildi",M735="İptal",J735="Riskli"),"Hayır","Evet"))</x:f>
      </x:c>
    </x:row>
    <x:row r="736">
      <x:c r="B736" s="46"/>
      <x:c r="C736" s="46"/>
      <x:c r="D736" s="112"/>
      <x:c r="E736" s="112"/>
      <x:c r="F736" s="92"/>
      <x:c r="G736" s="92"/>
      <x:c r="H736" s="92"/>
      <x:c r="I736" s="93" t="str">
        <x:f>IF(B736="","",MAX(0,F736-H736))</x:f>
      </x:c>
      <x:c r="J736" s="46"/>
      <x:c r="K736" s="100" t="str">
        <x:f>IF(B736="","",IF(G736="TL",1,IF(G736="USD",KURLAR!$C$9,IF(G736="EUR",KURLAR!$C$10,0))))</x:f>
      </x:c>
      <x:c r="L736" s="68" t="str">
        <x:f>IF(B736="","",I736*K736)</x:f>
      </x:c>
      <x:c r="M736" s="46"/>
      <x:c r="N736" s="52" t="str">
        <x:f>IF(B736="","",IF(OR(M736="Tahsil Edildi",M736="İptal",J736="Riskli"),"Hayır","Evet"))</x:f>
      </x:c>
    </x:row>
    <x:row r="737">
      <x:c r="B737" s="46"/>
      <x:c r="C737" s="46"/>
      <x:c r="D737" s="112"/>
      <x:c r="E737" s="112"/>
      <x:c r="F737" s="92"/>
      <x:c r="G737" s="92"/>
      <x:c r="H737" s="92"/>
      <x:c r="I737" s="93" t="str">
        <x:f>IF(B737="","",MAX(0,F737-H737))</x:f>
      </x:c>
      <x:c r="J737" s="46"/>
      <x:c r="K737" s="100" t="str">
        <x:f>IF(B737="","",IF(G737="TL",1,IF(G737="USD",KURLAR!$C$9,IF(G737="EUR",KURLAR!$C$10,0))))</x:f>
      </x:c>
      <x:c r="L737" s="68" t="str">
        <x:f>IF(B737="","",I737*K737)</x:f>
      </x:c>
      <x:c r="M737" s="46"/>
      <x:c r="N737" s="52" t="str">
        <x:f>IF(B737="","",IF(OR(M737="Tahsil Edildi",M737="İptal",J737="Riskli"),"Hayır","Evet"))</x:f>
      </x:c>
    </x:row>
    <x:row r="738">
      <x:c r="B738" s="46"/>
      <x:c r="C738" s="46"/>
      <x:c r="D738" s="112"/>
      <x:c r="E738" s="112"/>
      <x:c r="F738" s="92"/>
      <x:c r="G738" s="92"/>
      <x:c r="H738" s="92"/>
      <x:c r="I738" s="93" t="str">
        <x:f>IF(B738="","",MAX(0,F738-H738))</x:f>
      </x:c>
      <x:c r="J738" s="46"/>
      <x:c r="K738" s="100" t="str">
        <x:f>IF(B738="","",IF(G738="TL",1,IF(G738="USD",KURLAR!$C$9,IF(G738="EUR",KURLAR!$C$10,0))))</x:f>
      </x:c>
      <x:c r="L738" s="68" t="str">
        <x:f>IF(B738="","",I738*K738)</x:f>
      </x:c>
      <x:c r="M738" s="46"/>
      <x:c r="N738" s="52" t="str">
        <x:f>IF(B738="","",IF(OR(M738="Tahsil Edildi",M738="İptal",J738="Riskli"),"Hayır","Evet"))</x:f>
      </x:c>
    </x:row>
    <x:row r="739">
      <x:c r="B739" s="46"/>
      <x:c r="C739" s="46"/>
      <x:c r="D739" s="112"/>
      <x:c r="E739" s="112"/>
      <x:c r="F739" s="92"/>
      <x:c r="G739" s="92"/>
      <x:c r="H739" s="92"/>
      <x:c r="I739" s="93" t="str">
        <x:f>IF(B739="","",MAX(0,F739-H739))</x:f>
      </x:c>
      <x:c r="J739" s="46"/>
      <x:c r="K739" s="100" t="str">
        <x:f>IF(B739="","",IF(G739="TL",1,IF(G739="USD",KURLAR!$C$9,IF(G739="EUR",KURLAR!$C$10,0))))</x:f>
      </x:c>
      <x:c r="L739" s="68" t="str">
        <x:f>IF(B739="","",I739*K739)</x:f>
      </x:c>
      <x:c r="M739" s="46"/>
      <x:c r="N739" s="52" t="str">
        <x:f>IF(B739="","",IF(OR(M739="Tahsil Edildi",M739="İptal",J739="Riskli"),"Hayır","Evet"))</x:f>
      </x:c>
    </x:row>
    <x:row r="740">
      <x:c r="B740" s="46"/>
      <x:c r="C740" s="46"/>
      <x:c r="D740" s="112"/>
      <x:c r="E740" s="112"/>
      <x:c r="F740" s="92"/>
      <x:c r="G740" s="92"/>
      <x:c r="H740" s="92"/>
      <x:c r="I740" s="93" t="str">
        <x:f>IF(B740="","",MAX(0,F740-H740))</x:f>
      </x:c>
      <x:c r="J740" s="46"/>
      <x:c r="K740" s="100" t="str">
        <x:f>IF(B740="","",IF(G740="TL",1,IF(G740="USD",KURLAR!$C$9,IF(G740="EUR",KURLAR!$C$10,0))))</x:f>
      </x:c>
      <x:c r="L740" s="68" t="str">
        <x:f>IF(B740="","",I740*K740)</x:f>
      </x:c>
      <x:c r="M740" s="46"/>
      <x:c r="N740" s="52" t="str">
        <x:f>IF(B740="","",IF(OR(M740="Tahsil Edildi",M740="İptal",J740="Riskli"),"Hayır","Evet"))</x:f>
      </x:c>
    </x:row>
    <x:row r="741">
      <x:c r="B741" s="46"/>
      <x:c r="C741" s="46"/>
      <x:c r="D741" s="112"/>
      <x:c r="E741" s="112"/>
      <x:c r="F741" s="92"/>
      <x:c r="G741" s="92"/>
      <x:c r="H741" s="92"/>
      <x:c r="I741" s="93" t="str">
        <x:f>IF(B741="","",MAX(0,F741-H741))</x:f>
      </x:c>
      <x:c r="J741" s="46"/>
      <x:c r="K741" s="100" t="str">
        <x:f>IF(B741="","",IF(G741="TL",1,IF(G741="USD",KURLAR!$C$9,IF(G741="EUR",KURLAR!$C$10,0))))</x:f>
      </x:c>
      <x:c r="L741" s="68" t="str">
        <x:f>IF(B741="","",I741*K741)</x:f>
      </x:c>
      <x:c r="M741" s="46"/>
      <x:c r="N741" s="52" t="str">
        <x:f>IF(B741="","",IF(OR(M741="Tahsil Edildi",M741="İptal",J741="Riskli"),"Hayır","Evet"))</x:f>
      </x:c>
    </x:row>
    <x:row r="742">
      <x:c r="B742" s="46"/>
      <x:c r="C742" s="46"/>
      <x:c r="D742" s="112"/>
      <x:c r="E742" s="112"/>
      <x:c r="F742" s="92"/>
      <x:c r="G742" s="92"/>
      <x:c r="H742" s="92"/>
      <x:c r="I742" s="93" t="str">
        <x:f>IF(B742="","",MAX(0,F742-H742))</x:f>
      </x:c>
      <x:c r="J742" s="46"/>
      <x:c r="K742" s="100" t="str">
        <x:f>IF(B742="","",IF(G742="TL",1,IF(G742="USD",KURLAR!$C$9,IF(G742="EUR",KURLAR!$C$10,0))))</x:f>
      </x:c>
      <x:c r="L742" s="68" t="str">
        <x:f>IF(B742="","",I742*K742)</x:f>
      </x:c>
      <x:c r="M742" s="46"/>
      <x:c r="N742" s="52" t="str">
        <x:f>IF(B742="","",IF(OR(M742="Tahsil Edildi",M742="İptal",J742="Riskli"),"Hayır","Evet"))</x:f>
      </x:c>
    </x:row>
    <x:row r="743">
      <x:c r="B743" s="46"/>
      <x:c r="C743" s="46"/>
      <x:c r="D743" s="112"/>
      <x:c r="E743" s="112"/>
      <x:c r="F743" s="92"/>
      <x:c r="G743" s="92"/>
      <x:c r="H743" s="92"/>
      <x:c r="I743" s="93" t="str">
        <x:f>IF(B743="","",MAX(0,F743-H743))</x:f>
      </x:c>
      <x:c r="J743" s="46"/>
      <x:c r="K743" s="100" t="str">
        <x:f>IF(B743="","",IF(G743="TL",1,IF(G743="USD",KURLAR!$C$9,IF(G743="EUR",KURLAR!$C$10,0))))</x:f>
      </x:c>
      <x:c r="L743" s="68" t="str">
        <x:f>IF(B743="","",I743*K743)</x:f>
      </x:c>
      <x:c r="M743" s="46"/>
      <x:c r="N743" s="52" t="str">
        <x:f>IF(B743="","",IF(OR(M743="Tahsil Edildi",M743="İptal",J743="Riskli"),"Hayır","Evet"))</x:f>
      </x:c>
    </x:row>
    <x:row r="744">
      <x:c r="B744" s="46"/>
      <x:c r="C744" s="46"/>
      <x:c r="D744" s="112"/>
      <x:c r="E744" s="112"/>
      <x:c r="F744" s="92"/>
      <x:c r="G744" s="92"/>
      <x:c r="H744" s="92"/>
      <x:c r="I744" s="93" t="str">
        <x:f>IF(B744="","",MAX(0,F744-H744))</x:f>
      </x:c>
      <x:c r="J744" s="46"/>
      <x:c r="K744" s="100" t="str">
        <x:f>IF(B744="","",IF(G744="TL",1,IF(G744="USD",KURLAR!$C$9,IF(G744="EUR",KURLAR!$C$10,0))))</x:f>
      </x:c>
      <x:c r="L744" s="68" t="str">
        <x:f>IF(B744="","",I744*K744)</x:f>
      </x:c>
      <x:c r="M744" s="46"/>
      <x:c r="N744" s="52" t="str">
        <x:f>IF(B744="","",IF(OR(M744="Tahsil Edildi",M744="İptal",J744="Riskli"),"Hayır","Evet"))</x:f>
      </x:c>
    </x:row>
    <x:row r="745">
      <x:c r="B745" s="46"/>
      <x:c r="C745" s="46"/>
      <x:c r="D745" s="112"/>
      <x:c r="E745" s="112"/>
      <x:c r="F745" s="92"/>
      <x:c r="G745" s="92"/>
      <x:c r="H745" s="92"/>
      <x:c r="I745" s="93" t="str">
        <x:f>IF(B745="","",MAX(0,F745-H745))</x:f>
      </x:c>
      <x:c r="J745" s="46"/>
      <x:c r="K745" s="100" t="str">
        <x:f>IF(B745="","",IF(G745="TL",1,IF(G745="USD",KURLAR!$C$9,IF(G745="EUR",KURLAR!$C$10,0))))</x:f>
      </x:c>
      <x:c r="L745" s="68" t="str">
        <x:f>IF(B745="","",I745*K745)</x:f>
      </x:c>
      <x:c r="M745" s="46"/>
      <x:c r="N745" s="52" t="str">
        <x:f>IF(B745="","",IF(OR(M745="Tahsil Edildi",M745="İptal",J745="Riskli"),"Hayır","Evet"))</x:f>
      </x:c>
    </x:row>
    <x:row r="746">
      <x:c r="B746" s="46"/>
      <x:c r="C746" s="46"/>
      <x:c r="D746" s="112"/>
      <x:c r="E746" s="112"/>
      <x:c r="F746" s="92"/>
      <x:c r="G746" s="92"/>
      <x:c r="H746" s="92"/>
      <x:c r="I746" s="93" t="str">
        <x:f>IF(B746="","",MAX(0,F746-H746))</x:f>
      </x:c>
      <x:c r="J746" s="46"/>
      <x:c r="K746" s="100" t="str">
        <x:f>IF(B746="","",IF(G746="TL",1,IF(G746="USD",KURLAR!$C$9,IF(G746="EUR",KURLAR!$C$10,0))))</x:f>
      </x:c>
      <x:c r="L746" s="68" t="str">
        <x:f>IF(B746="","",I746*K746)</x:f>
      </x:c>
      <x:c r="M746" s="46"/>
      <x:c r="N746" s="52" t="str">
        <x:f>IF(B746="","",IF(OR(M746="Tahsil Edildi",M746="İptal",J746="Riskli"),"Hayır","Evet"))</x:f>
      </x:c>
    </x:row>
    <x:row r="747">
      <x:c r="B747" s="46"/>
      <x:c r="C747" s="46"/>
      <x:c r="D747" s="112"/>
      <x:c r="E747" s="112"/>
      <x:c r="F747" s="92"/>
      <x:c r="G747" s="92"/>
      <x:c r="H747" s="92"/>
      <x:c r="I747" s="93" t="str">
        <x:f>IF(B747="","",MAX(0,F747-H747))</x:f>
      </x:c>
      <x:c r="J747" s="46"/>
      <x:c r="K747" s="100" t="str">
        <x:f>IF(B747="","",IF(G747="TL",1,IF(G747="USD",KURLAR!$C$9,IF(G747="EUR",KURLAR!$C$10,0))))</x:f>
      </x:c>
      <x:c r="L747" s="68" t="str">
        <x:f>IF(B747="","",I747*K747)</x:f>
      </x:c>
      <x:c r="M747" s="46"/>
      <x:c r="N747" s="52" t="str">
        <x:f>IF(B747="","",IF(OR(M747="Tahsil Edildi",M747="İptal",J747="Riskli"),"Hayır","Evet"))</x:f>
      </x:c>
    </x:row>
    <x:row r="748">
      <x:c r="B748" s="46"/>
      <x:c r="C748" s="46"/>
      <x:c r="D748" s="112"/>
      <x:c r="E748" s="112"/>
      <x:c r="F748" s="92"/>
      <x:c r="G748" s="92"/>
      <x:c r="H748" s="92"/>
      <x:c r="I748" s="93" t="str">
        <x:f>IF(B748="","",MAX(0,F748-H748))</x:f>
      </x:c>
      <x:c r="J748" s="46"/>
      <x:c r="K748" s="100" t="str">
        <x:f>IF(B748="","",IF(G748="TL",1,IF(G748="USD",KURLAR!$C$9,IF(G748="EUR",KURLAR!$C$10,0))))</x:f>
      </x:c>
      <x:c r="L748" s="68" t="str">
        <x:f>IF(B748="","",I748*K748)</x:f>
      </x:c>
      <x:c r="M748" s="46"/>
      <x:c r="N748" s="52" t="str">
        <x:f>IF(B748="","",IF(OR(M748="Tahsil Edildi",M748="İptal",J748="Riskli"),"Hayır","Evet"))</x:f>
      </x:c>
    </x:row>
    <x:row r="749">
      <x:c r="B749" s="46"/>
      <x:c r="C749" s="46"/>
      <x:c r="D749" s="112"/>
      <x:c r="E749" s="112"/>
      <x:c r="F749" s="92"/>
      <x:c r="G749" s="92"/>
      <x:c r="H749" s="92"/>
      <x:c r="I749" s="93" t="str">
        <x:f>IF(B749="","",MAX(0,F749-H749))</x:f>
      </x:c>
      <x:c r="J749" s="46"/>
      <x:c r="K749" s="100" t="str">
        <x:f>IF(B749="","",IF(G749="TL",1,IF(G749="USD",KURLAR!$C$9,IF(G749="EUR",KURLAR!$C$10,0))))</x:f>
      </x:c>
      <x:c r="L749" s="68" t="str">
        <x:f>IF(B749="","",I749*K749)</x:f>
      </x:c>
      <x:c r="M749" s="46"/>
      <x:c r="N749" s="52" t="str">
        <x:f>IF(B749="","",IF(OR(M749="Tahsil Edildi",M749="İptal",J749="Riskli"),"Hayır","Evet"))</x:f>
      </x:c>
    </x:row>
    <x:row r="750">
      <x:c r="B750" s="46"/>
      <x:c r="C750" s="46"/>
      <x:c r="D750" s="112"/>
      <x:c r="E750" s="112"/>
      <x:c r="F750" s="92"/>
      <x:c r="G750" s="92"/>
      <x:c r="H750" s="92"/>
      <x:c r="I750" s="93" t="str">
        <x:f>IF(B750="","",MAX(0,F750-H750))</x:f>
      </x:c>
      <x:c r="J750" s="46"/>
      <x:c r="K750" s="100" t="str">
        <x:f>IF(B750="","",IF(G750="TL",1,IF(G750="USD",KURLAR!$C$9,IF(G750="EUR",KURLAR!$C$10,0))))</x:f>
      </x:c>
      <x:c r="L750" s="68" t="str">
        <x:f>IF(B750="","",I750*K750)</x:f>
      </x:c>
      <x:c r="M750" s="46"/>
      <x:c r="N750" s="52" t="str">
        <x:f>IF(B750="","",IF(OR(M750="Tahsil Edildi",M750="İptal",J750="Riskli"),"Hayır","Evet"))</x:f>
      </x:c>
    </x:row>
    <x:row r="751">
      <x:c r="B751" s="46"/>
      <x:c r="C751" s="46"/>
      <x:c r="D751" s="112"/>
      <x:c r="E751" s="112"/>
      <x:c r="F751" s="92"/>
      <x:c r="G751" s="92"/>
      <x:c r="H751" s="92"/>
      <x:c r="I751" s="93" t="str">
        <x:f>IF(B751="","",MAX(0,F751-H751))</x:f>
      </x:c>
      <x:c r="J751" s="46"/>
      <x:c r="K751" s="100" t="str">
        <x:f>IF(B751="","",IF(G751="TL",1,IF(G751="USD",KURLAR!$C$9,IF(G751="EUR",KURLAR!$C$10,0))))</x:f>
      </x:c>
      <x:c r="L751" s="68" t="str">
        <x:f>IF(B751="","",I751*K751)</x:f>
      </x:c>
      <x:c r="M751" s="46"/>
      <x:c r="N751" s="52" t="str">
        <x:f>IF(B751="","",IF(OR(M751="Tahsil Edildi",M751="İptal",J751="Riskli"),"Hayır","Evet"))</x:f>
      </x:c>
    </x:row>
    <x:row r="752">
      <x:c r="B752" s="46"/>
      <x:c r="C752" s="46"/>
      <x:c r="D752" s="112"/>
      <x:c r="E752" s="112"/>
      <x:c r="F752" s="92"/>
      <x:c r="G752" s="92"/>
      <x:c r="H752" s="92"/>
      <x:c r="I752" s="93" t="str">
        <x:f>IF(B752="","",MAX(0,F752-H752))</x:f>
      </x:c>
      <x:c r="J752" s="46"/>
      <x:c r="K752" s="100" t="str">
        <x:f>IF(B752="","",IF(G752="TL",1,IF(G752="USD",KURLAR!$C$9,IF(G752="EUR",KURLAR!$C$10,0))))</x:f>
      </x:c>
      <x:c r="L752" s="68" t="str">
        <x:f>IF(B752="","",I752*K752)</x:f>
      </x:c>
      <x:c r="M752" s="46"/>
      <x:c r="N752" s="52" t="str">
        <x:f>IF(B752="","",IF(OR(M752="Tahsil Edildi",M752="İptal",J752="Riskli"),"Hayır","Evet"))</x:f>
      </x:c>
    </x:row>
    <x:row r="753">
      <x:c r="B753" s="46"/>
      <x:c r="C753" s="46"/>
      <x:c r="D753" s="112"/>
      <x:c r="E753" s="112"/>
      <x:c r="F753" s="92"/>
      <x:c r="G753" s="92"/>
      <x:c r="H753" s="92"/>
      <x:c r="I753" s="93" t="str">
        <x:f>IF(B753="","",MAX(0,F753-H753))</x:f>
      </x:c>
      <x:c r="J753" s="46"/>
      <x:c r="K753" s="100" t="str">
        <x:f>IF(B753="","",IF(G753="TL",1,IF(G753="USD",KURLAR!$C$9,IF(G753="EUR",KURLAR!$C$10,0))))</x:f>
      </x:c>
      <x:c r="L753" s="68" t="str">
        <x:f>IF(B753="","",I753*K753)</x:f>
      </x:c>
      <x:c r="M753" s="46"/>
      <x:c r="N753" s="52" t="str">
        <x:f>IF(B753="","",IF(OR(M753="Tahsil Edildi",M753="İptal",J753="Riskli"),"Hayır","Evet"))</x:f>
      </x:c>
    </x:row>
    <x:row r="754">
      <x:c r="B754" s="46"/>
      <x:c r="C754" s="46"/>
      <x:c r="D754" s="112"/>
      <x:c r="E754" s="112"/>
      <x:c r="F754" s="92"/>
      <x:c r="G754" s="92"/>
      <x:c r="H754" s="92"/>
      <x:c r="I754" s="93" t="str">
        <x:f>IF(B754="","",MAX(0,F754-H754))</x:f>
      </x:c>
      <x:c r="J754" s="46"/>
      <x:c r="K754" s="100" t="str">
        <x:f>IF(B754="","",IF(G754="TL",1,IF(G754="USD",KURLAR!$C$9,IF(G754="EUR",KURLAR!$C$10,0))))</x:f>
      </x:c>
      <x:c r="L754" s="68" t="str">
        <x:f>IF(B754="","",I754*K754)</x:f>
      </x:c>
      <x:c r="M754" s="46"/>
      <x:c r="N754" s="52" t="str">
        <x:f>IF(B754="","",IF(OR(M754="Tahsil Edildi",M754="İptal",J754="Riskli"),"Hayır","Evet"))</x:f>
      </x:c>
    </x:row>
    <x:row r="755">
      <x:c r="B755" s="46"/>
      <x:c r="C755" s="46"/>
      <x:c r="D755" s="112"/>
      <x:c r="E755" s="112"/>
      <x:c r="F755" s="92"/>
      <x:c r="G755" s="92"/>
      <x:c r="H755" s="92"/>
      <x:c r="I755" s="93" t="str">
        <x:f>IF(B755="","",MAX(0,F755-H755))</x:f>
      </x:c>
      <x:c r="J755" s="46"/>
      <x:c r="K755" s="100" t="str">
        <x:f>IF(B755="","",IF(G755="TL",1,IF(G755="USD",KURLAR!$C$9,IF(G755="EUR",KURLAR!$C$10,0))))</x:f>
      </x:c>
      <x:c r="L755" s="68" t="str">
        <x:f>IF(B755="","",I755*K755)</x:f>
      </x:c>
      <x:c r="M755" s="46"/>
      <x:c r="N755" s="52" t="str">
        <x:f>IF(B755="","",IF(OR(M755="Tahsil Edildi",M755="İptal",J755="Riskli"),"Hayır","Evet"))</x:f>
      </x:c>
    </x:row>
    <x:row r="756">
      <x:c r="B756" s="46"/>
      <x:c r="C756" s="46"/>
      <x:c r="D756" s="112"/>
      <x:c r="E756" s="112"/>
      <x:c r="F756" s="92"/>
      <x:c r="G756" s="92"/>
      <x:c r="H756" s="92"/>
      <x:c r="I756" s="93" t="str">
        <x:f>IF(B756="","",MAX(0,F756-H756))</x:f>
      </x:c>
      <x:c r="J756" s="46"/>
      <x:c r="K756" s="100" t="str">
        <x:f>IF(B756="","",IF(G756="TL",1,IF(G756="USD",KURLAR!$C$9,IF(G756="EUR",KURLAR!$C$10,0))))</x:f>
      </x:c>
      <x:c r="L756" s="68" t="str">
        <x:f>IF(B756="","",I756*K756)</x:f>
      </x:c>
      <x:c r="M756" s="46"/>
      <x:c r="N756" s="52" t="str">
        <x:f>IF(B756="","",IF(OR(M756="Tahsil Edildi",M756="İptal",J756="Riskli"),"Hayır","Evet"))</x:f>
      </x:c>
    </x:row>
    <x:row r="757">
      <x:c r="B757" s="46"/>
      <x:c r="C757" s="46"/>
      <x:c r="D757" s="112"/>
      <x:c r="E757" s="112"/>
      <x:c r="F757" s="92"/>
      <x:c r="G757" s="92"/>
      <x:c r="H757" s="92"/>
      <x:c r="I757" s="93" t="str">
        <x:f>IF(B757="","",MAX(0,F757-H757))</x:f>
      </x:c>
      <x:c r="J757" s="46"/>
      <x:c r="K757" s="100" t="str">
        <x:f>IF(B757="","",IF(G757="TL",1,IF(G757="USD",KURLAR!$C$9,IF(G757="EUR",KURLAR!$C$10,0))))</x:f>
      </x:c>
      <x:c r="L757" s="68" t="str">
        <x:f>IF(B757="","",I757*K757)</x:f>
      </x:c>
      <x:c r="M757" s="46"/>
      <x:c r="N757" s="52" t="str">
        <x:f>IF(B757="","",IF(OR(M757="Tahsil Edildi",M757="İptal",J757="Riskli"),"Hayır","Evet"))</x:f>
      </x:c>
    </x:row>
    <x:row r="758">
      <x:c r="B758" s="46"/>
      <x:c r="C758" s="46"/>
      <x:c r="D758" s="112"/>
      <x:c r="E758" s="112"/>
      <x:c r="F758" s="92"/>
      <x:c r="G758" s="92"/>
      <x:c r="H758" s="92"/>
      <x:c r="I758" s="93" t="str">
        <x:f>IF(B758="","",MAX(0,F758-H758))</x:f>
      </x:c>
      <x:c r="J758" s="46"/>
      <x:c r="K758" s="100" t="str">
        <x:f>IF(B758="","",IF(G758="TL",1,IF(G758="USD",KURLAR!$C$9,IF(G758="EUR",KURLAR!$C$10,0))))</x:f>
      </x:c>
      <x:c r="L758" s="68" t="str">
        <x:f>IF(B758="","",I758*K758)</x:f>
      </x:c>
      <x:c r="M758" s="46"/>
      <x:c r="N758" s="52" t="str">
        <x:f>IF(B758="","",IF(OR(M758="Tahsil Edildi",M758="İptal",J758="Riskli"),"Hayır","Evet"))</x:f>
      </x:c>
    </x:row>
    <x:row r="759">
      <x:c r="B759" s="46"/>
      <x:c r="C759" s="46"/>
      <x:c r="D759" s="112"/>
      <x:c r="E759" s="112"/>
      <x:c r="F759" s="92"/>
      <x:c r="G759" s="92"/>
      <x:c r="H759" s="92"/>
      <x:c r="I759" s="93" t="str">
        <x:f>IF(B759="","",MAX(0,F759-H759))</x:f>
      </x:c>
      <x:c r="J759" s="46"/>
      <x:c r="K759" s="100" t="str">
        <x:f>IF(B759="","",IF(G759="TL",1,IF(G759="USD",KURLAR!$C$9,IF(G759="EUR",KURLAR!$C$10,0))))</x:f>
      </x:c>
      <x:c r="L759" s="68" t="str">
        <x:f>IF(B759="","",I759*K759)</x:f>
      </x:c>
      <x:c r="M759" s="46"/>
      <x:c r="N759" s="52" t="str">
        <x:f>IF(B759="","",IF(OR(M759="Tahsil Edildi",M759="İptal",J759="Riskli"),"Hayır","Evet"))</x:f>
      </x:c>
    </x:row>
    <x:row r="760">
      <x:c r="B760" s="46"/>
      <x:c r="C760" s="46"/>
      <x:c r="D760" s="112"/>
      <x:c r="E760" s="112"/>
      <x:c r="F760" s="92"/>
      <x:c r="G760" s="92"/>
      <x:c r="H760" s="92"/>
      <x:c r="I760" s="93" t="str">
        <x:f>IF(B760="","",MAX(0,F760-H760))</x:f>
      </x:c>
      <x:c r="J760" s="46"/>
      <x:c r="K760" s="100" t="str">
        <x:f>IF(B760="","",IF(G760="TL",1,IF(G760="USD",KURLAR!$C$9,IF(G760="EUR",KURLAR!$C$10,0))))</x:f>
      </x:c>
      <x:c r="L760" s="68" t="str">
        <x:f>IF(B760="","",I760*K760)</x:f>
      </x:c>
      <x:c r="M760" s="46"/>
      <x:c r="N760" s="52" t="str">
        <x:f>IF(B760="","",IF(OR(M760="Tahsil Edildi",M760="İptal",J760="Riskli"),"Hayır","Evet"))</x:f>
      </x:c>
    </x:row>
    <x:row r="761">
      <x:c r="B761" s="46"/>
      <x:c r="C761" s="46"/>
      <x:c r="D761" s="112"/>
      <x:c r="E761" s="112"/>
      <x:c r="F761" s="92"/>
      <x:c r="G761" s="92"/>
      <x:c r="H761" s="92"/>
      <x:c r="I761" s="93" t="str">
        <x:f>IF(B761="","",MAX(0,F761-H761))</x:f>
      </x:c>
      <x:c r="J761" s="46"/>
      <x:c r="K761" s="100" t="str">
        <x:f>IF(B761="","",IF(G761="TL",1,IF(G761="USD",KURLAR!$C$9,IF(G761="EUR",KURLAR!$C$10,0))))</x:f>
      </x:c>
      <x:c r="L761" s="68" t="str">
        <x:f>IF(B761="","",I761*K761)</x:f>
      </x:c>
      <x:c r="M761" s="46"/>
      <x:c r="N761" s="52" t="str">
        <x:f>IF(B761="","",IF(OR(M761="Tahsil Edildi",M761="İptal",J761="Riskli"),"Hayır","Evet"))</x:f>
      </x:c>
    </x:row>
    <x:row r="762">
      <x:c r="B762" s="46"/>
      <x:c r="C762" s="46"/>
      <x:c r="D762" s="112"/>
      <x:c r="E762" s="112"/>
      <x:c r="F762" s="92"/>
      <x:c r="G762" s="92"/>
      <x:c r="H762" s="92"/>
      <x:c r="I762" s="93" t="str">
        <x:f>IF(B762="","",MAX(0,F762-H762))</x:f>
      </x:c>
      <x:c r="J762" s="46"/>
      <x:c r="K762" s="100" t="str">
        <x:f>IF(B762="","",IF(G762="TL",1,IF(G762="USD",KURLAR!$C$9,IF(G762="EUR",KURLAR!$C$10,0))))</x:f>
      </x:c>
      <x:c r="L762" s="68" t="str">
        <x:f>IF(B762="","",I762*K762)</x:f>
      </x:c>
      <x:c r="M762" s="46"/>
      <x:c r="N762" s="52" t="str">
        <x:f>IF(B762="","",IF(OR(M762="Tahsil Edildi",M762="İptal",J762="Riskli"),"Hayır","Evet"))</x:f>
      </x:c>
    </x:row>
    <x:row r="763">
      <x:c r="B763" s="46"/>
      <x:c r="C763" s="46"/>
      <x:c r="D763" s="112"/>
      <x:c r="E763" s="112"/>
      <x:c r="F763" s="92"/>
      <x:c r="G763" s="92"/>
      <x:c r="H763" s="92"/>
      <x:c r="I763" s="93" t="str">
        <x:f>IF(B763="","",MAX(0,F763-H763))</x:f>
      </x:c>
      <x:c r="J763" s="46"/>
      <x:c r="K763" s="100" t="str">
        <x:f>IF(B763="","",IF(G763="TL",1,IF(G763="USD",KURLAR!$C$9,IF(G763="EUR",KURLAR!$C$10,0))))</x:f>
      </x:c>
      <x:c r="L763" s="68" t="str">
        <x:f>IF(B763="","",I763*K763)</x:f>
      </x:c>
      <x:c r="M763" s="46"/>
      <x:c r="N763" s="52" t="str">
        <x:f>IF(B763="","",IF(OR(M763="Tahsil Edildi",M763="İptal",J763="Riskli"),"Hayır","Evet"))</x:f>
      </x:c>
    </x:row>
    <x:row r="764">
      <x:c r="B764" s="46"/>
      <x:c r="C764" s="46"/>
      <x:c r="D764" s="112"/>
      <x:c r="E764" s="112"/>
      <x:c r="F764" s="92"/>
      <x:c r="G764" s="92"/>
      <x:c r="H764" s="92"/>
      <x:c r="I764" s="93" t="str">
        <x:f>IF(B764="","",MAX(0,F764-H764))</x:f>
      </x:c>
      <x:c r="J764" s="46"/>
      <x:c r="K764" s="100" t="str">
        <x:f>IF(B764="","",IF(G764="TL",1,IF(G764="USD",KURLAR!$C$9,IF(G764="EUR",KURLAR!$C$10,0))))</x:f>
      </x:c>
      <x:c r="L764" s="68" t="str">
        <x:f>IF(B764="","",I764*K764)</x:f>
      </x:c>
      <x:c r="M764" s="46"/>
      <x:c r="N764" s="52" t="str">
        <x:f>IF(B764="","",IF(OR(M764="Tahsil Edildi",M764="İptal",J764="Riskli"),"Hayır","Evet"))</x:f>
      </x:c>
    </x:row>
    <x:row r="765">
      <x:c r="B765" s="46"/>
      <x:c r="C765" s="46"/>
      <x:c r="D765" s="112"/>
      <x:c r="E765" s="112"/>
      <x:c r="F765" s="92"/>
      <x:c r="G765" s="92"/>
      <x:c r="H765" s="92"/>
      <x:c r="I765" s="93" t="str">
        <x:f>IF(B765="","",MAX(0,F765-H765))</x:f>
      </x:c>
      <x:c r="J765" s="46"/>
      <x:c r="K765" s="100" t="str">
        <x:f>IF(B765="","",IF(G765="TL",1,IF(G765="USD",KURLAR!$C$9,IF(G765="EUR",KURLAR!$C$10,0))))</x:f>
      </x:c>
      <x:c r="L765" s="68" t="str">
        <x:f>IF(B765="","",I765*K765)</x:f>
      </x:c>
      <x:c r="M765" s="46"/>
      <x:c r="N765" s="52" t="str">
        <x:f>IF(B765="","",IF(OR(M765="Tahsil Edildi",M765="İptal",J765="Riskli"),"Hayır","Evet"))</x:f>
      </x:c>
    </x:row>
    <x:row r="766">
      <x:c r="B766" s="46"/>
      <x:c r="C766" s="46"/>
      <x:c r="D766" s="112"/>
      <x:c r="E766" s="112"/>
      <x:c r="F766" s="92"/>
      <x:c r="G766" s="92"/>
      <x:c r="H766" s="92"/>
      <x:c r="I766" s="93" t="str">
        <x:f>IF(B766="","",MAX(0,F766-H766))</x:f>
      </x:c>
      <x:c r="J766" s="46"/>
      <x:c r="K766" s="100" t="str">
        <x:f>IF(B766="","",IF(G766="TL",1,IF(G766="USD",KURLAR!$C$9,IF(G766="EUR",KURLAR!$C$10,0))))</x:f>
      </x:c>
      <x:c r="L766" s="68" t="str">
        <x:f>IF(B766="","",I766*K766)</x:f>
      </x:c>
      <x:c r="M766" s="46"/>
      <x:c r="N766" s="52" t="str">
        <x:f>IF(B766="","",IF(OR(M766="Tahsil Edildi",M766="İptal",J766="Riskli"),"Hayır","Evet"))</x:f>
      </x:c>
    </x:row>
    <x:row r="767">
      <x:c r="B767" s="46"/>
      <x:c r="C767" s="46"/>
      <x:c r="D767" s="112"/>
      <x:c r="E767" s="112"/>
      <x:c r="F767" s="92"/>
      <x:c r="G767" s="92"/>
      <x:c r="H767" s="92"/>
      <x:c r="I767" s="93" t="str">
        <x:f>IF(B767="","",MAX(0,F767-H767))</x:f>
      </x:c>
      <x:c r="J767" s="46"/>
      <x:c r="K767" s="100" t="str">
        <x:f>IF(B767="","",IF(G767="TL",1,IF(G767="USD",KURLAR!$C$9,IF(G767="EUR",KURLAR!$C$10,0))))</x:f>
      </x:c>
      <x:c r="L767" s="68" t="str">
        <x:f>IF(B767="","",I767*K767)</x:f>
      </x:c>
      <x:c r="M767" s="46"/>
      <x:c r="N767" s="52" t="str">
        <x:f>IF(B767="","",IF(OR(M767="Tahsil Edildi",M767="İptal",J767="Riskli"),"Hayır","Evet"))</x:f>
      </x:c>
    </x:row>
    <x:row r="768">
      <x:c r="B768" s="46"/>
      <x:c r="C768" s="46"/>
      <x:c r="D768" s="112"/>
      <x:c r="E768" s="112"/>
      <x:c r="F768" s="92"/>
      <x:c r="G768" s="92"/>
      <x:c r="H768" s="92"/>
      <x:c r="I768" s="93" t="str">
        <x:f>IF(B768="","",MAX(0,F768-H768))</x:f>
      </x:c>
      <x:c r="J768" s="46"/>
      <x:c r="K768" s="100" t="str">
        <x:f>IF(B768="","",IF(G768="TL",1,IF(G768="USD",KURLAR!$C$9,IF(G768="EUR",KURLAR!$C$10,0))))</x:f>
      </x:c>
      <x:c r="L768" s="68" t="str">
        <x:f>IF(B768="","",I768*K768)</x:f>
      </x:c>
      <x:c r="M768" s="46"/>
      <x:c r="N768" s="52" t="str">
        <x:f>IF(B768="","",IF(OR(M768="Tahsil Edildi",M768="İptal",J768="Riskli"),"Hayır","Evet"))</x:f>
      </x:c>
    </x:row>
    <x:row r="769">
      <x:c r="B769" s="46"/>
      <x:c r="C769" s="46"/>
      <x:c r="D769" s="112"/>
      <x:c r="E769" s="112"/>
      <x:c r="F769" s="92"/>
      <x:c r="G769" s="92"/>
      <x:c r="H769" s="92"/>
      <x:c r="I769" s="93" t="str">
        <x:f>IF(B769="","",MAX(0,F769-H769))</x:f>
      </x:c>
      <x:c r="J769" s="46"/>
      <x:c r="K769" s="100" t="str">
        <x:f>IF(B769="","",IF(G769="TL",1,IF(G769="USD",KURLAR!$C$9,IF(G769="EUR",KURLAR!$C$10,0))))</x:f>
      </x:c>
      <x:c r="L769" s="68" t="str">
        <x:f>IF(B769="","",I769*K769)</x:f>
      </x:c>
      <x:c r="M769" s="46"/>
      <x:c r="N769" s="52" t="str">
        <x:f>IF(B769="","",IF(OR(M769="Tahsil Edildi",M769="İptal",J769="Riskli"),"Hayır","Evet"))</x:f>
      </x:c>
    </x:row>
    <x:row r="770">
      <x:c r="B770" s="46"/>
      <x:c r="C770" s="46"/>
      <x:c r="D770" s="112"/>
      <x:c r="E770" s="112"/>
      <x:c r="F770" s="92"/>
      <x:c r="G770" s="92"/>
      <x:c r="H770" s="92"/>
      <x:c r="I770" s="93" t="str">
        <x:f>IF(B770="","",MAX(0,F770-H770))</x:f>
      </x:c>
      <x:c r="J770" s="46"/>
      <x:c r="K770" s="100" t="str">
        <x:f>IF(B770="","",IF(G770="TL",1,IF(G770="USD",KURLAR!$C$9,IF(G770="EUR",KURLAR!$C$10,0))))</x:f>
      </x:c>
      <x:c r="L770" s="68" t="str">
        <x:f>IF(B770="","",I770*K770)</x:f>
      </x:c>
      <x:c r="M770" s="46"/>
      <x:c r="N770" s="52" t="str">
        <x:f>IF(B770="","",IF(OR(M770="Tahsil Edildi",M770="İptal",J770="Riskli"),"Hayır","Evet"))</x:f>
      </x:c>
    </x:row>
    <x:row r="771">
      <x:c r="B771" s="46"/>
      <x:c r="C771" s="46"/>
      <x:c r="D771" s="112"/>
      <x:c r="E771" s="112"/>
      <x:c r="F771" s="92"/>
      <x:c r="G771" s="92"/>
      <x:c r="H771" s="92"/>
      <x:c r="I771" s="93" t="str">
        <x:f>IF(B771="","",MAX(0,F771-H771))</x:f>
      </x:c>
      <x:c r="J771" s="46"/>
      <x:c r="K771" s="100" t="str">
        <x:f>IF(B771="","",IF(G771="TL",1,IF(G771="USD",KURLAR!$C$9,IF(G771="EUR",KURLAR!$C$10,0))))</x:f>
      </x:c>
      <x:c r="L771" s="68" t="str">
        <x:f>IF(B771="","",I771*K771)</x:f>
      </x:c>
      <x:c r="M771" s="46"/>
      <x:c r="N771" s="52" t="str">
        <x:f>IF(B771="","",IF(OR(M771="Tahsil Edildi",M771="İptal",J771="Riskli"),"Hayır","Evet"))</x:f>
      </x:c>
    </x:row>
    <x:row r="772">
      <x:c r="B772" s="46"/>
      <x:c r="C772" s="46"/>
      <x:c r="D772" s="112"/>
      <x:c r="E772" s="112"/>
      <x:c r="F772" s="92"/>
      <x:c r="G772" s="92"/>
      <x:c r="H772" s="92"/>
      <x:c r="I772" s="93" t="str">
        <x:f>IF(B772="","",MAX(0,F772-H772))</x:f>
      </x:c>
      <x:c r="J772" s="46"/>
      <x:c r="K772" s="100" t="str">
        <x:f>IF(B772="","",IF(G772="TL",1,IF(G772="USD",KURLAR!$C$9,IF(G772="EUR",KURLAR!$C$10,0))))</x:f>
      </x:c>
      <x:c r="L772" s="68" t="str">
        <x:f>IF(B772="","",I772*K772)</x:f>
      </x:c>
      <x:c r="M772" s="46"/>
      <x:c r="N772" s="52" t="str">
        <x:f>IF(B772="","",IF(OR(M772="Tahsil Edildi",M772="İptal",J772="Riskli"),"Hayır","Evet"))</x:f>
      </x:c>
    </x:row>
    <x:row r="773">
      <x:c r="B773" s="46"/>
      <x:c r="C773" s="46"/>
      <x:c r="D773" s="112"/>
      <x:c r="E773" s="112"/>
      <x:c r="F773" s="92"/>
      <x:c r="G773" s="92"/>
      <x:c r="H773" s="92"/>
      <x:c r="I773" s="93" t="str">
        <x:f>IF(B773="","",MAX(0,F773-H773))</x:f>
      </x:c>
      <x:c r="J773" s="46"/>
      <x:c r="K773" s="100" t="str">
        <x:f>IF(B773="","",IF(G773="TL",1,IF(G773="USD",KURLAR!$C$9,IF(G773="EUR",KURLAR!$C$10,0))))</x:f>
      </x:c>
      <x:c r="L773" s="68" t="str">
        <x:f>IF(B773="","",I773*K773)</x:f>
      </x:c>
      <x:c r="M773" s="46"/>
      <x:c r="N773" s="52" t="str">
        <x:f>IF(B773="","",IF(OR(M773="Tahsil Edildi",M773="İptal",J773="Riskli"),"Hayır","Evet"))</x:f>
      </x:c>
    </x:row>
    <x:row r="774">
      <x:c r="B774" s="46"/>
      <x:c r="C774" s="46"/>
      <x:c r="D774" s="112"/>
      <x:c r="E774" s="112"/>
      <x:c r="F774" s="92"/>
      <x:c r="G774" s="92"/>
      <x:c r="H774" s="92"/>
      <x:c r="I774" s="93" t="str">
        <x:f>IF(B774="","",MAX(0,F774-H774))</x:f>
      </x:c>
      <x:c r="J774" s="46"/>
      <x:c r="K774" s="100" t="str">
        <x:f>IF(B774="","",IF(G774="TL",1,IF(G774="USD",KURLAR!$C$9,IF(G774="EUR",KURLAR!$C$10,0))))</x:f>
      </x:c>
      <x:c r="L774" s="68" t="str">
        <x:f>IF(B774="","",I774*K774)</x:f>
      </x:c>
      <x:c r="M774" s="46"/>
      <x:c r="N774" s="52" t="str">
        <x:f>IF(B774="","",IF(OR(M774="Tahsil Edildi",M774="İptal",J774="Riskli"),"Hayır","Evet"))</x:f>
      </x:c>
    </x:row>
    <x:row r="775">
      <x:c r="B775" s="46"/>
      <x:c r="C775" s="46"/>
      <x:c r="D775" s="112"/>
      <x:c r="E775" s="112"/>
      <x:c r="F775" s="92"/>
      <x:c r="G775" s="92"/>
      <x:c r="H775" s="92"/>
      <x:c r="I775" s="93" t="str">
        <x:f>IF(B775="","",MAX(0,F775-H775))</x:f>
      </x:c>
      <x:c r="J775" s="46"/>
      <x:c r="K775" s="100" t="str">
        <x:f>IF(B775="","",IF(G775="TL",1,IF(G775="USD",KURLAR!$C$9,IF(G775="EUR",KURLAR!$C$10,0))))</x:f>
      </x:c>
      <x:c r="L775" s="68" t="str">
        <x:f>IF(B775="","",I775*K775)</x:f>
      </x:c>
      <x:c r="M775" s="46"/>
      <x:c r="N775" s="52" t="str">
        <x:f>IF(B775="","",IF(OR(M775="Tahsil Edildi",M775="İptal",J775="Riskli"),"Hayır","Evet"))</x:f>
      </x:c>
    </x:row>
    <x:row r="776">
      <x:c r="B776" s="46"/>
      <x:c r="C776" s="46"/>
      <x:c r="D776" s="112"/>
      <x:c r="E776" s="112"/>
      <x:c r="F776" s="92"/>
      <x:c r="G776" s="92"/>
      <x:c r="H776" s="92"/>
      <x:c r="I776" s="93" t="str">
        <x:f>IF(B776="","",MAX(0,F776-H776))</x:f>
      </x:c>
      <x:c r="J776" s="46"/>
      <x:c r="K776" s="100" t="str">
        <x:f>IF(B776="","",IF(G776="TL",1,IF(G776="USD",KURLAR!$C$9,IF(G776="EUR",KURLAR!$C$10,0))))</x:f>
      </x:c>
      <x:c r="L776" s="68" t="str">
        <x:f>IF(B776="","",I776*K776)</x:f>
      </x:c>
      <x:c r="M776" s="46"/>
      <x:c r="N776" s="52" t="str">
        <x:f>IF(B776="","",IF(OR(M776="Tahsil Edildi",M776="İptal",J776="Riskli"),"Hayır","Evet"))</x:f>
      </x:c>
    </x:row>
    <x:row r="777">
      <x:c r="B777" s="46"/>
      <x:c r="C777" s="46"/>
      <x:c r="D777" s="112"/>
      <x:c r="E777" s="112"/>
      <x:c r="F777" s="92"/>
      <x:c r="G777" s="92"/>
      <x:c r="H777" s="92"/>
      <x:c r="I777" s="93" t="str">
        <x:f>IF(B777="","",MAX(0,F777-H777))</x:f>
      </x:c>
      <x:c r="J777" s="46"/>
      <x:c r="K777" s="100" t="str">
        <x:f>IF(B777="","",IF(G777="TL",1,IF(G777="USD",KURLAR!$C$9,IF(G777="EUR",KURLAR!$C$10,0))))</x:f>
      </x:c>
      <x:c r="L777" s="68" t="str">
        <x:f>IF(B777="","",I777*K777)</x:f>
      </x:c>
      <x:c r="M777" s="46"/>
      <x:c r="N777" s="52" t="str">
        <x:f>IF(B777="","",IF(OR(M777="Tahsil Edildi",M777="İptal",J777="Riskli"),"Hayır","Evet"))</x:f>
      </x:c>
    </x:row>
    <x:row r="778">
      <x:c r="B778" s="46"/>
      <x:c r="C778" s="46"/>
      <x:c r="D778" s="112"/>
      <x:c r="E778" s="112"/>
      <x:c r="F778" s="92"/>
      <x:c r="G778" s="92"/>
      <x:c r="H778" s="92"/>
      <x:c r="I778" s="93" t="str">
        <x:f>IF(B778="","",MAX(0,F778-H778))</x:f>
      </x:c>
      <x:c r="J778" s="46"/>
      <x:c r="K778" s="100" t="str">
        <x:f>IF(B778="","",IF(G778="TL",1,IF(G778="USD",KURLAR!$C$9,IF(G778="EUR",KURLAR!$C$10,0))))</x:f>
      </x:c>
      <x:c r="L778" s="68" t="str">
        <x:f>IF(B778="","",I778*K778)</x:f>
      </x:c>
      <x:c r="M778" s="46"/>
      <x:c r="N778" s="52" t="str">
        <x:f>IF(B778="","",IF(OR(M778="Tahsil Edildi",M778="İptal",J778="Riskli"),"Hayır","Evet"))</x:f>
      </x:c>
    </x:row>
    <x:row r="779">
      <x:c r="B779" s="46"/>
      <x:c r="C779" s="46"/>
      <x:c r="D779" s="112"/>
      <x:c r="E779" s="112"/>
      <x:c r="F779" s="92"/>
      <x:c r="G779" s="92"/>
      <x:c r="H779" s="92"/>
      <x:c r="I779" s="93" t="str">
        <x:f>IF(B779="","",MAX(0,F779-H779))</x:f>
      </x:c>
      <x:c r="J779" s="46"/>
      <x:c r="K779" s="100" t="str">
        <x:f>IF(B779="","",IF(G779="TL",1,IF(G779="USD",KURLAR!$C$9,IF(G779="EUR",KURLAR!$C$10,0))))</x:f>
      </x:c>
      <x:c r="L779" s="68" t="str">
        <x:f>IF(B779="","",I779*K779)</x:f>
      </x:c>
      <x:c r="M779" s="46"/>
      <x:c r="N779" s="52" t="str">
        <x:f>IF(B779="","",IF(OR(M779="Tahsil Edildi",M779="İptal",J779="Riskli"),"Hayır","Evet"))</x:f>
      </x:c>
    </x:row>
    <x:row r="780">
      <x:c r="B780" s="46"/>
      <x:c r="C780" s="46"/>
      <x:c r="D780" s="112"/>
      <x:c r="E780" s="112"/>
      <x:c r="F780" s="92"/>
      <x:c r="G780" s="92"/>
      <x:c r="H780" s="92"/>
      <x:c r="I780" s="93" t="str">
        <x:f>IF(B780="","",MAX(0,F780-H780))</x:f>
      </x:c>
      <x:c r="J780" s="46"/>
      <x:c r="K780" s="100" t="str">
        <x:f>IF(B780="","",IF(G780="TL",1,IF(G780="USD",KURLAR!$C$9,IF(G780="EUR",KURLAR!$C$10,0))))</x:f>
      </x:c>
      <x:c r="L780" s="68" t="str">
        <x:f>IF(B780="","",I780*K780)</x:f>
      </x:c>
      <x:c r="M780" s="46"/>
      <x:c r="N780" s="52" t="str">
        <x:f>IF(B780="","",IF(OR(M780="Tahsil Edildi",M780="İptal",J780="Riskli"),"Hayır","Evet"))</x:f>
      </x:c>
    </x:row>
    <x:row r="781">
      <x:c r="B781" s="46"/>
      <x:c r="C781" s="46"/>
      <x:c r="D781" s="112"/>
      <x:c r="E781" s="112"/>
      <x:c r="F781" s="92"/>
      <x:c r="G781" s="92"/>
      <x:c r="H781" s="92"/>
      <x:c r="I781" s="93" t="str">
        <x:f>IF(B781="","",MAX(0,F781-H781))</x:f>
      </x:c>
      <x:c r="J781" s="46"/>
      <x:c r="K781" s="100" t="str">
        <x:f>IF(B781="","",IF(G781="TL",1,IF(G781="USD",KURLAR!$C$9,IF(G781="EUR",KURLAR!$C$10,0))))</x:f>
      </x:c>
      <x:c r="L781" s="68" t="str">
        <x:f>IF(B781="","",I781*K781)</x:f>
      </x:c>
      <x:c r="M781" s="46"/>
      <x:c r="N781" s="52" t="str">
        <x:f>IF(B781="","",IF(OR(M781="Tahsil Edildi",M781="İptal",J781="Riskli"),"Hayır","Evet"))</x:f>
      </x:c>
    </x:row>
    <x:row r="782">
      <x:c r="B782" s="46"/>
      <x:c r="C782" s="46"/>
      <x:c r="D782" s="112"/>
      <x:c r="E782" s="112"/>
      <x:c r="F782" s="92"/>
      <x:c r="G782" s="92"/>
      <x:c r="H782" s="92"/>
      <x:c r="I782" s="93" t="str">
        <x:f>IF(B782="","",MAX(0,F782-H782))</x:f>
      </x:c>
      <x:c r="J782" s="46"/>
      <x:c r="K782" s="100" t="str">
        <x:f>IF(B782="","",IF(G782="TL",1,IF(G782="USD",KURLAR!$C$9,IF(G782="EUR",KURLAR!$C$10,0))))</x:f>
      </x:c>
      <x:c r="L782" s="68" t="str">
        <x:f>IF(B782="","",I782*K782)</x:f>
      </x:c>
      <x:c r="M782" s="46"/>
      <x:c r="N782" s="52" t="str">
        <x:f>IF(B782="","",IF(OR(M782="Tahsil Edildi",M782="İptal",J782="Riskli"),"Hayır","Evet"))</x:f>
      </x:c>
    </x:row>
    <x:row r="783">
      <x:c r="B783" s="46"/>
      <x:c r="C783" s="46"/>
      <x:c r="D783" s="112"/>
      <x:c r="E783" s="112"/>
      <x:c r="F783" s="92"/>
      <x:c r="G783" s="92"/>
      <x:c r="H783" s="92"/>
      <x:c r="I783" s="93" t="str">
        <x:f>IF(B783="","",MAX(0,F783-H783))</x:f>
      </x:c>
      <x:c r="J783" s="46"/>
      <x:c r="K783" s="100" t="str">
        <x:f>IF(B783="","",IF(G783="TL",1,IF(G783="USD",KURLAR!$C$9,IF(G783="EUR",KURLAR!$C$10,0))))</x:f>
      </x:c>
      <x:c r="L783" s="68" t="str">
        <x:f>IF(B783="","",I783*K783)</x:f>
      </x:c>
      <x:c r="M783" s="46"/>
      <x:c r="N783" s="52" t="str">
        <x:f>IF(B783="","",IF(OR(M783="Tahsil Edildi",M783="İptal",J783="Riskli"),"Hayır","Evet"))</x:f>
      </x:c>
    </x:row>
    <x:row r="784">
      <x:c r="B784" s="46"/>
      <x:c r="C784" s="46"/>
      <x:c r="D784" s="112"/>
      <x:c r="E784" s="112"/>
      <x:c r="F784" s="92"/>
      <x:c r="G784" s="92"/>
      <x:c r="H784" s="92"/>
      <x:c r="I784" s="93" t="str">
        <x:f>IF(B784="","",MAX(0,F784-H784))</x:f>
      </x:c>
      <x:c r="J784" s="46"/>
      <x:c r="K784" s="100" t="str">
        <x:f>IF(B784="","",IF(G784="TL",1,IF(G784="USD",KURLAR!$C$9,IF(G784="EUR",KURLAR!$C$10,0))))</x:f>
      </x:c>
      <x:c r="L784" s="68" t="str">
        <x:f>IF(B784="","",I784*K784)</x:f>
      </x:c>
      <x:c r="M784" s="46"/>
      <x:c r="N784" s="52" t="str">
        <x:f>IF(B784="","",IF(OR(M784="Tahsil Edildi",M784="İptal",J784="Riskli"),"Hayır","Evet"))</x:f>
      </x:c>
    </x:row>
    <x:row r="785">
      <x:c r="B785" s="46"/>
      <x:c r="C785" s="46"/>
      <x:c r="D785" s="112"/>
      <x:c r="E785" s="112"/>
      <x:c r="F785" s="92"/>
      <x:c r="G785" s="92"/>
      <x:c r="H785" s="92"/>
      <x:c r="I785" s="93" t="str">
        <x:f>IF(B785="","",MAX(0,F785-H785))</x:f>
      </x:c>
      <x:c r="J785" s="46"/>
      <x:c r="K785" s="100" t="str">
        <x:f>IF(B785="","",IF(G785="TL",1,IF(G785="USD",KURLAR!$C$9,IF(G785="EUR",KURLAR!$C$10,0))))</x:f>
      </x:c>
      <x:c r="L785" s="68" t="str">
        <x:f>IF(B785="","",I785*K785)</x:f>
      </x:c>
      <x:c r="M785" s="46"/>
      <x:c r="N785" s="52" t="str">
        <x:f>IF(B785="","",IF(OR(M785="Tahsil Edildi",M785="İptal",J785="Riskli"),"Hayır","Evet"))</x:f>
      </x:c>
    </x:row>
    <x:row r="786">
      <x:c r="B786" s="46"/>
      <x:c r="C786" s="46"/>
      <x:c r="D786" s="112"/>
      <x:c r="E786" s="112"/>
      <x:c r="F786" s="92"/>
      <x:c r="G786" s="92"/>
      <x:c r="H786" s="92"/>
      <x:c r="I786" s="93" t="str">
        <x:f>IF(B786="","",MAX(0,F786-H786))</x:f>
      </x:c>
      <x:c r="J786" s="46"/>
      <x:c r="K786" s="100" t="str">
        <x:f>IF(B786="","",IF(G786="TL",1,IF(G786="USD",KURLAR!$C$9,IF(G786="EUR",KURLAR!$C$10,0))))</x:f>
      </x:c>
      <x:c r="L786" s="68" t="str">
        <x:f>IF(B786="","",I786*K786)</x:f>
      </x:c>
      <x:c r="M786" s="46"/>
      <x:c r="N786" s="52" t="str">
        <x:f>IF(B786="","",IF(OR(M786="Tahsil Edildi",M786="İptal",J786="Riskli"),"Hayır","Evet"))</x:f>
      </x:c>
    </x:row>
    <x:row r="787">
      <x:c r="B787" s="46"/>
      <x:c r="C787" s="46"/>
      <x:c r="D787" s="112"/>
      <x:c r="E787" s="112"/>
      <x:c r="F787" s="92"/>
      <x:c r="G787" s="92"/>
      <x:c r="H787" s="92"/>
      <x:c r="I787" s="93" t="str">
        <x:f>IF(B787="","",MAX(0,F787-H787))</x:f>
      </x:c>
      <x:c r="J787" s="46"/>
      <x:c r="K787" s="100" t="str">
        <x:f>IF(B787="","",IF(G787="TL",1,IF(G787="USD",KURLAR!$C$9,IF(G787="EUR",KURLAR!$C$10,0))))</x:f>
      </x:c>
      <x:c r="L787" s="68" t="str">
        <x:f>IF(B787="","",I787*K787)</x:f>
      </x:c>
      <x:c r="M787" s="46"/>
      <x:c r="N787" s="52" t="str">
        <x:f>IF(B787="","",IF(OR(M787="Tahsil Edildi",M787="İptal",J787="Riskli"),"Hayır","Evet"))</x:f>
      </x:c>
    </x:row>
    <x:row r="788">
      <x:c r="B788" s="46"/>
      <x:c r="C788" s="46"/>
      <x:c r="D788" s="112"/>
      <x:c r="E788" s="112"/>
      <x:c r="F788" s="92"/>
      <x:c r="G788" s="92"/>
      <x:c r="H788" s="92"/>
      <x:c r="I788" s="93" t="str">
        <x:f>IF(B788="","",MAX(0,F788-H788))</x:f>
      </x:c>
      <x:c r="J788" s="46"/>
      <x:c r="K788" s="100" t="str">
        <x:f>IF(B788="","",IF(G788="TL",1,IF(G788="USD",KURLAR!$C$9,IF(G788="EUR",KURLAR!$C$10,0))))</x:f>
      </x:c>
      <x:c r="L788" s="68" t="str">
        <x:f>IF(B788="","",I788*K788)</x:f>
      </x:c>
      <x:c r="M788" s="46"/>
      <x:c r="N788" s="52" t="str">
        <x:f>IF(B788="","",IF(OR(M788="Tahsil Edildi",M788="İptal",J788="Riskli"),"Hayır","Evet"))</x:f>
      </x:c>
    </x:row>
    <x:row r="789">
      <x:c r="B789" s="46"/>
      <x:c r="C789" s="46"/>
      <x:c r="D789" s="112"/>
      <x:c r="E789" s="112"/>
      <x:c r="F789" s="92"/>
      <x:c r="G789" s="92"/>
      <x:c r="H789" s="92"/>
      <x:c r="I789" s="93" t="str">
        <x:f>IF(B789="","",MAX(0,F789-H789))</x:f>
      </x:c>
      <x:c r="J789" s="46"/>
      <x:c r="K789" s="100" t="str">
        <x:f>IF(B789="","",IF(G789="TL",1,IF(G789="USD",KURLAR!$C$9,IF(G789="EUR",KURLAR!$C$10,0))))</x:f>
      </x:c>
      <x:c r="L789" s="68" t="str">
        <x:f>IF(B789="","",I789*K789)</x:f>
      </x:c>
      <x:c r="M789" s="46"/>
      <x:c r="N789" s="52" t="str">
        <x:f>IF(B789="","",IF(OR(M789="Tahsil Edildi",M789="İptal",J789="Riskli"),"Hayır","Evet"))</x:f>
      </x:c>
    </x:row>
    <x:row r="790">
      <x:c r="B790" s="46"/>
      <x:c r="C790" s="46"/>
      <x:c r="D790" s="112"/>
      <x:c r="E790" s="112"/>
      <x:c r="F790" s="92"/>
      <x:c r="G790" s="92"/>
      <x:c r="H790" s="92"/>
      <x:c r="I790" s="93" t="str">
        <x:f>IF(B790="","",MAX(0,F790-H790))</x:f>
      </x:c>
      <x:c r="J790" s="46"/>
      <x:c r="K790" s="100" t="str">
        <x:f>IF(B790="","",IF(G790="TL",1,IF(G790="USD",KURLAR!$C$9,IF(G790="EUR",KURLAR!$C$10,0))))</x:f>
      </x:c>
      <x:c r="L790" s="68" t="str">
        <x:f>IF(B790="","",I790*K790)</x:f>
      </x:c>
      <x:c r="M790" s="46"/>
      <x:c r="N790" s="52" t="str">
        <x:f>IF(B790="","",IF(OR(M790="Tahsil Edildi",M790="İptal",J790="Riskli"),"Hayır","Evet"))</x:f>
      </x:c>
    </x:row>
    <x:row r="791">
      <x:c r="B791" s="46"/>
      <x:c r="C791" s="46"/>
      <x:c r="D791" s="112"/>
      <x:c r="E791" s="112"/>
      <x:c r="F791" s="92"/>
      <x:c r="G791" s="92"/>
      <x:c r="H791" s="92"/>
      <x:c r="I791" s="93" t="str">
        <x:f>IF(B791="","",MAX(0,F791-H791))</x:f>
      </x:c>
      <x:c r="J791" s="46"/>
      <x:c r="K791" s="100" t="str">
        <x:f>IF(B791="","",IF(G791="TL",1,IF(G791="USD",KURLAR!$C$9,IF(G791="EUR",KURLAR!$C$10,0))))</x:f>
      </x:c>
      <x:c r="L791" s="68" t="str">
        <x:f>IF(B791="","",I791*K791)</x:f>
      </x:c>
      <x:c r="M791" s="46"/>
      <x:c r="N791" s="52" t="str">
        <x:f>IF(B791="","",IF(OR(M791="Tahsil Edildi",M791="İptal",J791="Riskli"),"Hayır","Evet"))</x:f>
      </x:c>
    </x:row>
    <x:row r="792">
      <x:c r="B792" s="46"/>
      <x:c r="C792" s="46"/>
      <x:c r="D792" s="112"/>
      <x:c r="E792" s="112"/>
      <x:c r="F792" s="92"/>
      <x:c r="G792" s="92"/>
      <x:c r="H792" s="92"/>
      <x:c r="I792" s="93" t="str">
        <x:f>IF(B792="","",MAX(0,F792-H792))</x:f>
      </x:c>
      <x:c r="J792" s="46"/>
      <x:c r="K792" s="100" t="str">
        <x:f>IF(B792="","",IF(G792="TL",1,IF(G792="USD",KURLAR!$C$9,IF(G792="EUR",KURLAR!$C$10,0))))</x:f>
      </x:c>
      <x:c r="L792" s="68" t="str">
        <x:f>IF(B792="","",I792*K792)</x:f>
      </x:c>
      <x:c r="M792" s="46"/>
      <x:c r="N792" s="52" t="str">
        <x:f>IF(B792="","",IF(OR(M792="Tahsil Edildi",M792="İptal",J792="Riskli"),"Hayır","Evet"))</x:f>
      </x:c>
    </x:row>
    <x:row r="793">
      <x:c r="B793" s="46"/>
      <x:c r="C793" s="46"/>
      <x:c r="D793" s="112"/>
      <x:c r="E793" s="112"/>
      <x:c r="F793" s="92"/>
      <x:c r="G793" s="92"/>
      <x:c r="H793" s="92"/>
      <x:c r="I793" s="93" t="str">
        <x:f>IF(B793="","",MAX(0,F793-H793))</x:f>
      </x:c>
      <x:c r="J793" s="46"/>
      <x:c r="K793" s="100" t="str">
        <x:f>IF(B793="","",IF(G793="TL",1,IF(G793="USD",KURLAR!$C$9,IF(G793="EUR",KURLAR!$C$10,0))))</x:f>
      </x:c>
      <x:c r="L793" s="68" t="str">
        <x:f>IF(B793="","",I793*K793)</x:f>
      </x:c>
      <x:c r="M793" s="46"/>
      <x:c r="N793" s="52" t="str">
        <x:f>IF(B793="","",IF(OR(M793="Tahsil Edildi",M793="İptal",J793="Riskli"),"Hayır","Evet"))</x:f>
      </x:c>
    </x:row>
    <x:row r="794">
      <x:c r="B794" s="46"/>
      <x:c r="C794" s="46"/>
      <x:c r="D794" s="112"/>
      <x:c r="E794" s="112"/>
      <x:c r="F794" s="92"/>
      <x:c r="G794" s="92"/>
      <x:c r="H794" s="92"/>
      <x:c r="I794" s="93" t="str">
        <x:f>IF(B794="","",MAX(0,F794-H794))</x:f>
      </x:c>
      <x:c r="J794" s="46"/>
      <x:c r="K794" s="100" t="str">
        <x:f>IF(B794="","",IF(G794="TL",1,IF(G794="USD",KURLAR!$C$9,IF(G794="EUR",KURLAR!$C$10,0))))</x:f>
      </x:c>
      <x:c r="L794" s="68" t="str">
        <x:f>IF(B794="","",I794*K794)</x:f>
      </x:c>
      <x:c r="M794" s="46"/>
      <x:c r="N794" s="52" t="str">
        <x:f>IF(B794="","",IF(OR(M794="Tahsil Edildi",M794="İptal",J794="Riskli"),"Hayır","Evet"))</x:f>
      </x:c>
    </x:row>
    <x:row r="795">
      <x:c r="B795" s="46"/>
      <x:c r="C795" s="46"/>
      <x:c r="D795" s="112"/>
      <x:c r="E795" s="112"/>
      <x:c r="F795" s="92"/>
      <x:c r="G795" s="92"/>
      <x:c r="H795" s="92"/>
      <x:c r="I795" s="93" t="str">
        <x:f>IF(B795="","",MAX(0,F795-H795))</x:f>
      </x:c>
      <x:c r="J795" s="46"/>
      <x:c r="K795" s="100" t="str">
        <x:f>IF(B795="","",IF(G795="TL",1,IF(G795="USD",KURLAR!$C$9,IF(G795="EUR",KURLAR!$C$10,0))))</x:f>
      </x:c>
      <x:c r="L795" s="68" t="str">
        <x:f>IF(B795="","",I795*K795)</x:f>
      </x:c>
      <x:c r="M795" s="46"/>
      <x:c r="N795" s="52" t="str">
        <x:f>IF(B795="","",IF(OR(M795="Tahsil Edildi",M795="İptal",J795="Riskli"),"Hayır","Evet"))</x:f>
      </x:c>
    </x:row>
    <x:row r="796">
      <x:c r="B796" s="46"/>
      <x:c r="C796" s="46"/>
      <x:c r="D796" s="112"/>
      <x:c r="E796" s="112"/>
      <x:c r="F796" s="92"/>
      <x:c r="G796" s="92"/>
      <x:c r="H796" s="92"/>
      <x:c r="I796" s="93" t="str">
        <x:f>IF(B796="","",MAX(0,F796-H796))</x:f>
      </x:c>
      <x:c r="J796" s="46"/>
      <x:c r="K796" s="100" t="str">
        <x:f>IF(B796="","",IF(G796="TL",1,IF(G796="USD",KURLAR!$C$9,IF(G796="EUR",KURLAR!$C$10,0))))</x:f>
      </x:c>
      <x:c r="L796" s="68" t="str">
        <x:f>IF(B796="","",I796*K796)</x:f>
      </x:c>
      <x:c r="M796" s="46"/>
      <x:c r="N796" s="52" t="str">
        <x:f>IF(B796="","",IF(OR(M796="Tahsil Edildi",M796="İptal",J796="Riskli"),"Hayır","Evet"))</x:f>
      </x:c>
    </x:row>
    <x:row r="797">
      <x:c r="B797" s="46"/>
      <x:c r="C797" s="46"/>
      <x:c r="D797" s="112"/>
      <x:c r="E797" s="112"/>
      <x:c r="F797" s="92"/>
      <x:c r="G797" s="92"/>
      <x:c r="H797" s="92"/>
      <x:c r="I797" s="93" t="str">
        <x:f>IF(B797="","",MAX(0,F797-H797))</x:f>
      </x:c>
      <x:c r="J797" s="46"/>
      <x:c r="K797" s="100" t="str">
        <x:f>IF(B797="","",IF(G797="TL",1,IF(G797="USD",KURLAR!$C$9,IF(G797="EUR",KURLAR!$C$10,0))))</x:f>
      </x:c>
      <x:c r="L797" s="68" t="str">
        <x:f>IF(B797="","",I797*K797)</x:f>
      </x:c>
      <x:c r="M797" s="46"/>
      <x:c r="N797" s="52" t="str">
        <x:f>IF(B797="","",IF(OR(M797="Tahsil Edildi",M797="İptal",J797="Riskli"),"Hayır","Evet"))</x:f>
      </x:c>
    </x:row>
    <x:row r="798">
      <x:c r="B798" s="46"/>
      <x:c r="C798" s="46"/>
      <x:c r="D798" s="112"/>
      <x:c r="E798" s="112"/>
      <x:c r="F798" s="92"/>
      <x:c r="G798" s="92"/>
      <x:c r="H798" s="92"/>
      <x:c r="I798" s="93" t="str">
        <x:f>IF(B798="","",MAX(0,F798-H798))</x:f>
      </x:c>
      <x:c r="J798" s="46"/>
      <x:c r="K798" s="100" t="str">
        <x:f>IF(B798="","",IF(G798="TL",1,IF(G798="USD",KURLAR!$C$9,IF(G798="EUR",KURLAR!$C$10,0))))</x:f>
      </x:c>
      <x:c r="L798" s="68" t="str">
        <x:f>IF(B798="","",I798*K798)</x:f>
      </x:c>
      <x:c r="M798" s="46"/>
      <x:c r="N798" s="52" t="str">
        <x:f>IF(B798="","",IF(OR(M798="Tahsil Edildi",M798="İptal",J798="Riskli"),"Hayır","Evet"))</x:f>
      </x:c>
    </x:row>
    <x:row r="799">
      <x:c r="B799" s="46"/>
      <x:c r="C799" s="46"/>
      <x:c r="D799" s="112"/>
      <x:c r="E799" s="112"/>
      <x:c r="F799" s="92"/>
      <x:c r="G799" s="92"/>
      <x:c r="H799" s="92"/>
      <x:c r="I799" s="93" t="str">
        <x:f>IF(B799="","",MAX(0,F799-H799))</x:f>
      </x:c>
      <x:c r="J799" s="46"/>
      <x:c r="K799" s="100" t="str">
        <x:f>IF(B799="","",IF(G799="TL",1,IF(G799="USD",KURLAR!$C$9,IF(G799="EUR",KURLAR!$C$10,0))))</x:f>
      </x:c>
      <x:c r="L799" s="68" t="str">
        <x:f>IF(B799="","",I799*K799)</x:f>
      </x:c>
      <x:c r="M799" s="46"/>
      <x:c r="N799" s="52" t="str">
        <x:f>IF(B799="","",IF(OR(M799="Tahsil Edildi",M799="İptal",J799="Riskli"),"Hayır","Evet"))</x:f>
      </x:c>
    </x:row>
    <x:row r="800">
      <x:c r="B800" s="46"/>
      <x:c r="C800" s="46"/>
      <x:c r="D800" s="112"/>
      <x:c r="E800" s="112"/>
      <x:c r="F800" s="92"/>
      <x:c r="G800" s="92"/>
      <x:c r="H800" s="92"/>
      <x:c r="I800" s="93" t="str">
        <x:f>IF(B800="","",MAX(0,F800-H800))</x:f>
      </x:c>
      <x:c r="J800" s="46"/>
      <x:c r="K800" s="100" t="str">
        <x:f>IF(B800="","",IF(G800="TL",1,IF(G800="USD",KURLAR!$C$9,IF(G800="EUR",KURLAR!$C$10,0))))</x:f>
      </x:c>
      <x:c r="L800" s="68" t="str">
        <x:f>IF(B800="","",I800*K800)</x:f>
      </x:c>
      <x:c r="M800" s="46"/>
      <x:c r="N800" s="52" t="str">
        <x:f>IF(B800="","",IF(OR(M800="Tahsil Edildi",M800="İptal",J800="Riskli"),"Hayır","Evet"))</x:f>
      </x:c>
    </x:row>
    <x:row r="801">
      <x:c r="B801" s="46"/>
      <x:c r="C801" s="46"/>
      <x:c r="D801" s="112"/>
      <x:c r="E801" s="112"/>
      <x:c r="F801" s="92"/>
      <x:c r="G801" s="92"/>
      <x:c r="H801" s="92"/>
      <x:c r="I801" s="93" t="str">
        <x:f>IF(B801="","",MAX(0,F801-H801))</x:f>
      </x:c>
      <x:c r="J801" s="46"/>
      <x:c r="K801" s="100" t="str">
        <x:f>IF(B801="","",IF(G801="TL",1,IF(G801="USD",KURLAR!$C$9,IF(G801="EUR",KURLAR!$C$10,0))))</x:f>
      </x:c>
      <x:c r="L801" s="68" t="str">
        <x:f>IF(B801="","",I801*K801)</x:f>
      </x:c>
      <x:c r="M801" s="46"/>
      <x:c r="N801" s="52" t="str">
        <x:f>IF(B801="","",IF(OR(M801="Tahsil Edildi",M801="İptal",J801="Riskli"),"Hayır","Evet"))</x:f>
      </x:c>
    </x:row>
    <x:row r="802">
      <x:c r="B802" s="46"/>
      <x:c r="C802" s="46"/>
      <x:c r="D802" s="112"/>
      <x:c r="E802" s="112"/>
      <x:c r="F802" s="92"/>
      <x:c r="G802" s="92"/>
      <x:c r="H802" s="92"/>
      <x:c r="I802" s="93" t="str">
        <x:f>IF(B802="","",MAX(0,F802-H802))</x:f>
      </x:c>
      <x:c r="J802" s="46"/>
      <x:c r="K802" s="100" t="str">
        <x:f>IF(B802="","",IF(G802="TL",1,IF(G802="USD",KURLAR!$C$9,IF(G802="EUR",KURLAR!$C$10,0))))</x:f>
      </x:c>
      <x:c r="L802" s="68" t="str">
        <x:f>IF(B802="","",I802*K802)</x:f>
      </x:c>
      <x:c r="M802" s="46"/>
      <x:c r="N802" s="52" t="str">
        <x:f>IF(B802="","",IF(OR(M802="Tahsil Edildi",M802="İptal",J802="Riskli"),"Hayır","Evet"))</x:f>
      </x:c>
    </x:row>
    <x:row r="803">
      <x:c r="B803" s="46"/>
      <x:c r="C803" s="46"/>
      <x:c r="D803" s="112"/>
      <x:c r="E803" s="112"/>
      <x:c r="F803" s="92"/>
      <x:c r="G803" s="92"/>
      <x:c r="H803" s="92"/>
      <x:c r="I803" s="93" t="str">
        <x:f>IF(B803="","",MAX(0,F803-H803))</x:f>
      </x:c>
      <x:c r="J803" s="46"/>
      <x:c r="K803" s="100" t="str">
        <x:f>IF(B803="","",IF(G803="TL",1,IF(G803="USD",KURLAR!$C$9,IF(G803="EUR",KURLAR!$C$10,0))))</x:f>
      </x:c>
      <x:c r="L803" s="68" t="str">
        <x:f>IF(B803="","",I803*K803)</x:f>
      </x:c>
      <x:c r="M803" s="46"/>
      <x:c r="N803" s="52" t="str">
        <x:f>IF(B803="","",IF(OR(M803="Tahsil Edildi",M803="İptal",J803="Riskli"),"Hayır","Evet"))</x:f>
      </x:c>
    </x:row>
    <x:row r="804">
      <x:c r="B804" s="46"/>
      <x:c r="C804" s="46"/>
      <x:c r="D804" s="112"/>
      <x:c r="E804" s="112"/>
      <x:c r="F804" s="92"/>
      <x:c r="G804" s="92"/>
      <x:c r="H804" s="92"/>
      <x:c r="I804" s="93" t="str">
        <x:f>IF(B804="","",MAX(0,F804-H804))</x:f>
      </x:c>
      <x:c r="J804" s="46"/>
      <x:c r="K804" s="100" t="str">
        <x:f>IF(B804="","",IF(G804="TL",1,IF(G804="USD",KURLAR!$C$9,IF(G804="EUR",KURLAR!$C$10,0))))</x:f>
      </x:c>
      <x:c r="L804" s="68" t="str">
        <x:f>IF(B804="","",I804*K804)</x:f>
      </x:c>
      <x:c r="M804" s="46"/>
      <x:c r="N804" s="52" t="str">
        <x:f>IF(B804="","",IF(OR(M804="Tahsil Edildi",M804="İptal",J804="Riskli"),"Hayır","Evet"))</x:f>
      </x:c>
    </x:row>
    <x:row r="805">
      <x:c r="B805" s="46"/>
      <x:c r="C805" s="46"/>
      <x:c r="D805" s="112"/>
      <x:c r="E805" s="112"/>
      <x:c r="F805" s="92"/>
      <x:c r="G805" s="92"/>
      <x:c r="H805" s="92"/>
      <x:c r="I805" s="93" t="str">
        <x:f>IF(B805="","",MAX(0,F805-H805))</x:f>
      </x:c>
      <x:c r="J805" s="46"/>
      <x:c r="K805" s="100" t="str">
        <x:f>IF(B805="","",IF(G805="TL",1,IF(G805="USD",KURLAR!$C$9,IF(G805="EUR",KURLAR!$C$10,0))))</x:f>
      </x:c>
      <x:c r="L805" s="68" t="str">
        <x:f>IF(B805="","",I805*K805)</x:f>
      </x:c>
      <x:c r="M805" s="46"/>
      <x:c r="N805" s="52" t="str">
        <x:f>IF(B805="","",IF(OR(M805="Tahsil Edildi",M805="İptal",J805="Riskli"),"Hayır","Evet"))</x:f>
      </x:c>
    </x:row>
    <x:row r="806">
      <x:c r="B806" s="46"/>
      <x:c r="C806" s="46"/>
      <x:c r="D806" s="112"/>
      <x:c r="E806" s="112"/>
      <x:c r="F806" s="92"/>
      <x:c r="G806" s="92"/>
      <x:c r="H806" s="92"/>
      <x:c r="I806" s="93" t="str">
        <x:f>IF(B806="","",MAX(0,F806-H806))</x:f>
      </x:c>
      <x:c r="J806" s="46"/>
      <x:c r="K806" s="100" t="str">
        <x:f>IF(B806="","",IF(G806="TL",1,IF(G806="USD",KURLAR!$C$9,IF(G806="EUR",KURLAR!$C$10,0))))</x:f>
      </x:c>
      <x:c r="L806" s="68" t="str">
        <x:f>IF(B806="","",I806*K806)</x:f>
      </x:c>
      <x:c r="M806" s="46"/>
      <x:c r="N806" s="52" t="str">
        <x:f>IF(B806="","",IF(OR(M806="Tahsil Edildi",M806="İptal",J806="Riskli"),"Hayır","Evet"))</x:f>
      </x:c>
    </x:row>
    <x:row r="807">
      <x:c r="B807" s="46"/>
      <x:c r="C807" s="46"/>
      <x:c r="D807" s="112"/>
      <x:c r="E807" s="112"/>
      <x:c r="F807" s="92"/>
      <x:c r="G807" s="92"/>
      <x:c r="H807" s="92"/>
      <x:c r="I807" s="93" t="str">
        <x:f>IF(B807="","",MAX(0,F807-H807))</x:f>
      </x:c>
      <x:c r="J807" s="46"/>
      <x:c r="K807" s="100" t="str">
        <x:f>IF(B807="","",IF(G807="TL",1,IF(G807="USD",KURLAR!$C$9,IF(G807="EUR",KURLAR!$C$10,0))))</x:f>
      </x:c>
      <x:c r="L807" s="68" t="str">
        <x:f>IF(B807="","",I807*K807)</x:f>
      </x:c>
      <x:c r="M807" s="46"/>
      <x:c r="N807" s="52" t="str">
        <x:f>IF(B807="","",IF(OR(M807="Tahsil Edildi",M807="İptal",J807="Riskli"),"Hayır","Evet"))</x:f>
      </x:c>
    </x:row>
    <x:row r="808">
      <x:c r="B808" s="46"/>
      <x:c r="C808" s="46"/>
      <x:c r="D808" s="112"/>
      <x:c r="E808" s="112"/>
      <x:c r="F808" s="92"/>
      <x:c r="G808" s="92"/>
      <x:c r="H808" s="92"/>
      <x:c r="I808" s="93" t="str">
        <x:f>IF(B808="","",MAX(0,F808-H808))</x:f>
      </x:c>
      <x:c r="J808" s="46"/>
      <x:c r="K808" s="100" t="str">
        <x:f>IF(B808="","",IF(G808="TL",1,IF(G808="USD",KURLAR!$C$9,IF(G808="EUR",KURLAR!$C$10,0))))</x:f>
      </x:c>
      <x:c r="L808" s="68" t="str">
        <x:f>IF(B808="","",I808*K808)</x:f>
      </x:c>
      <x:c r="M808" s="46"/>
      <x:c r="N808" s="52" t="str">
        <x:f>IF(B808="","",IF(OR(M808="Tahsil Edildi",M808="İptal",J808="Riskli"),"Hayır","Evet"))</x:f>
      </x:c>
    </x:row>
    <x:row r="809">
      <x:c r="B809" s="46"/>
      <x:c r="C809" s="46"/>
      <x:c r="D809" s="112"/>
      <x:c r="E809" s="112"/>
      <x:c r="F809" s="92"/>
      <x:c r="G809" s="92"/>
      <x:c r="H809" s="92"/>
      <x:c r="I809" s="93" t="str">
        <x:f>IF(B809="","",MAX(0,F809-H809))</x:f>
      </x:c>
      <x:c r="J809" s="46"/>
      <x:c r="K809" s="100" t="str">
        <x:f>IF(B809="","",IF(G809="TL",1,IF(G809="USD",KURLAR!$C$9,IF(G809="EUR",KURLAR!$C$10,0))))</x:f>
      </x:c>
      <x:c r="L809" s="68" t="str">
        <x:f>IF(B809="","",I809*K809)</x:f>
      </x:c>
      <x:c r="M809" s="46"/>
      <x:c r="N809" s="52" t="str">
        <x:f>IF(B809="","",IF(OR(M809="Tahsil Edildi",M809="İptal",J809="Riskli"),"Hayır","Evet"))</x:f>
      </x:c>
    </x:row>
    <x:row r="810">
      <x:c r="B810" s="46"/>
      <x:c r="C810" s="46"/>
      <x:c r="D810" s="112"/>
      <x:c r="E810" s="112"/>
      <x:c r="F810" s="92"/>
      <x:c r="G810" s="92"/>
      <x:c r="H810" s="92"/>
      <x:c r="I810" s="93" t="str">
        <x:f>IF(B810="","",MAX(0,F810-H810))</x:f>
      </x:c>
      <x:c r="J810" s="46"/>
      <x:c r="K810" s="100" t="str">
        <x:f>IF(B810="","",IF(G810="TL",1,IF(G810="USD",KURLAR!$C$9,IF(G810="EUR",KURLAR!$C$10,0))))</x:f>
      </x:c>
      <x:c r="L810" s="68" t="str">
        <x:f>IF(B810="","",I810*K810)</x:f>
      </x:c>
      <x:c r="M810" s="46"/>
      <x:c r="N810" s="52" t="str">
        <x:f>IF(B810="","",IF(OR(M810="Tahsil Edildi",M810="İptal",J810="Riskli"),"Hayır","Evet"))</x:f>
      </x:c>
    </x:row>
    <x:row r="811">
      <x:c r="B811" s="46"/>
      <x:c r="C811" s="46"/>
      <x:c r="D811" s="112"/>
      <x:c r="E811" s="112"/>
      <x:c r="F811" s="92"/>
      <x:c r="G811" s="92"/>
      <x:c r="H811" s="92"/>
      <x:c r="I811" s="93" t="str">
        <x:f>IF(B811="","",MAX(0,F811-H811))</x:f>
      </x:c>
      <x:c r="J811" s="46"/>
      <x:c r="K811" s="100" t="str">
        <x:f>IF(B811="","",IF(G811="TL",1,IF(G811="USD",KURLAR!$C$9,IF(G811="EUR",KURLAR!$C$10,0))))</x:f>
      </x:c>
      <x:c r="L811" s="68" t="str">
        <x:f>IF(B811="","",I811*K811)</x:f>
      </x:c>
      <x:c r="M811" s="46"/>
      <x:c r="N811" s="52" t="str">
        <x:f>IF(B811="","",IF(OR(M811="Tahsil Edildi",M811="İptal",J811="Riskli"),"Hayır","Evet"))</x:f>
      </x:c>
    </x:row>
    <x:row r="812">
      <x:c r="B812" s="46"/>
      <x:c r="C812" s="46"/>
      <x:c r="D812" s="112"/>
      <x:c r="E812" s="112"/>
      <x:c r="F812" s="92"/>
      <x:c r="G812" s="92"/>
      <x:c r="H812" s="92"/>
      <x:c r="I812" s="93" t="str">
        <x:f>IF(B812="","",MAX(0,F812-H812))</x:f>
      </x:c>
      <x:c r="J812" s="46"/>
      <x:c r="K812" s="100" t="str">
        <x:f>IF(B812="","",IF(G812="TL",1,IF(G812="USD",KURLAR!$C$9,IF(G812="EUR",KURLAR!$C$10,0))))</x:f>
      </x:c>
      <x:c r="L812" s="68" t="str">
        <x:f>IF(B812="","",I812*K812)</x:f>
      </x:c>
      <x:c r="M812" s="46"/>
      <x:c r="N812" s="52" t="str">
        <x:f>IF(B812="","",IF(OR(M812="Tahsil Edildi",M812="İptal",J812="Riskli"),"Hayır","Evet"))</x:f>
      </x:c>
    </x:row>
    <x:row r="813">
      <x:c r="B813" s="46"/>
      <x:c r="C813" s="46"/>
      <x:c r="D813" s="112"/>
      <x:c r="E813" s="112"/>
      <x:c r="F813" s="92"/>
      <x:c r="G813" s="92"/>
      <x:c r="H813" s="92"/>
      <x:c r="I813" s="93" t="str">
        <x:f>IF(B813="","",MAX(0,F813-H813))</x:f>
      </x:c>
      <x:c r="J813" s="46"/>
      <x:c r="K813" s="100" t="str">
        <x:f>IF(B813="","",IF(G813="TL",1,IF(G813="USD",KURLAR!$C$9,IF(G813="EUR",KURLAR!$C$10,0))))</x:f>
      </x:c>
      <x:c r="L813" s="68" t="str">
        <x:f>IF(B813="","",I813*K813)</x:f>
      </x:c>
      <x:c r="M813" s="46"/>
      <x:c r="N813" s="52" t="str">
        <x:f>IF(B813="","",IF(OR(M813="Tahsil Edildi",M813="İptal",J813="Riskli"),"Hayır","Evet"))</x:f>
      </x:c>
    </x:row>
    <x:row r="814">
      <x:c r="B814" s="46"/>
      <x:c r="C814" s="46"/>
      <x:c r="D814" s="112"/>
      <x:c r="E814" s="112"/>
      <x:c r="F814" s="92"/>
      <x:c r="G814" s="92"/>
      <x:c r="H814" s="92"/>
      <x:c r="I814" s="93" t="str">
        <x:f>IF(B814="","",MAX(0,F814-H814))</x:f>
      </x:c>
      <x:c r="J814" s="46"/>
      <x:c r="K814" s="100" t="str">
        <x:f>IF(B814="","",IF(G814="TL",1,IF(G814="USD",KURLAR!$C$9,IF(G814="EUR",KURLAR!$C$10,0))))</x:f>
      </x:c>
      <x:c r="L814" s="68" t="str">
        <x:f>IF(B814="","",I814*K814)</x:f>
      </x:c>
      <x:c r="M814" s="46"/>
      <x:c r="N814" s="52" t="str">
        <x:f>IF(B814="","",IF(OR(M814="Tahsil Edildi",M814="İptal",J814="Riskli"),"Hayır","Evet"))</x:f>
      </x:c>
    </x:row>
    <x:row r="815">
      <x:c r="B815" s="46"/>
      <x:c r="C815" s="46"/>
      <x:c r="D815" s="112"/>
      <x:c r="E815" s="112"/>
      <x:c r="F815" s="92"/>
      <x:c r="G815" s="92"/>
      <x:c r="H815" s="92"/>
      <x:c r="I815" s="93" t="str">
        <x:f>IF(B815="","",MAX(0,F815-H815))</x:f>
      </x:c>
      <x:c r="J815" s="46"/>
      <x:c r="K815" s="100" t="str">
        <x:f>IF(B815="","",IF(G815="TL",1,IF(G815="USD",KURLAR!$C$9,IF(G815="EUR",KURLAR!$C$10,0))))</x:f>
      </x:c>
      <x:c r="L815" s="68" t="str">
        <x:f>IF(B815="","",I815*K815)</x:f>
      </x:c>
      <x:c r="M815" s="46"/>
      <x:c r="N815" s="52" t="str">
        <x:f>IF(B815="","",IF(OR(M815="Tahsil Edildi",M815="İptal",J815="Riskli"),"Hayır","Evet"))</x:f>
      </x:c>
    </x:row>
    <x:row r="816">
      <x:c r="B816" s="46"/>
      <x:c r="C816" s="46"/>
      <x:c r="D816" s="112"/>
      <x:c r="E816" s="112"/>
      <x:c r="F816" s="92"/>
      <x:c r="G816" s="92"/>
      <x:c r="H816" s="92"/>
      <x:c r="I816" s="93" t="str">
        <x:f>IF(B816="","",MAX(0,F816-H816))</x:f>
      </x:c>
      <x:c r="J816" s="46"/>
      <x:c r="K816" s="100" t="str">
        <x:f>IF(B816="","",IF(G816="TL",1,IF(G816="USD",KURLAR!$C$9,IF(G816="EUR",KURLAR!$C$10,0))))</x:f>
      </x:c>
      <x:c r="L816" s="68" t="str">
        <x:f>IF(B816="","",I816*K816)</x:f>
      </x:c>
      <x:c r="M816" s="46"/>
      <x:c r="N816" s="52" t="str">
        <x:f>IF(B816="","",IF(OR(M816="Tahsil Edildi",M816="İptal",J816="Riskli"),"Hayır","Evet"))</x:f>
      </x:c>
    </x:row>
    <x:row r="817">
      <x:c r="B817" s="46"/>
      <x:c r="C817" s="46"/>
      <x:c r="D817" s="112"/>
      <x:c r="E817" s="112"/>
      <x:c r="F817" s="92"/>
      <x:c r="G817" s="92"/>
      <x:c r="H817" s="92"/>
      <x:c r="I817" s="93" t="str">
        <x:f>IF(B817="","",MAX(0,F817-H817))</x:f>
      </x:c>
      <x:c r="J817" s="46"/>
      <x:c r="K817" s="100" t="str">
        <x:f>IF(B817="","",IF(G817="TL",1,IF(G817="USD",KURLAR!$C$9,IF(G817="EUR",KURLAR!$C$10,0))))</x:f>
      </x:c>
      <x:c r="L817" s="68" t="str">
        <x:f>IF(B817="","",I817*K817)</x:f>
      </x:c>
      <x:c r="M817" s="46"/>
      <x:c r="N817" s="52" t="str">
        <x:f>IF(B817="","",IF(OR(M817="Tahsil Edildi",M817="İptal",J817="Riskli"),"Hayır","Evet"))</x:f>
      </x:c>
    </x:row>
    <x:row r="818">
      <x:c r="B818" s="46"/>
      <x:c r="C818" s="46"/>
      <x:c r="D818" s="112"/>
      <x:c r="E818" s="112"/>
      <x:c r="F818" s="92"/>
      <x:c r="G818" s="92"/>
      <x:c r="H818" s="92"/>
      <x:c r="I818" s="93" t="str">
        <x:f>IF(B818="","",MAX(0,F818-H818))</x:f>
      </x:c>
      <x:c r="J818" s="46"/>
      <x:c r="K818" s="100" t="str">
        <x:f>IF(B818="","",IF(G818="TL",1,IF(G818="USD",KURLAR!$C$9,IF(G818="EUR",KURLAR!$C$10,0))))</x:f>
      </x:c>
      <x:c r="L818" s="68" t="str">
        <x:f>IF(B818="","",I818*K818)</x:f>
      </x:c>
      <x:c r="M818" s="46"/>
      <x:c r="N818" s="52" t="str">
        <x:f>IF(B818="","",IF(OR(M818="Tahsil Edildi",M818="İptal",J818="Riskli"),"Hayır","Evet"))</x:f>
      </x:c>
    </x:row>
    <x:row r="819">
      <x:c r="B819" s="46"/>
      <x:c r="C819" s="46"/>
      <x:c r="D819" s="112"/>
      <x:c r="E819" s="112"/>
      <x:c r="F819" s="92"/>
      <x:c r="G819" s="92"/>
      <x:c r="H819" s="92"/>
      <x:c r="I819" s="93" t="str">
        <x:f>IF(B819="","",MAX(0,F819-H819))</x:f>
      </x:c>
      <x:c r="J819" s="46"/>
      <x:c r="K819" s="100" t="str">
        <x:f>IF(B819="","",IF(G819="TL",1,IF(G819="USD",KURLAR!$C$9,IF(G819="EUR",KURLAR!$C$10,0))))</x:f>
      </x:c>
      <x:c r="L819" s="68" t="str">
        <x:f>IF(B819="","",I819*K819)</x:f>
      </x:c>
      <x:c r="M819" s="46"/>
      <x:c r="N819" s="52" t="str">
        <x:f>IF(B819="","",IF(OR(M819="Tahsil Edildi",M819="İptal",J819="Riskli"),"Hayır","Evet"))</x:f>
      </x:c>
    </x:row>
    <x:row r="820">
      <x:c r="B820" s="46"/>
      <x:c r="C820" s="46"/>
      <x:c r="D820" s="112"/>
      <x:c r="E820" s="112"/>
      <x:c r="F820" s="92"/>
      <x:c r="G820" s="92"/>
      <x:c r="H820" s="92"/>
      <x:c r="I820" s="93" t="str">
        <x:f>IF(B820="","",MAX(0,F820-H820))</x:f>
      </x:c>
      <x:c r="J820" s="46"/>
      <x:c r="K820" s="100" t="str">
        <x:f>IF(B820="","",IF(G820="TL",1,IF(G820="USD",KURLAR!$C$9,IF(G820="EUR",KURLAR!$C$10,0))))</x:f>
      </x:c>
      <x:c r="L820" s="68" t="str">
        <x:f>IF(B820="","",I820*K820)</x:f>
      </x:c>
      <x:c r="M820" s="46"/>
      <x:c r="N820" s="52" t="str">
        <x:f>IF(B820="","",IF(OR(M820="Tahsil Edildi",M820="İptal",J820="Riskli"),"Hayır","Evet"))</x:f>
      </x:c>
    </x:row>
    <x:row r="821">
      <x:c r="B821" s="46"/>
      <x:c r="C821" s="46"/>
      <x:c r="D821" s="112"/>
      <x:c r="E821" s="112"/>
      <x:c r="F821" s="92"/>
      <x:c r="G821" s="92"/>
      <x:c r="H821" s="92"/>
      <x:c r="I821" s="93" t="str">
        <x:f>IF(B821="","",MAX(0,F821-H821))</x:f>
      </x:c>
      <x:c r="J821" s="46"/>
      <x:c r="K821" s="100" t="str">
        <x:f>IF(B821="","",IF(G821="TL",1,IF(G821="USD",KURLAR!$C$9,IF(G821="EUR",KURLAR!$C$10,0))))</x:f>
      </x:c>
      <x:c r="L821" s="68" t="str">
        <x:f>IF(B821="","",I821*K821)</x:f>
      </x:c>
      <x:c r="M821" s="46"/>
      <x:c r="N821" s="52" t="str">
        <x:f>IF(B821="","",IF(OR(M821="Tahsil Edildi",M821="İptal",J821="Riskli"),"Hayır","Evet"))</x:f>
      </x:c>
    </x:row>
    <x:row r="822">
      <x:c r="B822" s="46"/>
      <x:c r="C822" s="46"/>
      <x:c r="D822" s="112"/>
      <x:c r="E822" s="112"/>
      <x:c r="F822" s="92"/>
      <x:c r="G822" s="92"/>
      <x:c r="H822" s="92"/>
      <x:c r="I822" s="93" t="str">
        <x:f>IF(B822="","",MAX(0,F822-H822))</x:f>
      </x:c>
      <x:c r="J822" s="46"/>
      <x:c r="K822" s="100" t="str">
        <x:f>IF(B822="","",IF(G822="TL",1,IF(G822="USD",KURLAR!$C$9,IF(G822="EUR",KURLAR!$C$10,0))))</x:f>
      </x:c>
      <x:c r="L822" s="68" t="str">
        <x:f>IF(B822="","",I822*K822)</x:f>
      </x:c>
      <x:c r="M822" s="46"/>
      <x:c r="N822" s="52" t="str">
        <x:f>IF(B822="","",IF(OR(M822="Tahsil Edildi",M822="İptal",J822="Riskli"),"Hayır","Evet"))</x:f>
      </x:c>
    </x:row>
    <x:row r="823">
      <x:c r="B823" s="46"/>
      <x:c r="C823" s="46"/>
      <x:c r="D823" s="112"/>
      <x:c r="E823" s="112"/>
      <x:c r="F823" s="92"/>
      <x:c r="G823" s="92"/>
      <x:c r="H823" s="92"/>
      <x:c r="I823" s="93" t="str">
        <x:f>IF(B823="","",MAX(0,F823-H823))</x:f>
      </x:c>
      <x:c r="J823" s="46"/>
      <x:c r="K823" s="100" t="str">
        <x:f>IF(B823="","",IF(G823="TL",1,IF(G823="USD",KURLAR!$C$9,IF(G823="EUR",KURLAR!$C$10,0))))</x:f>
      </x:c>
      <x:c r="L823" s="68" t="str">
        <x:f>IF(B823="","",I823*K823)</x:f>
      </x:c>
      <x:c r="M823" s="46"/>
      <x:c r="N823" s="52" t="str">
        <x:f>IF(B823="","",IF(OR(M823="Tahsil Edildi",M823="İptal",J823="Riskli"),"Hayır","Evet"))</x:f>
      </x:c>
    </x:row>
    <x:row r="824">
      <x:c r="B824" s="46"/>
      <x:c r="C824" s="46"/>
      <x:c r="D824" s="112"/>
      <x:c r="E824" s="112"/>
      <x:c r="F824" s="92"/>
      <x:c r="G824" s="92"/>
      <x:c r="H824" s="92"/>
      <x:c r="I824" s="93" t="str">
        <x:f>IF(B824="","",MAX(0,F824-H824))</x:f>
      </x:c>
      <x:c r="J824" s="46"/>
      <x:c r="K824" s="100" t="str">
        <x:f>IF(B824="","",IF(G824="TL",1,IF(G824="USD",KURLAR!$C$9,IF(G824="EUR",KURLAR!$C$10,0))))</x:f>
      </x:c>
      <x:c r="L824" s="68" t="str">
        <x:f>IF(B824="","",I824*K824)</x:f>
      </x:c>
      <x:c r="M824" s="46"/>
      <x:c r="N824" s="52" t="str">
        <x:f>IF(B824="","",IF(OR(M824="Tahsil Edildi",M824="İptal",J824="Riskli"),"Hayır","Evet"))</x:f>
      </x:c>
    </x:row>
    <x:row r="825">
      <x:c r="B825" s="46"/>
      <x:c r="C825" s="46"/>
      <x:c r="D825" s="112"/>
      <x:c r="E825" s="112"/>
      <x:c r="F825" s="92"/>
      <x:c r="G825" s="92"/>
      <x:c r="H825" s="92"/>
      <x:c r="I825" s="93" t="str">
        <x:f>IF(B825="","",MAX(0,F825-H825))</x:f>
      </x:c>
      <x:c r="J825" s="46"/>
      <x:c r="K825" s="100" t="str">
        <x:f>IF(B825="","",IF(G825="TL",1,IF(G825="USD",KURLAR!$C$9,IF(G825="EUR",KURLAR!$C$10,0))))</x:f>
      </x:c>
      <x:c r="L825" s="68" t="str">
        <x:f>IF(B825="","",I825*K825)</x:f>
      </x:c>
      <x:c r="M825" s="46"/>
      <x:c r="N825" s="52" t="str">
        <x:f>IF(B825="","",IF(OR(M825="Tahsil Edildi",M825="İptal",J825="Riskli"),"Hayır","Evet"))</x:f>
      </x:c>
    </x:row>
    <x:row r="826">
      <x:c r="B826" s="46"/>
      <x:c r="C826" s="46"/>
      <x:c r="D826" s="112"/>
      <x:c r="E826" s="112"/>
      <x:c r="F826" s="92"/>
      <x:c r="G826" s="92"/>
      <x:c r="H826" s="92"/>
      <x:c r="I826" s="93" t="str">
        <x:f>IF(B826="","",MAX(0,F826-H826))</x:f>
      </x:c>
      <x:c r="J826" s="46"/>
      <x:c r="K826" s="100" t="str">
        <x:f>IF(B826="","",IF(G826="TL",1,IF(G826="USD",KURLAR!$C$9,IF(G826="EUR",KURLAR!$C$10,0))))</x:f>
      </x:c>
      <x:c r="L826" s="68" t="str">
        <x:f>IF(B826="","",I826*K826)</x:f>
      </x:c>
      <x:c r="M826" s="46"/>
      <x:c r="N826" s="52" t="str">
        <x:f>IF(B826="","",IF(OR(M826="Tahsil Edildi",M826="İptal",J826="Riskli"),"Hayır","Evet"))</x:f>
      </x:c>
    </x:row>
    <x:row r="827">
      <x:c r="B827" s="46"/>
      <x:c r="C827" s="46"/>
      <x:c r="D827" s="112"/>
      <x:c r="E827" s="112"/>
      <x:c r="F827" s="92"/>
      <x:c r="G827" s="92"/>
      <x:c r="H827" s="92"/>
      <x:c r="I827" s="93" t="str">
        <x:f>IF(B827="","",MAX(0,F827-H827))</x:f>
      </x:c>
      <x:c r="J827" s="46"/>
      <x:c r="K827" s="100" t="str">
        <x:f>IF(B827="","",IF(G827="TL",1,IF(G827="USD",KURLAR!$C$9,IF(G827="EUR",KURLAR!$C$10,0))))</x:f>
      </x:c>
      <x:c r="L827" s="68" t="str">
        <x:f>IF(B827="","",I827*K827)</x:f>
      </x:c>
      <x:c r="M827" s="46"/>
      <x:c r="N827" s="52" t="str">
        <x:f>IF(B827="","",IF(OR(M827="Tahsil Edildi",M827="İptal",J827="Riskli"),"Hayır","Evet"))</x:f>
      </x:c>
    </x:row>
    <x:row r="828">
      <x:c r="B828" s="46"/>
      <x:c r="C828" s="46"/>
      <x:c r="D828" s="112"/>
      <x:c r="E828" s="112"/>
      <x:c r="F828" s="92"/>
      <x:c r="G828" s="92"/>
      <x:c r="H828" s="92"/>
      <x:c r="I828" s="93" t="str">
        <x:f>IF(B828="","",MAX(0,F828-H828))</x:f>
      </x:c>
      <x:c r="J828" s="46"/>
      <x:c r="K828" s="100" t="str">
        <x:f>IF(B828="","",IF(G828="TL",1,IF(G828="USD",KURLAR!$C$9,IF(G828="EUR",KURLAR!$C$10,0))))</x:f>
      </x:c>
      <x:c r="L828" s="68" t="str">
        <x:f>IF(B828="","",I828*K828)</x:f>
      </x:c>
      <x:c r="M828" s="46"/>
      <x:c r="N828" s="52" t="str">
        <x:f>IF(B828="","",IF(OR(M828="Tahsil Edildi",M828="İptal",J828="Riskli"),"Hayır","Evet"))</x:f>
      </x:c>
    </x:row>
    <x:row r="829">
      <x:c r="B829" s="46"/>
      <x:c r="C829" s="46"/>
      <x:c r="D829" s="112"/>
      <x:c r="E829" s="112"/>
      <x:c r="F829" s="92"/>
      <x:c r="G829" s="92"/>
      <x:c r="H829" s="92"/>
      <x:c r="I829" s="93" t="str">
        <x:f>IF(B829="","",MAX(0,F829-H829))</x:f>
      </x:c>
      <x:c r="J829" s="46"/>
      <x:c r="K829" s="100" t="str">
        <x:f>IF(B829="","",IF(G829="TL",1,IF(G829="USD",KURLAR!$C$9,IF(G829="EUR",KURLAR!$C$10,0))))</x:f>
      </x:c>
      <x:c r="L829" s="68" t="str">
        <x:f>IF(B829="","",I829*K829)</x:f>
      </x:c>
      <x:c r="M829" s="46"/>
      <x:c r="N829" s="52" t="str">
        <x:f>IF(B829="","",IF(OR(M829="Tahsil Edildi",M829="İptal",J829="Riskli"),"Hayır","Evet"))</x:f>
      </x:c>
    </x:row>
    <x:row r="830">
      <x:c r="B830" s="46"/>
      <x:c r="C830" s="46"/>
      <x:c r="D830" s="112"/>
      <x:c r="E830" s="112"/>
      <x:c r="F830" s="92"/>
      <x:c r="G830" s="92"/>
      <x:c r="H830" s="92"/>
      <x:c r="I830" s="93" t="str">
        <x:f>IF(B830="","",MAX(0,F830-H830))</x:f>
      </x:c>
      <x:c r="J830" s="46"/>
      <x:c r="K830" s="100" t="str">
        <x:f>IF(B830="","",IF(G830="TL",1,IF(G830="USD",KURLAR!$C$9,IF(G830="EUR",KURLAR!$C$10,0))))</x:f>
      </x:c>
      <x:c r="L830" s="68" t="str">
        <x:f>IF(B830="","",I830*K830)</x:f>
      </x:c>
      <x:c r="M830" s="46"/>
      <x:c r="N830" s="52" t="str">
        <x:f>IF(B830="","",IF(OR(M830="Tahsil Edildi",M830="İptal",J830="Riskli"),"Hayır","Evet"))</x:f>
      </x:c>
    </x:row>
    <x:row r="831">
      <x:c r="B831" s="46"/>
      <x:c r="C831" s="46"/>
      <x:c r="D831" s="112"/>
      <x:c r="E831" s="112"/>
      <x:c r="F831" s="92"/>
      <x:c r="G831" s="92"/>
      <x:c r="H831" s="92"/>
      <x:c r="I831" s="93" t="str">
        <x:f>IF(B831="","",MAX(0,F831-H831))</x:f>
      </x:c>
      <x:c r="J831" s="46"/>
      <x:c r="K831" s="100" t="str">
        <x:f>IF(B831="","",IF(G831="TL",1,IF(G831="USD",KURLAR!$C$9,IF(G831="EUR",KURLAR!$C$10,0))))</x:f>
      </x:c>
      <x:c r="L831" s="68" t="str">
        <x:f>IF(B831="","",I831*K831)</x:f>
      </x:c>
      <x:c r="M831" s="46"/>
      <x:c r="N831" s="52" t="str">
        <x:f>IF(B831="","",IF(OR(M831="Tahsil Edildi",M831="İptal",J831="Riskli"),"Hayır","Evet"))</x:f>
      </x:c>
    </x:row>
    <x:row r="832">
      <x:c r="B832" s="46"/>
      <x:c r="C832" s="46"/>
      <x:c r="D832" s="112"/>
      <x:c r="E832" s="112"/>
      <x:c r="F832" s="92"/>
      <x:c r="G832" s="92"/>
      <x:c r="H832" s="92"/>
      <x:c r="I832" s="93" t="str">
        <x:f>IF(B832="","",MAX(0,F832-H832))</x:f>
      </x:c>
      <x:c r="J832" s="46"/>
      <x:c r="K832" s="100" t="str">
        <x:f>IF(B832="","",IF(G832="TL",1,IF(G832="USD",KURLAR!$C$9,IF(G832="EUR",KURLAR!$C$10,0))))</x:f>
      </x:c>
      <x:c r="L832" s="68" t="str">
        <x:f>IF(B832="","",I832*K832)</x:f>
      </x:c>
      <x:c r="M832" s="46"/>
      <x:c r="N832" s="52" t="str">
        <x:f>IF(B832="","",IF(OR(M832="Tahsil Edildi",M832="İptal",J832="Riskli"),"Hayır","Evet"))</x:f>
      </x:c>
    </x:row>
    <x:row r="833">
      <x:c r="B833" s="46"/>
      <x:c r="C833" s="46"/>
      <x:c r="D833" s="112"/>
      <x:c r="E833" s="112"/>
      <x:c r="F833" s="92"/>
      <x:c r="G833" s="92"/>
      <x:c r="H833" s="92"/>
      <x:c r="I833" s="93" t="str">
        <x:f>IF(B833="","",MAX(0,F833-H833))</x:f>
      </x:c>
      <x:c r="J833" s="46"/>
      <x:c r="K833" s="100" t="str">
        <x:f>IF(B833="","",IF(G833="TL",1,IF(G833="USD",KURLAR!$C$9,IF(G833="EUR",KURLAR!$C$10,0))))</x:f>
      </x:c>
      <x:c r="L833" s="68" t="str">
        <x:f>IF(B833="","",I833*K833)</x:f>
      </x:c>
      <x:c r="M833" s="46"/>
      <x:c r="N833" s="52" t="str">
        <x:f>IF(B833="","",IF(OR(M833="Tahsil Edildi",M833="İptal",J833="Riskli"),"Hayır","Evet"))</x:f>
      </x:c>
    </x:row>
    <x:row r="834">
      <x:c r="B834" s="46"/>
      <x:c r="C834" s="46"/>
      <x:c r="D834" s="112"/>
      <x:c r="E834" s="112"/>
      <x:c r="F834" s="92"/>
      <x:c r="G834" s="92"/>
      <x:c r="H834" s="92"/>
      <x:c r="I834" s="93" t="str">
        <x:f>IF(B834="","",MAX(0,F834-H834))</x:f>
      </x:c>
      <x:c r="J834" s="46"/>
      <x:c r="K834" s="100" t="str">
        <x:f>IF(B834="","",IF(G834="TL",1,IF(G834="USD",KURLAR!$C$9,IF(G834="EUR",KURLAR!$C$10,0))))</x:f>
      </x:c>
      <x:c r="L834" s="68" t="str">
        <x:f>IF(B834="","",I834*K834)</x:f>
      </x:c>
      <x:c r="M834" s="46"/>
      <x:c r="N834" s="52" t="str">
        <x:f>IF(B834="","",IF(OR(M834="Tahsil Edildi",M834="İptal",J834="Riskli"),"Hayır","Evet"))</x:f>
      </x:c>
    </x:row>
    <x:row r="835">
      <x:c r="B835" s="46"/>
      <x:c r="C835" s="46"/>
      <x:c r="D835" s="112"/>
      <x:c r="E835" s="112"/>
      <x:c r="F835" s="92"/>
      <x:c r="G835" s="92"/>
      <x:c r="H835" s="92"/>
      <x:c r="I835" s="93" t="str">
        <x:f>IF(B835="","",MAX(0,F835-H835))</x:f>
      </x:c>
      <x:c r="J835" s="46"/>
      <x:c r="K835" s="100" t="str">
        <x:f>IF(B835="","",IF(G835="TL",1,IF(G835="USD",KURLAR!$C$9,IF(G835="EUR",KURLAR!$C$10,0))))</x:f>
      </x:c>
      <x:c r="L835" s="68" t="str">
        <x:f>IF(B835="","",I835*K835)</x:f>
      </x:c>
      <x:c r="M835" s="46"/>
      <x:c r="N835" s="52" t="str">
        <x:f>IF(B835="","",IF(OR(M835="Tahsil Edildi",M835="İptal",J835="Riskli"),"Hayır","Evet"))</x:f>
      </x:c>
    </x:row>
    <x:row r="836">
      <x:c r="B836" s="46"/>
      <x:c r="C836" s="46"/>
      <x:c r="D836" s="112"/>
      <x:c r="E836" s="112"/>
      <x:c r="F836" s="92"/>
      <x:c r="G836" s="92"/>
      <x:c r="H836" s="92"/>
      <x:c r="I836" s="93" t="str">
        <x:f>IF(B836="","",MAX(0,F836-H836))</x:f>
      </x:c>
      <x:c r="J836" s="46"/>
      <x:c r="K836" s="100" t="str">
        <x:f>IF(B836="","",IF(G836="TL",1,IF(G836="USD",KURLAR!$C$9,IF(G836="EUR",KURLAR!$C$10,0))))</x:f>
      </x:c>
      <x:c r="L836" s="68" t="str">
        <x:f>IF(B836="","",I836*K836)</x:f>
      </x:c>
      <x:c r="M836" s="46"/>
      <x:c r="N836" s="52" t="str">
        <x:f>IF(B836="","",IF(OR(M836="Tahsil Edildi",M836="İptal",J836="Riskli"),"Hayır","Evet"))</x:f>
      </x:c>
    </x:row>
    <x:row r="837">
      <x:c r="B837" s="46"/>
      <x:c r="C837" s="46"/>
      <x:c r="D837" s="112"/>
      <x:c r="E837" s="112"/>
      <x:c r="F837" s="92"/>
      <x:c r="G837" s="92"/>
      <x:c r="H837" s="92"/>
      <x:c r="I837" s="93" t="str">
        <x:f>IF(B837="","",MAX(0,F837-H837))</x:f>
      </x:c>
      <x:c r="J837" s="46"/>
      <x:c r="K837" s="100" t="str">
        <x:f>IF(B837="","",IF(G837="TL",1,IF(G837="USD",KURLAR!$C$9,IF(G837="EUR",KURLAR!$C$10,0))))</x:f>
      </x:c>
      <x:c r="L837" s="68" t="str">
        <x:f>IF(B837="","",I837*K837)</x:f>
      </x:c>
      <x:c r="M837" s="46"/>
      <x:c r="N837" s="52" t="str">
        <x:f>IF(B837="","",IF(OR(M837="Tahsil Edildi",M837="İptal",J837="Riskli"),"Hayır","Evet"))</x:f>
      </x:c>
    </x:row>
    <x:row r="838">
      <x:c r="B838" s="46"/>
      <x:c r="C838" s="46"/>
      <x:c r="D838" s="112"/>
      <x:c r="E838" s="112"/>
      <x:c r="F838" s="92"/>
      <x:c r="G838" s="92"/>
      <x:c r="H838" s="92"/>
      <x:c r="I838" s="93" t="str">
        <x:f>IF(B838="","",MAX(0,F838-H838))</x:f>
      </x:c>
      <x:c r="J838" s="46"/>
      <x:c r="K838" s="100" t="str">
        <x:f>IF(B838="","",IF(G838="TL",1,IF(G838="USD",KURLAR!$C$9,IF(G838="EUR",KURLAR!$C$10,0))))</x:f>
      </x:c>
      <x:c r="L838" s="68" t="str">
        <x:f>IF(B838="","",I838*K838)</x:f>
      </x:c>
      <x:c r="M838" s="46"/>
      <x:c r="N838" s="52" t="str">
        <x:f>IF(B838="","",IF(OR(M838="Tahsil Edildi",M838="İptal",J838="Riskli"),"Hayır","Evet"))</x:f>
      </x:c>
    </x:row>
    <x:row r="839">
      <x:c r="B839" s="46"/>
      <x:c r="C839" s="46"/>
      <x:c r="D839" s="112"/>
      <x:c r="E839" s="112"/>
      <x:c r="F839" s="92"/>
      <x:c r="G839" s="92"/>
      <x:c r="H839" s="92"/>
      <x:c r="I839" s="93" t="str">
        <x:f>IF(B839="","",MAX(0,F839-H839))</x:f>
      </x:c>
      <x:c r="J839" s="46"/>
      <x:c r="K839" s="100" t="str">
        <x:f>IF(B839="","",IF(G839="TL",1,IF(G839="USD",KURLAR!$C$9,IF(G839="EUR",KURLAR!$C$10,0))))</x:f>
      </x:c>
      <x:c r="L839" s="68" t="str">
        <x:f>IF(B839="","",I839*K839)</x:f>
      </x:c>
      <x:c r="M839" s="46"/>
      <x:c r="N839" s="52" t="str">
        <x:f>IF(B839="","",IF(OR(M839="Tahsil Edildi",M839="İptal",J839="Riskli"),"Hayır","Evet"))</x:f>
      </x:c>
    </x:row>
    <x:row r="840">
      <x:c r="B840" s="46"/>
      <x:c r="C840" s="46"/>
      <x:c r="D840" s="112"/>
      <x:c r="E840" s="112"/>
      <x:c r="F840" s="92"/>
      <x:c r="G840" s="92"/>
      <x:c r="H840" s="92"/>
      <x:c r="I840" s="93" t="str">
        <x:f>IF(B840="","",MAX(0,F840-H840))</x:f>
      </x:c>
      <x:c r="J840" s="46"/>
      <x:c r="K840" s="100" t="str">
        <x:f>IF(B840="","",IF(G840="TL",1,IF(G840="USD",KURLAR!$C$9,IF(G840="EUR",KURLAR!$C$10,0))))</x:f>
      </x:c>
      <x:c r="L840" s="68" t="str">
        <x:f>IF(B840="","",I840*K840)</x:f>
      </x:c>
      <x:c r="M840" s="46"/>
      <x:c r="N840" s="52" t="str">
        <x:f>IF(B840="","",IF(OR(M840="Tahsil Edildi",M840="İptal",J840="Riskli"),"Hayır","Evet"))</x:f>
      </x:c>
    </x:row>
    <x:row r="841">
      <x:c r="B841" s="46"/>
      <x:c r="C841" s="46"/>
      <x:c r="D841" s="112"/>
      <x:c r="E841" s="112"/>
      <x:c r="F841" s="92"/>
      <x:c r="G841" s="92"/>
      <x:c r="H841" s="92"/>
      <x:c r="I841" s="93" t="str">
        <x:f>IF(B841="","",MAX(0,F841-H841))</x:f>
      </x:c>
      <x:c r="J841" s="46"/>
      <x:c r="K841" s="100" t="str">
        <x:f>IF(B841="","",IF(G841="TL",1,IF(G841="USD",KURLAR!$C$9,IF(G841="EUR",KURLAR!$C$10,0))))</x:f>
      </x:c>
      <x:c r="L841" s="68" t="str">
        <x:f>IF(B841="","",I841*K841)</x:f>
      </x:c>
      <x:c r="M841" s="46"/>
      <x:c r="N841" s="52" t="str">
        <x:f>IF(B841="","",IF(OR(M841="Tahsil Edildi",M841="İptal",J841="Riskli"),"Hayır","Evet"))</x:f>
      </x:c>
    </x:row>
    <x:row r="842">
      <x:c r="B842" s="46"/>
      <x:c r="C842" s="46"/>
      <x:c r="D842" s="112"/>
      <x:c r="E842" s="112"/>
      <x:c r="F842" s="92"/>
      <x:c r="G842" s="92"/>
      <x:c r="H842" s="92"/>
      <x:c r="I842" s="93" t="str">
        <x:f>IF(B842="","",MAX(0,F842-H842))</x:f>
      </x:c>
      <x:c r="J842" s="46"/>
      <x:c r="K842" s="100" t="str">
        <x:f>IF(B842="","",IF(G842="TL",1,IF(G842="USD",KURLAR!$C$9,IF(G842="EUR",KURLAR!$C$10,0))))</x:f>
      </x:c>
      <x:c r="L842" s="68" t="str">
        <x:f>IF(B842="","",I842*K842)</x:f>
      </x:c>
      <x:c r="M842" s="46"/>
      <x:c r="N842" s="52" t="str">
        <x:f>IF(B842="","",IF(OR(M842="Tahsil Edildi",M842="İptal",J842="Riskli"),"Hayır","Evet"))</x:f>
      </x:c>
    </x:row>
    <x:row r="843">
      <x:c r="B843" s="46"/>
      <x:c r="C843" s="46"/>
      <x:c r="D843" s="112"/>
      <x:c r="E843" s="112"/>
      <x:c r="F843" s="92"/>
      <x:c r="G843" s="92"/>
      <x:c r="H843" s="92"/>
      <x:c r="I843" s="93" t="str">
        <x:f>IF(B843="","",MAX(0,F843-H843))</x:f>
      </x:c>
      <x:c r="J843" s="46"/>
      <x:c r="K843" s="100" t="str">
        <x:f>IF(B843="","",IF(G843="TL",1,IF(G843="USD",KURLAR!$C$9,IF(G843="EUR",KURLAR!$C$10,0))))</x:f>
      </x:c>
      <x:c r="L843" s="68" t="str">
        <x:f>IF(B843="","",I843*K843)</x:f>
      </x:c>
      <x:c r="M843" s="46"/>
      <x:c r="N843" s="52" t="str">
        <x:f>IF(B843="","",IF(OR(M843="Tahsil Edildi",M843="İptal",J843="Riskli"),"Hayır","Evet"))</x:f>
      </x:c>
    </x:row>
    <x:row r="844">
      <x:c r="B844" s="46"/>
      <x:c r="C844" s="46"/>
      <x:c r="D844" s="112"/>
      <x:c r="E844" s="112"/>
      <x:c r="F844" s="92"/>
      <x:c r="G844" s="92"/>
      <x:c r="H844" s="92"/>
      <x:c r="I844" s="93" t="str">
        <x:f>IF(B844="","",MAX(0,F844-H844))</x:f>
      </x:c>
      <x:c r="J844" s="46"/>
      <x:c r="K844" s="100" t="str">
        <x:f>IF(B844="","",IF(G844="TL",1,IF(G844="USD",KURLAR!$C$9,IF(G844="EUR",KURLAR!$C$10,0))))</x:f>
      </x:c>
      <x:c r="L844" s="68" t="str">
        <x:f>IF(B844="","",I844*K844)</x:f>
      </x:c>
      <x:c r="M844" s="46"/>
      <x:c r="N844" s="52" t="str">
        <x:f>IF(B844="","",IF(OR(M844="Tahsil Edildi",M844="İptal",J844="Riskli"),"Hayır","Evet"))</x:f>
      </x:c>
    </x:row>
    <x:row r="845">
      <x:c r="B845" s="46"/>
      <x:c r="C845" s="46"/>
      <x:c r="D845" s="112"/>
      <x:c r="E845" s="112"/>
      <x:c r="F845" s="92"/>
      <x:c r="G845" s="92"/>
      <x:c r="H845" s="92"/>
      <x:c r="I845" s="93" t="str">
        <x:f>IF(B845="","",MAX(0,F845-H845))</x:f>
      </x:c>
      <x:c r="J845" s="46"/>
      <x:c r="K845" s="100" t="str">
        <x:f>IF(B845="","",IF(G845="TL",1,IF(G845="USD",KURLAR!$C$9,IF(G845="EUR",KURLAR!$C$10,0))))</x:f>
      </x:c>
      <x:c r="L845" s="68" t="str">
        <x:f>IF(B845="","",I845*K845)</x:f>
      </x:c>
      <x:c r="M845" s="46"/>
      <x:c r="N845" s="52" t="str">
        <x:f>IF(B845="","",IF(OR(M845="Tahsil Edildi",M845="İptal",J845="Riskli"),"Hayır","Evet"))</x:f>
      </x:c>
    </x:row>
    <x:row r="846">
      <x:c r="B846" s="46"/>
      <x:c r="C846" s="46"/>
      <x:c r="D846" s="112"/>
      <x:c r="E846" s="112"/>
      <x:c r="F846" s="92"/>
      <x:c r="G846" s="92"/>
      <x:c r="H846" s="92"/>
      <x:c r="I846" s="93" t="str">
        <x:f>IF(B846="","",MAX(0,F846-H846))</x:f>
      </x:c>
      <x:c r="J846" s="46"/>
      <x:c r="K846" s="100" t="str">
        <x:f>IF(B846="","",IF(G846="TL",1,IF(G846="USD",KURLAR!$C$9,IF(G846="EUR",KURLAR!$C$10,0))))</x:f>
      </x:c>
      <x:c r="L846" s="68" t="str">
        <x:f>IF(B846="","",I846*K846)</x:f>
      </x:c>
      <x:c r="M846" s="46"/>
      <x:c r="N846" s="52" t="str">
        <x:f>IF(B846="","",IF(OR(M846="Tahsil Edildi",M846="İptal",J846="Riskli"),"Hayır","Evet"))</x:f>
      </x:c>
    </x:row>
    <x:row r="847">
      <x:c r="B847" s="46"/>
      <x:c r="C847" s="46"/>
      <x:c r="D847" s="112"/>
      <x:c r="E847" s="112"/>
      <x:c r="F847" s="92"/>
      <x:c r="G847" s="92"/>
      <x:c r="H847" s="92"/>
      <x:c r="I847" s="93" t="str">
        <x:f>IF(B847="","",MAX(0,F847-H847))</x:f>
      </x:c>
      <x:c r="J847" s="46"/>
      <x:c r="K847" s="100" t="str">
        <x:f>IF(B847="","",IF(G847="TL",1,IF(G847="USD",KURLAR!$C$9,IF(G847="EUR",KURLAR!$C$10,0))))</x:f>
      </x:c>
      <x:c r="L847" s="68" t="str">
        <x:f>IF(B847="","",I847*K847)</x:f>
      </x:c>
      <x:c r="M847" s="46"/>
      <x:c r="N847" s="52" t="str">
        <x:f>IF(B847="","",IF(OR(M847="Tahsil Edildi",M847="İptal",J847="Riskli"),"Hayır","Evet"))</x:f>
      </x:c>
    </x:row>
    <x:row r="848">
      <x:c r="B848" s="46"/>
      <x:c r="C848" s="46"/>
      <x:c r="D848" s="112"/>
      <x:c r="E848" s="112"/>
      <x:c r="F848" s="92"/>
      <x:c r="G848" s="92"/>
      <x:c r="H848" s="92"/>
      <x:c r="I848" s="93" t="str">
        <x:f>IF(B848="","",MAX(0,F848-H848))</x:f>
      </x:c>
      <x:c r="J848" s="46"/>
      <x:c r="K848" s="100" t="str">
        <x:f>IF(B848="","",IF(G848="TL",1,IF(G848="USD",KURLAR!$C$9,IF(G848="EUR",KURLAR!$C$10,0))))</x:f>
      </x:c>
      <x:c r="L848" s="68" t="str">
        <x:f>IF(B848="","",I848*K848)</x:f>
      </x:c>
      <x:c r="M848" s="46"/>
      <x:c r="N848" s="52" t="str">
        <x:f>IF(B848="","",IF(OR(M848="Tahsil Edildi",M848="İptal",J848="Riskli"),"Hayır","Evet"))</x:f>
      </x:c>
    </x:row>
    <x:row r="849">
      <x:c r="B849" s="46"/>
      <x:c r="C849" s="46"/>
      <x:c r="D849" s="112"/>
      <x:c r="E849" s="112"/>
      <x:c r="F849" s="92"/>
      <x:c r="G849" s="92"/>
      <x:c r="H849" s="92"/>
      <x:c r="I849" s="93" t="str">
        <x:f>IF(B849="","",MAX(0,F849-H849))</x:f>
      </x:c>
      <x:c r="J849" s="46"/>
      <x:c r="K849" s="100" t="str">
        <x:f>IF(B849="","",IF(G849="TL",1,IF(G849="USD",KURLAR!$C$9,IF(G849="EUR",KURLAR!$C$10,0))))</x:f>
      </x:c>
      <x:c r="L849" s="68" t="str">
        <x:f>IF(B849="","",I849*K849)</x:f>
      </x:c>
      <x:c r="M849" s="46"/>
      <x:c r="N849" s="52" t="str">
        <x:f>IF(B849="","",IF(OR(M849="Tahsil Edildi",M849="İptal",J849="Riskli"),"Hayır","Evet"))</x:f>
      </x:c>
    </x:row>
    <x:row r="850">
      <x:c r="B850" s="46"/>
      <x:c r="C850" s="46"/>
      <x:c r="D850" s="112"/>
      <x:c r="E850" s="112"/>
      <x:c r="F850" s="92"/>
      <x:c r="G850" s="92"/>
      <x:c r="H850" s="92"/>
      <x:c r="I850" s="93" t="str">
        <x:f>IF(B850="","",MAX(0,F850-H850))</x:f>
      </x:c>
      <x:c r="J850" s="46"/>
      <x:c r="K850" s="100" t="str">
        <x:f>IF(B850="","",IF(G850="TL",1,IF(G850="USD",KURLAR!$C$9,IF(G850="EUR",KURLAR!$C$10,0))))</x:f>
      </x:c>
      <x:c r="L850" s="68" t="str">
        <x:f>IF(B850="","",I850*K850)</x:f>
      </x:c>
      <x:c r="M850" s="46"/>
      <x:c r="N850" s="52" t="str">
        <x:f>IF(B850="","",IF(OR(M850="Tahsil Edildi",M850="İptal",J850="Riskli"),"Hayır","Evet"))</x:f>
      </x:c>
    </x:row>
    <x:row r="851">
      <x:c r="B851" s="46"/>
      <x:c r="C851" s="46"/>
      <x:c r="D851" s="112"/>
      <x:c r="E851" s="112"/>
      <x:c r="F851" s="92"/>
      <x:c r="G851" s="92"/>
      <x:c r="H851" s="92"/>
      <x:c r="I851" s="93" t="str">
        <x:f>IF(B851="","",MAX(0,F851-H851))</x:f>
      </x:c>
      <x:c r="J851" s="46"/>
      <x:c r="K851" s="100" t="str">
        <x:f>IF(B851="","",IF(G851="TL",1,IF(G851="USD",KURLAR!$C$9,IF(G851="EUR",KURLAR!$C$10,0))))</x:f>
      </x:c>
      <x:c r="L851" s="68" t="str">
        <x:f>IF(B851="","",I851*K851)</x:f>
      </x:c>
      <x:c r="M851" s="46"/>
      <x:c r="N851" s="52" t="str">
        <x:f>IF(B851="","",IF(OR(M851="Tahsil Edildi",M851="İptal",J851="Riskli"),"Hayır","Evet"))</x:f>
      </x:c>
    </x:row>
    <x:row r="852">
      <x:c r="B852" s="46"/>
      <x:c r="C852" s="46"/>
      <x:c r="D852" s="112"/>
      <x:c r="E852" s="112"/>
      <x:c r="F852" s="92"/>
      <x:c r="G852" s="92"/>
      <x:c r="H852" s="92"/>
      <x:c r="I852" s="93" t="str">
        <x:f>IF(B852="","",MAX(0,F852-H852))</x:f>
      </x:c>
      <x:c r="J852" s="46"/>
      <x:c r="K852" s="100" t="str">
        <x:f>IF(B852="","",IF(G852="TL",1,IF(G852="USD",KURLAR!$C$9,IF(G852="EUR",KURLAR!$C$10,0))))</x:f>
      </x:c>
      <x:c r="L852" s="68" t="str">
        <x:f>IF(B852="","",I852*K852)</x:f>
      </x:c>
      <x:c r="M852" s="46"/>
      <x:c r="N852" s="52" t="str">
        <x:f>IF(B852="","",IF(OR(M852="Tahsil Edildi",M852="İptal",J852="Riskli"),"Hayır","Evet"))</x:f>
      </x:c>
    </x:row>
    <x:row r="853">
      <x:c r="B853" s="46"/>
      <x:c r="C853" s="46"/>
      <x:c r="D853" s="112"/>
      <x:c r="E853" s="112"/>
      <x:c r="F853" s="92"/>
      <x:c r="G853" s="92"/>
      <x:c r="H853" s="92"/>
      <x:c r="I853" s="93" t="str">
        <x:f>IF(B853="","",MAX(0,F853-H853))</x:f>
      </x:c>
      <x:c r="J853" s="46"/>
      <x:c r="K853" s="100" t="str">
        <x:f>IF(B853="","",IF(G853="TL",1,IF(G853="USD",KURLAR!$C$9,IF(G853="EUR",KURLAR!$C$10,0))))</x:f>
      </x:c>
      <x:c r="L853" s="68" t="str">
        <x:f>IF(B853="","",I853*K853)</x:f>
      </x:c>
      <x:c r="M853" s="46"/>
      <x:c r="N853" s="52" t="str">
        <x:f>IF(B853="","",IF(OR(M853="Tahsil Edildi",M853="İptal",J853="Riskli"),"Hayır","Evet"))</x:f>
      </x:c>
    </x:row>
    <x:row r="854">
      <x:c r="B854" s="46"/>
      <x:c r="C854" s="46"/>
      <x:c r="D854" s="112"/>
      <x:c r="E854" s="112"/>
      <x:c r="F854" s="92"/>
      <x:c r="G854" s="92"/>
      <x:c r="H854" s="92"/>
      <x:c r="I854" s="93" t="str">
        <x:f>IF(B854="","",MAX(0,F854-H854))</x:f>
      </x:c>
      <x:c r="J854" s="46"/>
      <x:c r="K854" s="100" t="str">
        <x:f>IF(B854="","",IF(G854="TL",1,IF(G854="USD",KURLAR!$C$9,IF(G854="EUR",KURLAR!$C$10,0))))</x:f>
      </x:c>
      <x:c r="L854" s="68" t="str">
        <x:f>IF(B854="","",I854*K854)</x:f>
      </x:c>
      <x:c r="M854" s="46"/>
      <x:c r="N854" s="52" t="str">
        <x:f>IF(B854="","",IF(OR(M854="Tahsil Edildi",M854="İptal",J854="Riskli"),"Hayır","Evet"))</x:f>
      </x:c>
    </x:row>
    <x:row r="855">
      <x:c r="B855" s="46"/>
      <x:c r="C855" s="46"/>
      <x:c r="D855" s="112"/>
      <x:c r="E855" s="112"/>
      <x:c r="F855" s="92"/>
      <x:c r="G855" s="92"/>
      <x:c r="H855" s="92"/>
      <x:c r="I855" s="93" t="str">
        <x:f>IF(B855="","",MAX(0,F855-H855))</x:f>
      </x:c>
      <x:c r="J855" s="46"/>
      <x:c r="K855" s="100" t="str">
        <x:f>IF(B855="","",IF(G855="TL",1,IF(G855="USD",KURLAR!$C$9,IF(G855="EUR",KURLAR!$C$10,0))))</x:f>
      </x:c>
      <x:c r="L855" s="68" t="str">
        <x:f>IF(B855="","",I855*K855)</x:f>
      </x:c>
      <x:c r="M855" s="46"/>
      <x:c r="N855" s="52" t="str">
        <x:f>IF(B855="","",IF(OR(M855="Tahsil Edildi",M855="İptal",J855="Riskli"),"Hayır","Evet"))</x:f>
      </x:c>
    </x:row>
    <x:row r="856">
      <x:c r="B856" s="46"/>
      <x:c r="C856" s="46"/>
      <x:c r="D856" s="112"/>
      <x:c r="E856" s="112"/>
      <x:c r="F856" s="92"/>
      <x:c r="G856" s="92"/>
      <x:c r="H856" s="92"/>
      <x:c r="I856" s="93" t="str">
        <x:f>IF(B856="","",MAX(0,F856-H856))</x:f>
      </x:c>
      <x:c r="J856" s="46"/>
      <x:c r="K856" s="100" t="str">
        <x:f>IF(B856="","",IF(G856="TL",1,IF(G856="USD",KURLAR!$C$9,IF(G856="EUR",KURLAR!$C$10,0))))</x:f>
      </x:c>
      <x:c r="L856" s="68" t="str">
        <x:f>IF(B856="","",I856*K856)</x:f>
      </x:c>
      <x:c r="M856" s="46"/>
      <x:c r="N856" s="52" t="str">
        <x:f>IF(B856="","",IF(OR(M856="Tahsil Edildi",M856="İptal",J856="Riskli"),"Hayır","Evet"))</x:f>
      </x:c>
    </x:row>
    <x:row r="857">
      <x:c r="B857" s="46"/>
      <x:c r="C857" s="46"/>
      <x:c r="D857" s="112"/>
      <x:c r="E857" s="112"/>
      <x:c r="F857" s="92"/>
      <x:c r="G857" s="92"/>
      <x:c r="H857" s="92"/>
      <x:c r="I857" s="93" t="str">
        <x:f>IF(B857="","",MAX(0,F857-H857))</x:f>
      </x:c>
      <x:c r="J857" s="46"/>
      <x:c r="K857" s="100" t="str">
        <x:f>IF(B857="","",IF(G857="TL",1,IF(G857="USD",KURLAR!$C$9,IF(G857="EUR",KURLAR!$C$10,0))))</x:f>
      </x:c>
      <x:c r="L857" s="68" t="str">
        <x:f>IF(B857="","",I857*K857)</x:f>
      </x:c>
      <x:c r="M857" s="46"/>
      <x:c r="N857" s="52" t="str">
        <x:f>IF(B857="","",IF(OR(M857="Tahsil Edildi",M857="İptal",J857="Riskli"),"Hayır","Evet"))</x:f>
      </x:c>
    </x:row>
    <x:row r="858">
      <x:c r="B858" s="46"/>
      <x:c r="C858" s="46"/>
      <x:c r="D858" s="112"/>
      <x:c r="E858" s="112"/>
      <x:c r="F858" s="92"/>
      <x:c r="G858" s="92"/>
      <x:c r="H858" s="92"/>
      <x:c r="I858" s="93" t="str">
        <x:f>IF(B858="","",MAX(0,F858-H858))</x:f>
      </x:c>
      <x:c r="J858" s="46"/>
      <x:c r="K858" s="100" t="str">
        <x:f>IF(B858="","",IF(G858="TL",1,IF(G858="USD",KURLAR!$C$9,IF(G858="EUR",KURLAR!$C$10,0))))</x:f>
      </x:c>
      <x:c r="L858" s="68" t="str">
        <x:f>IF(B858="","",I858*K858)</x:f>
      </x:c>
      <x:c r="M858" s="46"/>
      <x:c r="N858" s="52" t="str">
        <x:f>IF(B858="","",IF(OR(M858="Tahsil Edildi",M858="İptal",J858="Riskli"),"Hayır","Evet"))</x:f>
      </x:c>
    </x:row>
    <x:row r="859">
      <x:c r="B859" s="46"/>
      <x:c r="C859" s="46"/>
      <x:c r="D859" s="112"/>
      <x:c r="E859" s="112"/>
      <x:c r="F859" s="92"/>
      <x:c r="G859" s="92"/>
      <x:c r="H859" s="92"/>
      <x:c r="I859" s="93" t="str">
        <x:f>IF(B859="","",MAX(0,F859-H859))</x:f>
      </x:c>
      <x:c r="J859" s="46"/>
      <x:c r="K859" s="100" t="str">
        <x:f>IF(B859="","",IF(G859="TL",1,IF(G859="USD",KURLAR!$C$9,IF(G859="EUR",KURLAR!$C$10,0))))</x:f>
      </x:c>
      <x:c r="L859" s="68" t="str">
        <x:f>IF(B859="","",I859*K859)</x:f>
      </x:c>
      <x:c r="M859" s="46"/>
      <x:c r="N859" s="52" t="str">
        <x:f>IF(B859="","",IF(OR(M859="Tahsil Edildi",M859="İptal",J859="Riskli"),"Hayır","Evet"))</x:f>
      </x:c>
    </x:row>
    <x:row r="860">
      <x:c r="B860" s="46"/>
      <x:c r="C860" s="46"/>
      <x:c r="D860" s="112"/>
      <x:c r="E860" s="112"/>
      <x:c r="F860" s="92"/>
      <x:c r="G860" s="92"/>
      <x:c r="H860" s="92"/>
      <x:c r="I860" s="93" t="str">
        <x:f>IF(B860="","",MAX(0,F860-H860))</x:f>
      </x:c>
      <x:c r="J860" s="46"/>
      <x:c r="K860" s="100" t="str">
        <x:f>IF(B860="","",IF(G860="TL",1,IF(G860="USD",KURLAR!$C$9,IF(G860="EUR",KURLAR!$C$10,0))))</x:f>
      </x:c>
      <x:c r="L860" s="68" t="str">
        <x:f>IF(B860="","",I860*K860)</x:f>
      </x:c>
      <x:c r="M860" s="46"/>
      <x:c r="N860" s="52" t="str">
        <x:f>IF(B860="","",IF(OR(M860="Tahsil Edildi",M860="İptal",J860="Riskli"),"Hayır","Evet"))</x:f>
      </x:c>
    </x:row>
    <x:row r="861">
      <x:c r="B861" s="46"/>
      <x:c r="C861" s="46"/>
      <x:c r="D861" s="112"/>
      <x:c r="E861" s="112"/>
      <x:c r="F861" s="92"/>
      <x:c r="G861" s="92"/>
      <x:c r="H861" s="92"/>
      <x:c r="I861" s="93" t="str">
        <x:f>IF(B861="","",MAX(0,F861-H861))</x:f>
      </x:c>
      <x:c r="J861" s="46"/>
      <x:c r="K861" s="100" t="str">
        <x:f>IF(B861="","",IF(G861="TL",1,IF(G861="USD",KURLAR!$C$9,IF(G861="EUR",KURLAR!$C$10,0))))</x:f>
      </x:c>
      <x:c r="L861" s="68" t="str">
        <x:f>IF(B861="","",I861*K861)</x:f>
      </x:c>
      <x:c r="M861" s="46"/>
      <x:c r="N861" s="52" t="str">
        <x:f>IF(B861="","",IF(OR(M861="Tahsil Edildi",M861="İptal",J861="Riskli"),"Hayır","Evet"))</x:f>
      </x:c>
    </x:row>
    <x:row r="862">
      <x:c r="B862" s="46"/>
      <x:c r="C862" s="46"/>
      <x:c r="D862" s="112"/>
      <x:c r="E862" s="112"/>
      <x:c r="F862" s="92"/>
      <x:c r="G862" s="92"/>
      <x:c r="H862" s="92"/>
      <x:c r="I862" s="93" t="str">
        <x:f>IF(B862="","",MAX(0,F862-H862))</x:f>
      </x:c>
      <x:c r="J862" s="46"/>
      <x:c r="K862" s="100" t="str">
        <x:f>IF(B862="","",IF(G862="TL",1,IF(G862="USD",KURLAR!$C$9,IF(G862="EUR",KURLAR!$C$10,0))))</x:f>
      </x:c>
      <x:c r="L862" s="68" t="str">
        <x:f>IF(B862="","",I862*K862)</x:f>
      </x:c>
      <x:c r="M862" s="46"/>
      <x:c r="N862" s="52" t="str">
        <x:f>IF(B862="","",IF(OR(M862="Tahsil Edildi",M862="İptal",J862="Riskli"),"Hayır","Evet"))</x:f>
      </x:c>
    </x:row>
    <x:row r="863">
      <x:c r="B863" s="46"/>
      <x:c r="C863" s="46"/>
      <x:c r="D863" s="112"/>
      <x:c r="E863" s="112"/>
      <x:c r="F863" s="92"/>
      <x:c r="G863" s="92"/>
      <x:c r="H863" s="92"/>
      <x:c r="I863" s="93" t="str">
        <x:f>IF(B863="","",MAX(0,F863-H863))</x:f>
      </x:c>
      <x:c r="J863" s="46"/>
      <x:c r="K863" s="100" t="str">
        <x:f>IF(B863="","",IF(G863="TL",1,IF(G863="USD",KURLAR!$C$9,IF(G863="EUR",KURLAR!$C$10,0))))</x:f>
      </x:c>
      <x:c r="L863" s="68" t="str">
        <x:f>IF(B863="","",I863*K863)</x:f>
      </x:c>
      <x:c r="M863" s="46"/>
      <x:c r="N863" s="52" t="str">
        <x:f>IF(B863="","",IF(OR(M863="Tahsil Edildi",M863="İptal",J863="Riskli"),"Hayır","Evet"))</x:f>
      </x:c>
    </x:row>
    <x:row r="864">
      <x:c r="B864" s="46"/>
      <x:c r="C864" s="46"/>
      <x:c r="D864" s="112"/>
      <x:c r="E864" s="112"/>
      <x:c r="F864" s="92"/>
      <x:c r="G864" s="92"/>
      <x:c r="H864" s="92"/>
      <x:c r="I864" s="93" t="str">
        <x:f>IF(B864="","",MAX(0,F864-H864))</x:f>
      </x:c>
      <x:c r="J864" s="46"/>
      <x:c r="K864" s="100" t="str">
        <x:f>IF(B864="","",IF(G864="TL",1,IF(G864="USD",KURLAR!$C$9,IF(G864="EUR",KURLAR!$C$10,0))))</x:f>
      </x:c>
      <x:c r="L864" s="68" t="str">
        <x:f>IF(B864="","",I864*K864)</x:f>
      </x:c>
      <x:c r="M864" s="46"/>
      <x:c r="N864" s="52" t="str">
        <x:f>IF(B864="","",IF(OR(M864="Tahsil Edildi",M864="İptal",J864="Riskli"),"Hayır","Evet"))</x:f>
      </x:c>
    </x:row>
    <x:row r="865">
      <x:c r="B865" s="46"/>
      <x:c r="C865" s="46"/>
      <x:c r="D865" s="112"/>
      <x:c r="E865" s="112"/>
      <x:c r="F865" s="92"/>
      <x:c r="G865" s="92"/>
      <x:c r="H865" s="92"/>
      <x:c r="I865" s="93" t="str">
        <x:f>IF(B865="","",MAX(0,F865-H865))</x:f>
      </x:c>
      <x:c r="J865" s="46"/>
      <x:c r="K865" s="100" t="str">
        <x:f>IF(B865="","",IF(G865="TL",1,IF(G865="USD",KURLAR!$C$9,IF(G865="EUR",KURLAR!$C$10,0))))</x:f>
      </x:c>
      <x:c r="L865" s="68" t="str">
        <x:f>IF(B865="","",I865*K865)</x:f>
      </x:c>
      <x:c r="M865" s="46"/>
      <x:c r="N865" s="52" t="str">
        <x:f>IF(B865="","",IF(OR(M865="Tahsil Edildi",M865="İptal",J865="Riskli"),"Hayır","Evet"))</x:f>
      </x:c>
    </x:row>
    <x:row r="866">
      <x:c r="B866" s="46"/>
      <x:c r="C866" s="46"/>
      <x:c r="D866" s="112"/>
      <x:c r="E866" s="112"/>
      <x:c r="F866" s="92"/>
      <x:c r="G866" s="92"/>
      <x:c r="H866" s="92"/>
      <x:c r="I866" s="93" t="str">
        <x:f>IF(B866="","",MAX(0,F866-H866))</x:f>
      </x:c>
      <x:c r="J866" s="46"/>
      <x:c r="K866" s="100" t="str">
        <x:f>IF(B866="","",IF(G866="TL",1,IF(G866="USD",KURLAR!$C$9,IF(G866="EUR",KURLAR!$C$10,0))))</x:f>
      </x:c>
      <x:c r="L866" s="68" t="str">
        <x:f>IF(B866="","",I866*K866)</x:f>
      </x:c>
      <x:c r="M866" s="46"/>
      <x:c r="N866" s="52" t="str">
        <x:f>IF(B866="","",IF(OR(M866="Tahsil Edildi",M866="İptal",J866="Riskli"),"Hayır","Evet"))</x:f>
      </x:c>
    </x:row>
    <x:row r="867">
      <x:c r="B867" s="46"/>
      <x:c r="C867" s="46"/>
      <x:c r="D867" s="112"/>
      <x:c r="E867" s="112"/>
      <x:c r="F867" s="92"/>
      <x:c r="G867" s="92"/>
      <x:c r="H867" s="92"/>
      <x:c r="I867" s="93" t="str">
        <x:f>IF(B867="","",MAX(0,F867-H867))</x:f>
      </x:c>
      <x:c r="J867" s="46"/>
      <x:c r="K867" s="100" t="str">
        <x:f>IF(B867="","",IF(G867="TL",1,IF(G867="USD",KURLAR!$C$9,IF(G867="EUR",KURLAR!$C$10,0))))</x:f>
      </x:c>
      <x:c r="L867" s="68" t="str">
        <x:f>IF(B867="","",I867*K867)</x:f>
      </x:c>
      <x:c r="M867" s="46"/>
      <x:c r="N867" s="52" t="str">
        <x:f>IF(B867="","",IF(OR(M867="Tahsil Edildi",M867="İptal",J867="Riskli"),"Hayır","Evet"))</x:f>
      </x:c>
    </x:row>
    <x:row r="868">
      <x:c r="B868" s="46"/>
      <x:c r="C868" s="46"/>
      <x:c r="D868" s="112"/>
      <x:c r="E868" s="112"/>
      <x:c r="F868" s="92"/>
      <x:c r="G868" s="92"/>
      <x:c r="H868" s="92"/>
      <x:c r="I868" s="93" t="str">
        <x:f>IF(B868="","",MAX(0,F868-H868))</x:f>
      </x:c>
      <x:c r="J868" s="46"/>
      <x:c r="K868" s="100" t="str">
        <x:f>IF(B868="","",IF(G868="TL",1,IF(G868="USD",KURLAR!$C$9,IF(G868="EUR",KURLAR!$C$10,0))))</x:f>
      </x:c>
      <x:c r="L868" s="68" t="str">
        <x:f>IF(B868="","",I868*K868)</x:f>
      </x:c>
      <x:c r="M868" s="46"/>
      <x:c r="N868" s="52" t="str">
        <x:f>IF(B868="","",IF(OR(M868="Tahsil Edildi",M868="İptal",J868="Riskli"),"Hayır","Evet"))</x:f>
      </x:c>
    </x:row>
    <x:row r="869">
      <x:c r="B869" s="46"/>
      <x:c r="C869" s="46"/>
      <x:c r="D869" s="112"/>
      <x:c r="E869" s="112"/>
      <x:c r="F869" s="92"/>
      <x:c r="G869" s="92"/>
      <x:c r="H869" s="92"/>
      <x:c r="I869" s="93" t="str">
        <x:f>IF(B869="","",MAX(0,F869-H869))</x:f>
      </x:c>
      <x:c r="J869" s="46"/>
      <x:c r="K869" s="100" t="str">
        <x:f>IF(B869="","",IF(G869="TL",1,IF(G869="USD",KURLAR!$C$9,IF(G869="EUR",KURLAR!$C$10,0))))</x:f>
      </x:c>
      <x:c r="L869" s="68" t="str">
        <x:f>IF(B869="","",I869*K869)</x:f>
      </x:c>
      <x:c r="M869" s="46"/>
      <x:c r="N869" s="52" t="str">
        <x:f>IF(B869="","",IF(OR(M869="Tahsil Edildi",M869="İptal",J869="Riskli"),"Hayır","Evet"))</x:f>
      </x:c>
    </x:row>
    <x:row r="870">
      <x:c r="B870" s="46"/>
      <x:c r="C870" s="46"/>
      <x:c r="D870" s="112"/>
      <x:c r="E870" s="112"/>
      <x:c r="F870" s="92"/>
      <x:c r="G870" s="92"/>
      <x:c r="H870" s="92"/>
      <x:c r="I870" s="93" t="str">
        <x:f>IF(B870="","",MAX(0,F870-H870))</x:f>
      </x:c>
      <x:c r="J870" s="46"/>
      <x:c r="K870" s="100" t="str">
        <x:f>IF(B870="","",IF(G870="TL",1,IF(G870="USD",KURLAR!$C$9,IF(G870="EUR",KURLAR!$C$10,0))))</x:f>
      </x:c>
      <x:c r="L870" s="68" t="str">
        <x:f>IF(B870="","",I870*K870)</x:f>
      </x:c>
      <x:c r="M870" s="46"/>
      <x:c r="N870" s="52" t="str">
        <x:f>IF(B870="","",IF(OR(M870="Tahsil Edildi",M870="İptal",J870="Riskli"),"Hayır","Evet"))</x:f>
      </x:c>
    </x:row>
    <x:row r="871">
      <x:c r="B871" s="46"/>
      <x:c r="C871" s="46"/>
      <x:c r="D871" s="112"/>
      <x:c r="E871" s="112"/>
      <x:c r="F871" s="92"/>
      <x:c r="G871" s="92"/>
      <x:c r="H871" s="92"/>
      <x:c r="I871" s="93" t="str">
        <x:f>IF(B871="","",MAX(0,F871-H871))</x:f>
      </x:c>
      <x:c r="J871" s="46"/>
      <x:c r="K871" s="100" t="str">
        <x:f>IF(B871="","",IF(G871="TL",1,IF(G871="USD",KURLAR!$C$9,IF(G871="EUR",KURLAR!$C$10,0))))</x:f>
      </x:c>
      <x:c r="L871" s="68" t="str">
        <x:f>IF(B871="","",I871*K871)</x:f>
      </x:c>
      <x:c r="M871" s="46"/>
      <x:c r="N871" s="52" t="str">
        <x:f>IF(B871="","",IF(OR(M871="Tahsil Edildi",M871="İptal",J871="Riskli"),"Hayır","Evet"))</x:f>
      </x:c>
    </x:row>
    <x:row r="872">
      <x:c r="B872" s="46"/>
      <x:c r="C872" s="46"/>
      <x:c r="D872" s="112"/>
      <x:c r="E872" s="112"/>
      <x:c r="F872" s="92"/>
      <x:c r="G872" s="92"/>
      <x:c r="H872" s="92"/>
      <x:c r="I872" s="93" t="str">
        <x:f>IF(B872="","",MAX(0,F872-H872))</x:f>
      </x:c>
      <x:c r="J872" s="46"/>
      <x:c r="K872" s="100" t="str">
        <x:f>IF(B872="","",IF(G872="TL",1,IF(G872="USD",KURLAR!$C$9,IF(G872="EUR",KURLAR!$C$10,0))))</x:f>
      </x:c>
      <x:c r="L872" s="68" t="str">
        <x:f>IF(B872="","",I872*K872)</x:f>
      </x:c>
      <x:c r="M872" s="46"/>
      <x:c r="N872" s="52" t="str">
        <x:f>IF(B872="","",IF(OR(M872="Tahsil Edildi",M872="İptal",J872="Riskli"),"Hayır","Evet"))</x:f>
      </x:c>
    </x:row>
    <x:row r="873">
      <x:c r="B873" s="46"/>
      <x:c r="C873" s="46"/>
      <x:c r="D873" s="112"/>
      <x:c r="E873" s="112"/>
      <x:c r="F873" s="92"/>
      <x:c r="G873" s="92"/>
      <x:c r="H873" s="92"/>
      <x:c r="I873" s="93" t="str">
        <x:f>IF(B873="","",MAX(0,F873-H873))</x:f>
      </x:c>
      <x:c r="J873" s="46"/>
      <x:c r="K873" s="100" t="str">
        <x:f>IF(B873="","",IF(G873="TL",1,IF(G873="USD",KURLAR!$C$9,IF(G873="EUR",KURLAR!$C$10,0))))</x:f>
      </x:c>
      <x:c r="L873" s="68" t="str">
        <x:f>IF(B873="","",I873*K873)</x:f>
      </x:c>
      <x:c r="M873" s="46"/>
      <x:c r="N873" s="52" t="str">
        <x:f>IF(B873="","",IF(OR(M873="Tahsil Edildi",M873="İptal",J873="Riskli"),"Hayır","Evet"))</x:f>
      </x:c>
    </x:row>
    <x:row r="874">
      <x:c r="B874" s="46"/>
      <x:c r="C874" s="46"/>
      <x:c r="D874" s="112"/>
      <x:c r="E874" s="112"/>
      <x:c r="F874" s="92"/>
      <x:c r="G874" s="92"/>
      <x:c r="H874" s="92"/>
      <x:c r="I874" s="93" t="str">
        <x:f>IF(B874="","",MAX(0,F874-H874))</x:f>
      </x:c>
      <x:c r="J874" s="46"/>
      <x:c r="K874" s="100" t="str">
        <x:f>IF(B874="","",IF(G874="TL",1,IF(G874="USD",KURLAR!$C$9,IF(G874="EUR",KURLAR!$C$10,0))))</x:f>
      </x:c>
      <x:c r="L874" s="68" t="str">
        <x:f>IF(B874="","",I874*K874)</x:f>
      </x:c>
      <x:c r="M874" s="46"/>
      <x:c r="N874" s="52" t="str">
        <x:f>IF(B874="","",IF(OR(M874="Tahsil Edildi",M874="İptal",J874="Riskli"),"Hayır","Evet"))</x:f>
      </x:c>
    </x:row>
    <x:row r="875">
      <x:c r="B875" s="46"/>
      <x:c r="C875" s="46"/>
      <x:c r="D875" s="112"/>
      <x:c r="E875" s="112"/>
      <x:c r="F875" s="92"/>
      <x:c r="G875" s="92"/>
      <x:c r="H875" s="92"/>
      <x:c r="I875" s="93" t="str">
        <x:f>IF(B875="","",MAX(0,F875-H875))</x:f>
      </x:c>
      <x:c r="J875" s="46"/>
      <x:c r="K875" s="100" t="str">
        <x:f>IF(B875="","",IF(G875="TL",1,IF(G875="USD",KURLAR!$C$9,IF(G875="EUR",KURLAR!$C$10,0))))</x:f>
      </x:c>
      <x:c r="L875" s="68" t="str">
        <x:f>IF(B875="","",I875*K875)</x:f>
      </x:c>
      <x:c r="M875" s="46"/>
      <x:c r="N875" s="52" t="str">
        <x:f>IF(B875="","",IF(OR(M875="Tahsil Edildi",M875="İptal",J875="Riskli"),"Hayır","Evet"))</x:f>
      </x:c>
    </x:row>
    <x:row r="876">
      <x:c r="B876" s="46"/>
      <x:c r="C876" s="46"/>
      <x:c r="D876" s="112"/>
      <x:c r="E876" s="112"/>
      <x:c r="F876" s="92"/>
      <x:c r="G876" s="92"/>
      <x:c r="H876" s="92"/>
      <x:c r="I876" s="93" t="str">
        <x:f>IF(B876="","",MAX(0,F876-H876))</x:f>
      </x:c>
      <x:c r="J876" s="46"/>
      <x:c r="K876" s="100" t="str">
        <x:f>IF(B876="","",IF(G876="TL",1,IF(G876="USD",KURLAR!$C$9,IF(G876="EUR",KURLAR!$C$10,0))))</x:f>
      </x:c>
      <x:c r="L876" s="68" t="str">
        <x:f>IF(B876="","",I876*K876)</x:f>
      </x:c>
      <x:c r="M876" s="46"/>
      <x:c r="N876" s="52" t="str">
        <x:f>IF(B876="","",IF(OR(M876="Tahsil Edildi",M876="İptal",J876="Riskli"),"Hayır","Evet"))</x:f>
      </x:c>
    </x:row>
    <x:row r="877">
      <x:c r="B877" s="46"/>
      <x:c r="C877" s="46"/>
      <x:c r="D877" s="112"/>
      <x:c r="E877" s="112"/>
      <x:c r="F877" s="92"/>
      <x:c r="G877" s="92"/>
      <x:c r="H877" s="92"/>
      <x:c r="I877" s="93" t="str">
        <x:f>IF(B877="","",MAX(0,F877-H877))</x:f>
      </x:c>
      <x:c r="J877" s="46"/>
      <x:c r="K877" s="100" t="str">
        <x:f>IF(B877="","",IF(G877="TL",1,IF(G877="USD",KURLAR!$C$9,IF(G877="EUR",KURLAR!$C$10,0))))</x:f>
      </x:c>
      <x:c r="L877" s="68" t="str">
        <x:f>IF(B877="","",I877*K877)</x:f>
      </x:c>
      <x:c r="M877" s="46"/>
      <x:c r="N877" s="52" t="str">
        <x:f>IF(B877="","",IF(OR(M877="Tahsil Edildi",M877="İptal",J877="Riskli"),"Hayır","Evet"))</x:f>
      </x:c>
    </x:row>
    <x:row r="878">
      <x:c r="B878" s="46"/>
      <x:c r="C878" s="46"/>
      <x:c r="D878" s="112"/>
      <x:c r="E878" s="112"/>
      <x:c r="F878" s="92"/>
      <x:c r="G878" s="92"/>
      <x:c r="H878" s="92"/>
      <x:c r="I878" s="93" t="str">
        <x:f>IF(B878="","",MAX(0,F878-H878))</x:f>
      </x:c>
      <x:c r="J878" s="46"/>
      <x:c r="K878" s="100" t="str">
        <x:f>IF(B878="","",IF(G878="TL",1,IF(G878="USD",KURLAR!$C$9,IF(G878="EUR",KURLAR!$C$10,0))))</x:f>
      </x:c>
      <x:c r="L878" s="68" t="str">
        <x:f>IF(B878="","",I878*K878)</x:f>
      </x:c>
      <x:c r="M878" s="46"/>
      <x:c r="N878" s="52" t="str">
        <x:f>IF(B878="","",IF(OR(M878="Tahsil Edildi",M878="İptal",J878="Riskli"),"Hayır","Evet"))</x:f>
      </x:c>
    </x:row>
    <x:row r="879">
      <x:c r="B879" s="46"/>
      <x:c r="C879" s="46"/>
      <x:c r="D879" s="112"/>
      <x:c r="E879" s="112"/>
      <x:c r="F879" s="92"/>
      <x:c r="G879" s="92"/>
      <x:c r="H879" s="92"/>
      <x:c r="I879" s="93" t="str">
        <x:f>IF(B879="","",MAX(0,F879-H879))</x:f>
      </x:c>
      <x:c r="J879" s="46"/>
      <x:c r="K879" s="100" t="str">
        <x:f>IF(B879="","",IF(G879="TL",1,IF(G879="USD",KURLAR!$C$9,IF(G879="EUR",KURLAR!$C$10,0))))</x:f>
      </x:c>
      <x:c r="L879" s="68" t="str">
        <x:f>IF(B879="","",I879*K879)</x:f>
      </x:c>
      <x:c r="M879" s="46"/>
      <x:c r="N879" s="52" t="str">
        <x:f>IF(B879="","",IF(OR(M879="Tahsil Edildi",M879="İptal",J879="Riskli"),"Hayır","Evet"))</x:f>
      </x:c>
    </x:row>
    <x:row r="880">
      <x:c r="B880" s="46"/>
      <x:c r="C880" s="46"/>
      <x:c r="D880" s="112"/>
      <x:c r="E880" s="112"/>
      <x:c r="F880" s="92"/>
      <x:c r="G880" s="92"/>
      <x:c r="H880" s="92"/>
      <x:c r="I880" s="93" t="str">
        <x:f>IF(B880="","",MAX(0,F880-H880))</x:f>
      </x:c>
      <x:c r="J880" s="46"/>
      <x:c r="K880" s="100" t="str">
        <x:f>IF(B880="","",IF(G880="TL",1,IF(G880="USD",KURLAR!$C$9,IF(G880="EUR",KURLAR!$C$10,0))))</x:f>
      </x:c>
      <x:c r="L880" s="68" t="str">
        <x:f>IF(B880="","",I880*K880)</x:f>
      </x:c>
      <x:c r="M880" s="46"/>
      <x:c r="N880" s="52" t="str">
        <x:f>IF(B880="","",IF(OR(M880="Tahsil Edildi",M880="İptal",J880="Riskli"),"Hayır","Evet"))</x:f>
      </x:c>
    </x:row>
    <x:row r="881">
      <x:c r="B881" s="46"/>
      <x:c r="C881" s="46"/>
      <x:c r="D881" s="112"/>
      <x:c r="E881" s="112"/>
      <x:c r="F881" s="92"/>
      <x:c r="G881" s="92"/>
      <x:c r="H881" s="92"/>
      <x:c r="I881" s="93" t="str">
        <x:f>IF(B881="","",MAX(0,F881-H881))</x:f>
      </x:c>
      <x:c r="J881" s="46"/>
      <x:c r="K881" s="100" t="str">
        <x:f>IF(B881="","",IF(G881="TL",1,IF(G881="USD",KURLAR!$C$9,IF(G881="EUR",KURLAR!$C$10,0))))</x:f>
      </x:c>
      <x:c r="L881" s="68" t="str">
        <x:f>IF(B881="","",I881*K881)</x:f>
      </x:c>
      <x:c r="M881" s="46"/>
      <x:c r="N881" s="52" t="str">
        <x:f>IF(B881="","",IF(OR(M881="Tahsil Edildi",M881="İptal",J881="Riskli"),"Hayır","Evet"))</x:f>
      </x:c>
    </x:row>
    <x:row r="882">
      <x:c r="B882" s="46"/>
      <x:c r="C882" s="46"/>
      <x:c r="D882" s="112"/>
      <x:c r="E882" s="112"/>
      <x:c r="F882" s="92"/>
      <x:c r="G882" s="92"/>
      <x:c r="H882" s="92"/>
      <x:c r="I882" s="93" t="str">
        <x:f>IF(B882="","",MAX(0,F882-H882))</x:f>
      </x:c>
      <x:c r="J882" s="46"/>
      <x:c r="K882" s="100" t="str">
        <x:f>IF(B882="","",IF(G882="TL",1,IF(G882="USD",KURLAR!$C$9,IF(G882="EUR",KURLAR!$C$10,0))))</x:f>
      </x:c>
      <x:c r="L882" s="68" t="str">
        <x:f>IF(B882="","",I882*K882)</x:f>
      </x:c>
      <x:c r="M882" s="46"/>
      <x:c r="N882" s="52" t="str">
        <x:f>IF(B882="","",IF(OR(M882="Tahsil Edildi",M882="İptal",J882="Riskli"),"Hayır","Evet"))</x:f>
      </x:c>
    </x:row>
    <x:row r="883">
      <x:c r="B883" s="46"/>
      <x:c r="C883" s="46"/>
      <x:c r="D883" s="112"/>
      <x:c r="E883" s="112"/>
      <x:c r="F883" s="92"/>
      <x:c r="G883" s="92"/>
      <x:c r="H883" s="92"/>
      <x:c r="I883" s="93" t="str">
        <x:f>IF(B883="","",MAX(0,F883-H883))</x:f>
      </x:c>
      <x:c r="J883" s="46"/>
      <x:c r="K883" s="100" t="str">
        <x:f>IF(B883="","",IF(G883="TL",1,IF(G883="USD",KURLAR!$C$9,IF(G883="EUR",KURLAR!$C$10,0))))</x:f>
      </x:c>
      <x:c r="L883" s="68" t="str">
        <x:f>IF(B883="","",I883*K883)</x:f>
      </x:c>
      <x:c r="M883" s="46"/>
      <x:c r="N883" s="52" t="str">
        <x:f>IF(B883="","",IF(OR(M883="Tahsil Edildi",M883="İptal",J883="Riskli"),"Hayır","Evet"))</x:f>
      </x:c>
    </x:row>
    <x:row r="884">
      <x:c r="B884" s="46"/>
      <x:c r="C884" s="46"/>
      <x:c r="D884" s="112"/>
      <x:c r="E884" s="112"/>
      <x:c r="F884" s="92"/>
      <x:c r="G884" s="92"/>
      <x:c r="H884" s="92"/>
      <x:c r="I884" s="93" t="str">
        <x:f>IF(B884="","",MAX(0,F884-H884))</x:f>
      </x:c>
      <x:c r="J884" s="46"/>
      <x:c r="K884" s="100" t="str">
        <x:f>IF(B884="","",IF(G884="TL",1,IF(G884="USD",KURLAR!$C$9,IF(G884="EUR",KURLAR!$C$10,0))))</x:f>
      </x:c>
      <x:c r="L884" s="68" t="str">
        <x:f>IF(B884="","",I884*K884)</x:f>
      </x:c>
      <x:c r="M884" s="46"/>
      <x:c r="N884" s="52" t="str">
        <x:f>IF(B884="","",IF(OR(M884="Tahsil Edildi",M884="İptal",J884="Riskli"),"Hayır","Evet"))</x:f>
      </x:c>
    </x:row>
    <x:row r="885">
      <x:c r="B885" s="46"/>
      <x:c r="C885" s="46"/>
      <x:c r="D885" s="112"/>
      <x:c r="E885" s="112"/>
      <x:c r="F885" s="92"/>
      <x:c r="G885" s="92"/>
      <x:c r="H885" s="92"/>
      <x:c r="I885" s="93" t="str">
        <x:f>IF(B885="","",MAX(0,F885-H885))</x:f>
      </x:c>
      <x:c r="J885" s="46"/>
      <x:c r="K885" s="100" t="str">
        <x:f>IF(B885="","",IF(G885="TL",1,IF(G885="USD",KURLAR!$C$9,IF(G885="EUR",KURLAR!$C$10,0))))</x:f>
      </x:c>
      <x:c r="L885" s="68" t="str">
        <x:f>IF(B885="","",I885*K885)</x:f>
      </x:c>
      <x:c r="M885" s="46"/>
      <x:c r="N885" s="52" t="str">
        <x:f>IF(B885="","",IF(OR(M885="Tahsil Edildi",M885="İptal",J885="Riskli"),"Hayır","Evet"))</x:f>
      </x:c>
    </x:row>
    <x:row r="886">
      <x:c r="B886" s="46"/>
      <x:c r="C886" s="46"/>
      <x:c r="D886" s="112"/>
      <x:c r="E886" s="112"/>
      <x:c r="F886" s="92"/>
      <x:c r="G886" s="92"/>
      <x:c r="H886" s="92"/>
      <x:c r="I886" s="93" t="str">
        <x:f>IF(B886="","",MAX(0,F886-H886))</x:f>
      </x:c>
      <x:c r="J886" s="46"/>
      <x:c r="K886" s="100" t="str">
        <x:f>IF(B886="","",IF(G886="TL",1,IF(G886="USD",KURLAR!$C$9,IF(G886="EUR",KURLAR!$C$10,0))))</x:f>
      </x:c>
      <x:c r="L886" s="68" t="str">
        <x:f>IF(B886="","",I886*K886)</x:f>
      </x:c>
      <x:c r="M886" s="46"/>
      <x:c r="N886" s="52" t="str">
        <x:f>IF(B886="","",IF(OR(M886="Tahsil Edildi",M886="İptal",J886="Riskli"),"Hayır","Evet"))</x:f>
      </x:c>
    </x:row>
    <x:row r="887">
      <x:c r="B887" s="46"/>
      <x:c r="C887" s="46"/>
      <x:c r="D887" s="112"/>
      <x:c r="E887" s="112"/>
      <x:c r="F887" s="92"/>
      <x:c r="G887" s="92"/>
      <x:c r="H887" s="92"/>
      <x:c r="I887" s="93" t="str">
        <x:f>IF(B887="","",MAX(0,F887-H887))</x:f>
      </x:c>
      <x:c r="J887" s="46"/>
      <x:c r="K887" s="100" t="str">
        <x:f>IF(B887="","",IF(G887="TL",1,IF(G887="USD",KURLAR!$C$9,IF(G887="EUR",KURLAR!$C$10,0))))</x:f>
      </x:c>
      <x:c r="L887" s="68" t="str">
        <x:f>IF(B887="","",I887*K887)</x:f>
      </x:c>
      <x:c r="M887" s="46"/>
      <x:c r="N887" s="52" t="str">
        <x:f>IF(B887="","",IF(OR(M887="Tahsil Edildi",M887="İptal",J887="Riskli"),"Hayır","Evet"))</x:f>
      </x:c>
    </x:row>
    <x:row r="888">
      <x:c r="B888" s="46"/>
      <x:c r="C888" s="46"/>
      <x:c r="D888" s="112"/>
      <x:c r="E888" s="112"/>
      <x:c r="F888" s="92"/>
      <x:c r="G888" s="92"/>
      <x:c r="H888" s="92"/>
      <x:c r="I888" s="93" t="str">
        <x:f>IF(B888="","",MAX(0,F888-H888))</x:f>
      </x:c>
      <x:c r="J888" s="46"/>
      <x:c r="K888" s="100" t="str">
        <x:f>IF(B888="","",IF(G888="TL",1,IF(G888="USD",KURLAR!$C$9,IF(G888="EUR",KURLAR!$C$10,0))))</x:f>
      </x:c>
      <x:c r="L888" s="68" t="str">
        <x:f>IF(B888="","",I888*K888)</x:f>
      </x:c>
      <x:c r="M888" s="46"/>
      <x:c r="N888" s="52" t="str">
        <x:f>IF(B888="","",IF(OR(M888="Tahsil Edildi",M888="İptal",J888="Riskli"),"Hayır","Evet"))</x:f>
      </x:c>
    </x:row>
    <x:row r="889">
      <x:c r="B889" s="46"/>
      <x:c r="C889" s="46"/>
      <x:c r="D889" s="112"/>
      <x:c r="E889" s="112"/>
      <x:c r="F889" s="92"/>
      <x:c r="G889" s="92"/>
      <x:c r="H889" s="92"/>
      <x:c r="I889" s="93" t="str">
        <x:f>IF(B889="","",MAX(0,F889-H889))</x:f>
      </x:c>
      <x:c r="J889" s="46"/>
      <x:c r="K889" s="100" t="str">
        <x:f>IF(B889="","",IF(G889="TL",1,IF(G889="USD",KURLAR!$C$9,IF(G889="EUR",KURLAR!$C$10,0))))</x:f>
      </x:c>
      <x:c r="L889" s="68" t="str">
        <x:f>IF(B889="","",I889*K889)</x:f>
      </x:c>
      <x:c r="M889" s="46"/>
      <x:c r="N889" s="52" t="str">
        <x:f>IF(B889="","",IF(OR(M889="Tahsil Edildi",M889="İptal",J889="Riskli"),"Hayır","Evet"))</x:f>
      </x:c>
    </x:row>
    <x:row r="890">
      <x:c r="B890" s="46"/>
      <x:c r="C890" s="46"/>
      <x:c r="D890" s="112"/>
      <x:c r="E890" s="112"/>
      <x:c r="F890" s="92"/>
      <x:c r="G890" s="92"/>
      <x:c r="H890" s="92"/>
      <x:c r="I890" s="93" t="str">
        <x:f>IF(B890="","",MAX(0,F890-H890))</x:f>
      </x:c>
      <x:c r="J890" s="46"/>
      <x:c r="K890" s="100" t="str">
        <x:f>IF(B890="","",IF(G890="TL",1,IF(G890="USD",KURLAR!$C$9,IF(G890="EUR",KURLAR!$C$10,0))))</x:f>
      </x:c>
      <x:c r="L890" s="68" t="str">
        <x:f>IF(B890="","",I890*K890)</x:f>
      </x:c>
      <x:c r="M890" s="46"/>
      <x:c r="N890" s="52" t="str">
        <x:f>IF(B890="","",IF(OR(M890="Tahsil Edildi",M890="İptal",J890="Riskli"),"Hayır","Evet"))</x:f>
      </x:c>
    </x:row>
    <x:row r="891">
      <x:c r="B891" s="46"/>
      <x:c r="C891" s="46"/>
      <x:c r="D891" s="112"/>
      <x:c r="E891" s="112"/>
      <x:c r="F891" s="92"/>
      <x:c r="G891" s="92"/>
      <x:c r="H891" s="92"/>
      <x:c r="I891" s="93" t="str">
        <x:f>IF(B891="","",MAX(0,F891-H891))</x:f>
      </x:c>
      <x:c r="J891" s="46"/>
      <x:c r="K891" s="100" t="str">
        <x:f>IF(B891="","",IF(G891="TL",1,IF(G891="USD",KURLAR!$C$9,IF(G891="EUR",KURLAR!$C$10,0))))</x:f>
      </x:c>
      <x:c r="L891" s="68" t="str">
        <x:f>IF(B891="","",I891*K891)</x:f>
      </x:c>
      <x:c r="M891" s="46"/>
      <x:c r="N891" s="52" t="str">
        <x:f>IF(B891="","",IF(OR(M891="Tahsil Edildi",M891="İptal",J891="Riskli"),"Hayır","Evet"))</x:f>
      </x:c>
    </x:row>
    <x:row r="892">
      <x:c r="B892" s="46"/>
      <x:c r="C892" s="46"/>
      <x:c r="D892" s="112"/>
      <x:c r="E892" s="112"/>
      <x:c r="F892" s="92"/>
      <x:c r="G892" s="92"/>
      <x:c r="H892" s="92"/>
      <x:c r="I892" s="93" t="str">
        <x:f>IF(B892="","",MAX(0,F892-H892))</x:f>
      </x:c>
      <x:c r="J892" s="46"/>
      <x:c r="K892" s="100" t="str">
        <x:f>IF(B892="","",IF(G892="TL",1,IF(G892="USD",KURLAR!$C$9,IF(G892="EUR",KURLAR!$C$10,0))))</x:f>
      </x:c>
      <x:c r="L892" s="68" t="str">
        <x:f>IF(B892="","",I892*K892)</x:f>
      </x:c>
      <x:c r="M892" s="46"/>
      <x:c r="N892" s="52" t="str">
        <x:f>IF(B892="","",IF(OR(M892="Tahsil Edildi",M892="İptal",J892="Riskli"),"Hayır","Evet"))</x:f>
      </x:c>
    </x:row>
    <x:row r="893">
      <x:c r="B893" s="46"/>
      <x:c r="C893" s="46"/>
      <x:c r="D893" s="112"/>
      <x:c r="E893" s="112"/>
      <x:c r="F893" s="92"/>
      <x:c r="G893" s="92"/>
      <x:c r="H893" s="92"/>
      <x:c r="I893" s="93" t="str">
        <x:f>IF(B893="","",MAX(0,F893-H893))</x:f>
      </x:c>
      <x:c r="J893" s="46"/>
      <x:c r="K893" s="100" t="str">
        <x:f>IF(B893="","",IF(G893="TL",1,IF(G893="USD",KURLAR!$C$9,IF(G893="EUR",KURLAR!$C$10,0))))</x:f>
      </x:c>
      <x:c r="L893" s="68" t="str">
        <x:f>IF(B893="","",I893*K893)</x:f>
      </x:c>
      <x:c r="M893" s="46"/>
      <x:c r="N893" s="52" t="str">
        <x:f>IF(B893="","",IF(OR(M893="Tahsil Edildi",M893="İptal",J893="Riskli"),"Hayır","Evet"))</x:f>
      </x:c>
    </x:row>
    <x:row r="894">
      <x:c r="B894" s="46"/>
      <x:c r="C894" s="46"/>
      <x:c r="D894" s="112"/>
      <x:c r="E894" s="112"/>
      <x:c r="F894" s="92"/>
      <x:c r="G894" s="92"/>
      <x:c r="H894" s="92"/>
      <x:c r="I894" s="93" t="str">
        <x:f>IF(B894="","",MAX(0,F894-H894))</x:f>
      </x:c>
      <x:c r="J894" s="46"/>
      <x:c r="K894" s="100" t="str">
        <x:f>IF(B894="","",IF(G894="TL",1,IF(G894="USD",KURLAR!$C$9,IF(G894="EUR",KURLAR!$C$10,0))))</x:f>
      </x:c>
      <x:c r="L894" s="68" t="str">
        <x:f>IF(B894="","",I894*K894)</x:f>
      </x:c>
      <x:c r="M894" s="46"/>
      <x:c r="N894" s="52" t="str">
        <x:f>IF(B894="","",IF(OR(M894="Tahsil Edildi",M894="İptal",J894="Riskli"),"Hayır","Evet"))</x:f>
      </x:c>
    </x:row>
    <x:row r="895">
      <x:c r="B895" s="46"/>
      <x:c r="C895" s="46"/>
      <x:c r="D895" s="112"/>
      <x:c r="E895" s="112"/>
      <x:c r="F895" s="92"/>
      <x:c r="G895" s="92"/>
      <x:c r="H895" s="92"/>
      <x:c r="I895" s="93" t="str">
        <x:f>IF(B895="","",MAX(0,F895-H895))</x:f>
      </x:c>
      <x:c r="J895" s="46"/>
      <x:c r="K895" s="100" t="str">
        <x:f>IF(B895="","",IF(G895="TL",1,IF(G895="USD",KURLAR!$C$9,IF(G895="EUR",KURLAR!$C$10,0))))</x:f>
      </x:c>
      <x:c r="L895" s="68" t="str">
        <x:f>IF(B895="","",I895*K895)</x:f>
      </x:c>
      <x:c r="M895" s="46"/>
      <x:c r="N895" s="52" t="str">
        <x:f>IF(B895="","",IF(OR(M895="Tahsil Edildi",M895="İptal",J895="Riskli"),"Hayır","Evet"))</x:f>
      </x:c>
    </x:row>
    <x:row r="896">
      <x:c r="B896" s="46"/>
      <x:c r="C896" s="46"/>
      <x:c r="D896" s="112"/>
      <x:c r="E896" s="112"/>
      <x:c r="F896" s="92"/>
      <x:c r="G896" s="92"/>
      <x:c r="H896" s="92"/>
      <x:c r="I896" s="93" t="str">
        <x:f>IF(B896="","",MAX(0,F896-H896))</x:f>
      </x:c>
      <x:c r="J896" s="46"/>
      <x:c r="K896" s="100" t="str">
        <x:f>IF(B896="","",IF(G896="TL",1,IF(G896="USD",KURLAR!$C$9,IF(G896="EUR",KURLAR!$C$10,0))))</x:f>
      </x:c>
      <x:c r="L896" s="68" t="str">
        <x:f>IF(B896="","",I896*K896)</x:f>
      </x:c>
      <x:c r="M896" s="46"/>
      <x:c r="N896" s="52" t="str">
        <x:f>IF(B896="","",IF(OR(M896="Tahsil Edildi",M896="İptal",J896="Riskli"),"Hayır","Evet"))</x:f>
      </x:c>
    </x:row>
    <x:row r="897">
      <x:c r="B897" s="46"/>
      <x:c r="C897" s="46"/>
      <x:c r="D897" s="112"/>
      <x:c r="E897" s="112"/>
      <x:c r="F897" s="92"/>
      <x:c r="G897" s="92"/>
      <x:c r="H897" s="92"/>
      <x:c r="I897" s="93" t="str">
        <x:f>IF(B897="","",MAX(0,F897-H897))</x:f>
      </x:c>
      <x:c r="J897" s="46"/>
      <x:c r="K897" s="100" t="str">
        <x:f>IF(B897="","",IF(G897="TL",1,IF(G897="USD",KURLAR!$C$9,IF(G897="EUR",KURLAR!$C$10,0))))</x:f>
      </x:c>
      <x:c r="L897" s="68" t="str">
        <x:f>IF(B897="","",I897*K897)</x:f>
      </x:c>
      <x:c r="M897" s="46"/>
      <x:c r="N897" s="52" t="str">
        <x:f>IF(B897="","",IF(OR(M897="Tahsil Edildi",M897="İptal",J897="Riskli"),"Hayır","Evet"))</x:f>
      </x:c>
    </x:row>
    <x:row r="898">
      <x:c r="B898" s="46"/>
      <x:c r="C898" s="46"/>
      <x:c r="D898" s="112"/>
      <x:c r="E898" s="112"/>
      <x:c r="F898" s="92"/>
      <x:c r="G898" s="92"/>
      <x:c r="H898" s="92"/>
      <x:c r="I898" s="93" t="str">
        <x:f>IF(B898="","",MAX(0,F898-H898))</x:f>
      </x:c>
      <x:c r="J898" s="46"/>
      <x:c r="K898" s="100" t="str">
        <x:f>IF(B898="","",IF(G898="TL",1,IF(G898="USD",KURLAR!$C$9,IF(G898="EUR",KURLAR!$C$10,0))))</x:f>
      </x:c>
      <x:c r="L898" s="68" t="str">
        <x:f>IF(B898="","",I898*K898)</x:f>
      </x:c>
      <x:c r="M898" s="46"/>
      <x:c r="N898" s="52" t="str">
        <x:f>IF(B898="","",IF(OR(M898="Tahsil Edildi",M898="İptal",J898="Riskli"),"Hayır","Evet"))</x:f>
      </x:c>
    </x:row>
    <x:row r="899">
      <x:c r="B899" s="46"/>
      <x:c r="C899" s="46"/>
      <x:c r="D899" s="112"/>
      <x:c r="E899" s="112"/>
      <x:c r="F899" s="92"/>
      <x:c r="G899" s="92"/>
      <x:c r="H899" s="92"/>
      <x:c r="I899" s="93" t="str">
        <x:f>IF(B899="","",MAX(0,F899-H899))</x:f>
      </x:c>
      <x:c r="J899" s="46"/>
      <x:c r="K899" s="100" t="str">
        <x:f>IF(B899="","",IF(G899="TL",1,IF(G899="USD",KURLAR!$C$9,IF(G899="EUR",KURLAR!$C$10,0))))</x:f>
      </x:c>
      <x:c r="L899" s="68" t="str">
        <x:f>IF(B899="","",I899*K899)</x:f>
      </x:c>
      <x:c r="M899" s="46"/>
      <x:c r="N899" s="52" t="str">
        <x:f>IF(B899="","",IF(OR(M899="Tahsil Edildi",M899="İptal",J899="Riskli"),"Hayır","Evet"))</x:f>
      </x:c>
    </x:row>
    <x:row r="900">
      <x:c r="B900" s="46"/>
      <x:c r="C900" s="46"/>
      <x:c r="D900" s="112"/>
      <x:c r="E900" s="112"/>
      <x:c r="F900" s="92"/>
      <x:c r="G900" s="92"/>
      <x:c r="H900" s="92"/>
      <x:c r="I900" s="93" t="str">
        <x:f>IF(B900="","",MAX(0,F900-H900))</x:f>
      </x:c>
      <x:c r="J900" s="46"/>
      <x:c r="K900" s="100" t="str">
        <x:f>IF(B900="","",IF(G900="TL",1,IF(G900="USD",KURLAR!$C$9,IF(G900="EUR",KURLAR!$C$10,0))))</x:f>
      </x:c>
      <x:c r="L900" s="68" t="str">
        <x:f>IF(B900="","",I900*K900)</x:f>
      </x:c>
      <x:c r="M900" s="46"/>
      <x:c r="N900" s="52" t="str">
        <x:f>IF(B900="","",IF(OR(M900="Tahsil Edildi",M900="İptal",J900="Riskli"),"Hayır","Evet"))</x:f>
      </x:c>
    </x:row>
    <x:row r="901">
      <x:c r="B901" s="46"/>
      <x:c r="C901" s="46"/>
      <x:c r="D901" s="112"/>
      <x:c r="E901" s="112"/>
      <x:c r="F901" s="92"/>
      <x:c r="G901" s="92"/>
      <x:c r="H901" s="92"/>
      <x:c r="I901" s="93" t="str">
        <x:f>IF(B901="","",MAX(0,F901-H901))</x:f>
      </x:c>
      <x:c r="J901" s="46"/>
      <x:c r="K901" s="100" t="str">
        <x:f>IF(B901="","",IF(G901="TL",1,IF(G901="USD",KURLAR!$C$9,IF(G901="EUR",KURLAR!$C$10,0))))</x:f>
      </x:c>
      <x:c r="L901" s="68" t="str">
        <x:f>IF(B901="","",I901*K901)</x:f>
      </x:c>
      <x:c r="M901" s="46"/>
      <x:c r="N901" s="52" t="str">
        <x:f>IF(B901="","",IF(OR(M901="Tahsil Edildi",M901="İptal",J901="Riskli"),"Hayır","Evet"))</x:f>
      </x:c>
    </x:row>
    <x:row r="902">
      <x:c r="B902" s="46"/>
      <x:c r="C902" s="46"/>
      <x:c r="D902" s="112"/>
      <x:c r="E902" s="112"/>
      <x:c r="F902" s="92"/>
      <x:c r="G902" s="92"/>
      <x:c r="H902" s="92"/>
      <x:c r="I902" s="93" t="str">
        <x:f>IF(B902="","",MAX(0,F902-H902))</x:f>
      </x:c>
      <x:c r="J902" s="46"/>
      <x:c r="K902" s="100" t="str">
        <x:f>IF(B902="","",IF(G902="TL",1,IF(G902="USD",KURLAR!$C$9,IF(G902="EUR",KURLAR!$C$10,0))))</x:f>
      </x:c>
      <x:c r="L902" s="68" t="str">
        <x:f>IF(B902="","",I902*K902)</x:f>
      </x:c>
      <x:c r="M902" s="46"/>
      <x:c r="N902" s="52" t="str">
        <x:f>IF(B902="","",IF(OR(M902="Tahsil Edildi",M902="İptal",J902="Riskli"),"Hayır","Evet"))</x:f>
      </x:c>
    </x:row>
    <x:row r="903">
      <x:c r="B903" s="46"/>
      <x:c r="C903" s="46"/>
      <x:c r="D903" s="112"/>
      <x:c r="E903" s="112"/>
      <x:c r="F903" s="92"/>
      <x:c r="G903" s="92"/>
      <x:c r="H903" s="92"/>
      <x:c r="I903" s="93" t="str">
        <x:f>IF(B903="","",MAX(0,F903-H903))</x:f>
      </x:c>
      <x:c r="J903" s="46"/>
      <x:c r="K903" s="100" t="str">
        <x:f>IF(B903="","",IF(G903="TL",1,IF(G903="USD",KURLAR!$C$9,IF(G903="EUR",KURLAR!$C$10,0))))</x:f>
      </x:c>
      <x:c r="L903" s="68" t="str">
        <x:f>IF(B903="","",I903*K903)</x:f>
      </x:c>
      <x:c r="M903" s="46"/>
      <x:c r="N903" s="52" t="str">
        <x:f>IF(B903="","",IF(OR(M903="Tahsil Edildi",M903="İptal",J903="Riskli"),"Hayır","Evet"))</x:f>
      </x:c>
    </x:row>
    <x:row r="904">
      <x:c r="B904" s="46"/>
      <x:c r="C904" s="46"/>
      <x:c r="D904" s="112"/>
      <x:c r="E904" s="112"/>
      <x:c r="F904" s="92"/>
      <x:c r="G904" s="92"/>
      <x:c r="H904" s="92"/>
      <x:c r="I904" s="93" t="str">
        <x:f>IF(B904="","",MAX(0,F904-H904))</x:f>
      </x:c>
      <x:c r="J904" s="46"/>
      <x:c r="K904" s="100" t="str">
        <x:f>IF(B904="","",IF(G904="TL",1,IF(G904="USD",KURLAR!$C$9,IF(G904="EUR",KURLAR!$C$10,0))))</x:f>
      </x:c>
      <x:c r="L904" s="68" t="str">
        <x:f>IF(B904="","",I904*K904)</x:f>
      </x:c>
      <x:c r="M904" s="46"/>
      <x:c r="N904" s="52" t="str">
        <x:f>IF(B904="","",IF(OR(M904="Tahsil Edildi",M904="İptal",J904="Riskli"),"Hayır","Evet"))</x:f>
      </x:c>
    </x:row>
    <x:row r="905">
      <x:c r="B905" s="46"/>
      <x:c r="C905" s="46"/>
      <x:c r="D905" s="112"/>
      <x:c r="E905" s="112"/>
      <x:c r="F905" s="92"/>
      <x:c r="G905" s="92"/>
      <x:c r="H905" s="92"/>
      <x:c r="I905" s="93" t="str">
        <x:f>IF(B905="","",MAX(0,F905-H905))</x:f>
      </x:c>
      <x:c r="J905" s="46"/>
      <x:c r="K905" s="100" t="str">
        <x:f>IF(B905="","",IF(G905="TL",1,IF(G905="USD",KURLAR!$C$9,IF(G905="EUR",KURLAR!$C$10,0))))</x:f>
      </x:c>
      <x:c r="L905" s="68" t="str">
        <x:f>IF(B905="","",I905*K905)</x:f>
      </x:c>
      <x:c r="M905" s="46"/>
      <x:c r="N905" s="52" t="str">
        <x:f>IF(B905="","",IF(OR(M905="Tahsil Edildi",M905="İptal",J905="Riskli"),"Hayır","Evet"))</x:f>
      </x:c>
    </x:row>
    <x:row r="906">
      <x:c r="B906" s="46"/>
      <x:c r="C906" s="46"/>
      <x:c r="D906" s="112"/>
      <x:c r="E906" s="112"/>
      <x:c r="F906" s="92"/>
      <x:c r="G906" s="92"/>
      <x:c r="H906" s="92"/>
      <x:c r="I906" s="93" t="str">
        <x:f>IF(B906="","",MAX(0,F906-H906))</x:f>
      </x:c>
      <x:c r="J906" s="46"/>
      <x:c r="K906" s="100" t="str">
        <x:f>IF(B906="","",IF(G906="TL",1,IF(G906="USD",KURLAR!$C$9,IF(G906="EUR",KURLAR!$C$10,0))))</x:f>
      </x:c>
      <x:c r="L906" s="68" t="str">
        <x:f>IF(B906="","",I906*K906)</x:f>
      </x:c>
      <x:c r="M906" s="46"/>
      <x:c r="N906" s="52" t="str">
        <x:f>IF(B906="","",IF(OR(M906="Tahsil Edildi",M906="İptal",J906="Riskli"),"Hayır","Evet"))</x:f>
      </x:c>
    </x:row>
    <x:row r="907">
      <x:c r="B907" s="46"/>
      <x:c r="C907" s="46"/>
      <x:c r="D907" s="112"/>
      <x:c r="E907" s="112"/>
      <x:c r="F907" s="92"/>
      <x:c r="G907" s="92"/>
      <x:c r="H907" s="92"/>
      <x:c r="I907" s="93" t="str">
        <x:f>IF(B907="","",MAX(0,F907-H907))</x:f>
      </x:c>
      <x:c r="J907" s="46"/>
      <x:c r="K907" s="100" t="str">
        <x:f>IF(B907="","",IF(G907="TL",1,IF(G907="USD",KURLAR!$C$9,IF(G907="EUR",KURLAR!$C$10,0))))</x:f>
      </x:c>
      <x:c r="L907" s="68" t="str">
        <x:f>IF(B907="","",I907*K907)</x:f>
      </x:c>
      <x:c r="M907" s="46"/>
      <x:c r="N907" s="52" t="str">
        <x:f>IF(B907="","",IF(OR(M907="Tahsil Edildi",M907="İptal",J907="Riskli"),"Hayır","Evet"))</x:f>
      </x:c>
    </x:row>
    <x:row r="908">
      <x:c r="B908" s="46"/>
      <x:c r="C908" s="46"/>
      <x:c r="D908" s="112"/>
      <x:c r="E908" s="112"/>
      <x:c r="F908" s="92"/>
      <x:c r="G908" s="92"/>
      <x:c r="H908" s="92"/>
      <x:c r="I908" s="93" t="str">
        <x:f>IF(B908="","",MAX(0,F908-H908))</x:f>
      </x:c>
      <x:c r="J908" s="46"/>
      <x:c r="K908" s="100" t="str">
        <x:f>IF(B908="","",IF(G908="TL",1,IF(G908="USD",KURLAR!$C$9,IF(G908="EUR",KURLAR!$C$10,0))))</x:f>
      </x:c>
      <x:c r="L908" s="68" t="str">
        <x:f>IF(B908="","",I908*K908)</x:f>
      </x:c>
      <x:c r="M908" s="46"/>
      <x:c r="N908" s="52" t="str">
        <x:f>IF(B908="","",IF(OR(M908="Tahsil Edildi",M908="İptal",J908="Riskli"),"Hayır","Evet"))</x:f>
      </x:c>
    </x:row>
    <x:row r="909">
      <x:c r="B909" s="46"/>
      <x:c r="C909" s="46"/>
      <x:c r="D909" s="112"/>
      <x:c r="E909" s="112"/>
      <x:c r="F909" s="92"/>
      <x:c r="G909" s="92"/>
      <x:c r="H909" s="92"/>
      <x:c r="I909" s="93" t="str">
        <x:f>IF(B909="","",MAX(0,F909-H909))</x:f>
      </x:c>
      <x:c r="J909" s="46"/>
      <x:c r="K909" s="100" t="str">
        <x:f>IF(B909="","",IF(G909="TL",1,IF(G909="USD",KURLAR!$C$9,IF(G909="EUR",KURLAR!$C$10,0))))</x:f>
      </x:c>
      <x:c r="L909" s="68" t="str">
        <x:f>IF(B909="","",I909*K909)</x:f>
      </x:c>
      <x:c r="M909" s="46"/>
      <x:c r="N909" s="52" t="str">
        <x:f>IF(B909="","",IF(OR(M909="Tahsil Edildi",M909="İptal",J909="Riskli"),"Hayır","Evet"))</x:f>
      </x:c>
    </x:row>
    <x:row r="910">
      <x:c r="B910" s="46"/>
      <x:c r="C910" s="46"/>
      <x:c r="D910" s="112"/>
      <x:c r="E910" s="112"/>
      <x:c r="F910" s="92"/>
      <x:c r="G910" s="92"/>
      <x:c r="H910" s="92"/>
      <x:c r="I910" s="93" t="str">
        <x:f>IF(B910="","",MAX(0,F910-H910))</x:f>
      </x:c>
      <x:c r="J910" s="46"/>
      <x:c r="K910" s="100" t="str">
        <x:f>IF(B910="","",IF(G910="TL",1,IF(G910="USD",KURLAR!$C$9,IF(G910="EUR",KURLAR!$C$10,0))))</x:f>
      </x:c>
      <x:c r="L910" s="68" t="str">
        <x:f>IF(B910="","",I910*K910)</x:f>
      </x:c>
      <x:c r="M910" s="46"/>
      <x:c r="N910" s="52" t="str">
        <x:f>IF(B910="","",IF(OR(M910="Tahsil Edildi",M910="İptal",J910="Riskli"),"Hayır","Evet"))</x:f>
      </x:c>
    </x:row>
    <x:row r="911">
      <x:c r="B911" s="46"/>
      <x:c r="C911" s="46"/>
      <x:c r="D911" s="112"/>
      <x:c r="E911" s="112"/>
      <x:c r="F911" s="92"/>
      <x:c r="G911" s="92"/>
      <x:c r="H911" s="92"/>
      <x:c r="I911" s="93" t="str">
        <x:f>IF(B911="","",MAX(0,F911-H911))</x:f>
      </x:c>
      <x:c r="J911" s="46"/>
      <x:c r="K911" s="100" t="str">
        <x:f>IF(B911="","",IF(G911="TL",1,IF(G911="USD",KURLAR!$C$9,IF(G911="EUR",KURLAR!$C$10,0))))</x:f>
      </x:c>
      <x:c r="L911" s="68" t="str">
        <x:f>IF(B911="","",I911*K911)</x:f>
      </x:c>
      <x:c r="M911" s="46"/>
      <x:c r="N911" s="52" t="str">
        <x:f>IF(B911="","",IF(OR(M911="Tahsil Edildi",M911="İptal",J911="Riskli"),"Hayır","Evet"))</x:f>
      </x:c>
    </x:row>
    <x:row r="912">
      <x:c r="B912" s="46"/>
      <x:c r="C912" s="46"/>
      <x:c r="D912" s="112"/>
      <x:c r="E912" s="112"/>
      <x:c r="F912" s="92"/>
      <x:c r="G912" s="92"/>
      <x:c r="H912" s="92"/>
      <x:c r="I912" s="93" t="str">
        <x:f>IF(B912="","",MAX(0,F912-H912))</x:f>
      </x:c>
      <x:c r="J912" s="46"/>
      <x:c r="K912" s="100" t="str">
        <x:f>IF(B912="","",IF(G912="TL",1,IF(G912="USD",KURLAR!$C$9,IF(G912="EUR",KURLAR!$C$10,0))))</x:f>
      </x:c>
      <x:c r="L912" s="68" t="str">
        <x:f>IF(B912="","",I912*K912)</x:f>
      </x:c>
      <x:c r="M912" s="46"/>
      <x:c r="N912" s="52" t="str">
        <x:f>IF(B912="","",IF(OR(M912="Tahsil Edildi",M912="İptal",J912="Riskli"),"Hayır","Evet"))</x:f>
      </x:c>
    </x:row>
    <x:row r="913">
      <x:c r="B913" s="46"/>
      <x:c r="C913" s="46"/>
      <x:c r="D913" s="112"/>
      <x:c r="E913" s="112"/>
      <x:c r="F913" s="92"/>
      <x:c r="G913" s="92"/>
      <x:c r="H913" s="92"/>
      <x:c r="I913" s="93" t="str">
        <x:f>IF(B913="","",MAX(0,F913-H913))</x:f>
      </x:c>
      <x:c r="J913" s="46"/>
      <x:c r="K913" s="100" t="str">
        <x:f>IF(B913="","",IF(G913="TL",1,IF(G913="USD",KURLAR!$C$9,IF(G913="EUR",KURLAR!$C$10,0))))</x:f>
      </x:c>
      <x:c r="L913" s="68" t="str">
        <x:f>IF(B913="","",I913*K913)</x:f>
      </x:c>
      <x:c r="M913" s="46"/>
      <x:c r="N913" s="52" t="str">
        <x:f>IF(B913="","",IF(OR(M913="Tahsil Edildi",M913="İptal",J913="Riskli"),"Hayır","Evet"))</x:f>
      </x:c>
    </x:row>
    <x:row r="914">
      <x:c r="B914" s="46"/>
      <x:c r="C914" s="46"/>
      <x:c r="D914" s="112"/>
      <x:c r="E914" s="112"/>
      <x:c r="F914" s="92"/>
      <x:c r="G914" s="92"/>
      <x:c r="H914" s="92"/>
      <x:c r="I914" s="93" t="str">
        <x:f>IF(B914="","",MAX(0,F914-H914))</x:f>
      </x:c>
      <x:c r="J914" s="46"/>
      <x:c r="K914" s="100" t="str">
        <x:f>IF(B914="","",IF(G914="TL",1,IF(G914="USD",KURLAR!$C$9,IF(G914="EUR",KURLAR!$C$10,0))))</x:f>
      </x:c>
      <x:c r="L914" s="68" t="str">
        <x:f>IF(B914="","",I914*K914)</x:f>
      </x:c>
      <x:c r="M914" s="46"/>
      <x:c r="N914" s="52" t="str">
        <x:f>IF(B914="","",IF(OR(M914="Tahsil Edildi",M914="İptal",J914="Riskli"),"Hayır","Evet"))</x:f>
      </x:c>
    </x:row>
    <x:row r="915">
      <x:c r="B915" s="46"/>
      <x:c r="C915" s="46"/>
      <x:c r="D915" s="112"/>
      <x:c r="E915" s="112"/>
      <x:c r="F915" s="92"/>
      <x:c r="G915" s="92"/>
      <x:c r="H915" s="92"/>
      <x:c r="I915" s="93" t="str">
        <x:f>IF(B915="","",MAX(0,F915-H915))</x:f>
      </x:c>
      <x:c r="J915" s="46"/>
      <x:c r="K915" s="100" t="str">
        <x:f>IF(B915="","",IF(G915="TL",1,IF(G915="USD",KURLAR!$C$9,IF(G915="EUR",KURLAR!$C$10,0))))</x:f>
      </x:c>
      <x:c r="L915" s="68" t="str">
        <x:f>IF(B915="","",I915*K915)</x:f>
      </x:c>
      <x:c r="M915" s="46"/>
      <x:c r="N915" s="52" t="str">
        <x:f>IF(B915="","",IF(OR(M915="Tahsil Edildi",M915="İptal",J915="Riskli"),"Hayır","Evet"))</x:f>
      </x:c>
    </x:row>
    <x:row r="916">
      <x:c r="B916" s="46"/>
      <x:c r="C916" s="46"/>
      <x:c r="D916" s="112"/>
      <x:c r="E916" s="112"/>
      <x:c r="F916" s="92"/>
      <x:c r="G916" s="92"/>
      <x:c r="H916" s="92"/>
      <x:c r="I916" s="93" t="str">
        <x:f>IF(B916="","",MAX(0,F916-H916))</x:f>
      </x:c>
      <x:c r="J916" s="46"/>
      <x:c r="K916" s="100" t="str">
        <x:f>IF(B916="","",IF(G916="TL",1,IF(G916="USD",KURLAR!$C$9,IF(G916="EUR",KURLAR!$C$10,0))))</x:f>
      </x:c>
      <x:c r="L916" s="68" t="str">
        <x:f>IF(B916="","",I916*K916)</x:f>
      </x:c>
      <x:c r="M916" s="46"/>
      <x:c r="N916" s="52" t="str">
        <x:f>IF(B916="","",IF(OR(M916="Tahsil Edildi",M916="İptal",J916="Riskli"),"Hayır","Evet"))</x:f>
      </x:c>
    </x:row>
    <x:row r="917">
      <x:c r="B917" s="46"/>
      <x:c r="C917" s="46"/>
      <x:c r="D917" s="112"/>
      <x:c r="E917" s="112"/>
      <x:c r="F917" s="92"/>
      <x:c r="G917" s="92"/>
      <x:c r="H917" s="92"/>
      <x:c r="I917" s="93" t="str">
        <x:f>IF(B917="","",MAX(0,F917-H917))</x:f>
      </x:c>
      <x:c r="J917" s="46"/>
      <x:c r="K917" s="100" t="str">
        <x:f>IF(B917="","",IF(G917="TL",1,IF(G917="USD",KURLAR!$C$9,IF(G917="EUR",KURLAR!$C$10,0))))</x:f>
      </x:c>
      <x:c r="L917" s="68" t="str">
        <x:f>IF(B917="","",I917*K917)</x:f>
      </x:c>
      <x:c r="M917" s="46"/>
      <x:c r="N917" s="52" t="str">
        <x:f>IF(B917="","",IF(OR(M917="Tahsil Edildi",M917="İptal",J917="Riskli"),"Hayır","Evet"))</x:f>
      </x:c>
    </x:row>
    <x:row r="918">
      <x:c r="B918" s="46"/>
      <x:c r="C918" s="46"/>
      <x:c r="D918" s="112"/>
      <x:c r="E918" s="112"/>
      <x:c r="F918" s="92"/>
      <x:c r="G918" s="92"/>
      <x:c r="H918" s="92"/>
      <x:c r="I918" s="93" t="str">
        <x:f>IF(B918="","",MAX(0,F918-H918))</x:f>
      </x:c>
      <x:c r="J918" s="46"/>
      <x:c r="K918" s="100" t="str">
        <x:f>IF(B918="","",IF(G918="TL",1,IF(G918="USD",KURLAR!$C$9,IF(G918="EUR",KURLAR!$C$10,0))))</x:f>
      </x:c>
      <x:c r="L918" s="68" t="str">
        <x:f>IF(B918="","",I918*K918)</x:f>
      </x:c>
      <x:c r="M918" s="46"/>
      <x:c r="N918" s="52" t="str">
        <x:f>IF(B918="","",IF(OR(M918="Tahsil Edildi",M918="İptal",J918="Riskli"),"Hayır","Evet"))</x:f>
      </x:c>
    </x:row>
    <x:row r="919">
      <x:c r="B919" s="46"/>
      <x:c r="C919" s="46"/>
      <x:c r="D919" s="112"/>
      <x:c r="E919" s="112"/>
      <x:c r="F919" s="92"/>
      <x:c r="G919" s="92"/>
      <x:c r="H919" s="92"/>
      <x:c r="I919" s="93" t="str">
        <x:f>IF(B919="","",MAX(0,F919-H919))</x:f>
      </x:c>
      <x:c r="J919" s="46"/>
      <x:c r="K919" s="100" t="str">
        <x:f>IF(B919="","",IF(G919="TL",1,IF(G919="USD",KURLAR!$C$9,IF(G919="EUR",KURLAR!$C$10,0))))</x:f>
      </x:c>
      <x:c r="L919" s="68" t="str">
        <x:f>IF(B919="","",I919*K919)</x:f>
      </x:c>
      <x:c r="M919" s="46"/>
      <x:c r="N919" s="52" t="str">
        <x:f>IF(B919="","",IF(OR(M919="Tahsil Edildi",M919="İptal",J919="Riskli"),"Hayır","Evet"))</x:f>
      </x:c>
    </x:row>
    <x:row r="920">
      <x:c r="B920" s="46"/>
      <x:c r="C920" s="46"/>
      <x:c r="D920" s="112"/>
      <x:c r="E920" s="112"/>
      <x:c r="F920" s="92"/>
      <x:c r="G920" s="92"/>
      <x:c r="H920" s="92"/>
      <x:c r="I920" s="93" t="str">
        <x:f>IF(B920="","",MAX(0,F920-H920))</x:f>
      </x:c>
      <x:c r="J920" s="46"/>
      <x:c r="K920" s="100" t="str">
        <x:f>IF(B920="","",IF(G920="TL",1,IF(G920="USD",KURLAR!$C$9,IF(G920="EUR",KURLAR!$C$10,0))))</x:f>
      </x:c>
      <x:c r="L920" s="68" t="str">
        <x:f>IF(B920="","",I920*K920)</x:f>
      </x:c>
      <x:c r="M920" s="46"/>
      <x:c r="N920" s="52" t="str">
        <x:f>IF(B920="","",IF(OR(M920="Tahsil Edildi",M920="İptal",J920="Riskli"),"Hayır","Evet"))</x:f>
      </x:c>
    </x:row>
    <x:row r="921">
      <x:c r="B921" s="46"/>
      <x:c r="C921" s="46"/>
      <x:c r="D921" s="112"/>
      <x:c r="E921" s="112"/>
      <x:c r="F921" s="92"/>
      <x:c r="G921" s="92"/>
      <x:c r="H921" s="92"/>
      <x:c r="I921" s="93" t="str">
        <x:f>IF(B921="","",MAX(0,F921-H921))</x:f>
      </x:c>
      <x:c r="J921" s="46"/>
      <x:c r="K921" s="100" t="str">
        <x:f>IF(B921="","",IF(G921="TL",1,IF(G921="USD",KURLAR!$C$9,IF(G921="EUR",KURLAR!$C$10,0))))</x:f>
      </x:c>
      <x:c r="L921" s="68" t="str">
        <x:f>IF(B921="","",I921*K921)</x:f>
      </x:c>
      <x:c r="M921" s="46"/>
      <x:c r="N921" s="52" t="str">
        <x:f>IF(B921="","",IF(OR(M921="Tahsil Edildi",M921="İptal",J921="Riskli"),"Hayır","Evet"))</x:f>
      </x:c>
    </x:row>
    <x:row r="922">
      <x:c r="B922" s="46"/>
      <x:c r="C922" s="46"/>
      <x:c r="D922" s="112"/>
      <x:c r="E922" s="112"/>
      <x:c r="F922" s="92"/>
      <x:c r="G922" s="92"/>
      <x:c r="H922" s="92"/>
      <x:c r="I922" s="93" t="str">
        <x:f>IF(B922="","",MAX(0,F922-H922))</x:f>
      </x:c>
      <x:c r="J922" s="46"/>
      <x:c r="K922" s="100" t="str">
        <x:f>IF(B922="","",IF(G922="TL",1,IF(G922="USD",KURLAR!$C$9,IF(G922="EUR",KURLAR!$C$10,0))))</x:f>
      </x:c>
      <x:c r="L922" s="68" t="str">
        <x:f>IF(B922="","",I922*K922)</x:f>
      </x:c>
      <x:c r="M922" s="46"/>
      <x:c r="N922" s="52" t="str">
        <x:f>IF(B922="","",IF(OR(M922="Tahsil Edildi",M922="İptal",J922="Riskli"),"Hayır","Evet"))</x:f>
      </x:c>
    </x:row>
    <x:row r="923">
      <x:c r="B923" s="46"/>
      <x:c r="C923" s="46"/>
      <x:c r="D923" s="112"/>
      <x:c r="E923" s="112"/>
      <x:c r="F923" s="92"/>
      <x:c r="G923" s="92"/>
      <x:c r="H923" s="92"/>
      <x:c r="I923" s="93" t="str">
        <x:f>IF(B923="","",MAX(0,F923-H923))</x:f>
      </x:c>
      <x:c r="J923" s="46"/>
      <x:c r="K923" s="100" t="str">
        <x:f>IF(B923="","",IF(G923="TL",1,IF(G923="USD",KURLAR!$C$9,IF(G923="EUR",KURLAR!$C$10,0))))</x:f>
      </x:c>
      <x:c r="L923" s="68" t="str">
        <x:f>IF(B923="","",I923*K923)</x:f>
      </x:c>
      <x:c r="M923" s="46"/>
      <x:c r="N923" s="52" t="str">
        <x:f>IF(B923="","",IF(OR(M923="Tahsil Edildi",M923="İptal",J923="Riskli"),"Hayır","Evet"))</x:f>
      </x:c>
    </x:row>
    <x:row r="924">
      <x:c r="B924" s="46"/>
      <x:c r="C924" s="46"/>
      <x:c r="D924" s="112"/>
      <x:c r="E924" s="112"/>
      <x:c r="F924" s="92"/>
      <x:c r="G924" s="92"/>
      <x:c r="H924" s="92"/>
      <x:c r="I924" s="93" t="str">
        <x:f>IF(B924="","",MAX(0,F924-H924))</x:f>
      </x:c>
      <x:c r="J924" s="46"/>
      <x:c r="K924" s="100" t="str">
        <x:f>IF(B924="","",IF(G924="TL",1,IF(G924="USD",KURLAR!$C$9,IF(G924="EUR",KURLAR!$C$10,0))))</x:f>
      </x:c>
      <x:c r="L924" s="68" t="str">
        <x:f>IF(B924="","",I924*K924)</x:f>
      </x:c>
      <x:c r="M924" s="46"/>
      <x:c r="N924" s="52" t="str">
        <x:f>IF(B924="","",IF(OR(M924="Tahsil Edildi",M924="İptal",J924="Riskli"),"Hayır","Evet"))</x:f>
      </x:c>
    </x:row>
    <x:row r="925">
      <x:c r="B925" s="46"/>
      <x:c r="C925" s="46"/>
      <x:c r="D925" s="112"/>
      <x:c r="E925" s="112"/>
      <x:c r="F925" s="92"/>
      <x:c r="G925" s="92"/>
      <x:c r="H925" s="92"/>
      <x:c r="I925" s="93" t="str">
        <x:f>IF(B925="","",MAX(0,F925-H925))</x:f>
      </x:c>
      <x:c r="J925" s="46"/>
      <x:c r="K925" s="100" t="str">
        <x:f>IF(B925="","",IF(G925="TL",1,IF(G925="USD",KURLAR!$C$9,IF(G925="EUR",KURLAR!$C$10,0))))</x:f>
      </x:c>
      <x:c r="L925" s="68" t="str">
        <x:f>IF(B925="","",I925*K925)</x:f>
      </x:c>
      <x:c r="M925" s="46"/>
      <x:c r="N925" s="52" t="str">
        <x:f>IF(B925="","",IF(OR(M925="Tahsil Edildi",M925="İptal",J925="Riskli"),"Hayır","Evet"))</x:f>
      </x:c>
    </x:row>
    <x:row r="926">
      <x:c r="B926" s="46"/>
      <x:c r="C926" s="46"/>
      <x:c r="D926" s="112"/>
      <x:c r="E926" s="112"/>
      <x:c r="F926" s="92"/>
      <x:c r="G926" s="92"/>
      <x:c r="H926" s="92"/>
      <x:c r="I926" s="93" t="str">
        <x:f>IF(B926="","",MAX(0,F926-H926))</x:f>
      </x:c>
      <x:c r="J926" s="46"/>
      <x:c r="K926" s="100" t="str">
        <x:f>IF(B926="","",IF(G926="TL",1,IF(G926="USD",KURLAR!$C$9,IF(G926="EUR",KURLAR!$C$10,0))))</x:f>
      </x:c>
      <x:c r="L926" s="68" t="str">
        <x:f>IF(B926="","",I926*K926)</x:f>
      </x:c>
      <x:c r="M926" s="46"/>
      <x:c r="N926" s="52" t="str">
        <x:f>IF(B926="","",IF(OR(M926="Tahsil Edildi",M926="İptal",J926="Riskli"),"Hayır","Evet"))</x:f>
      </x:c>
    </x:row>
    <x:row r="927">
      <x:c r="B927" s="46"/>
      <x:c r="C927" s="46"/>
      <x:c r="D927" s="112"/>
      <x:c r="E927" s="112"/>
      <x:c r="F927" s="92"/>
      <x:c r="G927" s="92"/>
      <x:c r="H927" s="92"/>
      <x:c r="I927" s="93" t="str">
        <x:f>IF(B927="","",MAX(0,F927-H927))</x:f>
      </x:c>
      <x:c r="J927" s="46"/>
      <x:c r="K927" s="100" t="str">
        <x:f>IF(B927="","",IF(G927="TL",1,IF(G927="USD",KURLAR!$C$9,IF(G927="EUR",KURLAR!$C$10,0))))</x:f>
      </x:c>
      <x:c r="L927" s="68" t="str">
        <x:f>IF(B927="","",I927*K927)</x:f>
      </x:c>
      <x:c r="M927" s="46"/>
      <x:c r="N927" s="52" t="str">
        <x:f>IF(B927="","",IF(OR(M927="Tahsil Edildi",M927="İptal",J927="Riskli"),"Hayır","Evet"))</x:f>
      </x:c>
    </x:row>
    <x:row r="928">
      <x:c r="B928" s="46"/>
      <x:c r="C928" s="46"/>
      <x:c r="D928" s="112"/>
      <x:c r="E928" s="112"/>
      <x:c r="F928" s="92"/>
      <x:c r="G928" s="92"/>
      <x:c r="H928" s="92"/>
      <x:c r="I928" s="93" t="str">
        <x:f>IF(B928="","",MAX(0,F928-H928))</x:f>
      </x:c>
      <x:c r="J928" s="46"/>
      <x:c r="K928" s="100" t="str">
        <x:f>IF(B928="","",IF(G928="TL",1,IF(G928="USD",KURLAR!$C$9,IF(G928="EUR",KURLAR!$C$10,0))))</x:f>
      </x:c>
      <x:c r="L928" s="68" t="str">
        <x:f>IF(B928="","",I928*K928)</x:f>
      </x:c>
      <x:c r="M928" s="46"/>
      <x:c r="N928" s="52" t="str">
        <x:f>IF(B928="","",IF(OR(M928="Tahsil Edildi",M928="İptal",J928="Riskli"),"Hayır","Evet"))</x:f>
      </x:c>
    </x:row>
    <x:row r="929">
      <x:c r="B929" s="46"/>
      <x:c r="C929" s="46"/>
      <x:c r="D929" s="112"/>
      <x:c r="E929" s="112"/>
      <x:c r="F929" s="92"/>
      <x:c r="G929" s="92"/>
      <x:c r="H929" s="92"/>
      <x:c r="I929" s="93" t="str">
        <x:f>IF(B929="","",MAX(0,F929-H929))</x:f>
      </x:c>
      <x:c r="J929" s="46"/>
      <x:c r="K929" s="100" t="str">
        <x:f>IF(B929="","",IF(G929="TL",1,IF(G929="USD",KURLAR!$C$9,IF(G929="EUR",KURLAR!$C$10,0))))</x:f>
      </x:c>
      <x:c r="L929" s="68" t="str">
        <x:f>IF(B929="","",I929*K929)</x:f>
      </x:c>
      <x:c r="M929" s="46"/>
      <x:c r="N929" s="52" t="str">
        <x:f>IF(B929="","",IF(OR(M929="Tahsil Edildi",M929="İptal",J929="Riskli"),"Hayır","Evet"))</x:f>
      </x:c>
    </x:row>
    <x:row r="930">
      <x:c r="B930" s="46"/>
      <x:c r="C930" s="46"/>
      <x:c r="D930" s="112"/>
      <x:c r="E930" s="112"/>
      <x:c r="F930" s="92"/>
      <x:c r="G930" s="92"/>
      <x:c r="H930" s="92"/>
      <x:c r="I930" s="93" t="str">
        <x:f>IF(B930="","",MAX(0,F930-H930))</x:f>
      </x:c>
      <x:c r="J930" s="46"/>
      <x:c r="K930" s="100" t="str">
        <x:f>IF(B930="","",IF(G930="TL",1,IF(G930="USD",KURLAR!$C$9,IF(G930="EUR",KURLAR!$C$10,0))))</x:f>
      </x:c>
      <x:c r="L930" s="68" t="str">
        <x:f>IF(B930="","",I930*K930)</x:f>
      </x:c>
      <x:c r="M930" s="46"/>
      <x:c r="N930" s="52" t="str">
        <x:f>IF(B930="","",IF(OR(M930="Tahsil Edildi",M930="İptal",J930="Riskli"),"Hayır","Evet"))</x:f>
      </x:c>
    </x:row>
    <x:row r="931">
      <x:c r="B931" s="46"/>
      <x:c r="C931" s="46"/>
      <x:c r="D931" s="112"/>
      <x:c r="E931" s="112"/>
      <x:c r="F931" s="92"/>
      <x:c r="G931" s="92"/>
      <x:c r="H931" s="92"/>
      <x:c r="I931" s="93" t="str">
        <x:f>IF(B931="","",MAX(0,F931-H931))</x:f>
      </x:c>
      <x:c r="J931" s="46"/>
      <x:c r="K931" s="100" t="str">
        <x:f>IF(B931="","",IF(G931="TL",1,IF(G931="USD",KURLAR!$C$9,IF(G931="EUR",KURLAR!$C$10,0))))</x:f>
      </x:c>
      <x:c r="L931" s="68" t="str">
        <x:f>IF(B931="","",I931*K931)</x:f>
      </x:c>
      <x:c r="M931" s="46"/>
      <x:c r="N931" s="52" t="str">
        <x:f>IF(B931="","",IF(OR(M931="Tahsil Edildi",M931="İptal",J931="Riskli"),"Hayır","Evet"))</x:f>
      </x:c>
    </x:row>
    <x:row r="932">
      <x:c r="B932" s="46"/>
      <x:c r="C932" s="46"/>
      <x:c r="D932" s="112"/>
      <x:c r="E932" s="112"/>
      <x:c r="F932" s="92"/>
      <x:c r="G932" s="92"/>
      <x:c r="H932" s="92"/>
      <x:c r="I932" s="93" t="str">
        <x:f>IF(B932="","",MAX(0,F932-H932))</x:f>
      </x:c>
      <x:c r="J932" s="46"/>
      <x:c r="K932" s="100" t="str">
        <x:f>IF(B932="","",IF(G932="TL",1,IF(G932="USD",KURLAR!$C$9,IF(G932="EUR",KURLAR!$C$10,0))))</x:f>
      </x:c>
      <x:c r="L932" s="68" t="str">
        <x:f>IF(B932="","",I932*K932)</x:f>
      </x:c>
      <x:c r="M932" s="46"/>
      <x:c r="N932" s="52" t="str">
        <x:f>IF(B932="","",IF(OR(M932="Tahsil Edildi",M932="İptal",J932="Riskli"),"Hayır","Evet"))</x:f>
      </x:c>
    </x:row>
    <x:row r="933">
      <x:c r="B933" s="46"/>
      <x:c r="C933" s="46"/>
      <x:c r="D933" s="112"/>
      <x:c r="E933" s="112"/>
      <x:c r="F933" s="92"/>
      <x:c r="G933" s="92"/>
      <x:c r="H933" s="92"/>
      <x:c r="I933" s="93" t="str">
        <x:f>IF(B933="","",MAX(0,F933-H933))</x:f>
      </x:c>
      <x:c r="J933" s="46"/>
      <x:c r="K933" s="100" t="str">
        <x:f>IF(B933="","",IF(G933="TL",1,IF(G933="USD",KURLAR!$C$9,IF(G933="EUR",KURLAR!$C$10,0))))</x:f>
      </x:c>
      <x:c r="L933" s="68" t="str">
        <x:f>IF(B933="","",I933*K933)</x:f>
      </x:c>
      <x:c r="M933" s="46"/>
      <x:c r="N933" s="52" t="str">
        <x:f>IF(B933="","",IF(OR(M933="Tahsil Edildi",M933="İptal",J933="Riskli"),"Hayır","Evet"))</x:f>
      </x:c>
    </x:row>
    <x:row r="934">
      <x:c r="B934" s="46"/>
      <x:c r="C934" s="46"/>
      <x:c r="D934" s="112"/>
      <x:c r="E934" s="112"/>
      <x:c r="F934" s="92"/>
      <x:c r="G934" s="92"/>
      <x:c r="H934" s="92"/>
      <x:c r="I934" s="93" t="str">
        <x:f>IF(B934="","",MAX(0,F934-H934))</x:f>
      </x:c>
      <x:c r="J934" s="46"/>
      <x:c r="K934" s="100" t="str">
        <x:f>IF(B934="","",IF(G934="TL",1,IF(G934="USD",KURLAR!$C$9,IF(G934="EUR",KURLAR!$C$10,0))))</x:f>
      </x:c>
      <x:c r="L934" s="68" t="str">
        <x:f>IF(B934="","",I934*K934)</x:f>
      </x:c>
      <x:c r="M934" s="46"/>
      <x:c r="N934" s="52" t="str">
        <x:f>IF(B934="","",IF(OR(M934="Tahsil Edildi",M934="İptal",J934="Riskli"),"Hayır","Evet"))</x:f>
      </x:c>
    </x:row>
    <x:row r="935">
      <x:c r="B935" s="46"/>
      <x:c r="C935" s="46"/>
      <x:c r="D935" s="112"/>
      <x:c r="E935" s="112"/>
      <x:c r="F935" s="92"/>
      <x:c r="G935" s="92"/>
      <x:c r="H935" s="92"/>
      <x:c r="I935" s="93" t="str">
        <x:f>IF(B935="","",MAX(0,F935-H935))</x:f>
      </x:c>
      <x:c r="J935" s="46"/>
      <x:c r="K935" s="100" t="str">
        <x:f>IF(B935="","",IF(G935="TL",1,IF(G935="USD",KURLAR!$C$9,IF(G935="EUR",KURLAR!$C$10,0))))</x:f>
      </x:c>
      <x:c r="L935" s="68" t="str">
        <x:f>IF(B935="","",I935*K935)</x:f>
      </x:c>
      <x:c r="M935" s="46"/>
      <x:c r="N935" s="52" t="str">
        <x:f>IF(B935="","",IF(OR(M935="Tahsil Edildi",M935="İptal",J935="Riskli"),"Hayır","Evet"))</x:f>
      </x:c>
    </x:row>
    <x:row r="936">
      <x:c r="B936" s="46"/>
      <x:c r="C936" s="46"/>
      <x:c r="D936" s="112"/>
      <x:c r="E936" s="112"/>
      <x:c r="F936" s="92"/>
      <x:c r="G936" s="92"/>
      <x:c r="H936" s="92"/>
      <x:c r="I936" s="93" t="str">
        <x:f>IF(B936="","",MAX(0,F936-H936))</x:f>
      </x:c>
      <x:c r="J936" s="46"/>
      <x:c r="K936" s="100" t="str">
        <x:f>IF(B936="","",IF(G936="TL",1,IF(G936="USD",KURLAR!$C$9,IF(G936="EUR",KURLAR!$C$10,0))))</x:f>
      </x:c>
      <x:c r="L936" s="68" t="str">
        <x:f>IF(B936="","",I936*K936)</x:f>
      </x:c>
      <x:c r="M936" s="46"/>
      <x:c r="N936" s="52" t="str">
        <x:f>IF(B936="","",IF(OR(M936="Tahsil Edildi",M936="İptal",J936="Riskli"),"Hayır","Evet"))</x:f>
      </x:c>
    </x:row>
    <x:row r="937">
      <x:c r="B937" s="46"/>
      <x:c r="C937" s="46"/>
      <x:c r="D937" s="112"/>
      <x:c r="E937" s="112"/>
      <x:c r="F937" s="92"/>
      <x:c r="G937" s="92"/>
      <x:c r="H937" s="92"/>
      <x:c r="I937" s="93" t="str">
        <x:f>IF(B937="","",MAX(0,F937-H937))</x:f>
      </x:c>
      <x:c r="J937" s="46"/>
      <x:c r="K937" s="100" t="str">
        <x:f>IF(B937="","",IF(G937="TL",1,IF(G937="USD",KURLAR!$C$9,IF(G937="EUR",KURLAR!$C$10,0))))</x:f>
      </x:c>
      <x:c r="L937" s="68" t="str">
        <x:f>IF(B937="","",I937*K937)</x:f>
      </x:c>
      <x:c r="M937" s="46"/>
      <x:c r="N937" s="52" t="str">
        <x:f>IF(B937="","",IF(OR(M937="Tahsil Edildi",M937="İptal",J937="Riskli"),"Hayır","Evet"))</x:f>
      </x:c>
    </x:row>
    <x:row r="938">
      <x:c r="B938" s="46"/>
      <x:c r="C938" s="46"/>
      <x:c r="D938" s="112"/>
      <x:c r="E938" s="112"/>
      <x:c r="F938" s="92"/>
      <x:c r="G938" s="92"/>
      <x:c r="H938" s="92"/>
      <x:c r="I938" s="93" t="str">
        <x:f>IF(B938="","",MAX(0,F938-H938))</x:f>
      </x:c>
      <x:c r="J938" s="46"/>
      <x:c r="K938" s="100" t="str">
        <x:f>IF(B938="","",IF(G938="TL",1,IF(G938="USD",KURLAR!$C$9,IF(G938="EUR",KURLAR!$C$10,0))))</x:f>
      </x:c>
      <x:c r="L938" s="68" t="str">
        <x:f>IF(B938="","",I938*K938)</x:f>
      </x:c>
      <x:c r="M938" s="46"/>
      <x:c r="N938" s="52" t="str">
        <x:f>IF(B938="","",IF(OR(M938="Tahsil Edildi",M938="İptal",J938="Riskli"),"Hayır","Evet"))</x:f>
      </x:c>
    </x:row>
    <x:row r="939">
      <x:c r="B939" s="46"/>
      <x:c r="C939" s="46"/>
      <x:c r="D939" s="112"/>
      <x:c r="E939" s="112"/>
      <x:c r="F939" s="92"/>
      <x:c r="G939" s="92"/>
      <x:c r="H939" s="92"/>
      <x:c r="I939" s="93" t="str">
        <x:f>IF(B939="","",MAX(0,F939-H939))</x:f>
      </x:c>
      <x:c r="J939" s="46"/>
      <x:c r="K939" s="100" t="str">
        <x:f>IF(B939="","",IF(G939="TL",1,IF(G939="USD",KURLAR!$C$9,IF(G939="EUR",KURLAR!$C$10,0))))</x:f>
      </x:c>
      <x:c r="L939" s="68" t="str">
        <x:f>IF(B939="","",I939*K939)</x:f>
      </x:c>
      <x:c r="M939" s="46"/>
      <x:c r="N939" s="52" t="str">
        <x:f>IF(B939="","",IF(OR(M939="Tahsil Edildi",M939="İptal",J939="Riskli"),"Hayır","Evet"))</x:f>
      </x:c>
    </x:row>
    <x:row r="940">
      <x:c r="B940" s="46"/>
      <x:c r="C940" s="46"/>
      <x:c r="D940" s="112"/>
      <x:c r="E940" s="112"/>
      <x:c r="F940" s="92"/>
      <x:c r="G940" s="92"/>
      <x:c r="H940" s="92"/>
      <x:c r="I940" s="93" t="str">
        <x:f>IF(B940="","",MAX(0,F940-H940))</x:f>
      </x:c>
      <x:c r="J940" s="46"/>
      <x:c r="K940" s="100" t="str">
        <x:f>IF(B940="","",IF(G940="TL",1,IF(G940="USD",KURLAR!$C$9,IF(G940="EUR",KURLAR!$C$10,0))))</x:f>
      </x:c>
      <x:c r="L940" s="68" t="str">
        <x:f>IF(B940="","",I940*K940)</x:f>
      </x:c>
      <x:c r="M940" s="46"/>
      <x:c r="N940" s="52" t="str">
        <x:f>IF(B940="","",IF(OR(M940="Tahsil Edildi",M940="İptal",J940="Riskli"),"Hayır","Evet"))</x:f>
      </x:c>
    </x:row>
    <x:row r="941">
      <x:c r="B941" s="46"/>
      <x:c r="C941" s="46"/>
      <x:c r="D941" s="112"/>
      <x:c r="E941" s="112"/>
      <x:c r="F941" s="92"/>
      <x:c r="G941" s="92"/>
      <x:c r="H941" s="92"/>
      <x:c r="I941" s="93" t="str">
        <x:f>IF(B941="","",MAX(0,F941-H941))</x:f>
      </x:c>
      <x:c r="J941" s="46"/>
      <x:c r="K941" s="100" t="str">
        <x:f>IF(B941="","",IF(G941="TL",1,IF(G941="USD",KURLAR!$C$9,IF(G941="EUR",KURLAR!$C$10,0))))</x:f>
      </x:c>
      <x:c r="L941" s="68" t="str">
        <x:f>IF(B941="","",I941*K941)</x:f>
      </x:c>
      <x:c r="M941" s="46"/>
      <x:c r="N941" s="52" t="str">
        <x:f>IF(B941="","",IF(OR(M941="Tahsil Edildi",M941="İptal",J941="Riskli"),"Hayır","Evet"))</x:f>
      </x:c>
    </x:row>
    <x:row r="942">
      <x:c r="B942" s="46"/>
      <x:c r="C942" s="46"/>
      <x:c r="D942" s="112"/>
      <x:c r="E942" s="112"/>
      <x:c r="F942" s="92"/>
      <x:c r="G942" s="92"/>
      <x:c r="H942" s="92"/>
      <x:c r="I942" s="93" t="str">
        <x:f>IF(B942="","",MAX(0,F942-H942))</x:f>
      </x:c>
      <x:c r="J942" s="46"/>
      <x:c r="K942" s="100" t="str">
        <x:f>IF(B942="","",IF(G942="TL",1,IF(G942="USD",KURLAR!$C$9,IF(G942="EUR",KURLAR!$C$10,0))))</x:f>
      </x:c>
      <x:c r="L942" s="68" t="str">
        <x:f>IF(B942="","",I942*K942)</x:f>
      </x:c>
      <x:c r="M942" s="46"/>
      <x:c r="N942" s="52" t="str">
        <x:f>IF(B942="","",IF(OR(M942="Tahsil Edildi",M942="İptal",J942="Riskli"),"Hayır","Evet"))</x:f>
      </x:c>
    </x:row>
    <x:row r="943">
      <x:c r="B943" s="46"/>
      <x:c r="C943" s="46"/>
      <x:c r="D943" s="112"/>
      <x:c r="E943" s="112"/>
      <x:c r="F943" s="92"/>
      <x:c r="G943" s="92"/>
      <x:c r="H943" s="92"/>
      <x:c r="I943" s="93" t="str">
        <x:f>IF(B943="","",MAX(0,F943-H943))</x:f>
      </x:c>
      <x:c r="J943" s="46"/>
      <x:c r="K943" s="100" t="str">
        <x:f>IF(B943="","",IF(G943="TL",1,IF(G943="USD",KURLAR!$C$9,IF(G943="EUR",KURLAR!$C$10,0))))</x:f>
      </x:c>
      <x:c r="L943" s="68" t="str">
        <x:f>IF(B943="","",I943*K943)</x:f>
      </x:c>
      <x:c r="M943" s="46"/>
      <x:c r="N943" s="52" t="str">
        <x:f>IF(B943="","",IF(OR(M943="Tahsil Edildi",M943="İptal",J943="Riskli"),"Hayır","Evet"))</x:f>
      </x:c>
    </x:row>
    <x:row r="944">
      <x:c r="B944" s="46"/>
      <x:c r="C944" s="46"/>
      <x:c r="D944" s="112"/>
      <x:c r="E944" s="112"/>
      <x:c r="F944" s="92"/>
      <x:c r="G944" s="92"/>
      <x:c r="H944" s="92"/>
      <x:c r="I944" s="93" t="str">
        <x:f>IF(B944="","",MAX(0,F944-H944))</x:f>
      </x:c>
      <x:c r="J944" s="46"/>
      <x:c r="K944" s="100" t="str">
        <x:f>IF(B944="","",IF(G944="TL",1,IF(G944="USD",KURLAR!$C$9,IF(G944="EUR",KURLAR!$C$10,0))))</x:f>
      </x:c>
      <x:c r="L944" s="68" t="str">
        <x:f>IF(B944="","",I944*K944)</x:f>
      </x:c>
      <x:c r="M944" s="46"/>
      <x:c r="N944" s="52" t="str">
        <x:f>IF(B944="","",IF(OR(M944="Tahsil Edildi",M944="İptal",J944="Riskli"),"Hayır","Evet"))</x:f>
      </x:c>
    </x:row>
    <x:row r="945">
      <x:c r="B945" s="46"/>
      <x:c r="C945" s="46"/>
      <x:c r="D945" s="112"/>
      <x:c r="E945" s="112"/>
      <x:c r="F945" s="92"/>
      <x:c r="G945" s="92"/>
      <x:c r="H945" s="92"/>
      <x:c r="I945" s="93" t="str">
        <x:f>IF(B945="","",MAX(0,F945-H945))</x:f>
      </x:c>
      <x:c r="J945" s="46"/>
      <x:c r="K945" s="100" t="str">
        <x:f>IF(B945="","",IF(G945="TL",1,IF(G945="USD",KURLAR!$C$9,IF(G945="EUR",KURLAR!$C$10,0))))</x:f>
      </x:c>
      <x:c r="L945" s="68" t="str">
        <x:f>IF(B945="","",I945*K945)</x:f>
      </x:c>
      <x:c r="M945" s="46"/>
      <x:c r="N945" s="52" t="str">
        <x:f>IF(B945="","",IF(OR(M945="Tahsil Edildi",M945="İptal",J945="Riskli"),"Hayır","Evet"))</x:f>
      </x:c>
    </x:row>
    <x:row r="946">
      <x:c r="B946" s="46"/>
      <x:c r="C946" s="46"/>
      <x:c r="D946" s="112"/>
      <x:c r="E946" s="112"/>
      <x:c r="F946" s="92"/>
      <x:c r="G946" s="92"/>
      <x:c r="H946" s="92"/>
      <x:c r="I946" s="93" t="str">
        <x:f>IF(B946="","",MAX(0,F946-H946))</x:f>
      </x:c>
      <x:c r="J946" s="46"/>
      <x:c r="K946" s="100" t="str">
        <x:f>IF(B946="","",IF(G946="TL",1,IF(G946="USD",KURLAR!$C$9,IF(G946="EUR",KURLAR!$C$10,0))))</x:f>
      </x:c>
      <x:c r="L946" s="68" t="str">
        <x:f>IF(B946="","",I946*K946)</x:f>
      </x:c>
      <x:c r="M946" s="46"/>
      <x:c r="N946" s="52" t="str">
        <x:f>IF(B946="","",IF(OR(M946="Tahsil Edildi",M946="İptal",J946="Riskli"),"Hayır","Evet"))</x:f>
      </x:c>
    </x:row>
    <x:row r="947">
      <x:c r="B947" s="46"/>
      <x:c r="C947" s="46"/>
      <x:c r="D947" s="112"/>
      <x:c r="E947" s="112"/>
      <x:c r="F947" s="92"/>
      <x:c r="G947" s="92"/>
      <x:c r="H947" s="92"/>
      <x:c r="I947" s="93" t="str">
        <x:f>IF(B947="","",MAX(0,F947-H947))</x:f>
      </x:c>
      <x:c r="J947" s="46"/>
      <x:c r="K947" s="100" t="str">
        <x:f>IF(B947="","",IF(G947="TL",1,IF(G947="USD",KURLAR!$C$9,IF(G947="EUR",KURLAR!$C$10,0))))</x:f>
      </x:c>
      <x:c r="L947" s="68" t="str">
        <x:f>IF(B947="","",I947*K947)</x:f>
      </x:c>
      <x:c r="M947" s="46"/>
      <x:c r="N947" s="52" t="str">
        <x:f>IF(B947="","",IF(OR(M947="Tahsil Edildi",M947="İptal",J947="Riskli"),"Hayır","Evet"))</x:f>
      </x:c>
    </x:row>
    <x:row r="948">
      <x:c r="B948" s="46"/>
      <x:c r="C948" s="46"/>
      <x:c r="D948" s="112"/>
      <x:c r="E948" s="112"/>
      <x:c r="F948" s="92"/>
      <x:c r="G948" s="92"/>
      <x:c r="H948" s="92"/>
      <x:c r="I948" s="93" t="str">
        <x:f>IF(B948="","",MAX(0,F948-H948))</x:f>
      </x:c>
      <x:c r="J948" s="46"/>
      <x:c r="K948" s="100" t="str">
        <x:f>IF(B948="","",IF(G948="TL",1,IF(G948="USD",KURLAR!$C$9,IF(G948="EUR",KURLAR!$C$10,0))))</x:f>
      </x:c>
      <x:c r="L948" s="68" t="str">
        <x:f>IF(B948="","",I948*K948)</x:f>
      </x:c>
      <x:c r="M948" s="46"/>
      <x:c r="N948" s="52" t="str">
        <x:f>IF(B948="","",IF(OR(M948="Tahsil Edildi",M948="İptal",J948="Riskli"),"Hayır","Evet"))</x:f>
      </x:c>
    </x:row>
    <x:row r="949">
      <x:c r="B949" s="46"/>
      <x:c r="C949" s="46"/>
      <x:c r="D949" s="112"/>
      <x:c r="E949" s="112"/>
      <x:c r="F949" s="92"/>
      <x:c r="G949" s="92"/>
      <x:c r="H949" s="92"/>
      <x:c r="I949" s="93" t="str">
        <x:f>IF(B949="","",MAX(0,F949-H949))</x:f>
      </x:c>
      <x:c r="J949" s="46"/>
      <x:c r="K949" s="100" t="str">
        <x:f>IF(B949="","",IF(G949="TL",1,IF(G949="USD",KURLAR!$C$9,IF(G949="EUR",KURLAR!$C$10,0))))</x:f>
      </x:c>
      <x:c r="L949" s="68" t="str">
        <x:f>IF(B949="","",I949*K949)</x:f>
      </x:c>
      <x:c r="M949" s="46"/>
      <x:c r="N949" s="52" t="str">
        <x:f>IF(B949="","",IF(OR(M949="Tahsil Edildi",M949="İptal",J949="Riskli"),"Hayır","Evet"))</x:f>
      </x:c>
    </x:row>
    <x:row r="950">
      <x:c r="B950" s="46"/>
      <x:c r="C950" s="46"/>
      <x:c r="D950" s="112"/>
      <x:c r="E950" s="112"/>
      <x:c r="F950" s="92"/>
      <x:c r="G950" s="92"/>
      <x:c r="H950" s="92"/>
      <x:c r="I950" s="93" t="str">
        <x:f>IF(B950="","",MAX(0,F950-H950))</x:f>
      </x:c>
      <x:c r="J950" s="46"/>
      <x:c r="K950" s="100" t="str">
        <x:f>IF(B950="","",IF(G950="TL",1,IF(G950="USD",KURLAR!$C$9,IF(G950="EUR",KURLAR!$C$10,0))))</x:f>
      </x:c>
      <x:c r="L950" s="68" t="str">
        <x:f>IF(B950="","",I950*K950)</x:f>
      </x:c>
      <x:c r="M950" s="46"/>
      <x:c r="N950" s="52" t="str">
        <x:f>IF(B950="","",IF(OR(M950="Tahsil Edildi",M950="İptal",J950="Riskli"),"Hayır","Evet"))</x:f>
      </x:c>
    </x:row>
    <x:row r="951">
      <x:c r="B951" s="46"/>
      <x:c r="C951" s="46"/>
      <x:c r="D951" s="112"/>
      <x:c r="E951" s="112"/>
      <x:c r="F951" s="92"/>
      <x:c r="G951" s="92"/>
      <x:c r="H951" s="92"/>
      <x:c r="I951" s="93" t="str">
        <x:f>IF(B951="","",MAX(0,F951-H951))</x:f>
      </x:c>
      <x:c r="J951" s="46"/>
      <x:c r="K951" s="100" t="str">
        <x:f>IF(B951="","",IF(G951="TL",1,IF(G951="USD",KURLAR!$C$9,IF(G951="EUR",KURLAR!$C$10,0))))</x:f>
      </x:c>
      <x:c r="L951" s="68" t="str">
        <x:f>IF(B951="","",I951*K951)</x:f>
      </x:c>
      <x:c r="M951" s="46"/>
      <x:c r="N951" s="52" t="str">
        <x:f>IF(B951="","",IF(OR(M951="Tahsil Edildi",M951="İptal",J951="Riskli"),"Hayır","Evet"))</x:f>
      </x:c>
    </x:row>
    <x:row r="952">
      <x:c r="B952" s="46"/>
      <x:c r="C952" s="46"/>
      <x:c r="D952" s="112"/>
      <x:c r="E952" s="112"/>
      <x:c r="F952" s="92"/>
      <x:c r="G952" s="92"/>
      <x:c r="H952" s="92"/>
      <x:c r="I952" s="93" t="str">
        <x:f>IF(B952="","",MAX(0,F952-H952))</x:f>
      </x:c>
      <x:c r="J952" s="46"/>
      <x:c r="K952" s="100" t="str">
        <x:f>IF(B952="","",IF(G952="TL",1,IF(G952="USD",KURLAR!$C$9,IF(G952="EUR",KURLAR!$C$10,0))))</x:f>
      </x:c>
      <x:c r="L952" s="68" t="str">
        <x:f>IF(B952="","",I952*K952)</x:f>
      </x:c>
      <x:c r="M952" s="46"/>
      <x:c r="N952" s="52" t="str">
        <x:f>IF(B952="","",IF(OR(M952="Tahsil Edildi",M952="İptal",J952="Riskli"),"Hayır","Evet"))</x:f>
      </x:c>
    </x:row>
    <x:row r="953">
      <x:c r="B953" s="46"/>
      <x:c r="C953" s="46"/>
      <x:c r="D953" s="112"/>
      <x:c r="E953" s="112"/>
      <x:c r="F953" s="92"/>
      <x:c r="G953" s="92"/>
      <x:c r="H953" s="92"/>
      <x:c r="I953" s="93" t="str">
        <x:f>IF(B953="","",MAX(0,F953-H953))</x:f>
      </x:c>
      <x:c r="J953" s="46"/>
      <x:c r="K953" s="100" t="str">
        <x:f>IF(B953="","",IF(G953="TL",1,IF(G953="USD",KURLAR!$C$9,IF(G953="EUR",KURLAR!$C$10,0))))</x:f>
      </x:c>
      <x:c r="L953" s="68" t="str">
        <x:f>IF(B953="","",I953*K953)</x:f>
      </x:c>
      <x:c r="M953" s="46"/>
      <x:c r="N953" s="52" t="str">
        <x:f>IF(B953="","",IF(OR(M953="Tahsil Edildi",M953="İptal",J953="Riskli"),"Hayır","Evet"))</x:f>
      </x:c>
    </x:row>
    <x:row r="954">
      <x:c r="B954" s="46"/>
      <x:c r="C954" s="46"/>
      <x:c r="D954" s="112"/>
      <x:c r="E954" s="112"/>
      <x:c r="F954" s="92"/>
      <x:c r="G954" s="92"/>
      <x:c r="H954" s="92"/>
      <x:c r="I954" s="93" t="str">
        <x:f>IF(B954="","",MAX(0,F954-H954))</x:f>
      </x:c>
      <x:c r="J954" s="46"/>
      <x:c r="K954" s="100" t="str">
        <x:f>IF(B954="","",IF(G954="TL",1,IF(G954="USD",KURLAR!$C$9,IF(G954="EUR",KURLAR!$C$10,0))))</x:f>
      </x:c>
      <x:c r="L954" s="68" t="str">
        <x:f>IF(B954="","",I954*K954)</x:f>
      </x:c>
      <x:c r="M954" s="46"/>
      <x:c r="N954" s="52" t="str">
        <x:f>IF(B954="","",IF(OR(M954="Tahsil Edildi",M954="İptal",J954="Riskli"),"Hayır","Evet"))</x:f>
      </x:c>
    </x:row>
    <x:row r="955">
      <x:c r="B955" s="46"/>
      <x:c r="C955" s="46"/>
      <x:c r="D955" s="112"/>
      <x:c r="E955" s="112"/>
      <x:c r="F955" s="92"/>
      <x:c r="G955" s="92"/>
      <x:c r="H955" s="92"/>
      <x:c r="I955" s="93" t="str">
        <x:f>IF(B955="","",MAX(0,F955-H955))</x:f>
      </x:c>
      <x:c r="J955" s="46"/>
      <x:c r="K955" s="100" t="str">
        <x:f>IF(B955="","",IF(G955="TL",1,IF(G955="USD",KURLAR!$C$9,IF(G955="EUR",KURLAR!$C$10,0))))</x:f>
      </x:c>
      <x:c r="L955" s="68" t="str">
        <x:f>IF(B955="","",I955*K955)</x:f>
      </x:c>
      <x:c r="M955" s="46"/>
      <x:c r="N955" s="52" t="str">
        <x:f>IF(B955="","",IF(OR(M955="Tahsil Edildi",M955="İptal",J955="Riskli"),"Hayır","Evet"))</x:f>
      </x:c>
    </x:row>
    <x:row r="956">
      <x:c r="B956" s="46"/>
      <x:c r="C956" s="46"/>
      <x:c r="D956" s="112"/>
      <x:c r="E956" s="112"/>
      <x:c r="F956" s="92"/>
      <x:c r="G956" s="92"/>
      <x:c r="H956" s="92"/>
      <x:c r="I956" s="93" t="str">
        <x:f>IF(B956="","",MAX(0,F956-H956))</x:f>
      </x:c>
      <x:c r="J956" s="46"/>
      <x:c r="K956" s="100" t="str">
        <x:f>IF(B956="","",IF(G956="TL",1,IF(G956="USD",KURLAR!$C$9,IF(G956="EUR",KURLAR!$C$10,0))))</x:f>
      </x:c>
      <x:c r="L956" s="68" t="str">
        <x:f>IF(B956="","",I956*K956)</x:f>
      </x:c>
      <x:c r="M956" s="46"/>
      <x:c r="N956" s="52" t="str">
        <x:f>IF(B956="","",IF(OR(M956="Tahsil Edildi",M956="İptal",J956="Riskli"),"Hayır","Evet"))</x:f>
      </x:c>
    </x:row>
    <x:row r="957">
      <x:c r="B957" s="46"/>
      <x:c r="C957" s="46"/>
      <x:c r="D957" s="112"/>
      <x:c r="E957" s="112"/>
      <x:c r="F957" s="92"/>
      <x:c r="G957" s="92"/>
      <x:c r="H957" s="92"/>
      <x:c r="I957" s="93" t="str">
        <x:f>IF(B957="","",MAX(0,F957-H957))</x:f>
      </x:c>
      <x:c r="J957" s="46"/>
      <x:c r="K957" s="100" t="str">
        <x:f>IF(B957="","",IF(G957="TL",1,IF(G957="USD",KURLAR!$C$9,IF(G957="EUR",KURLAR!$C$10,0))))</x:f>
      </x:c>
      <x:c r="L957" s="68" t="str">
        <x:f>IF(B957="","",I957*K957)</x:f>
      </x:c>
      <x:c r="M957" s="46"/>
      <x:c r="N957" s="52" t="str">
        <x:f>IF(B957="","",IF(OR(M957="Tahsil Edildi",M957="İptal",J957="Riskli"),"Hayır","Evet"))</x:f>
      </x:c>
    </x:row>
    <x:row r="958">
      <x:c r="B958" s="46"/>
      <x:c r="C958" s="46"/>
      <x:c r="D958" s="112"/>
      <x:c r="E958" s="112"/>
      <x:c r="F958" s="92"/>
      <x:c r="G958" s="92"/>
      <x:c r="H958" s="92"/>
      <x:c r="I958" s="93" t="str">
        <x:f>IF(B958="","",MAX(0,F958-H958))</x:f>
      </x:c>
      <x:c r="J958" s="46"/>
      <x:c r="K958" s="100" t="str">
        <x:f>IF(B958="","",IF(G958="TL",1,IF(G958="USD",KURLAR!$C$9,IF(G958="EUR",KURLAR!$C$10,0))))</x:f>
      </x:c>
      <x:c r="L958" s="68" t="str">
        <x:f>IF(B958="","",I958*K958)</x:f>
      </x:c>
      <x:c r="M958" s="46"/>
      <x:c r="N958" s="52" t="str">
        <x:f>IF(B958="","",IF(OR(M958="Tahsil Edildi",M958="İptal",J958="Riskli"),"Hayır","Evet"))</x:f>
      </x:c>
    </x:row>
    <x:row r="959">
      <x:c r="B959" s="46"/>
      <x:c r="C959" s="46"/>
      <x:c r="D959" s="112"/>
      <x:c r="E959" s="112"/>
      <x:c r="F959" s="92"/>
      <x:c r="G959" s="92"/>
      <x:c r="H959" s="92"/>
      <x:c r="I959" s="93" t="str">
        <x:f>IF(B959="","",MAX(0,F959-H959))</x:f>
      </x:c>
      <x:c r="J959" s="46"/>
      <x:c r="K959" s="100" t="str">
        <x:f>IF(B959="","",IF(G959="TL",1,IF(G959="USD",KURLAR!$C$9,IF(G959="EUR",KURLAR!$C$10,0))))</x:f>
      </x:c>
      <x:c r="L959" s="68" t="str">
        <x:f>IF(B959="","",I959*K959)</x:f>
      </x:c>
      <x:c r="M959" s="46"/>
      <x:c r="N959" s="52" t="str">
        <x:f>IF(B959="","",IF(OR(M959="Tahsil Edildi",M959="İptal",J959="Riskli"),"Hayır","Evet"))</x:f>
      </x:c>
    </x:row>
    <x:row r="960">
      <x:c r="B960" s="46"/>
      <x:c r="C960" s="46"/>
      <x:c r="D960" s="112"/>
      <x:c r="E960" s="112"/>
      <x:c r="F960" s="92"/>
      <x:c r="G960" s="92"/>
      <x:c r="H960" s="92"/>
      <x:c r="I960" s="93" t="str">
        <x:f>IF(B960="","",MAX(0,F960-H960))</x:f>
      </x:c>
      <x:c r="J960" s="46"/>
      <x:c r="K960" s="100" t="str">
        <x:f>IF(B960="","",IF(G960="TL",1,IF(G960="USD",KURLAR!$C$9,IF(G960="EUR",KURLAR!$C$10,0))))</x:f>
      </x:c>
      <x:c r="L960" s="68" t="str">
        <x:f>IF(B960="","",I960*K960)</x:f>
      </x:c>
      <x:c r="M960" s="46"/>
      <x:c r="N960" s="52" t="str">
        <x:f>IF(B960="","",IF(OR(M960="Tahsil Edildi",M960="İptal",J960="Riskli"),"Hayır","Evet"))</x:f>
      </x:c>
    </x:row>
    <x:row r="961">
      <x:c r="B961" s="46"/>
      <x:c r="C961" s="46"/>
      <x:c r="D961" s="112"/>
      <x:c r="E961" s="112"/>
      <x:c r="F961" s="92"/>
      <x:c r="G961" s="92"/>
      <x:c r="H961" s="92"/>
      <x:c r="I961" s="93" t="str">
        <x:f>IF(B961="","",MAX(0,F961-H961))</x:f>
      </x:c>
      <x:c r="J961" s="46"/>
      <x:c r="K961" s="100" t="str">
        <x:f>IF(B961="","",IF(G961="TL",1,IF(G961="USD",KURLAR!$C$9,IF(G961="EUR",KURLAR!$C$10,0))))</x:f>
      </x:c>
      <x:c r="L961" s="68" t="str">
        <x:f>IF(B961="","",I961*K961)</x:f>
      </x:c>
      <x:c r="M961" s="46"/>
      <x:c r="N961" s="52" t="str">
        <x:f>IF(B961="","",IF(OR(M961="Tahsil Edildi",M961="İptal",J961="Riskli"),"Hayır","Evet"))</x:f>
      </x:c>
    </x:row>
    <x:row r="962">
      <x:c r="B962" s="46"/>
      <x:c r="C962" s="46"/>
      <x:c r="D962" s="112"/>
      <x:c r="E962" s="112"/>
      <x:c r="F962" s="92"/>
      <x:c r="G962" s="92"/>
      <x:c r="H962" s="92"/>
      <x:c r="I962" s="93" t="str">
        <x:f>IF(B962="","",MAX(0,F962-H962))</x:f>
      </x:c>
      <x:c r="J962" s="46"/>
      <x:c r="K962" s="100" t="str">
        <x:f>IF(B962="","",IF(G962="TL",1,IF(G962="USD",KURLAR!$C$9,IF(G962="EUR",KURLAR!$C$10,0))))</x:f>
      </x:c>
      <x:c r="L962" s="68" t="str">
        <x:f>IF(B962="","",I962*K962)</x:f>
      </x:c>
      <x:c r="M962" s="46"/>
      <x:c r="N962" s="52" t="str">
        <x:f>IF(B962="","",IF(OR(M962="Tahsil Edildi",M962="İptal",J962="Riskli"),"Hayır","Evet"))</x:f>
      </x:c>
    </x:row>
    <x:row r="963">
      <x:c r="B963" s="46"/>
      <x:c r="C963" s="46"/>
      <x:c r="D963" s="112"/>
      <x:c r="E963" s="112"/>
      <x:c r="F963" s="92"/>
      <x:c r="G963" s="92"/>
      <x:c r="H963" s="92"/>
      <x:c r="I963" s="93" t="str">
        <x:f>IF(B963="","",MAX(0,F963-H963))</x:f>
      </x:c>
      <x:c r="J963" s="46"/>
      <x:c r="K963" s="100" t="str">
        <x:f>IF(B963="","",IF(G963="TL",1,IF(G963="USD",KURLAR!$C$9,IF(G963="EUR",KURLAR!$C$10,0))))</x:f>
      </x:c>
      <x:c r="L963" s="68" t="str">
        <x:f>IF(B963="","",I963*K963)</x:f>
      </x:c>
      <x:c r="M963" s="46"/>
      <x:c r="N963" s="52" t="str">
        <x:f>IF(B963="","",IF(OR(M963="Tahsil Edildi",M963="İptal",J963="Riskli"),"Hayır","Evet"))</x:f>
      </x:c>
    </x:row>
    <x:row r="964">
      <x:c r="B964" s="46"/>
      <x:c r="C964" s="46"/>
      <x:c r="D964" s="112"/>
      <x:c r="E964" s="112"/>
      <x:c r="F964" s="92"/>
      <x:c r="G964" s="92"/>
      <x:c r="H964" s="92"/>
      <x:c r="I964" s="93" t="str">
        <x:f>IF(B964="","",MAX(0,F964-H964))</x:f>
      </x:c>
      <x:c r="J964" s="46"/>
      <x:c r="K964" s="100" t="str">
        <x:f>IF(B964="","",IF(G964="TL",1,IF(G964="USD",KURLAR!$C$9,IF(G964="EUR",KURLAR!$C$10,0))))</x:f>
      </x:c>
      <x:c r="L964" s="68" t="str">
        <x:f>IF(B964="","",I964*K964)</x:f>
      </x:c>
      <x:c r="M964" s="46"/>
      <x:c r="N964" s="52" t="str">
        <x:f>IF(B964="","",IF(OR(M964="Tahsil Edildi",M964="İptal",J964="Riskli"),"Hayır","Evet"))</x:f>
      </x:c>
    </x:row>
    <x:row r="965">
      <x:c r="B965" s="46"/>
      <x:c r="C965" s="46"/>
      <x:c r="D965" s="112"/>
      <x:c r="E965" s="112"/>
      <x:c r="F965" s="92"/>
      <x:c r="G965" s="92"/>
      <x:c r="H965" s="92"/>
      <x:c r="I965" s="93" t="str">
        <x:f>IF(B965="","",MAX(0,F965-H965))</x:f>
      </x:c>
      <x:c r="J965" s="46"/>
      <x:c r="K965" s="100" t="str">
        <x:f>IF(B965="","",IF(G965="TL",1,IF(G965="USD",KURLAR!$C$9,IF(G965="EUR",KURLAR!$C$10,0))))</x:f>
      </x:c>
      <x:c r="L965" s="68" t="str">
        <x:f>IF(B965="","",I965*K965)</x:f>
      </x:c>
      <x:c r="M965" s="46"/>
      <x:c r="N965" s="52" t="str">
        <x:f>IF(B965="","",IF(OR(M965="Tahsil Edildi",M965="İptal",J965="Riskli"),"Hayır","Evet"))</x:f>
      </x:c>
    </x:row>
    <x:row r="966">
      <x:c r="B966" s="46"/>
      <x:c r="C966" s="46"/>
      <x:c r="D966" s="112"/>
      <x:c r="E966" s="112"/>
      <x:c r="F966" s="92"/>
      <x:c r="G966" s="92"/>
      <x:c r="H966" s="92"/>
      <x:c r="I966" s="93" t="str">
        <x:f>IF(B966="","",MAX(0,F966-H966))</x:f>
      </x:c>
      <x:c r="J966" s="46"/>
      <x:c r="K966" s="100" t="str">
        <x:f>IF(B966="","",IF(G966="TL",1,IF(G966="USD",KURLAR!$C$9,IF(G966="EUR",KURLAR!$C$10,0))))</x:f>
      </x:c>
      <x:c r="L966" s="68" t="str">
        <x:f>IF(B966="","",I966*K966)</x:f>
      </x:c>
      <x:c r="M966" s="46"/>
      <x:c r="N966" s="52" t="str">
        <x:f>IF(B966="","",IF(OR(M966="Tahsil Edildi",M966="İptal",J966="Riskli"),"Hayır","Evet"))</x:f>
      </x:c>
    </x:row>
    <x:row r="967">
      <x:c r="B967" s="46"/>
      <x:c r="C967" s="46"/>
      <x:c r="D967" s="112"/>
      <x:c r="E967" s="112"/>
      <x:c r="F967" s="92"/>
      <x:c r="G967" s="92"/>
      <x:c r="H967" s="92"/>
      <x:c r="I967" s="93" t="str">
        <x:f>IF(B967="","",MAX(0,F967-H967))</x:f>
      </x:c>
      <x:c r="J967" s="46"/>
      <x:c r="K967" s="100" t="str">
        <x:f>IF(B967="","",IF(G967="TL",1,IF(G967="USD",KURLAR!$C$9,IF(G967="EUR",KURLAR!$C$10,0))))</x:f>
      </x:c>
      <x:c r="L967" s="68" t="str">
        <x:f>IF(B967="","",I967*K967)</x:f>
      </x:c>
      <x:c r="M967" s="46"/>
      <x:c r="N967" s="52" t="str">
        <x:f>IF(B967="","",IF(OR(M967="Tahsil Edildi",M967="İptal",J967="Riskli"),"Hayır","Evet"))</x:f>
      </x:c>
    </x:row>
    <x:row r="968">
      <x:c r="B968" s="46"/>
      <x:c r="C968" s="46"/>
      <x:c r="D968" s="112"/>
      <x:c r="E968" s="112"/>
      <x:c r="F968" s="92"/>
      <x:c r="G968" s="92"/>
      <x:c r="H968" s="92"/>
      <x:c r="I968" s="93" t="str">
        <x:f>IF(B968="","",MAX(0,F968-H968))</x:f>
      </x:c>
      <x:c r="J968" s="46"/>
      <x:c r="K968" s="100" t="str">
        <x:f>IF(B968="","",IF(G968="TL",1,IF(G968="USD",KURLAR!$C$9,IF(G968="EUR",KURLAR!$C$10,0))))</x:f>
      </x:c>
      <x:c r="L968" s="68" t="str">
        <x:f>IF(B968="","",I968*K968)</x:f>
      </x:c>
      <x:c r="M968" s="46"/>
      <x:c r="N968" s="52" t="str">
        <x:f>IF(B968="","",IF(OR(M968="Tahsil Edildi",M968="İptal",J968="Riskli"),"Hayır","Evet"))</x:f>
      </x:c>
    </x:row>
    <x:row r="969">
      <x:c r="B969" s="46"/>
      <x:c r="C969" s="46"/>
      <x:c r="D969" s="112"/>
      <x:c r="E969" s="112"/>
      <x:c r="F969" s="92"/>
      <x:c r="G969" s="92"/>
      <x:c r="H969" s="92"/>
      <x:c r="I969" s="93" t="str">
        <x:f>IF(B969="","",MAX(0,F969-H969))</x:f>
      </x:c>
      <x:c r="J969" s="46"/>
      <x:c r="K969" s="100" t="str">
        <x:f>IF(B969="","",IF(G969="TL",1,IF(G969="USD",KURLAR!$C$9,IF(G969="EUR",KURLAR!$C$10,0))))</x:f>
      </x:c>
      <x:c r="L969" s="68" t="str">
        <x:f>IF(B969="","",I969*K969)</x:f>
      </x:c>
      <x:c r="M969" s="46"/>
      <x:c r="N969" s="52" t="str">
        <x:f>IF(B969="","",IF(OR(M969="Tahsil Edildi",M969="İptal",J969="Riskli"),"Hayır","Evet"))</x:f>
      </x:c>
    </x:row>
    <x:row r="970">
      <x:c r="B970" s="46"/>
      <x:c r="C970" s="46"/>
      <x:c r="D970" s="112"/>
      <x:c r="E970" s="112"/>
      <x:c r="F970" s="92"/>
      <x:c r="G970" s="92"/>
      <x:c r="H970" s="92"/>
      <x:c r="I970" s="93" t="str">
        <x:f>IF(B970="","",MAX(0,F970-H970))</x:f>
      </x:c>
      <x:c r="J970" s="46"/>
      <x:c r="K970" s="100" t="str">
        <x:f>IF(B970="","",IF(G970="TL",1,IF(G970="USD",KURLAR!$C$9,IF(G970="EUR",KURLAR!$C$10,0))))</x:f>
      </x:c>
      <x:c r="L970" s="68" t="str">
        <x:f>IF(B970="","",I970*K970)</x:f>
      </x:c>
      <x:c r="M970" s="46"/>
      <x:c r="N970" s="52" t="str">
        <x:f>IF(B970="","",IF(OR(M970="Tahsil Edildi",M970="İptal",J970="Riskli"),"Hayır","Evet"))</x:f>
      </x:c>
    </x:row>
    <x:row r="971">
      <x:c r="B971" s="46"/>
      <x:c r="C971" s="46"/>
      <x:c r="D971" s="112"/>
      <x:c r="E971" s="112"/>
      <x:c r="F971" s="92"/>
      <x:c r="G971" s="92"/>
      <x:c r="H971" s="92"/>
      <x:c r="I971" s="93" t="str">
        <x:f>IF(B971="","",MAX(0,F971-H971))</x:f>
      </x:c>
      <x:c r="J971" s="46"/>
      <x:c r="K971" s="100" t="str">
        <x:f>IF(B971="","",IF(G971="TL",1,IF(G971="USD",KURLAR!$C$9,IF(G971="EUR",KURLAR!$C$10,0))))</x:f>
      </x:c>
      <x:c r="L971" s="68" t="str">
        <x:f>IF(B971="","",I971*K971)</x:f>
      </x:c>
      <x:c r="M971" s="46"/>
      <x:c r="N971" s="52" t="str">
        <x:f>IF(B971="","",IF(OR(M971="Tahsil Edildi",M971="İptal",J971="Riskli"),"Hayır","Evet"))</x:f>
      </x:c>
    </x:row>
    <x:row r="972">
      <x:c r="B972" s="46"/>
      <x:c r="C972" s="46"/>
      <x:c r="D972" s="112"/>
      <x:c r="E972" s="112"/>
      <x:c r="F972" s="92"/>
      <x:c r="G972" s="92"/>
      <x:c r="H972" s="92"/>
      <x:c r="I972" s="93" t="str">
        <x:f>IF(B972="","",MAX(0,F972-H972))</x:f>
      </x:c>
      <x:c r="J972" s="46"/>
      <x:c r="K972" s="100" t="str">
        <x:f>IF(B972="","",IF(G972="TL",1,IF(G972="USD",KURLAR!$C$9,IF(G972="EUR",KURLAR!$C$10,0))))</x:f>
      </x:c>
      <x:c r="L972" s="68" t="str">
        <x:f>IF(B972="","",I972*K972)</x:f>
      </x:c>
      <x:c r="M972" s="46"/>
      <x:c r="N972" s="52" t="str">
        <x:f>IF(B972="","",IF(OR(M972="Tahsil Edildi",M972="İptal",J972="Riskli"),"Hayır","Evet"))</x:f>
      </x:c>
    </x:row>
    <x:row r="973">
      <x:c r="B973" s="46"/>
      <x:c r="C973" s="46"/>
      <x:c r="D973" s="112"/>
      <x:c r="E973" s="112"/>
      <x:c r="F973" s="92"/>
      <x:c r="G973" s="92"/>
      <x:c r="H973" s="92"/>
      <x:c r="I973" s="93" t="str">
        <x:f>IF(B973="","",MAX(0,F973-H973))</x:f>
      </x:c>
      <x:c r="J973" s="46"/>
      <x:c r="K973" s="100" t="str">
        <x:f>IF(B973="","",IF(G973="TL",1,IF(G973="USD",KURLAR!$C$9,IF(G973="EUR",KURLAR!$C$10,0))))</x:f>
      </x:c>
      <x:c r="L973" s="68" t="str">
        <x:f>IF(B973="","",I973*K973)</x:f>
      </x:c>
      <x:c r="M973" s="46"/>
      <x:c r="N973" s="52" t="str">
        <x:f>IF(B973="","",IF(OR(M973="Tahsil Edildi",M973="İptal",J973="Riskli"),"Hayır","Evet"))</x:f>
      </x:c>
    </x:row>
    <x:row r="974">
      <x:c r="B974" s="46"/>
      <x:c r="C974" s="46"/>
      <x:c r="D974" s="112"/>
      <x:c r="E974" s="112"/>
      <x:c r="F974" s="92"/>
      <x:c r="G974" s="92"/>
      <x:c r="H974" s="92"/>
      <x:c r="I974" s="93" t="str">
        <x:f>IF(B974="","",MAX(0,F974-H974))</x:f>
      </x:c>
      <x:c r="J974" s="46"/>
      <x:c r="K974" s="100" t="str">
        <x:f>IF(B974="","",IF(G974="TL",1,IF(G974="USD",KURLAR!$C$9,IF(G974="EUR",KURLAR!$C$10,0))))</x:f>
      </x:c>
      <x:c r="L974" s="68" t="str">
        <x:f>IF(B974="","",I974*K974)</x:f>
      </x:c>
      <x:c r="M974" s="46"/>
      <x:c r="N974" s="52" t="str">
        <x:f>IF(B974="","",IF(OR(M974="Tahsil Edildi",M974="İptal",J974="Riskli"),"Hayır","Evet"))</x:f>
      </x:c>
    </x:row>
    <x:row r="975">
      <x:c r="B975" s="46"/>
      <x:c r="C975" s="46"/>
      <x:c r="D975" s="112"/>
      <x:c r="E975" s="112"/>
      <x:c r="F975" s="92"/>
      <x:c r="G975" s="92"/>
      <x:c r="H975" s="92"/>
      <x:c r="I975" s="93" t="str">
        <x:f>IF(B975="","",MAX(0,F975-H975))</x:f>
      </x:c>
      <x:c r="J975" s="46"/>
      <x:c r="K975" s="100" t="str">
        <x:f>IF(B975="","",IF(G975="TL",1,IF(G975="USD",KURLAR!$C$9,IF(G975="EUR",KURLAR!$C$10,0))))</x:f>
      </x:c>
      <x:c r="L975" s="68" t="str">
        <x:f>IF(B975="","",I975*K975)</x:f>
      </x:c>
      <x:c r="M975" s="46"/>
      <x:c r="N975" s="52" t="str">
        <x:f>IF(B975="","",IF(OR(M975="Tahsil Edildi",M975="İptal",J975="Riskli"),"Hayır","Evet"))</x:f>
      </x:c>
    </x:row>
    <x:row r="976">
      <x:c r="B976" s="46"/>
      <x:c r="C976" s="46"/>
      <x:c r="D976" s="112"/>
      <x:c r="E976" s="112"/>
      <x:c r="F976" s="92"/>
      <x:c r="G976" s="92"/>
      <x:c r="H976" s="92"/>
      <x:c r="I976" s="93" t="str">
        <x:f>IF(B976="","",MAX(0,F976-H976))</x:f>
      </x:c>
      <x:c r="J976" s="46"/>
      <x:c r="K976" s="100" t="str">
        <x:f>IF(B976="","",IF(G976="TL",1,IF(G976="USD",KURLAR!$C$9,IF(G976="EUR",KURLAR!$C$10,0))))</x:f>
      </x:c>
      <x:c r="L976" s="68" t="str">
        <x:f>IF(B976="","",I976*K976)</x:f>
      </x:c>
      <x:c r="M976" s="46"/>
      <x:c r="N976" s="52" t="str">
        <x:f>IF(B976="","",IF(OR(M976="Tahsil Edildi",M976="İptal",J976="Riskli"),"Hayır","Evet"))</x:f>
      </x:c>
    </x:row>
    <x:row r="977">
      <x:c r="B977" s="46"/>
      <x:c r="C977" s="46"/>
      <x:c r="D977" s="112"/>
      <x:c r="E977" s="112"/>
      <x:c r="F977" s="92"/>
      <x:c r="G977" s="92"/>
      <x:c r="H977" s="92"/>
      <x:c r="I977" s="93" t="str">
        <x:f>IF(B977="","",MAX(0,F977-H977))</x:f>
      </x:c>
      <x:c r="J977" s="46"/>
      <x:c r="K977" s="100" t="str">
        <x:f>IF(B977="","",IF(G977="TL",1,IF(G977="USD",KURLAR!$C$9,IF(G977="EUR",KURLAR!$C$10,0))))</x:f>
      </x:c>
      <x:c r="L977" s="68" t="str">
        <x:f>IF(B977="","",I977*K977)</x:f>
      </x:c>
      <x:c r="M977" s="46"/>
      <x:c r="N977" s="52" t="str">
        <x:f>IF(B977="","",IF(OR(M977="Tahsil Edildi",M977="İptal",J977="Riskli"),"Hayır","Evet"))</x:f>
      </x:c>
    </x:row>
    <x:row r="978">
      <x:c r="B978" s="46"/>
      <x:c r="C978" s="46"/>
      <x:c r="D978" s="112"/>
      <x:c r="E978" s="112"/>
      <x:c r="F978" s="92"/>
      <x:c r="G978" s="92"/>
      <x:c r="H978" s="92"/>
      <x:c r="I978" s="93" t="str">
        <x:f>IF(B978="","",MAX(0,F978-H978))</x:f>
      </x:c>
      <x:c r="J978" s="46"/>
      <x:c r="K978" s="100" t="str">
        <x:f>IF(B978="","",IF(G978="TL",1,IF(G978="USD",KURLAR!$C$9,IF(G978="EUR",KURLAR!$C$10,0))))</x:f>
      </x:c>
      <x:c r="L978" s="68" t="str">
        <x:f>IF(B978="","",I978*K978)</x:f>
      </x:c>
      <x:c r="M978" s="46"/>
      <x:c r="N978" s="52" t="str">
        <x:f>IF(B978="","",IF(OR(M978="Tahsil Edildi",M978="İptal",J978="Riskli"),"Hayır","Evet"))</x:f>
      </x:c>
    </x:row>
    <x:row r="979">
      <x:c r="B979" s="46"/>
      <x:c r="C979" s="46"/>
      <x:c r="D979" s="112"/>
      <x:c r="E979" s="112"/>
      <x:c r="F979" s="92"/>
      <x:c r="G979" s="92"/>
      <x:c r="H979" s="92"/>
      <x:c r="I979" s="93" t="str">
        <x:f>IF(B979="","",MAX(0,F979-H979))</x:f>
      </x:c>
      <x:c r="J979" s="46"/>
      <x:c r="K979" s="100" t="str">
        <x:f>IF(B979="","",IF(G979="TL",1,IF(G979="USD",KURLAR!$C$9,IF(G979="EUR",KURLAR!$C$10,0))))</x:f>
      </x:c>
      <x:c r="L979" s="68" t="str">
        <x:f>IF(B979="","",I979*K979)</x:f>
      </x:c>
      <x:c r="M979" s="46"/>
      <x:c r="N979" s="52" t="str">
        <x:f>IF(B979="","",IF(OR(M979="Tahsil Edildi",M979="İptal",J979="Riskli"),"Hayır","Evet"))</x:f>
      </x:c>
    </x:row>
    <x:row r="980">
      <x:c r="B980" s="46"/>
      <x:c r="C980" s="46"/>
      <x:c r="D980" s="112"/>
      <x:c r="E980" s="112"/>
      <x:c r="F980" s="92"/>
      <x:c r="G980" s="92"/>
      <x:c r="H980" s="92"/>
      <x:c r="I980" s="93" t="str">
        <x:f>IF(B980="","",MAX(0,F980-H980))</x:f>
      </x:c>
      <x:c r="J980" s="46"/>
      <x:c r="K980" s="100" t="str">
        <x:f>IF(B980="","",IF(G980="TL",1,IF(G980="USD",KURLAR!$C$9,IF(G980="EUR",KURLAR!$C$10,0))))</x:f>
      </x:c>
      <x:c r="L980" s="68" t="str">
        <x:f>IF(B980="","",I980*K980)</x:f>
      </x:c>
      <x:c r="M980" s="46"/>
      <x:c r="N980" s="52" t="str">
        <x:f>IF(B980="","",IF(OR(M980="Tahsil Edildi",M980="İptal",J980="Riskli"),"Hayır","Evet"))</x:f>
      </x:c>
    </x:row>
    <x:row r="981">
      <x:c r="B981" s="46"/>
      <x:c r="C981" s="46"/>
      <x:c r="D981" s="112"/>
      <x:c r="E981" s="112"/>
      <x:c r="F981" s="92"/>
      <x:c r="G981" s="92"/>
      <x:c r="H981" s="92"/>
      <x:c r="I981" s="93" t="str">
        <x:f>IF(B981="","",MAX(0,F981-H981))</x:f>
      </x:c>
      <x:c r="J981" s="46"/>
      <x:c r="K981" s="100" t="str">
        <x:f>IF(B981="","",IF(G981="TL",1,IF(G981="USD",KURLAR!$C$9,IF(G981="EUR",KURLAR!$C$10,0))))</x:f>
      </x:c>
      <x:c r="L981" s="68" t="str">
        <x:f>IF(B981="","",I981*K981)</x:f>
      </x:c>
      <x:c r="M981" s="46"/>
      <x:c r="N981" s="52" t="str">
        <x:f>IF(B981="","",IF(OR(M981="Tahsil Edildi",M981="İptal",J981="Riskli"),"Hayır","Evet"))</x:f>
      </x:c>
    </x:row>
    <x:row r="982">
      <x:c r="B982" s="46"/>
      <x:c r="C982" s="46"/>
      <x:c r="D982" s="112"/>
      <x:c r="E982" s="112"/>
      <x:c r="F982" s="92"/>
      <x:c r="G982" s="92"/>
      <x:c r="H982" s="92"/>
      <x:c r="I982" s="93" t="str">
        <x:f>IF(B982="","",MAX(0,F982-H982))</x:f>
      </x:c>
      <x:c r="J982" s="46"/>
      <x:c r="K982" s="100" t="str">
        <x:f>IF(B982="","",IF(G982="TL",1,IF(G982="USD",KURLAR!$C$9,IF(G982="EUR",KURLAR!$C$10,0))))</x:f>
      </x:c>
      <x:c r="L982" s="68" t="str">
        <x:f>IF(B982="","",I982*K982)</x:f>
      </x:c>
      <x:c r="M982" s="46"/>
      <x:c r="N982" s="52" t="str">
        <x:f>IF(B982="","",IF(OR(M982="Tahsil Edildi",M982="İptal",J982="Riskli"),"Hayır","Evet"))</x:f>
      </x:c>
    </x:row>
    <x:row r="983">
      <x:c r="B983" s="46"/>
      <x:c r="C983" s="46"/>
      <x:c r="D983" s="112"/>
      <x:c r="E983" s="112"/>
      <x:c r="F983" s="92"/>
      <x:c r="G983" s="92"/>
      <x:c r="H983" s="92"/>
      <x:c r="I983" s="93" t="str">
        <x:f>IF(B983="","",MAX(0,F983-H983))</x:f>
      </x:c>
      <x:c r="J983" s="46"/>
      <x:c r="K983" s="100" t="str">
        <x:f>IF(B983="","",IF(G983="TL",1,IF(G983="USD",KURLAR!$C$9,IF(G983="EUR",KURLAR!$C$10,0))))</x:f>
      </x:c>
      <x:c r="L983" s="68" t="str">
        <x:f>IF(B983="","",I983*K983)</x:f>
      </x:c>
      <x:c r="M983" s="46"/>
      <x:c r="N983" s="52" t="str">
        <x:f>IF(B983="","",IF(OR(M983="Tahsil Edildi",M983="İptal",J983="Riskli"),"Hayır","Evet"))</x:f>
      </x:c>
    </x:row>
    <x:row r="984">
      <x:c r="B984" s="46"/>
      <x:c r="C984" s="46"/>
      <x:c r="D984" s="112"/>
      <x:c r="E984" s="112"/>
      <x:c r="F984" s="92"/>
      <x:c r="G984" s="92"/>
      <x:c r="H984" s="92"/>
      <x:c r="I984" s="93" t="str">
        <x:f>IF(B984="","",MAX(0,F984-H984))</x:f>
      </x:c>
      <x:c r="J984" s="46"/>
      <x:c r="K984" s="100" t="str">
        <x:f>IF(B984="","",IF(G984="TL",1,IF(G984="USD",KURLAR!$C$9,IF(G984="EUR",KURLAR!$C$10,0))))</x:f>
      </x:c>
      <x:c r="L984" s="68" t="str">
        <x:f>IF(B984="","",I984*K984)</x:f>
      </x:c>
      <x:c r="M984" s="46"/>
      <x:c r="N984" s="52" t="str">
        <x:f>IF(B984="","",IF(OR(M984="Tahsil Edildi",M984="İptal",J984="Riskli"),"Hayır","Evet"))</x:f>
      </x:c>
    </x:row>
    <x:row r="985">
      <x:c r="B985" s="46"/>
      <x:c r="C985" s="46"/>
      <x:c r="D985" s="112"/>
      <x:c r="E985" s="112"/>
      <x:c r="F985" s="92"/>
      <x:c r="G985" s="92"/>
      <x:c r="H985" s="92"/>
      <x:c r="I985" s="93" t="str">
        <x:f>IF(B985="","",MAX(0,F985-H985))</x:f>
      </x:c>
      <x:c r="J985" s="46"/>
      <x:c r="K985" s="100" t="str">
        <x:f>IF(B985="","",IF(G985="TL",1,IF(G985="USD",KURLAR!$C$9,IF(G985="EUR",KURLAR!$C$10,0))))</x:f>
      </x:c>
      <x:c r="L985" s="68" t="str">
        <x:f>IF(B985="","",I985*K985)</x:f>
      </x:c>
      <x:c r="M985" s="46"/>
      <x:c r="N985" s="52" t="str">
        <x:f>IF(B985="","",IF(OR(M985="Tahsil Edildi",M985="İptal",J985="Riskli"),"Hayır","Evet"))</x:f>
      </x:c>
    </x:row>
    <x:row r="986">
      <x:c r="B986" s="46"/>
      <x:c r="C986" s="46"/>
      <x:c r="D986" s="112"/>
      <x:c r="E986" s="112"/>
      <x:c r="F986" s="92"/>
      <x:c r="G986" s="92"/>
      <x:c r="H986" s="92"/>
      <x:c r="I986" s="93" t="str">
        <x:f>IF(B986="","",MAX(0,F986-H986))</x:f>
      </x:c>
      <x:c r="J986" s="46"/>
      <x:c r="K986" s="100" t="str">
        <x:f>IF(B986="","",IF(G986="TL",1,IF(G986="USD",KURLAR!$C$9,IF(G986="EUR",KURLAR!$C$10,0))))</x:f>
      </x:c>
      <x:c r="L986" s="68" t="str">
        <x:f>IF(B986="","",I986*K986)</x:f>
      </x:c>
      <x:c r="M986" s="46"/>
      <x:c r="N986" s="52" t="str">
        <x:f>IF(B986="","",IF(OR(M986="Tahsil Edildi",M986="İptal",J986="Riskli"),"Hayır","Evet"))</x:f>
      </x:c>
    </x:row>
    <x:row r="987">
      <x:c r="B987" s="46"/>
      <x:c r="C987" s="46"/>
      <x:c r="D987" s="112"/>
      <x:c r="E987" s="112"/>
      <x:c r="F987" s="92"/>
      <x:c r="G987" s="92"/>
      <x:c r="H987" s="92"/>
      <x:c r="I987" s="93" t="str">
        <x:f>IF(B987="","",MAX(0,F987-H987))</x:f>
      </x:c>
      <x:c r="J987" s="46"/>
      <x:c r="K987" s="100" t="str">
        <x:f>IF(B987="","",IF(G987="TL",1,IF(G987="USD",KURLAR!$C$9,IF(G987="EUR",KURLAR!$C$10,0))))</x:f>
      </x:c>
      <x:c r="L987" s="68" t="str">
        <x:f>IF(B987="","",I987*K987)</x:f>
      </x:c>
      <x:c r="M987" s="46"/>
      <x:c r="N987" s="52" t="str">
        <x:f>IF(B987="","",IF(OR(M987="Tahsil Edildi",M987="İptal",J987="Riskli"),"Hayır","Evet"))</x:f>
      </x:c>
    </x:row>
    <x:row r="988">
      <x:c r="B988" s="46"/>
      <x:c r="C988" s="46"/>
      <x:c r="D988" s="112"/>
      <x:c r="E988" s="112"/>
      <x:c r="F988" s="92"/>
      <x:c r="G988" s="92"/>
      <x:c r="H988" s="92"/>
      <x:c r="I988" s="93" t="str">
        <x:f>IF(B988="","",MAX(0,F988-H988))</x:f>
      </x:c>
      <x:c r="J988" s="46"/>
      <x:c r="K988" s="100" t="str">
        <x:f>IF(B988="","",IF(G988="TL",1,IF(G988="USD",KURLAR!$C$9,IF(G988="EUR",KURLAR!$C$10,0))))</x:f>
      </x:c>
      <x:c r="L988" s="68" t="str">
        <x:f>IF(B988="","",I988*K988)</x:f>
      </x:c>
      <x:c r="M988" s="46"/>
      <x:c r="N988" s="52" t="str">
        <x:f>IF(B988="","",IF(OR(M988="Tahsil Edildi",M988="İptal",J988="Riskli"),"Hayır","Evet"))</x:f>
      </x:c>
    </x:row>
    <x:row r="989">
      <x:c r="B989" s="46"/>
      <x:c r="C989" s="46"/>
      <x:c r="D989" s="112"/>
      <x:c r="E989" s="112"/>
      <x:c r="F989" s="92"/>
      <x:c r="G989" s="92"/>
      <x:c r="H989" s="92"/>
      <x:c r="I989" s="93" t="str">
        <x:f>IF(B989="","",MAX(0,F989-H989))</x:f>
      </x:c>
      <x:c r="J989" s="46"/>
      <x:c r="K989" s="100" t="str">
        <x:f>IF(B989="","",IF(G989="TL",1,IF(G989="USD",KURLAR!$C$9,IF(G989="EUR",KURLAR!$C$10,0))))</x:f>
      </x:c>
      <x:c r="L989" s="68" t="str">
        <x:f>IF(B989="","",I989*K989)</x:f>
      </x:c>
      <x:c r="M989" s="46"/>
      <x:c r="N989" s="52" t="str">
        <x:f>IF(B989="","",IF(OR(M989="Tahsil Edildi",M989="İptal",J989="Riskli"),"Hayır","Evet"))</x:f>
      </x:c>
    </x:row>
    <x:row r="990">
      <x:c r="B990" s="46"/>
      <x:c r="C990" s="46"/>
      <x:c r="D990" s="112"/>
      <x:c r="E990" s="112"/>
      <x:c r="F990" s="92"/>
      <x:c r="G990" s="92"/>
      <x:c r="H990" s="92"/>
      <x:c r="I990" s="93" t="str">
        <x:f>IF(B990="","",MAX(0,F990-H990))</x:f>
      </x:c>
      <x:c r="J990" s="46"/>
      <x:c r="K990" s="100" t="str">
        <x:f>IF(B990="","",IF(G990="TL",1,IF(G990="USD",KURLAR!$C$9,IF(G990="EUR",KURLAR!$C$10,0))))</x:f>
      </x:c>
      <x:c r="L990" s="68" t="str">
        <x:f>IF(B990="","",I990*K990)</x:f>
      </x:c>
      <x:c r="M990" s="46"/>
      <x:c r="N990" s="52" t="str">
        <x:f>IF(B990="","",IF(OR(M990="Tahsil Edildi",M990="İptal",J990="Riskli"),"Hayır","Evet"))</x:f>
      </x:c>
    </x:row>
    <x:row r="991">
      <x:c r="B991" s="46"/>
      <x:c r="C991" s="46"/>
      <x:c r="D991" s="112"/>
      <x:c r="E991" s="112"/>
      <x:c r="F991" s="92"/>
      <x:c r="G991" s="92"/>
      <x:c r="H991" s="92"/>
      <x:c r="I991" s="93" t="str">
        <x:f>IF(B991="","",MAX(0,F991-H991))</x:f>
      </x:c>
      <x:c r="J991" s="46"/>
      <x:c r="K991" s="100" t="str">
        <x:f>IF(B991="","",IF(G991="TL",1,IF(G991="USD",KURLAR!$C$9,IF(G991="EUR",KURLAR!$C$10,0))))</x:f>
      </x:c>
      <x:c r="L991" s="68" t="str">
        <x:f>IF(B991="","",I991*K991)</x:f>
      </x:c>
      <x:c r="M991" s="46"/>
      <x:c r="N991" s="52" t="str">
        <x:f>IF(B991="","",IF(OR(M991="Tahsil Edildi",M991="İptal",J991="Riskli"),"Hayır","Evet"))</x:f>
      </x:c>
    </x:row>
    <x:row r="992">
      <x:c r="B992" s="46"/>
      <x:c r="C992" s="46"/>
      <x:c r="D992" s="112"/>
      <x:c r="E992" s="112"/>
      <x:c r="F992" s="92"/>
      <x:c r="G992" s="92"/>
      <x:c r="H992" s="92"/>
      <x:c r="I992" s="93" t="str">
        <x:f>IF(B992="","",MAX(0,F992-H992))</x:f>
      </x:c>
      <x:c r="J992" s="46"/>
      <x:c r="K992" s="100" t="str">
        <x:f>IF(B992="","",IF(G992="TL",1,IF(G992="USD",KURLAR!$C$9,IF(G992="EUR",KURLAR!$C$10,0))))</x:f>
      </x:c>
      <x:c r="L992" s="68" t="str">
        <x:f>IF(B992="","",I992*K992)</x:f>
      </x:c>
      <x:c r="M992" s="46"/>
      <x:c r="N992" s="52" t="str">
        <x:f>IF(B992="","",IF(OR(M992="Tahsil Edildi",M992="İptal",J992="Riskli"),"Hayır","Evet"))</x:f>
      </x:c>
    </x:row>
    <x:row r="993">
      <x:c r="B993" s="46"/>
      <x:c r="C993" s="46"/>
      <x:c r="D993" s="112"/>
      <x:c r="E993" s="112"/>
      <x:c r="F993" s="92"/>
      <x:c r="G993" s="92"/>
      <x:c r="H993" s="92"/>
      <x:c r="I993" s="93" t="str">
        <x:f>IF(B993="","",MAX(0,F993-H993))</x:f>
      </x:c>
      <x:c r="J993" s="46"/>
      <x:c r="K993" s="100" t="str">
        <x:f>IF(B993="","",IF(G993="TL",1,IF(G993="USD",KURLAR!$C$9,IF(G993="EUR",KURLAR!$C$10,0))))</x:f>
      </x:c>
      <x:c r="L993" s="68" t="str">
        <x:f>IF(B993="","",I993*K993)</x:f>
      </x:c>
      <x:c r="M993" s="46"/>
      <x:c r="N993" s="52" t="str">
        <x:f>IF(B993="","",IF(OR(M993="Tahsil Edildi",M993="İptal",J993="Riskli"),"Hayır","Evet"))</x:f>
      </x:c>
    </x:row>
    <x:row r="994">
      <x:c r="B994" s="46"/>
      <x:c r="C994" s="46"/>
      <x:c r="D994" s="112"/>
      <x:c r="E994" s="112"/>
      <x:c r="F994" s="92"/>
      <x:c r="G994" s="92"/>
      <x:c r="H994" s="92"/>
      <x:c r="I994" s="93" t="str">
        <x:f>IF(B994="","",MAX(0,F994-H994))</x:f>
      </x:c>
      <x:c r="J994" s="46"/>
      <x:c r="K994" s="100" t="str">
        <x:f>IF(B994="","",IF(G994="TL",1,IF(G994="USD",KURLAR!$C$9,IF(G994="EUR",KURLAR!$C$10,0))))</x:f>
      </x:c>
      <x:c r="L994" s="68" t="str">
        <x:f>IF(B994="","",I994*K994)</x:f>
      </x:c>
      <x:c r="M994" s="46"/>
      <x:c r="N994" s="52" t="str">
        <x:f>IF(B994="","",IF(OR(M994="Tahsil Edildi",M994="İptal",J994="Riskli"),"Hayır","Evet"))</x:f>
      </x:c>
    </x:row>
    <x:row r="995">
      <x:c r="B995" s="46"/>
      <x:c r="C995" s="46"/>
      <x:c r="D995" s="112"/>
      <x:c r="E995" s="112"/>
      <x:c r="F995" s="92"/>
      <x:c r="G995" s="92"/>
      <x:c r="H995" s="92"/>
      <x:c r="I995" s="93" t="str">
        <x:f>IF(B995="","",MAX(0,F995-H995))</x:f>
      </x:c>
      <x:c r="J995" s="46"/>
      <x:c r="K995" s="100" t="str">
        <x:f>IF(B995="","",IF(G995="TL",1,IF(G995="USD",KURLAR!$C$9,IF(G995="EUR",KURLAR!$C$10,0))))</x:f>
      </x:c>
      <x:c r="L995" s="68" t="str">
        <x:f>IF(B995="","",I995*K995)</x:f>
      </x:c>
      <x:c r="M995" s="46"/>
      <x:c r="N995" s="52" t="str">
        <x:f>IF(B995="","",IF(OR(M995="Tahsil Edildi",M995="İptal",J995="Riskli"),"Hayır","Evet"))</x:f>
      </x:c>
    </x:row>
    <x:row r="996">
      <x:c r="B996" s="46"/>
      <x:c r="C996" s="46"/>
      <x:c r="D996" s="112"/>
      <x:c r="E996" s="112"/>
      <x:c r="F996" s="92"/>
      <x:c r="G996" s="92"/>
      <x:c r="H996" s="92"/>
      <x:c r="I996" s="93" t="str">
        <x:f>IF(B996="","",MAX(0,F996-H996))</x:f>
      </x:c>
      <x:c r="J996" s="46"/>
      <x:c r="K996" s="100" t="str">
        <x:f>IF(B996="","",IF(G996="TL",1,IF(G996="USD",KURLAR!$C$9,IF(G996="EUR",KURLAR!$C$10,0))))</x:f>
      </x:c>
      <x:c r="L996" s="68" t="str">
        <x:f>IF(B996="","",I996*K996)</x:f>
      </x:c>
      <x:c r="M996" s="46"/>
      <x:c r="N996" s="52" t="str">
        <x:f>IF(B996="","",IF(OR(M996="Tahsil Edildi",M996="İptal",J996="Riskli"),"Hayır","Evet"))</x:f>
      </x:c>
    </x:row>
    <x:row r="997">
      <x:c r="B997" s="46"/>
      <x:c r="C997" s="46"/>
      <x:c r="D997" s="112"/>
      <x:c r="E997" s="112"/>
      <x:c r="F997" s="92"/>
      <x:c r="G997" s="92"/>
      <x:c r="H997" s="92"/>
      <x:c r="I997" s="93" t="str">
        <x:f>IF(B997="","",MAX(0,F997-H997))</x:f>
      </x:c>
      <x:c r="J997" s="46"/>
      <x:c r="K997" s="100" t="str">
        <x:f>IF(B997="","",IF(G997="TL",1,IF(G997="USD",KURLAR!$C$9,IF(G997="EUR",KURLAR!$C$10,0))))</x:f>
      </x:c>
      <x:c r="L997" s="68" t="str">
        <x:f>IF(B997="","",I997*K997)</x:f>
      </x:c>
      <x:c r="M997" s="46"/>
      <x:c r="N997" s="52" t="str">
        <x:f>IF(B997="","",IF(OR(M997="Tahsil Edildi",M997="İptal",J997="Riskli"),"Hayır","Evet"))</x:f>
      </x:c>
    </x:row>
    <x:row r="998">
      <x:c r="B998" s="46"/>
      <x:c r="C998" s="46"/>
      <x:c r="D998" s="112"/>
      <x:c r="E998" s="112"/>
      <x:c r="F998" s="92"/>
      <x:c r="G998" s="92"/>
      <x:c r="H998" s="92"/>
      <x:c r="I998" s="93" t="str">
        <x:f>IF(B998="","",MAX(0,F998-H998))</x:f>
      </x:c>
      <x:c r="J998" s="46"/>
      <x:c r="K998" s="100" t="str">
        <x:f>IF(B998="","",IF(G998="TL",1,IF(G998="USD",KURLAR!$C$9,IF(G998="EUR",KURLAR!$C$10,0))))</x:f>
      </x:c>
      <x:c r="L998" s="68" t="str">
        <x:f>IF(B998="","",I998*K998)</x:f>
      </x:c>
      <x:c r="M998" s="46"/>
      <x:c r="N998" s="52" t="str">
        <x:f>IF(B998="","",IF(OR(M998="Tahsil Edildi",M998="İptal",J998="Riskli"),"Hayır","Evet"))</x:f>
      </x:c>
    </x:row>
    <x:row r="999">
      <x:c r="B999" s="46"/>
      <x:c r="C999" s="46"/>
      <x:c r="D999" s="112"/>
      <x:c r="E999" s="112"/>
      <x:c r="F999" s="92"/>
      <x:c r="G999" s="92"/>
      <x:c r="H999" s="92"/>
      <x:c r="I999" s="93" t="str">
        <x:f>IF(B999="","",MAX(0,F999-H999))</x:f>
      </x:c>
      <x:c r="J999" s="46"/>
      <x:c r="K999" s="100" t="str">
        <x:f>IF(B999="","",IF(G999="TL",1,IF(G999="USD",KURLAR!$C$9,IF(G999="EUR",KURLAR!$C$10,0))))</x:f>
      </x:c>
      <x:c r="L999" s="68" t="str">
        <x:f>IF(B999="","",I999*K999)</x:f>
      </x:c>
      <x:c r="M999" s="46"/>
      <x:c r="N999" s="52" t="str">
        <x:f>IF(B999="","",IF(OR(M999="Tahsil Edildi",M999="İptal",J999="Riskli"),"Hayır","Evet"))</x:f>
      </x:c>
    </x:row>
    <x:row r="1000">
      <x:c r="B1000" s="46"/>
      <x:c r="C1000" s="46"/>
      <x:c r="D1000" s="112"/>
      <x:c r="E1000" s="112"/>
      <x:c r="F1000" s="92"/>
      <x:c r="G1000" s="92"/>
      <x:c r="H1000" s="92"/>
      <x:c r="I1000" s="93" t="str">
        <x:f>IF(B1000="","",MAX(0,F1000-H1000))</x:f>
      </x:c>
      <x:c r="J1000" s="46"/>
      <x:c r="K1000" s="100" t="str">
        <x:f>IF(B1000="","",IF(G1000="TL",1,IF(G1000="USD",KURLAR!$C$9,IF(G1000="EUR",KURLAR!$C$10,0))))</x:f>
      </x:c>
      <x:c r="L1000" s="68" t="str">
        <x:f>IF(B1000="","",I1000*K1000)</x:f>
      </x:c>
      <x:c r="M1000" s="46"/>
      <x:c r="N1000" s="52" t="str">
        <x:f>IF(B1000="","",IF(OR(M1000="Tahsil Edildi",M1000="İptal",J1000="Riskli"),"Hayır","Evet"))</x:f>
      </x:c>
    </x:row>
    <x:row r="1001">
      <x:c r="B1001" s="46"/>
      <x:c r="C1001" s="46"/>
      <x:c r="D1001" s="112"/>
      <x:c r="E1001" s="112"/>
      <x:c r="F1001" s="92"/>
      <x:c r="G1001" s="92"/>
      <x:c r="H1001" s="92"/>
      <x:c r="I1001" s="93" t="str">
        <x:f>IF(B1001="","",MAX(0,F1001-H1001))</x:f>
      </x:c>
      <x:c r="J1001" s="46"/>
      <x:c r="K1001" s="100" t="str">
        <x:f>IF(B1001="","",IF(G1001="TL",1,IF(G1001="USD",KURLAR!$C$9,IF(G1001="EUR",KURLAR!$C$10,0))))</x:f>
      </x:c>
      <x:c r="L1001" s="68" t="str">
        <x:f>IF(B1001="","",I1001*K1001)</x:f>
      </x:c>
      <x:c r="M1001" s="46"/>
      <x:c r="N1001" s="52" t="str">
        <x:f>IF(B1001="","",IF(OR(M1001="Tahsil Edildi",M1001="İptal",J1001="Riskli"),"Hayır","Evet"))</x:f>
      </x:c>
    </x:row>
    <x:row r="1002">
      <x:c r="B1002" s="46"/>
      <x:c r="C1002" s="46"/>
      <x:c r="D1002" s="112"/>
      <x:c r="E1002" s="112"/>
      <x:c r="F1002" s="92"/>
      <x:c r="G1002" s="92"/>
      <x:c r="H1002" s="92"/>
      <x:c r="I1002" s="93" t="str">
        <x:f>IF(B1002="","",MAX(0,F1002-H1002))</x:f>
      </x:c>
      <x:c r="J1002" s="46"/>
      <x:c r="K1002" s="100" t="str">
        <x:f>IF(B1002="","",IF(G1002="TL",1,IF(G1002="USD",KURLAR!$C$9,IF(G1002="EUR",KURLAR!$C$10,0))))</x:f>
      </x:c>
      <x:c r="L1002" s="68" t="str">
        <x:f>IF(B1002="","",I1002*K1002)</x:f>
      </x:c>
      <x:c r="M1002" s="46"/>
      <x:c r="N1002" s="52" t="str">
        <x:f>IF(B1002="","",IF(OR(M1002="Tahsil Edildi",M1002="İptal",J1002="Riskli"),"Hayır","Evet"))</x:f>
      </x:c>
    </x:row>
    <x:row r="1003">
      <x:c r="B1003" s="46"/>
      <x:c r="C1003" s="46"/>
      <x:c r="D1003" s="112"/>
      <x:c r="E1003" s="112"/>
      <x:c r="F1003" s="92"/>
      <x:c r="G1003" s="92"/>
      <x:c r="H1003" s="92"/>
      <x:c r="I1003" s="93" t="str">
        <x:f>IF(B1003="","",MAX(0,F1003-H1003))</x:f>
      </x:c>
      <x:c r="J1003" s="46"/>
      <x:c r="K1003" s="100" t="str">
        <x:f>IF(B1003="","",IF(G1003="TL",1,IF(G1003="USD",KURLAR!$C$9,IF(G1003="EUR",KURLAR!$C$10,0))))</x:f>
      </x:c>
      <x:c r="L1003" s="68" t="str">
        <x:f>IF(B1003="","",I1003*K1003)</x:f>
      </x:c>
      <x:c r="M1003" s="46"/>
      <x:c r="N1003" s="52" t="str">
        <x:f>IF(B1003="","",IF(OR(M1003="Tahsil Edildi",M1003="İptal",J1003="Riskli"),"Hayır","Evet"))</x:f>
      </x:c>
    </x:row>
    <x:row r="1004">
      <x:c r="B1004" s="46"/>
      <x:c r="C1004" s="46"/>
      <x:c r="D1004" s="112"/>
      <x:c r="E1004" s="112"/>
      <x:c r="F1004" s="92"/>
      <x:c r="G1004" s="92"/>
      <x:c r="H1004" s="92"/>
      <x:c r="I1004" s="93" t="str">
        <x:f>IF(B1004="","",MAX(0,F1004-H1004))</x:f>
      </x:c>
      <x:c r="J1004" s="46"/>
      <x:c r="K1004" s="100" t="str">
        <x:f>IF(B1004="","",IF(G1004="TL",1,IF(G1004="USD",KURLAR!$C$9,IF(G1004="EUR",KURLAR!$C$10,0))))</x:f>
      </x:c>
      <x:c r="L1004" s="68" t="str">
        <x:f>IF(B1004="","",I1004*K1004)</x:f>
      </x:c>
      <x:c r="M1004" s="46"/>
      <x:c r="N1004" s="52" t="str">
        <x:f>IF(B1004="","",IF(OR(M1004="Tahsil Edildi",M1004="İptal",J1004="Riskli"),"Hayır","Evet"))</x:f>
      </x:c>
    </x:row>
    <x:row r="1005">
      <x:c r="B1005" s="46"/>
      <x:c r="C1005" s="46"/>
      <x:c r="D1005" s="112"/>
      <x:c r="E1005" s="112"/>
      <x:c r="F1005" s="92"/>
      <x:c r="G1005" s="92"/>
      <x:c r="H1005" s="92"/>
      <x:c r="I1005" s="93" t="str">
        <x:f>IF(B1005="","",MAX(0,F1005-H1005))</x:f>
      </x:c>
      <x:c r="J1005" s="46"/>
      <x:c r="K1005" s="100" t="str">
        <x:f>IF(B1005="","",IF(G1005="TL",1,IF(G1005="USD",KURLAR!$C$9,IF(G1005="EUR",KURLAR!$C$10,0))))</x:f>
      </x:c>
      <x:c r="L1005" s="68" t="str">
        <x:f>IF(B1005="","",I1005*K1005)</x:f>
      </x:c>
      <x:c r="M1005" s="46"/>
      <x:c r="N1005" s="52" t="str">
        <x:f>IF(B1005="","",IF(OR(M1005="Tahsil Edildi",M1005="İptal",J1005="Riskli"),"Hayır","Evet"))</x:f>
      </x:c>
    </x:row>
    <x:row r="1006">
      <x:c r="B1006" s="48"/>
      <x:c r="C1006" s="48"/>
      <x:c r="D1006" s="113"/>
      <x:c r="E1006" s="113"/>
      <x:c r="F1006" s="94"/>
      <x:c r="G1006" s="94"/>
      <x:c r="H1006" s="94"/>
      <x:c r="I1006" s="95" t="str">
        <x:f>IF(B1006="","",MAX(0,F1006-H1006))</x:f>
      </x:c>
      <x:c r="J1006" s="48"/>
      <x:c r="K1006" s="101" t="str">
        <x:f>IF(B1006="","",IF(G1006="TL",1,IF(G1006="USD",KURLAR!$C$9,IF(G1006="EUR",KURLAR!$C$10,0))))</x:f>
      </x:c>
      <x:c r="L1006" s="69" t="str">
        <x:f>IF(B1006="","",I1006*K1006)</x:f>
      </x:c>
      <x:c r="M1006" s="48"/>
      <x:c r="N1006" s="54" t="str">
        <x:f>IF(B1006="","",IF(OR(M1006="Tahsil Edildi",M1006="İptal",J1006="Riskli"),"Hayır","Evet"))</x:f>
      </x:c>
    </x:row>
  </x:sheetData>
  <x:mergeCells>
    <x:mergeCell ref="A1:B1"/>
    <x:mergeCell ref="C1:N1"/>
    <x:mergeCell ref="A2:N2"/>
    <x:mergeCell ref="C4:N4"/>
  </x:mergeCells>
  <x:conditionalFormatting sqref="B7:N1006">
    <x:cfRule type="expression" dxfId="3" priority="1">
      <x:formula>AND($B7&lt;&gt;"",$I7&gt;0,$D7&lt;SISTEM!$C$9)</x:formula>
    </x:cfRule>
  </x:conditionalFormatting>
  <x:dataValidations count="5">
    <x:dataValidation type="list" sqref="G7:G1006">
      <x:formula1>"TL,USD,EUR"</x:formula1>
    </x:dataValidation>
    <x:dataValidation type="list" sqref="J7:J1006">
      <x:formula1>"Kesin,Bekleniyor,Riskli"</x:formula1>
    </x:dataValidation>
    <x:dataValidation type="list" sqref="M7:M1006">
      <x:formula1>"Açık,Kısmi,Tahsil Edildi,İptal"</x:formula1>
    </x:dataValidation>
    <x:dataValidation type="decimal" sqref="F7:F1006">
      <x:formula1>0</x:formula1>
    </x:dataValidation>
    <x:dataValidation type="decimal" sqref="H7:H10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8c1e3c103e41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28" hidden="0" customWidth="1"/>
    <x:col min="3" max="3" width="30" hidden="0" customWidth="1"/>
    <x:col min="4" max="4" width="14" hidden="0" customWidth="1"/>
    <x:col min="5" max="5" width="18" hidden="0" customWidth="1"/>
    <x:col min="6" max="6" width="14" hidden="0" customWidth="1"/>
    <x:col min="7" max="7" width="8" hidden="0" customWidth="1"/>
    <x:col min="8" max="8" width="14" hidden="0" customWidth="1"/>
    <x:col min="9" max="9" width="14" hidden="0" customWidth="1"/>
    <x:col min="10" max="10" width="13" hidden="0" customWidth="1"/>
    <x:col min="11" max="11" width="11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8" customHeight="1">
      <x:c r="A1" s="9" t="e">
        <x:f>HYPERLINK("#PANO!A1","☰  MENÜ")</x:f>
        <x:v>HYPERLINK is not implemented. linkLocation=#PANO!A1, friendlyName=☰  MENÜ</x:v>
      </x:c>
      <x:c r="B1" s="9"/>
      <x:c r="C1" s="17" t="str">
        <x:v>YAPILACAK ÖDEMELER</x:v>
      </x:c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8" customHeight="1">
      <x:c r="A2" s="23" t="str">
        <x:v>Manuel ödeme planı. Vade ve planlanan ödeme tarihi 7/30 günlük net pozisyonu otomatik etkiler.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9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8" t="e">
        <x:f>HYPERLINK("#PANO!A1","← PANO")</x:f>
        <x:v>HYPERLINK is not implemented. linkLocation=#PANO!A1, friendlyName=← PANO</x:v>
      </x:c>
      <x:c r="B4" s="26"/>
      <x:c r="C4" s="73" t="str">
        <x:v>VERİ GİRİŞ EKRANI — SARI HÜCRELERİ DOLDURUN</x:v>
      </x:c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</x:row>
    <x:row r="5">
      <x:c r="A5" s="4"/>
      <x:c r="B5" s="81" t="str">
        <x:v>TOPLAM AÇIK ÖDEME</x:v>
      </x:c>
      <x:c r="C5" s="81"/>
      <x:c r="D5" s="81"/>
      <x:c r="E5" s="81"/>
      <x:c r="F5" s="81"/>
      <x:c r="G5" s="81"/>
      <x:c r="H5" s="81"/>
      <x:c r="I5" s="81"/>
      <x:c r="J5" s="81"/>
      <x:c r="K5" s="81"/>
      <x:c r="L5" s="104" t="n">
        <x:f>SUM(L7:L1006)</x:f>
        <x:v>0</x:v>
      </x:c>
      <x:c r="M5" s="81"/>
      <x:c r="N5" s="81"/>
    </x:row>
    <x:row r="6" ht="34" customHeight="1">
      <x:c r="A6" s="4"/>
      <x:c r="B6" s="63" t="str">
        <x:v>Alacaklı / Kalem</x:v>
      </x:c>
      <x:c r="C6" s="63" t="str">
        <x:v>Belge / Açıklama</x:v>
      </x:c>
      <x:c r="D6" s="63" t="str">
        <x:v>Vade Tarihi</x:v>
      </x:c>
      <x:c r="E6" s="63" t="str">
        <x:v>Planlanan Ödeme Tarihi</x:v>
      </x:c>
      <x:c r="F6" s="63" t="str">
        <x:v>Tutar</x:v>
      </x:c>
      <x:c r="G6" s="63" t="str">
        <x:v>PB</x:v>
      </x:c>
      <x:c r="H6" s="63" t="str">
        <x:v>Ödenen</x:v>
      </x:c>
      <x:c r="I6" s="63" t="str">
        <x:v>Kalan Tutar</x:v>
      </x:c>
      <x:c r="J6" s="63" t="str">
        <x:v>Öncelik</x:v>
      </x:c>
      <x:c r="K6" s="63" t="str">
        <x:v>Kur</x:v>
      </x:c>
      <x:c r="L6" s="63" t="str">
        <x:v>Kalan TL</x:v>
      </x:c>
      <x:c r="M6" s="63" t="str">
        <x:v>Durum</x:v>
      </x:c>
      <x:c r="N6" s="63" t="str">
        <x:v>Likiditeye Dahil?</x:v>
      </x:c>
    </x:row>
    <x:row r="7">
      <x:c r="A7" s="4"/>
      <x:c r="B7" s="46"/>
      <x:c r="C7" s="46"/>
      <x:c r="D7" s="112"/>
      <x:c r="E7" s="112"/>
      <x:c r="F7" s="92"/>
      <x:c r="G7" s="92"/>
      <x:c r="H7" s="92"/>
      <x:c r="I7" s="93" t="str">
        <x:f>IF(B7="","",MAX(0,F7-H7))</x:f>
      </x:c>
      <x:c r="J7" s="46"/>
      <x:c r="K7" s="100" t="str">
        <x:f>IF(B7="","",IF(G7="TL",1,IF(G7="USD",KURLAR!$C$9,IF(G7="EUR",KURLAR!$C$10,0))))</x:f>
      </x:c>
      <x:c r="L7" s="68" t="str">
        <x:f>IF(B7="","",I7*K7)</x:f>
      </x:c>
      <x:c r="M7" s="46"/>
      <x:c r="N7" s="52" t="str">
        <x:f>IF(B7="","",IF(OR(M7="Ödendi",M7="İptal"),"Hayır","Evet"))</x:f>
      </x:c>
    </x:row>
    <x:row r="8">
      <x:c r="A8" s="4"/>
      <x:c r="B8" s="46"/>
      <x:c r="C8" s="46"/>
      <x:c r="D8" s="112"/>
      <x:c r="E8" s="112"/>
      <x:c r="F8" s="92"/>
      <x:c r="G8" s="92"/>
      <x:c r="H8" s="92"/>
      <x:c r="I8" s="93" t="str">
        <x:f>IF(B8="","",MAX(0,F8-H8))</x:f>
      </x:c>
      <x:c r="J8" s="46"/>
      <x:c r="K8" s="100" t="str">
        <x:f>IF(B8="","",IF(G8="TL",1,IF(G8="USD",KURLAR!$C$9,IF(G8="EUR",KURLAR!$C$10,0))))</x:f>
      </x:c>
      <x:c r="L8" s="68" t="str">
        <x:f>IF(B8="","",I8*K8)</x:f>
      </x:c>
      <x:c r="M8" s="46"/>
      <x:c r="N8" s="52" t="str">
        <x:f>IF(B8="","",IF(OR(M8="Ödendi",M8="İptal"),"Hayır","Evet"))</x:f>
      </x:c>
    </x:row>
    <x:row r="9">
      <x:c r="A9" s="4"/>
      <x:c r="B9" s="46"/>
      <x:c r="C9" s="46"/>
      <x:c r="D9" s="112"/>
      <x:c r="E9" s="112"/>
      <x:c r="F9" s="92"/>
      <x:c r="G9" s="92"/>
      <x:c r="H9" s="92"/>
      <x:c r="I9" s="93" t="str">
        <x:f>IF(B9="","",MAX(0,F9-H9))</x:f>
      </x:c>
      <x:c r="J9" s="46"/>
      <x:c r="K9" s="100" t="str">
        <x:f>IF(B9="","",IF(G9="TL",1,IF(G9="USD",KURLAR!$C$9,IF(G9="EUR",KURLAR!$C$10,0))))</x:f>
      </x:c>
      <x:c r="L9" s="68" t="str">
        <x:f>IF(B9="","",I9*K9)</x:f>
      </x:c>
      <x:c r="M9" s="46"/>
      <x:c r="N9" s="52" t="str">
        <x:f>IF(B9="","",IF(OR(M9="Ödendi",M9="İptal"),"Hayır","Evet"))</x:f>
      </x:c>
    </x:row>
    <x:row r="10">
      <x:c r="A10" s="4"/>
      <x:c r="B10" s="46"/>
      <x:c r="C10" s="46"/>
      <x:c r="D10" s="112"/>
      <x:c r="E10" s="112"/>
      <x:c r="F10" s="92"/>
      <x:c r="G10" s="92"/>
      <x:c r="H10" s="92"/>
      <x:c r="I10" s="93" t="str">
        <x:f>IF(B10="","",MAX(0,F10-H10))</x:f>
      </x:c>
      <x:c r="J10" s="46"/>
      <x:c r="K10" s="100" t="str">
        <x:f>IF(B10="","",IF(G10="TL",1,IF(G10="USD",KURLAR!$C$9,IF(G10="EUR",KURLAR!$C$10,0))))</x:f>
      </x:c>
      <x:c r="L10" s="68" t="str">
        <x:f>IF(B10="","",I10*K10)</x:f>
      </x:c>
      <x:c r="M10" s="46"/>
      <x:c r="N10" s="52" t="str">
        <x:f>IF(B10="","",IF(OR(M10="Ödendi",M10="İptal"),"Hayır","Evet"))</x:f>
      </x:c>
    </x:row>
    <x:row r="11">
      <x:c r="A11" s="4"/>
      <x:c r="B11" s="46"/>
      <x:c r="C11" s="46"/>
      <x:c r="D11" s="112"/>
      <x:c r="E11" s="112"/>
      <x:c r="F11" s="92"/>
      <x:c r="G11" s="92"/>
      <x:c r="H11" s="92"/>
      <x:c r="I11" s="93" t="str">
        <x:f>IF(B11="","",MAX(0,F11-H11))</x:f>
      </x:c>
      <x:c r="J11" s="46"/>
      <x:c r="K11" s="100" t="str">
        <x:f>IF(B11="","",IF(G11="TL",1,IF(G11="USD",KURLAR!$C$9,IF(G11="EUR",KURLAR!$C$10,0))))</x:f>
      </x:c>
      <x:c r="L11" s="68" t="str">
        <x:f>IF(B11="","",I11*K11)</x:f>
      </x:c>
      <x:c r="M11" s="46"/>
      <x:c r="N11" s="52" t="str">
        <x:f>IF(B11="","",IF(OR(M11="Ödendi",M11="İptal"),"Hayır","Evet"))</x:f>
      </x:c>
    </x:row>
    <x:row r="12">
      <x:c r="A12" s="4"/>
      <x:c r="B12" s="46"/>
      <x:c r="C12" s="46"/>
      <x:c r="D12" s="112"/>
      <x:c r="E12" s="112"/>
      <x:c r="F12" s="92"/>
      <x:c r="G12" s="92"/>
      <x:c r="H12" s="92"/>
      <x:c r="I12" s="93" t="str">
        <x:f>IF(B12="","",MAX(0,F12-H12))</x:f>
      </x:c>
      <x:c r="J12" s="46"/>
      <x:c r="K12" s="100" t="str">
        <x:f>IF(B12="","",IF(G12="TL",1,IF(G12="USD",KURLAR!$C$9,IF(G12="EUR",KURLAR!$C$10,0))))</x:f>
      </x:c>
      <x:c r="L12" s="68" t="str">
        <x:f>IF(B12="","",I12*K12)</x:f>
      </x:c>
      <x:c r="M12" s="46"/>
      <x:c r="N12" s="52" t="str">
        <x:f>IF(B12="","",IF(OR(M12="Ödendi",M12="İptal"),"Hayır","Evet"))</x:f>
      </x:c>
    </x:row>
    <x:row r="13">
      <x:c r="A13" s="4"/>
      <x:c r="B13" s="46"/>
      <x:c r="C13" s="46"/>
      <x:c r="D13" s="112"/>
      <x:c r="E13" s="112"/>
      <x:c r="F13" s="92"/>
      <x:c r="G13" s="92"/>
      <x:c r="H13" s="92"/>
      <x:c r="I13" s="93" t="str">
        <x:f>IF(B13="","",MAX(0,F13-H13))</x:f>
      </x:c>
      <x:c r="J13" s="46"/>
      <x:c r="K13" s="100" t="str">
        <x:f>IF(B13="","",IF(G13="TL",1,IF(G13="USD",KURLAR!$C$9,IF(G13="EUR",KURLAR!$C$10,0))))</x:f>
      </x:c>
      <x:c r="L13" s="68" t="str">
        <x:f>IF(B13="","",I13*K13)</x:f>
      </x:c>
      <x:c r="M13" s="46"/>
      <x:c r="N13" s="52" t="str">
        <x:f>IF(B13="","",IF(OR(M13="Ödendi",M13="İptal"),"Hayır","Evet"))</x:f>
      </x:c>
    </x:row>
    <x:row r="14">
      <x:c r="A14" s="4"/>
      <x:c r="B14" s="46"/>
      <x:c r="C14" s="46"/>
      <x:c r="D14" s="112"/>
      <x:c r="E14" s="112"/>
      <x:c r="F14" s="92"/>
      <x:c r="G14" s="92"/>
      <x:c r="H14" s="92"/>
      <x:c r="I14" s="93" t="str">
        <x:f>IF(B14="","",MAX(0,F14-H14))</x:f>
      </x:c>
      <x:c r="J14" s="46"/>
      <x:c r="K14" s="100" t="str">
        <x:f>IF(B14="","",IF(G14="TL",1,IF(G14="USD",KURLAR!$C$9,IF(G14="EUR",KURLAR!$C$10,0))))</x:f>
      </x:c>
      <x:c r="L14" s="68" t="str">
        <x:f>IF(B14="","",I14*K14)</x:f>
      </x:c>
      <x:c r="M14" s="46"/>
      <x:c r="N14" s="52" t="str">
        <x:f>IF(B14="","",IF(OR(M14="Ödendi",M14="İptal"),"Hayır","Evet"))</x:f>
      </x:c>
    </x:row>
    <x:row r="15">
      <x:c r="A15" s="4"/>
      <x:c r="B15" s="46"/>
      <x:c r="C15" s="46"/>
      <x:c r="D15" s="112"/>
      <x:c r="E15" s="112"/>
      <x:c r="F15" s="92"/>
      <x:c r="G15" s="92"/>
      <x:c r="H15" s="92"/>
      <x:c r="I15" s="93" t="str">
        <x:f>IF(B15="","",MAX(0,F15-H15))</x:f>
      </x:c>
      <x:c r="J15" s="46"/>
      <x:c r="K15" s="100" t="str">
        <x:f>IF(B15="","",IF(G15="TL",1,IF(G15="USD",KURLAR!$C$9,IF(G15="EUR",KURLAR!$C$10,0))))</x:f>
      </x:c>
      <x:c r="L15" s="68" t="str">
        <x:f>IF(B15="","",I15*K15)</x:f>
      </x:c>
      <x:c r="M15" s="46"/>
      <x:c r="N15" s="52" t="str">
        <x:f>IF(B15="","",IF(OR(M15="Ödendi",M15="İptal"),"Hayır","Evet"))</x:f>
      </x:c>
    </x:row>
    <x:row r="16">
      <x:c r="A16" s="4"/>
      <x:c r="B16" s="46"/>
      <x:c r="C16" s="46"/>
      <x:c r="D16" s="112"/>
      <x:c r="E16" s="112"/>
      <x:c r="F16" s="92"/>
      <x:c r="G16" s="92"/>
      <x:c r="H16" s="92"/>
      <x:c r="I16" s="93" t="str">
        <x:f>IF(B16="","",MAX(0,F16-H16))</x:f>
      </x:c>
      <x:c r="J16" s="46"/>
      <x:c r="K16" s="100" t="str">
        <x:f>IF(B16="","",IF(G16="TL",1,IF(G16="USD",KURLAR!$C$9,IF(G16="EUR",KURLAR!$C$10,0))))</x:f>
      </x:c>
      <x:c r="L16" s="68" t="str">
        <x:f>IF(B16="","",I16*K16)</x:f>
      </x:c>
      <x:c r="M16" s="46"/>
      <x:c r="N16" s="52" t="str">
        <x:f>IF(B16="","",IF(OR(M16="Ödendi",M16="İptal"),"Hayır","Evet"))</x:f>
      </x:c>
    </x:row>
    <x:row r="17">
      <x:c r="A17" s="4"/>
      <x:c r="B17" s="46"/>
      <x:c r="C17" s="46"/>
      <x:c r="D17" s="112"/>
      <x:c r="E17" s="112"/>
      <x:c r="F17" s="92"/>
      <x:c r="G17" s="92"/>
      <x:c r="H17" s="92"/>
      <x:c r="I17" s="93" t="str">
        <x:f>IF(B17="","",MAX(0,F17-H17))</x:f>
      </x:c>
      <x:c r="J17" s="46"/>
      <x:c r="K17" s="100" t="str">
        <x:f>IF(B17="","",IF(G17="TL",1,IF(G17="USD",KURLAR!$C$9,IF(G17="EUR",KURLAR!$C$10,0))))</x:f>
      </x:c>
      <x:c r="L17" s="68" t="str">
        <x:f>IF(B17="","",I17*K17)</x:f>
      </x:c>
      <x:c r="M17" s="46"/>
      <x:c r="N17" s="52" t="str">
        <x:f>IF(B17="","",IF(OR(M17="Ödendi",M17="İptal"),"Hayır","Evet"))</x:f>
      </x:c>
    </x:row>
    <x:row r="18">
      <x:c r="A18" s="4"/>
      <x:c r="B18" s="46"/>
      <x:c r="C18" s="46"/>
      <x:c r="D18" s="112"/>
      <x:c r="E18" s="112"/>
      <x:c r="F18" s="92"/>
      <x:c r="G18" s="92"/>
      <x:c r="H18" s="92"/>
      <x:c r="I18" s="93" t="str">
        <x:f>IF(B18="","",MAX(0,F18-H18))</x:f>
      </x:c>
      <x:c r="J18" s="46"/>
      <x:c r="K18" s="100" t="str">
        <x:f>IF(B18="","",IF(G18="TL",1,IF(G18="USD",KURLAR!$C$9,IF(G18="EUR",KURLAR!$C$10,0))))</x:f>
      </x:c>
      <x:c r="L18" s="68" t="str">
        <x:f>IF(B18="","",I18*K18)</x:f>
      </x:c>
      <x:c r="M18" s="46"/>
      <x:c r="N18" s="52" t="str">
        <x:f>IF(B18="","",IF(OR(M18="Ödendi",M18="İptal"),"Hayır","Evet"))</x:f>
      </x:c>
    </x:row>
    <x:row r="19">
      <x:c r="A19" s="4"/>
      <x:c r="B19" s="46"/>
      <x:c r="C19" s="46"/>
      <x:c r="D19" s="112"/>
      <x:c r="E19" s="112"/>
      <x:c r="F19" s="92"/>
      <x:c r="G19" s="92"/>
      <x:c r="H19" s="92"/>
      <x:c r="I19" s="93" t="str">
        <x:f>IF(B19="","",MAX(0,F19-H19))</x:f>
      </x:c>
      <x:c r="J19" s="46"/>
      <x:c r="K19" s="100" t="str">
        <x:f>IF(B19="","",IF(G19="TL",1,IF(G19="USD",KURLAR!$C$9,IF(G19="EUR",KURLAR!$C$10,0))))</x:f>
      </x:c>
      <x:c r="L19" s="68" t="str">
        <x:f>IF(B19="","",I19*K19)</x:f>
      </x:c>
      <x:c r="M19" s="46"/>
      <x:c r="N19" s="52" t="str">
        <x:f>IF(B19="","",IF(OR(M19="Ödendi",M19="İptal"),"Hayır","Evet"))</x:f>
      </x:c>
    </x:row>
    <x:row r="20">
      <x:c r="A20" s="4"/>
      <x:c r="B20" s="46"/>
      <x:c r="C20" s="46"/>
      <x:c r="D20" s="112"/>
      <x:c r="E20" s="112"/>
      <x:c r="F20" s="92"/>
      <x:c r="G20" s="92"/>
      <x:c r="H20" s="92"/>
      <x:c r="I20" s="93" t="str">
        <x:f>IF(B20="","",MAX(0,F20-H20))</x:f>
      </x:c>
      <x:c r="J20" s="46"/>
      <x:c r="K20" s="100" t="str">
        <x:f>IF(B20="","",IF(G20="TL",1,IF(G20="USD",KURLAR!$C$9,IF(G20="EUR",KURLAR!$C$10,0))))</x:f>
      </x:c>
      <x:c r="L20" s="68" t="str">
        <x:f>IF(B20="","",I20*K20)</x:f>
      </x:c>
      <x:c r="M20" s="46"/>
      <x:c r="N20" s="52" t="str">
        <x:f>IF(B20="","",IF(OR(M20="Ödendi",M20="İptal"),"Hayır","Evet"))</x:f>
      </x:c>
    </x:row>
    <x:row r="21">
      <x:c r="A21" s="4"/>
      <x:c r="B21" s="46"/>
      <x:c r="C21" s="46"/>
      <x:c r="D21" s="112"/>
      <x:c r="E21" s="112"/>
      <x:c r="F21" s="92"/>
      <x:c r="G21" s="92"/>
      <x:c r="H21" s="92"/>
      <x:c r="I21" s="93" t="str">
        <x:f>IF(B21="","",MAX(0,F21-H21))</x:f>
      </x:c>
      <x:c r="J21" s="46"/>
      <x:c r="K21" s="100" t="str">
        <x:f>IF(B21="","",IF(G21="TL",1,IF(G21="USD",KURLAR!$C$9,IF(G21="EUR",KURLAR!$C$10,0))))</x:f>
      </x:c>
      <x:c r="L21" s="68" t="str">
        <x:f>IF(B21="","",I21*K21)</x:f>
      </x:c>
      <x:c r="M21" s="46"/>
      <x:c r="N21" s="52" t="str">
        <x:f>IF(B21="","",IF(OR(M21="Ödendi",M21="İptal"),"Hayır","Evet"))</x:f>
      </x:c>
    </x:row>
    <x:row r="22">
      <x:c r="A22" s="4"/>
      <x:c r="B22" s="46"/>
      <x:c r="C22" s="46"/>
      <x:c r="D22" s="112"/>
      <x:c r="E22" s="112"/>
      <x:c r="F22" s="92"/>
      <x:c r="G22" s="92"/>
      <x:c r="H22" s="92"/>
      <x:c r="I22" s="93" t="str">
        <x:f>IF(B22="","",MAX(0,F22-H22))</x:f>
      </x:c>
      <x:c r="J22" s="46"/>
      <x:c r="K22" s="100" t="str">
        <x:f>IF(B22="","",IF(G22="TL",1,IF(G22="USD",KURLAR!$C$9,IF(G22="EUR",KURLAR!$C$10,0))))</x:f>
      </x:c>
      <x:c r="L22" s="68" t="str">
        <x:f>IF(B22="","",I22*K22)</x:f>
      </x:c>
      <x:c r="M22" s="46"/>
      <x:c r="N22" s="52" t="str">
        <x:f>IF(B22="","",IF(OR(M22="Ödendi",M22="İptal"),"Hayır","Evet"))</x:f>
      </x:c>
    </x:row>
    <x:row r="23">
      <x:c r="A23" s="4"/>
      <x:c r="B23" s="46"/>
      <x:c r="C23" s="46"/>
      <x:c r="D23" s="112"/>
      <x:c r="E23" s="112"/>
      <x:c r="F23" s="92"/>
      <x:c r="G23" s="92"/>
      <x:c r="H23" s="92"/>
      <x:c r="I23" s="93" t="str">
        <x:f>IF(B23="","",MAX(0,F23-H23))</x:f>
      </x:c>
      <x:c r="J23" s="46"/>
      <x:c r="K23" s="100" t="str">
        <x:f>IF(B23="","",IF(G23="TL",1,IF(G23="USD",KURLAR!$C$9,IF(G23="EUR",KURLAR!$C$10,0))))</x:f>
      </x:c>
      <x:c r="L23" s="68" t="str">
        <x:f>IF(B23="","",I23*K23)</x:f>
      </x:c>
      <x:c r="M23" s="46"/>
      <x:c r="N23" s="52" t="str">
        <x:f>IF(B23="","",IF(OR(M23="Ödendi",M23="İptal"),"Hayır","Evet"))</x:f>
      </x:c>
    </x:row>
    <x:row r="24">
      <x:c r="A24" s="4"/>
      <x:c r="B24" s="46"/>
      <x:c r="C24" s="46"/>
      <x:c r="D24" s="112"/>
      <x:c r="E24" s="112"/>
      <x:c r="F24" s="92"/>
      <x:c r="G24" s="92"/>
      <x:c r="H24" s="92"/>
      <x:c r="I24" s="93" t="str">
        <x:f>IF(B24="","",MAX(0,F24-H24))</x:f>
      </x:c>
      <x:c r="J24" s="46"/>
      <x:c r="K24" s="100" t="str">
        <x:f>IF(B24="","",IF(G24="TL",1,IF(G24="USD",KURLAR!$C$9,IF(G24="EUR",KURLAR!$C$10,0))))</x:f>
      </x:c>
      <x:c r="L24" s="68" t="str">
        <x:f>IF(B24="","",I24*K24)</x:f>
      </x:c>
      <x:c r="M24" s="46"/>
      <x:c r="N24" s="52" t="str">
        <x:f>IF(B24="","",IF(OR(M24="Ödendi",M24="İptal"),"Hayır","Evet"))</x:f>
      </x:c>
    </x:row>
    <x:row r="25">
      <x:c r="A25" s="4"/>
      <x:c r="B25" s="46"/>
      <x:c r="C25" s="46"/>
      <x:c r="D25" s="112"/>
      <x:c r="E25" s="112"/>
      <x:c r="F25" s="92"/>
      <x:c r="G25" s="92"/>
      <x:c r="H25" s="92"/>
      <x:c r="I25" s="93" t="str">
        <x:f>IF(B25="","",MAX(0,F25-H25))</x:f>
      </x:c>
      <x:c r="J25" s="46"/>
      <x:c r="K25" s="100" t="str">
        <x:f>IF(B25="","",IF(G25="TL",1,IF(G25="USD",KURLAR!$C$9,IF(G25="EUR",KURLAR!$C$10,0))))</x:f>
      </x:c>
      <x:c r="L25" s="68" t="str">
        <x:f>IF(B25="","",I25*K25)</x:f>
      </x:c>
      <x:c r="M25" s="46"/>
      <x:c r="N25" s="52" t="str">
        <x:f>IF(B25="","",IF(OR(M25="Ödendi",M25="İptal"),"Hayır","Evet"))</x:f>
      </x:c>
    </x:row>
    <x:row r="26">
      <x:c r="A26" s="4"/>
      <x:c r="B26" s="46"/>
      <x:c r="C26" s="46"/>
      <x:c r="D26" s="112"/>
      <x:c r="E26" s="112"/>
      <x:c r="F26" s="92"/>
      <x:c r="G26" s="92"/>
      <x:c r="H26" s="92"/>
      <x:c r="I26" s="93" t="str">
        <x:f>IF(B26="","",MAX(0,F26-H26))</x:f>
      </x:c>
      <x:c r="J26" s="46"/>
      <x:c r="K26" s="100" t="str">
        <x:f>IF(B26="","",IF(G26="TL",1,IF(G26="USD",KURLAR!$C$9,IF(G26="EUR",KURLAR!$C$10,0))))</x:f>
      </x:c>
      <x:c r="L26" s="68" t="str">
        <x:f>IF(B26="","",I26*K26)</x:f>
      </x:c>
      <x:c r="M26" s="46"/>
      <x:c r="N26" s="52" t="str">
        <x:f>IF(B26="","",IF(OR(M26="Ödendi",M26="İptal"),"Hayır","Evet"))</x:f>
      </x:c>
    </x:row>
    <x:row r="27">
      <x:c r="A27" s="4"/>
      <x:c r="B27" s="46"/>
      <x:c r="C27" s="46"/>
      <x:c r="D27" s="112"/>
      <x:c r="E27" s="112"/>
      <x:c r="F27" s="92"/>
      <x:c r="G27" s="92"/>
      <x:c r="H27" s="92"/>
      <x:c r="I27" s="93" t="str">
        <x:f>IF(B27="","",MAX(0,F27-H27))</x:f>
      </x:c>
      <x:c r="J27" s="46"/>
      <x:c r="K27" s="100" t="str">
        <x:f>IF(B27="","",IF(G27="TL",1,IF(G27="USD",KURLAR!$C$9,IF(G27="EUR",KURLAR!$C$10,0))))</x:f>
      </x:c>
      <x:c r="L27" s="68" t="str">
        <x:f>IF(B27="","",I27*K27)</x:f>
      </x:c>
      <x:c r="M27" s="46"/>
      <x:c r="N27" s="52" t="str">
        <x:f>IF(B27="","",IF(OR(M27="Ödendi",M27="İptal"),"Hayır","Evet"))</x:f>
      </x:c>
    </x:row>
    <x:row r="28">
      <x:c r="A28" s="4"/>
      <x:c r="B28" s="46"/>
      <x:c r="C28" s="46"/>
      <x:c r="D28" s="112"/>
      <x:c r="E28" s="112"/>
      <x:c r="F28" s="92"/>
      <x:c r="G28" s="92"/>
      <x:c r="H28" s="92"/>
      <x:c r="I28" s="93" t="str">
        <x:f>IF(B28="","",MAX(0,F28-H28))</x:f>
      </x:c>
      <x:c r="J28" s="46"/>
      <x:c r="K28" s="100" t="str">
        <x:f>IF(B28="","",IF(G28="TL",1,IF(G28="USD",KURLAR!$C$9,IF(G28="EUR",KURLAR!$C$10,0))))</x:f>
      </x:c>
      <x:c r="L28" s="68" t="str">
        <x:f>IF(B28="","",I28*K28)</x:f>
      </x:c>
      <x:c r="M28" s="46"/>
      <x:c r="N28" s="52" t="str">
        <x:f>IF(B28="","",IF(OR(M28="Ödendi",M28="İptal"),"Hayır","Evet"))</x:f>
      </x:c>
    </x:row>
    <x:row r="29">
      <x:c r="A29" s="4"/>
      <x:c r="B29" s="46"/>
      <x:c r="C29" s="46"/>
      <x:c r="D29" s="112"/>
      <x:c r="E29" s="112"/>
      <x:c r="F29" s="92"/>
      <x:c r="G29" s="92"/>
      <x:c r="H29" s="92"/>
      <x:c r="I29" s="93" t="str">
        <x:f>IF(B29="","",MAX(0,F29-H29))</x:f>
      </x:c>
      <x:c r="J29" s="46"/>
      <x:c r="K29" s="100" t="str">
        <x:f>IF(B29="","",IF(G29="TL",1,IF(G29="USD",KURLAR!$C$9,IF(G29="EUR",KURLAR!$C$10,0))))</x:f>
      </x:c>
      <x:c r="L29" s="68" t="str">
        <x:f>IF(B29="","",I29*K29)</x:f>
      </x:c>
      <x:c r="M29" s="46"/>
      <x:c r="N29" s="52" t="str">
        <x:f>IF(B29="","",IF(OR(M29="Ödendi",M29="İptal"),"Hayır","Evet"))</x:f>
      </x:c>
    </x:row>
    <x:row r="30">
      <x:c r="A30" s="4"/>
      <x:c r="B30" s="46"/>
      <x:c r="C30" s="46"/>
      <x:c r="D30" s="112"/>
      <x:c r="E30" s="112"/>
      <x:c r="F30" s="92"/>
      <x:c r="G30" s="92"/>
      <x:c r="H30" s="92"/>
      <x:c r="I30" s="93" t="str">
        <x:f>IF(B30="","",MAX(0,F30-H30))</x:f>
      </x:c>
      <x:c r="J30" s="46"/>
      <x:c r="K30" s="100" t="str">
        <x:f>IF(B30="","",IF(G30="TL",1,IF(G30="USD",KURLAR!$C$9,IF(G30="EUR",KURLAR!$C$10,0))))</x:f>
      </x:c>
      <x:c r="L30" s="68" t="str">
        <x:f>IF(B30="","",I30*K30)</x:f>
      </x:c>
      <x:c r="M30" s="46"/>
      <x:c r="N30" s="52" t="str">
        <x:f>IF(B30="","",IF(OR(M30="Ödendi",M30="İptal"),"Hayır","Evet"))</x:f>
      </x:c>
    </x:row>
    <x:row r="31">
      <x:c r="A31" s="4"/>
      <x:c r="B31" s="46"/>
      <x:c r="C31" s="46"/>
      <x:c r="D31" s="112"/>
      <x:c r="E31" s="112"/>
      <x:c r="F31" s="92"/>
      <x:c r="G31" s="92"/>
      <x:c r="H31" s="92"/>
      <x:c r="I31" s="93" t="str">
        <x:f>IF(B31="","",MAX(0,F31-H31))</x:f>
      </x:c>
      <x:c r="J31" s="46"/>
      <x:c r="K31" s="100" t="str">
        <x:f>IF(B31="","",IF(G31="TL",1,IF(G31="USD",KURLAR!$C$9,IF(G31="EUR",KURLAR!$C$10,0))))</x:f>
      </x:c>
      <x:c r="L31" s="68" t="str">
        <x:f>IF(B31="","",I31*K31)</x:f>
      </x:c>
      <x:c r="M31" s="46"/>
      <x:c r="N31" s="52" t="str">
        <x:f>IF(B31="","",IF(OR(M31="Ödendi",M31="İptal"),"Hayır","Evet"))</x:f>
      </x:c>
    </x:row>
    <x:row r="32">
      <x:c r="A32" s="4"/>
      <x:c r="B32" s="46"/>
      <x:c r="C32" s="46"/>
      <x:c r="D32" s="112"/>
      <x:c r="E32" s="112"/>
      <x:c r="F32" s="92"/>
      <x:c r="G32" s="92"/>
      <x:c r="H32" s="92"/>
      <x:c r="I32" s="93" t="str">
        <x:f>IF(B32="","",MAX(0,F32-H32))</x:f>
      </x:c>
      <x:c r="J32" s="46"/>
      <x:c r="K32" s="100" t="str">
        <x:f>IF(B32="","",IF(G32="TL",1,IF(G32="USD",KURLAR!$C$9,IF(G32="EUR",KURLAR!$C$10,0))))</x:f>
      </x:c>
      <x:c r="L32" s="68" t="str">
        <x:f>IF(B32="","",I32*K32)</x:f>
      </x:c>
      <x:c r="M32" s="46"/>
      <x:c r="N32" s="52" t="str">
        <x:f>IF(B32="","",IF(OR(M32="Ödendi",M32="İptal"),"Hayır","Evet"))</x:f>
      </x:c>
    </x:row>
    <x:row r="33">
      <x:c r="A33" s="4"/>
      <x:c r="B33" s="46"/>
      <x:c r="C33" s="46"/>
      <x:c r="D33" s="112"/>
      <x:c r="E33" s="112"/>
      <x:c r="F33" s="92"/>
      <x:c r="G33" s="92"/>
      <x:c r="H33" s="92"/>
      <x:c r="I33" s="93" t="str">
        <x:f>IF(B33="","",MAX(0,F33-H33))</x:f>
      </x:c>
      <x:c r="J33" s="46"/>
      <x:c r="K33" s="100" t="str">
        <x:f>IF(B33="","",IF(G33="TL",1,IF(G33="USD",KURLAR!$C$9,IF(G33="EUR",KURLAR!$C$10,0))))</x:f>
      </x:c>
      <x:c r="L33" s="68" t="str">
        <x:f>IF(B33="","",I33*K33)</x:f>
      </x:c>
      <x:c r="M33" s="46"/>
      <x:c r="N33" s="52" t="str">
        <x:f>IF(B33="","",IF(OR(M33="Ödendi",M33="İptal"),"Hayır","Evet"))</x:f>
      </x:c>
    </x:row>
    <x:row r="34">
      <x:c r="A34" s="4"/>
      <x:c r="B34" s="46"/>
      <x:c r="C34" s="46"/>
      <x:c r="D34" s="112"/>
      <x:c r="E34" s="112"/>
      <x:c r="F34" s="92"/>
      <x:c r="G34" s="92"/>
      <x:c r="H34" s="92"/>
      <x:c r="I34" s="93" t="str">
        <x:f>IF(B34="","",MAX(0,F34-H34))</x:f>
      </x:c>
      <x:c r="J34" s="46"/>
      <x:c r="K34" s="100" t="str">
        <x:f>IF(B34="","",IF(G34="TL",1,IF(G34="USD",KURLAR!$C$9,IF(G34="EUR",KURLAR!$C$10,0))))</x:f>
      </x:c>
      <x:c r="L34" s="68" t="str">
        <x:f>IF(B34="","",I34*K34)</x:f>
      </x:c>
      <x:c r="M34" s="46"/>
      <x:c r="N34" s="52" t="str">
        <x:f>IF(B34="","",IF(OR(M34="Ödendi",M34="İptal"),"Hayır","Evet"))</x:f>
      </x:c>
    </x:row>
    <x:row r="35">
      <x:c r="A35" s="4"/>
      <x:c r="B35" s="46"/>
      <x:c r="C35" s="46"/>
      <x:c r="D35" s="112"/>
      <x:c r="E35" s="112"/>
      <x:c r="F35" s="92"/>
      <x:c r="G35" s="92"/>
      <x:c r="H35" s="92"/>
      <x:c r="I35" s="93" t="str">
        <x:f>IF(B35="","",MAX(0,F35-H35))</x:f>
      </x:c>
      <x:c r="J35" s="46"/>
      <x:c r="K35" s="100" t="str">
        <x:f>IF(B35="","",IF(G35="TL",1,IF(G35="USD",KURLAR!$C$9,IF(G35="EUR",KURLAR!$C$10,0))))</x:f>
      </x:c>
      <x:c r="L35" s="68" t="str">
        <x:f>IF(B35="","",I35*K35)</x:f>
      </x:c>
      <x:c r="M35" s="46"/>
      <x:c r="N35" s="52" t="str">
        <x:f>IF(B35="","",IF(OR(M35="Ödendi",M35="İptal"),"Hayır","Evet"))</x:f>
      </x:c>
    </x:row>
    <x:row r="36">
      <x:c r="A36" s="4"/>
      <x:c r="B36" s="46"/>
      <x:c r="C36" s="46"/>
      <x:c r="D36" s="112"/>
      <x:c r="E36" s="112"/>
      <x:c r="F36" s="92"/>
      <x:c r="G36" s="92"/>
      <x:c r="H36" s="92"/>
      <x:c r="I36" s="93" t="str">
        <x:f>IF(B36="","",MAX(0,F36-H36))</x:f>
      </x:c>
      <x:c r="J36" s="46"/>
      <x:c r="K36" s="100" t="str">
        <x:f>IF(B36="","",IF(G36="TL",1,IF(G36="USD",KURLAR!$C$9,IF(G36="EUR",KURLAR!$C$10,0))))</x:f>
      </x:c>
      <x:c r="L36" s="68" t="str">
        <x:f>IF(B36="","",I36*K36)</x:f>
      </x:c>
      <x:c r="M36" s="46"/>
      <x:c r="N36" s="52" t="str">
        <x:f>IF(B36="","",IF(OR(M36="Ödendi",M36="İptal"),"Hayır","Evet"))</x:f>
      </x:c>
    </x:row>
    <x:row r="37">
      <x:c r="A37" s="4"/>
      <x:c r="B37" s="46"/>
      <x:c r="C37" s="46"/>
      <x:c r="D37" s="112"/>
      <x:c r="E37" s="112"/>
      <x:c r="F37" s="92"/>
      <x:c r="G37" s="92"/>
      <x:c r="H37" s="92"/>
      <x:c r="I37" s="93" t="str">
        <x:f>IF(B37="","",MAX(0,F37-H37))</x:f>
      </x:c>
      <x:c r="J37" s="46"/>
      <x:c r="K37" s="100" t="str">
        <x:f>IF(B37="","",IF(G37="TL",1,IF(G37="USD",KURLAR!$C$9,IF(G37="EUR",KURLAR!$C$10,0))))</x:f>
      </x:c>
      <x:c r="L37" s="68" t="str">
        <x:f>IF(B37="","",I37*K37)</x:f>
      </x:c>
      <x:c r="M37" s="46"/>
      <x:c r="N37" s="52" t="str">
        <x:f>IF(B37="","",IF(OR(M37="Ödendi",M37="İptal"),"Hayır","Evet"))</x:f>
      </x:c>
    </x:row>
    <x:row r="38">
      <x:c r="A38" s="4"/>
      <x:c r="B38" s="46"/>
      <x:c r="C38" s="46"/>
      <x:c r="D38" s="112"/>
      <x:c r="E38" s="112"/>
      <x:c r="F38" s="92"/>
      <x:c r="G38" s="92"/>
      <x:c r="H38" s="92"/>
      <x:c r="I38" s="93" t="str">
        <x:f>IF(B38="","",MAX(0,F38-H38))</x:f>
      </x:c>
      <x:c r="J38" s="46"/>
      <x:c r="K38" s="100" t="str">
        <x:f>IF(B38="","",IF(G38="TL",1,IF(G38="USD",KURLAR!$C$9,IF(G38="EUR",KURLAR!$C$10,0))))</x:f>
      </x:c>
      <x:c r="L38" s="68" t="str">
        <x:f>IF(B38="","",I38*K38)</x:f>
      </x:c>
      <x:c r="M38" s="46"/>
      <x:c r="N38" s="52" t="str">
        <x:f>IF(B38="","",IF(OR(M38="Ödendi",M38="İptal"),"Hayır","Evet"))</x:f>
      </x:c>
    </x:row>
    <x:row r="39">
      <x:c r="A39" s="4"/>
      <x:c r="B39" s="46"/>
      <x:c r="C39" s="46"/>
      <x:c r="D39" s="112"/>
      <x:c r="E39" s="112"/>
      <x:c r="F39" s="92"/>
      <x:c r="G39" s="92"/>
      <x:c r="H39" s="92"/>
      <x:c r="I39" s="93" t="str">
        <x:f>IF(B39="","",MAX(0,F39-H39))</x:f>
      </x:c>
      <x:c r="J39" s="46"/>
      <x:c r="K39" s="100" t="str">
        <x:f>IF(B39="","",IF(G39="TL",1,IF(G39="USD",KURLAR!$C$9,IF(G39="EUR",KURLAR!$C$10,0))))</x:f>
      </x:c>
      <x:c r="L39" s="68" t="str">
        <x:f>IF(B39="","",I39*K39)</x:f>
      </x:c>
      <x:c r="M39" s="46"/>
      <x:c r="N39" s="52" t="str">
        <x:f>IF(B39="","",IF(OR(M39="Ödendi",M39="İptal"),"Hayır","Evet"))</x:f>
      </x:c>
    </x:row>
    <x:row r="40">
      <x:c r="A40" s="4"/>
      <x:c r="B40" s="46"/>
      <x:c r="C40" s="46"/>
      <x:c r="D40" s="112"/>
      <x:c r="E40" s="112"/>
      <x:c r="F40" s="92"/>
      <x:c r="G40" s="92"/>
      <x:c r="H40" s="92"/>
      <x:c r="I40" s="93" t="str">
        <x:f>IF(B40="","",MAX(0,F40-H40))</x:f>
      </x:c>
      <x:c r="J40" s="46"/>
      <x:c r="K40" s="100" t="str">
        <x:f>IF(B40="","",IF(G40="TL",1,IF(G40="USD",KURLAR!$C$9,IF(G40="EUR",KURLAR!$C$10,0))))</x:f>
      </x:c>
      <x:c r="L40" s="68" t="str">
        <x:f>IF(B40="","",I40*K40)</x:f>
      </x:c>
      <x:c r="M40" s="46"/>
      <x:c r="N40" s="52" t="str">
        <x:f>IF(B40="","",IF(OR(M40="Ödendi",M40="İptal"),"Hayır","Evet"))</x:f>
      </x:c>
    </x:row>
    <x:row r="41">
      <x:c r="A41" s="4"/>
      <x:c r="B41" s="46"/>
      <x:c r="C41" s="46"/>
      <x:c r="D41" s="112"/>
      <x:c r="E41" s="112"/>
      <x:c r="F41" s="92"/>
      <x:c r="G41" s="92"/>
      <x:c r="H41" s="92"/>
      <x:c r="I41" s="93" t="str">
        <x:f>IF(B41="","",MAX(0,F41-H41))</x:f>
      </x:c>
      <x:c r="J41" s="46"/>
      <x:c r="K41" s="100" t="str">
        <x:f>IF(B41="","",IF(G41="TL",1,IF(G41="USD",KURLAR!$C$9,IF(G41="EUR",KURLAR!$C$10,0))))</x:f>
      </x:c>
      <x:c r="L41" s="68" t="str">
        <x:f>IF(B41="","",I41*K41)</x:f>
      </x:c>
      <x:c r="M41" s="46"/>
      <x:c r="N41" s="52" t="str">
        <x:f>IF(B41="","",IF(OR(M41="Ödendi",M41="İptal"),"Hayır","Evet"))</x:f>
      </x:c>
    </x:row>
    <x:row r="42">
      <x:c r="A42" s="4"/>
      <x:c r="B42" s="46"/>
      <x:c r="C42" s="46"/>
      <x:c r="D42" s="112"/>
      <x:c r="E42" s="112"/>
      <x:c r="F42" s="92"/>
      <x:c r="G42" s="92"/>
      <x:c r="H42" s="92"/>
      <x:c r="I42" s="93" t="str">
        <x:f>IF(B42="","",MAX(0,F42-H42))</x:f>
      </x:c>
      <x:c r="J42" s="46"/>
      <x:c r="K42" s="100" t="str">
        <x:f>IF(B42="","",IF(G42="TL",1,IF(G42="USD",KURLAR!$C$9,IF(G42="EUR",KURLAR!$C$10,0))))</x:f>
      </x:c>
      <x:c r="L42" s="68" t="str">
        <x:f>IF(B42="","",I42*K42)</x:f>
      </x:c>
      <x:c r="M42" s="46"/>
      <x:c r="N42" s="52" t="str">
        <x:f>IF(B42="","",IF(OR(M42="Ödendi",M42="İptal"),"Hayır","Evet"))</x:f>
      </x:c>
    </x:row>
    <x:row r="43">
      <x:c r="A43" s="4"/>
      <x:c r="B43" s="46"/>
      <x:c r="C43" s="46"/>
      <x:c r="D43" s="112"/>
      <x:c r="E43" s="112"/>
      <x:c r="F43" s="92"/>
      <x:c r="G43" s="92"/>
      <x:c r="H43" s="92"/>
      <x:c r="I43" s="93" t="str">
        <x:f>IF(B43="","",MAX(0,F43-H43))</x:f>
      </x:c>
      <x:c r="J43" s="46"/>
      <x:c r="K43" s="100" t="str">
        <x:f>IF(B43="","",IF(G43="TL",1,IF(G43="USD",KURLAR!$C$9,IF(G43="EUR",KURLAR!$C$10,0))))</x:f>
      </x:c>
      <x:c r="L43" s="68" t="str">
        <x:f>IF(B43="","",I43*K43)</x:f>
      </x:c>
      <x:c r="M43" s="46"/>
      <x:c r="N43" s="52" t="str">
        <x:f>IF(B43="","",IF(OR(M43="Ödendi",M43="İptal"),"Hayır","Evet"))</x:f>
      </x:c>
    </x:row>
    <x:row r="44">
      <x:c r="A44" s="4"/>
      <x:c r="B44" s="46"/>
      <x:c r="C44" s="46"/>
      <x:c r="D44" s="112"/>
      <x:c r="E44" s="112"/>
      <x:c r="F44" s="92"/>
      <x:c r="G44" s="92"/>
      <x:c r="H44" s="92"/>
      <x:c r="I44" s="93" t="str">
        <x:f>IF(B44="","",MAX(0,F44-H44))</x:f>
      </x:c>
      <x:c r="J44" s="46"/>
      <x:c r="K44" s="100" t="str">
        <x:f>IF(B44="","",IF(G44="TL",1,IF(G44="USD",KURLAR!$C$9,IF(G44="EUR",KURLAR!$C$10,0))))</x:f>
      </x:c>
      <x:c r="L44" s="68" t="str">
        <x:f>IF(B44="","",I44*K44)</x:f>
      </x:c>
      <x:c r="M44" s="46"/>
      <x:c r="N44" s="52" t="str">
        <x:f>IF(B44="","",IF(OR(M44="Ödendi",M44="İptal"),"Hayır","Evet"))</x:f>
      </x:c>
    </x:row>
    <x:row r="45">
      <x:c r="A45" s="4"/>
      <x:c r="B45" s="46"/>
      <x:c r="C45" s="46"/>
      <x:c r="D45" s="112"/>
      <x:c r="E45" s="112"/>
      <x:c r="F45" s="92"/>
      <x:c r="G45" s="92"/>
      <x:c r="H45" s="92"/>
      <x:c r="I45" s="93" t="str">
        <x:f>IF(B45="","",MAX(0,F45-H45))</x:f>
      </x:c>
      <x:c r="J45" s="46"/>
      <x:c r="K45" s="100" t="str">
        <x:f>IF(B45="","",IF(G45="TL",1,IF(G45="USD",KURLAR!$C$9,IF(G45="EUR",KURLAR!$C$10,0))))</x:f>
      </x:c>
      <x:c r="L45" s="68" t="str">
        <x:f>IF(B45="","",I45*K45)</x:f>
      </x:c>
      <x:c r="M45" s="46"/>
      <x:c r="N45" s="52" t="str">
        <x:f>IF(B45="","",IF(OR(M45="Ödendi",M45="İptal"),"Hayır","Evet"))</x:f>
      </x:c>
    </x:row>
    <x:row r="46">
      <x:c r="A46" s="4"/>
      <x:c r="B46" s="46"/>
      <x:c r="C46" s="46"/>
      <x:c r="D46" s="112"/>
      <x:c r="E46" s="112"/>
      <x:c r="F46" s="92"/>
      <x:c r="G46" s="92"/>
      <x:c r="H46" s="92"/>
      <x:c r="I46" s="93" t="str">
        <x:f>IF(B46="","",MAX(0,F46-H46))</x:f>
      </x:c>
      <x:c r="J46" s="46"/>
      <x:c r="K46" s="100" t="str">
        <x:f>IF(B46="","",IF(G46="TL",1,IF(G46="USD",KURLAR!$C$9,IF(G46="EUR",KURLAR!$C$10,0))))</x:f>
      </x:c>
      <x:c r="L46" s="68" t="str">
        <x:f>IF(B46="","",I46*K46)</x:f>
      </x:c>
      <x:c r="M46" s="46"/>
      <x:c r="N46" s="52" t="str">
        <x:f>IF(B46="","",IF(OR(M46="Ödendi",M46="İptal"),"Hayır","Evet"))</x:f>
      </x:c>
    </x:row>
    <x:row r="47">
      <x:c r="A47" s="4"/>
      <x:c r="B47" s="46"/>
      <x:c r="C47" s="46"/>
      <x:c r="D47" s="112"/>
      <x:c r="E47" s="112"/>
      <x:c r="F47" s="92"/>
      <x:c r="G47" s="92"/>
      <x:c r="H47" s="92"/>
      <x:c r="I47" s="93" t="str">
        <x:f>IF(B47="","",MAX(0,F47-H47))</x:f>
      </x:c>
      <x:c r="J47" s="46"/>
      <x:c r="K47" s="100" t="str">
        <x:f>IF(B47="","",IF(G47="TL",1,IF(G47="USD",KURLAR!$C$9,IF(G47="EUR",KURLAR!$C$10,0))))</x:f>
      </x:c>
      <x:c r="L47" s="68" t="str">
        <x:f>IF(B47="","",I47*K47)</x:f>
      </x:c>
      <x:c r="M47" s="46"/>
      <x:c r="N47" s="52" t="str">
        <x:f>IF(B47="","",IF(OR(M47="Ödendi",M47="İptal"),"Hayır","Evet"))</x:f>
      </x:c>
    </x:row>
    <x:row r="48">
      <x:c r="A48" s="4"/>
      <x:c r="B48" s="46"/>
      <x:c r="C48" s="46"/>
      <x:c r="D48" s="112"/>
      <x:c r="E48" s="112"/>
      <x:c r="F48" s="92"/>
      <x:c r="G48" s="92"/>
      <x:c r="H48" s="92"/>
      <x:c r="I48" s="93" t="str">
        <x:f>IF(B48="","",MAX(0,F48-H48))</x:f>
      </x:c>
      <x:c r="J48" s="46"/>
      <x:c r="K48" s="100" t="str">
        <x:f>IF(B48="","",IF(G48="TL",1,IF(G48="USD",KURLAR!$C$9,IF(G48="EUR",KURLAR!$C$10,0))))</x:f>
      </x:c>
      <x:c r="L48" s="68" t="str">
        <x:f>IF(B48="","",I48*K48)</x:f>
      </x:c>
      <x:c r="M48" s="46"/>
      <x:c r="N48" s="52" t="str">
        <x:f>IF(B48="","",IF(OR(M48="Ödendi",M48="İptal"),"Hayır","Evet"))</x:f>
      </x:c>
    </x:row>
    <x:row r="49">
      <x:c r="A49" s="4"/>
      <x:c r="B49" s="46"/>
      <x:c r="C49" s="46"/>
      <x:c r="D49" s="112"/>
      <x:c r="E49" s="112"/>
      <x:c r="F49" s="92"/>
      <x:c r="G49" s="92"/>
      <x:c r="H49" s="92"/>
      <x:c r="I49" s="93" t="str">
        <x:f>IF(B49="","",MAX(0,F49-H49))</x:f>
      </x:c>
      <x:c r="J49" s="46"/>
      <x:c r="K49" s="100" t="str">
        <x:f>IF(B49="","",IF(G49="TL",1,IF(G49="USD",KURLAR!$C$9,IF(G49="EUR",KURLAR!$C$10,0))))</x:f>
      </x:c>
      <x:c r="L49" s="68" t="str">
        <x:f>IF(B49="","",I49*K49)</x:f>
      </x:c>
      <x:c r="M49" s="46"/>
      <x:c r="N49" s="52" t="str">
        <x:f>IF(B49="","",IF(OR(M49="Ödendi",M49="İptal"),"Hayır","Evet"))</x:f>
      </x:c>
    </x:row>
    <x:row r="50">
      <x:c r="A50" s="4"/>
      <x:c r="B50" s="46"/>
      <x:c r="C50" s="46"/>
      <x:c r="D50" s="112"/>
      <x:c r="E50" s="112"/>
      <x:c r="F50" s="92"/>
      <x:c r="G50" s="92"/>
      <x:c r="H50" s="92"/>
      <x:c r="I50" s="93" t="str">
        <x:f>IF(B50="","",MAX(0,F50-H50))</x:f>
      </x:c>
      <x:c r="J50" s="46"/>
      <x:c r="K50" s="100" t="str">
        <x:f>IF(B50="","",IF(G50="TL",1,IF(G50="USD",KURLAR!$C$9,IF(G50="EUR",KURLAR!$C$10,0))))</x:f>
      </x:c>
      <x:c r="L50" s="68" t="str">
        <x:f>IF(B50="","",I50*K50)</x:f>
      </x:c>
      <x:c r="M50" s="46"/>
      <x:c r="N50" s="52" t="str">
        <x:f>IF(B50="","",IF(OR(M50="Ödendi",M50="İptal"),"Hayır","Evet"))</x:f>
      </x:c>
    </x:row>
    <x:row r="51">
      <x:c r="A51" s="4"/>
      <x:c r="B51" s="46"/>
      <x:c r="C51" s="46"/>
      <x:c r="D51" s="112"/>
      <x:c r="E51" s="112"/>
      <x:c r="F51" s="92"/>
      <x:c r="G51" s="92"/>
      <x:c r="H51" s="92"/>
      <x:c r="I51" s="93" t="str">
        <x:f>IF(B51="","",MAX(0,F51-H51))</x:f>
      </x:c>
      <x:c r="J51" s="46"/>
      <x:c r="K51" s="100" t="str">
        <x:f>IF(B51="","",IF(G51="TL",1,IF(G51="USD",KURLAR!$C$9,IF(G51="EUR",KURLAR!$C$10,0))))</x:f>
      </x:c>
      <x:c r="L51" s="68" t="str">
        <x:f>IF(B51="","",I51*K51)</x:f>
      </x:c>
      <x:c r="M51" s="46"/>
      <x:c r="N51" s="52" t="str">
        <x:f>IF(B51="","",IF(OR(M51="Ödendi",M51="İptal"),"Hayır","Evet"))</x:f>
      </x:c>
    </x:row>
    <x:row r="52">
      <x:c r="A52" s="4"/>
      <x:c r="B52" s="46"/>
      <x:c r="C52" s="46"/>
      <x:c r="D52" s="112"/>
      <x:c r="E52" s="112"/>
      <x:c r="F52" s="92"/>
      <x:c r="G52" s="92"/>
      <x:c r="H52" s="92"/>
      <x:c r="I52" s="93" t="str">
        <x:f>IF(B52="","",MAX(0,F52-H52))</x:f>
      </x:c>
      <x:c r="J52" s="46"/>
      <x:c r="K52" s="100" t="str">
        <x:f>IF(B52="","",IF(G52="TL",1,IF(G52="USD",KURLAR!$C$9,IF(G52="EUR",KURLAR!$C$10,0))))</x:f>
      </x:c>
      <x:c r="L52" s="68" t="str">
        <x:f>IF(B52="","",I52*K52)</x:f>
      </x:c>
      <x:c r="M52" s="46"/>
      <x:c r="N52" s="52" t="str">
        <x:f>IF(B52="","",IF(OR(M52="Ödendi",M52="İptal"),"Hayır","Evet"))</x:f>
      </x:c>
    </x:row>
    <x:row r="53">
      <x:c r="A53" s="4"/>
      <x:c r="B53" s="46"/>
      <x:c r="C53" s="46"/>
      <x:c r="D53" s="112"/>
      <x:c r="E53" s="112"/>
      <x:c r="F53" s="92"/>
      <x:c r="G53" s="92"/>
      <x:c r="H53" s="92"/>
      <x:c r="I53" s="93" t="str">
        <x:f>IF(B53="","",MAX(0,F53-H53))</x:f>
      </x:c>
      <x:c r="J53" s="46"/>
      <x:c r="K53" s="100" t="str">
        <x:f>IF(B53="","",IF(G53="TL",1,IF(G53="USD",KURLAR!$C$9,IF(G53="EUR",KURLAR!$C$10,0))))</x:f>
      </x:c>
      <x:c r="L53" s="68" t="str">
        <x:f>IF(B53="","",I53*K53)</x:f>
      </x:c>
      <x:c r="M53" s="46"/>
      <x:c r="N53" s="52" t="str">
        <x:f>IF(B53="","",IF(OR(M53="Ödendi",M53="İptal"),"Hayır","Evet"))</x:f>
      </x:c>
    </x:row>
    <x:row r="54">
      <x:c r="A54" s="4"/>
      <x:c r="B54" s="46"/>
      <x:c r="C54" s="46"/>
      <x:c r="D54" s="112"/>
      <x:c r="E54" s="112"/>
      <x:c r="F54" s="92"/>
      <x:c r="G54" s="92"/>
      <x:c r="H54" s="92"/>
      <x:c r="I54" s="93" t="str">
        <x:f>IF(B54="","",MAX(0,F54-H54))</x:f>
      </x:c>
      <x:c r="J54" s="46"/>
      <x:c r="K54" s="100" t="str">
        <x:f>IF(B54="","",IF(G54="TL",1,IF(G54="USD",KURLAR!$C$9,IF(G54="EUR",KURLAR!$C$10,0))))</x:f>
      </x:c>
      <x:c r="L54" s="68" t="str">
        <x:f>IF(B54="","",I54*K54)</x:f>
      </x:c>
      <x:c r="M54" s="46"/>
      <x:c r="N54" s="52" t="str">
        <x:f>IF(B54="","",IF(OR(M54="Ödendi",M54="İptal"),"Hayır","Evet"))</x:f>
      </x:c>
    </x:row>
    <x:row r="55">
      <x:c r="A55" s="4"/>
      <x:c r="B55" s="46"/>
      <x:c r="C55" s="46"/>
      <x:c r="D55" s="112"/>
      <x:c r="E55" s="112"/>
      <x:c r="F55" s="92"/>
      <x:c r="G55" s="92"/>
      <x:c r="H55" s="92"/>
      <x:c r="I55" s="93" t="str">
        <x:f>IF(B55="","",MAX(0,F55-H55))</x:f>
      </x:c>
      <x:c r="J55" s="46"/>
      <x:c r="K55" s="100" t="str">
        <x:f>IF(B55="","",IF(G55="TL",1,IF(G55="USD",KURLAR!$C$9,IF(G55="EUR",KURLAR!$C$10,0))))</x:f>
      </x:c>
      <x:c r="L55" s="68" t="str">
        <x:f>IF(B55="","",I55*K55)</x:f>
      </x:c>
      <x:c r="M55" s="46"/>
      <x:c r="N55" s="52" t="str">
        <x:f>IF(B55="","",IF(OR(M55="Ödendi",M55="İptal"),"Hayır","Evet"))</x:f>
      </x:c>
    </x:row>
    <x:row r="56">
      <x:c r="A56" s="4"/>
      <x:c r="B56" s="46"/>
      <x:c r="C56" s="46"/>
      <x:c r="D56" s="112"/>
      <x:c r="E56" s="112"/>
      <x:c r="F56" s="92"/>
      <x:c r="G56" s="92"/>
      <x:c r="H56" s="92"/>
      <x:c r="I56" s="93" t="str">
        <x:f>IF(B56="","",MAX(0,F56-H56))</x:f>
      </x:c>
      <x:c r="J56" s="46"/>
      <x:c r="K56" s="100" t="str">
        <x:f>IF(B56="","",IF(G56="TL",1,IF(G56="USD",KURLAR!$C$9,IF(G56="EUR",KURLAR!$C$10,0))))</x:f>
      </x:c>
      <x:c r="L56" s="68" t="str">
        <x:f>IF(B56="","",I56*K56)</x:f>
      </x:c>
      <x:c r="M56" s="46"/>
      <x:c r="N56" s="52" t="str">
        <x:f>IF(B56="","",IF(OR(M56="Ödendi",M56="İptal"),"Hayır","Evet"))</x:f>
      </x:c>
    </x:row>
    <x:row r="57">
      <x:c r="A57" s="4"/>
      <x:c r="B57" s="46"/>
      <x:c r="C57" s="46"/>
      <x:c r="D57" s="112"/>
      <x:c r="E57" s="112"/>
      <x:c r="F57" s="92"/>
      <x:c r="G57" s="92"/>
      <x:c r="H57" s="92"/>
      <x:c r="I57" s="93" t="str">
        <x:f>IF(B57="","",MAX(0,F57-H57))</x:f>
      </x:c>
      <x:c r="J57" s="46"/>
      <x:c r="K57" s="100" t="str">
        <x:f>IF(B57="","",IF(G57="TL",1,IF(G57="USD",KURLAR!$C$9,IF(G57="EUR",KURLAR!$C$10,0))))</x:f>
      </x:c>
      <x:c r="L57" s="68" t="str">
        <x:f>IF(B57="","",I57*K57)</x:f>
      </x:c>
      <x:c r="M57" s="46"/>
      <x:c r="N57" s="52" t="str">
        <x:f>IF(B57="","",IF(OR(M57="Ödendi",M57="İptal"),"Hayır","Evet"))</x:f>
      </x:c>
    </x:row>
    <x:row r="58">
      <x:c r="A58" s="4"/>
      <x:c r="B58" s="46"/>
      <x:c r="C58" s="46"/>
      <x:c r="D58" s="112"/>
      <x:c r="E58" s="112"/>
      <x:c r="F58" s="92"/>
      <x:c r="G58" s="92"/>
      <x:c r="H58" s="92"/>
      <x:c r="I58" s="93" t="str">
        <x:f>IF(B58="","",MAX(0,F58-H58))</x:f>
      </x:c>
      <x:c r="J58" s="46"/>
      <x:c r="K58" s="100" t="str">
        <x:f>IF(B58="","",IF(G58="TL",1,IF(G58="USD",KURLAR!$C$9,IF(G58="EUR",KURLAR!$C$10,0))))</x:f>
      </x:c>
      <x:c r="L58" s="68" t="str">
        <x:f>IF(B58="","",I58*K58)</x:f>
      </x:c>
      <x:c r="M58" s="46"/>
      <x:c r="N58" s="52" t="str">
        <x:f>IF(B58="","",IF(OR(M58="Ödendi",M58="İptal"),"Hayır","Evet"))</x:f>
      </x:c>
    </x:row>
    <x:row r="59">
      <x:c r="A59" s="4"/>
      <x:c r="B59" s="46"/>
      <x:c r="C59" s="46"/>
      <x:c r="D59" s="112"/>
      <x:c r="E59" s="112"/>
      <x:c r="F59" s="92"/>
      <x:c r="G59" s="92"/>
      <x:c r="H59" s="92"/>
      <x:c r="I59" s="93" t="str">
        <x:f>IF(B59="","",MAX(0,F59-H59))</x:f>
      </x:c>
      <x:c r="J59" s="46"/>
      <x:c r="K59" s="100" t="str">
        <x:f>IF(B59="","",IF(G59="TL",1,IF(G59="USD",KURLAR!$C$9,IF(G59="EUR",KURLAR!$C$10,0))))</x:f>
      </x:c>
      <x:c r="L59" s="68" t="str">
        <x:f>IF(B59="","",I59*K59)</x:f>
      </x:c>
      <x:c r="M59" s="46"/>
      <x:c r="N59" s="52" t="str">
        <x:f>IF(B59="","",IF(OR(M59="Ödendi",M59="İptal"),"Hayır","Evet"))</x:f>
      </x:c>
    </x:row>
    <x:row r="60">
      <x:c r="A60" s="4"/>
      <x:c r="B60" s="46"/>
      <x:c r="C60" s="46"/>
      <x:c r="D60" s="112"/>
      <x:c r="E60" s="112"/>
      <x:c r="F60" s="92"/>
      <x:c r="G60" s="92"/>
      <x:c r="H60" s="92"/>
      <x:c r="I60" s="93" t="str">
        <x:f>IF(B60="","",MAX(0,F60-H60))</x:f>
      </x:c>
      <x:c r="J60" s="46"/>
      <x:c r="K60" s="100" t="str">
        <x:f>IF(B60="","",IF(G60="TL",1,IF(G60="USD",KURLAR!$C$9,IF(G60="EUR",KURLAR!$C$10,0))))</x:f>
      </x:c>
      <x:c r="L60" s="68" t="str">
        <x:f>IF(B60="","",I60*K60)</x:f>
      </x:c>
      <x:c r="M60" s="46"/>
      <x:c r="N60" s="52" t="str">
        <x:f>IF(B60="","",IF(OR(M60="Ödendi",M60="İptal"),"Hayır","Evet"))</x:f>
      </x:c>
    </x:row>
    <x:row r="61">
      <x:c r="A61" s="4"/>
      <x:c r="B61" s="46"/>
      <x:c r="C61" s="46"/>
      <x:c r="D61" s="112"/>
      <x:c r="E61" s="112"/>
      <x:c r="F61" s="92"/>
      <x:c r="G61" s="92"/>
      <x:c r="H61" s="92"/>
      <x:c r="I61" s="93" t="str">
        <x:f>IF(B61="","",MAX(0,F61-H61))</x:f>
      </x:c>
      <x:c r="J61" s="46"/>
      <x:c r="K61" s="100" t="str">
        <x:f>IF(B61="","",IF(G61="TL",1,IF(G61="USD",KURLAR!$C$9,IF(G61="EUR",KURLAR!$C$10,0))))</x:f>
      </x:c>
      <x:c r="L61" s="68" t="str">
        <x:f>IF(B61="","",I61*K61)</x:f>
      </x:c>
      <x:c r="M61" s="46"/>
      <x:c r="N61" s="52" t="str">
        <x:f>IF(B61="","",IF(OR(M61="Ödendi",M61="İptal"),"Hayır","Evet"))</x:f>
      </x:c>
    </x:row>
    <x:row r="62">
      <x:c r="A62" s="4"/>
      <x:c r="B62" s="46"/>
      <x:c r="C62" s="46"/>
      <x:c r="D62" s="112"/>
      <x:c r="E62" s="112"/>
      <x:c r="F62" s="92"/>
      <x:c r="G62" s="92"/>
      <x:c r="H62" s="92"/>
      <x:c r="I62" s="93" t="str">
        <x:f>IF(B62="","",MAX(0,F62-H62))</x:f>
      </x:c>
      <x:c r="J62" s="46"/>
      <x:c r="K62" s="100" t="str">
        <x:f>IF(B62="","",IF(G62="TL",1,IF(G62="USD",KURLAR!$C$9,IF(G62="EUR",KURLAR!$C$10,0))))</x:f>
      </x:c>
      <x:c r="L62" s="68" t="str">
        <x:f>IF(B62="","",I62*K62)</x:f>
      </x:c>
      <x:c r="M62" s="46"/>
      <x:c r="N62" s="52" t="str">
        <x:f>IF(B62="","",IF(OR(M62="Ödendi",M62="İptal"),"Hayır","Evet"))</x:f>
      </x:c>
    </x:row>
    <x:row r="63">
      <x:c r="A63" s="4"/>
      <x:c r="B63" s="46"/>
      <x:c r="C63" s="46"/>
      <x:c r="D63" s="112"/>
      <x:c r="E63" s="112"/>
      <x:c r="F63" s="92"/>
      <x:c r="G63" s="92"/>
      <x:c r="H63" s="92"/>
      <x:c r="I63" s="93" t="str">
        <x:f>IF(B63="","",MAX(0,F63-H63))</x:f>
      </x:c>
      <x:c r="J63" s="46"/>
      <x:c r="K63" s="100" t="str">
        <x:f>IF(B63="","",IF(G63="TL",1,IF(G63="USD",KURLAR!$C$9,IF(G63="EUR",KURLAR!$C$10,0))))</x:f>
      </x:c>
      <x:c r="L63" s="68" t="str">
        <x:f>IF(B63="","",I63*K63)</x:f>
      </x:c>
      <x:c r="M63" s="46"/>
      <x:c r="N63" s="52" t="str">
        <x:f>IF(B63="","",IF(OR(M63="Ödendi",M63="İptal"),"Hayır","Evet"))</x:f>
      </x:c>
    </x:row>
    <x:row r="64">
      <x:c r="A64" s="4"/>
      <x:c r="B64" s="46"/>
      <x:c r="C64" s="46"/>
      <x:c r="D64" s="112"/>
      <x:c r="E64" s="112"/>
      <x:c r="F64" s="92"/>
      <x:c r="G64" s="92"/>
      <x:c r="H64" s="92"/>
      <x:c r="I64" s="93" t="str">
        <x:f>IF(B64="","",MAX(0,F64-H64))</x:f>
      </x:c>
      <x:c r="J64" s="46"/>
      <x:c r="K64" s="100" t="str">
        <x:f>IF(B64="","",IF(G64="TL",1,IF(G64="USD",KURLAR!$C$9,IF(G64="EUR",KURLAR!$C$10,0))))</x:f>
      </x:c>
      <x:c r="L64" s="68" t="str">
        <x:f>IF(B64="","",I64*K64)</x:f>
      </x:c>
      <x:c r="M64" s="46"/>
      <x:c r="N64" s="52" t="str">
        <x:f>IF(B64="","",IF(OR(M64="Ödendi",M64="İptal"),"Hayır","Evet"))</x:f>
      </x:c>
    </x:row>
    <x:row r="65">
      <x:c r="A65" s="4"/>
      <x:c r="B65" s="46"/>
      <x:c r="C65" s="46"/>
      <x:c r="D65" s="112"/>
      <x:c r="E65" s="112"/>
      <x:c r="F65" s="92"/>
      <x:c r="G65" s="92"/>
      <x:c r="H65" s="92"/>
      <x:c r="I65" s="93" t="str">
        <x:f>IF(B65="","",MAX(0,F65-H65))</x:f>
      </x:c>
      <x:c r="J65" s="46"/>
      <x:c r="K65" s="100" t="str">
        <x:f>IF(B65="","",IF(G65="TL",1,IF(G65="USD",KURLAR!$C$9,IF(G65="EUR",KURLAR!$C$10,0))))</x:f>
      </x:c>
      <x:c r="L65" s="68" t="str">
        <x:f>IF(B65="","",I65*K65)</x:f>
      </x:c>
      <x:c r="M65" s="46"/>
      <x:c r="N65" s="52" t="str">
        <x:f>IF(B65="","",IF(OR(M65="Ödendi",M65="İptal"),"Hayır","Evet"))</x:f>
      </x:c>
    </x:row>
    <x:row r="66">
      <x:c r="A66" s="4"/>
      <x:c r="B66" s="46"/>
      <x:c r="C66" s="46"/>
      <x:c r="D66" s="112"/>
      <x:c r="E66" s="112"/>
      <x:c r="F66" s="92"/>
      <x:c r="G66" s="92"/>
      <x:c r="H66" s="92"/>
      <x:c r="I66" s="93" t="str">
        <x:f>IF(B66="","",MAX(0,F66-H66))</x:f>
      </x:c>
      <x:c r="J66" s="46"/>
      <x:c r="K66" s="100" t="str">
        <x:f>IF(B66="","",IF(G66="TL",1,IF(G66="USD",KURLAR!$C$9,IF(G66="EUR",KURLAR!$C$10,0))))</x:f>
      </x:c>
      <x:c r="L66" s="68" t="str">
        <x:f>IF(B66="","",I66*K66)</x:f>
      </x:c>
      <x:c r="M66" s="46"/>
      <x:c r="N66" s="52" t="str">
        <x:f>IF(B66="","",IF(OR(M66="Ödendi",M66="İptal"),"Hayır","Evet"))</x:f>
      </x:c>
    </x:row>
    <x:row r="67">
      <x:c r="A67" s="4"/>
      <x:c r="B67" s="46"/>
      <x:c r="C67" s="46"/>
      <x:c r="D67" s="112"/>
      <x:c r="E67" s="112"/>
      <x:c r="F67" s="92"/>
      <x:c r="G67" s="92"/>
      <x:c r="H67" s="92"/>
      <x:c r="I67" s="93" t="str">
        <x:f>IF(B67="","",MAX(0,F67-H67))</x:f>
      </x:c>
      <x:c r="J67" s="46"/>
      <x:c r="K67" s="100" t="str">
        <x:f>IF(B67="","",IF(G67="TL",1,IF(G67="USD",KURLAR!$C$9,IF(G67="EUR",KURLAR!$C$10,0))))</x:f>
      </x:c>
      <x:c r="L67" s="68" t="str">
        <x:f>IF(B67="","",I67*K67)</x:f>
      </x:c>
      <x:c r="M67" s="46"/>
      <x:c r="N67" s="52" t="str">
        <x:f>IF(B67="","",IF(OR(M67="Ödendi",M67="İptal"),"Hayır","Evet"))</x:f>
      </x:c>
    </x:row>
    <x:row r="68">
      <x:c r="A68" s="4"/>
      <x:c r="B68" s="46"/>
      <x:c r="C68" s="46"/>
      <x:c r="D68" s="112"/>
      <x:c r="E68" s="112"/>
      <x:c r="F68" s="92"/>
      <x:c r="G68" s="92"/>
      <x:c r="H68" s="92"/>
      <x:c r="I68" s="93" t="str">
        <x:f>IF(B68="","",MAX(0,F68-H68))</x:f>
      </x:c>
      <x:c r="J68" s="46"/>
      <x:c r="K68" s="100" t="str">
        <x:f>IF(B68="","",IF(G68="TL",1,IF(G68="USD",KURLAR!$C$9,IF(G68="EUR",KURLAR!$C$10,0))))</x:f>
      </x:c>
      <x:c r="L68" s="68" t="str">
        <x:f>IF(B68="","",I68*K68)</x:f>
      </x:c>
      <x:c r="M68" s="46"/>
      <x:c r="N68" s="52" t="str">
        <x:f>IF(B68="","",IF(OR(M68="Ödendi",M68="İptal"),"Hayır","Evet"))</x:f>
      </x:c>
    </x:row>
    <x:row r="69">
      <x:c r="A69" s="4"/>
      <x:c r="B69" s="46"/>
      <x:c r="C69" s="46"/>
      <x:c r="D69" s="112"/>
      <x:c r="E69" s="112"/>
      <x:c r="F69" s="92"/>
      <x:c r="G69" s="92"/>
      <x:c r="H69" s="92"/>
      <x:c r="I69" s="93" t="str">
        <x:f>IF(B69="","",MAX(0,F69-H69))</x:f>
      </x:c>
      <x:c r="J69" s="46"/>
      <x:c r="K69" s="100" t="str">
        <x:f>IF(B69="","",IF(G69="TL",1,IF(G69="USD",KURLAR!$C$9,IF(G69="EUR",KURLAR!$C$10,0))))</x:f>
      </x:c>
      <x:c r="L69" s="68" t="str">
        <x:f>IF(B69="","",I69*K69)</x:f>
      </x:c>
      <x:c r="M69" s="46"/>
      <x:c r="N69" s="52" t="str">
        <x:f>IF(B69="","",IF(OR(M69="Ödendi",M69="İptal"),"Hayır","Evet"))</x:f>
      </x:c>
    </x:row>
    <x:row r="70">
      <x:c r="A70" s="4"/>
      <x:c r="B70" s="46"/>
      <x:c r="C70" s="46"/>
      <x:c r="D70" s="112"/>
      <x:c r="E70" s="112"/>
      <x:c r="F70" s="92"/>
      <x:c r="G70" s="92"/>
      <x:c r="H70" s="92"/>
      <x:c r="I70" s="93" t="str">
        <x:f>IF(B70="","",MAX(0,F70-H70))</x:f>
      </x:c>
      <x:c r="J70" s="46"/>
      <x:c r="K70" s="100" t="str">
        <x:f>IF(B70="","",IF(G70="TL",1,IF(G70="USD",KURLAR!$C$9,IF(G70="EUR",KURLAR!$C$10,0))))</x:f>
      </x:c>
      <x:c r="L70" s="68" t="str">
        <x:f>IF(B70="","",I70*K70)</x:f>
      </x:c>
      <x:c r="M70" s="46"/>
      <x:c r="N70" s="52" t="str">
        <x:f>IF(B70="","",IF(OR(M70="Ödendi",M70="İptal"),"Hayır","Evet"))</x:f>
      </x:c>
    </x:row>
    <x:row r="71">
      <x:c r="A71" s="4"/>
      <x:c r="B71" s="46"/>
      <x:c r="C71" s="46"/>
      <x:c r="D71" s="112"/>
      <x:c r="E71" s="112"/>
      <x:c r="F71" s="92"/>
      <x:c r="G71" s="92"/>
      <x:c r="H71" s="92"/>
      <x:c r="I71" s="93" t="str">
        <x:f>IF(B71="","",MAX(0,F71-H71))</x:f>
      </x:c>
      <x:c r="J71" s="46"/>
      <x:c r="K71" s="100" t="str">
        <x:f>IF(B71="","",IF(G71="TL",1,IF(G71="USD",KURLAR!$C$9,IF(G71="EUR",KURLAR!$C$10,0))))</x:f>
      </x:c>
      <x:c r="L71" s="68" t="str">
        <x:f>IF(B71="","",I71*K71)</x:f>
      </x:c>
      <x:c r="M71" s="46"/>
      <x:c r="N71" s="52" t="str">
        <x:f>IF(B71="","",IF(OR(M71="Ödendi",M71="İptal"),"Hayır","Evet"))</x:f>
      </x:c>
    </x:row>
    <x:row r="72">
      <x:c r="A72" s="4"/>
      <x:c r="B72" s="46"/>
      <x:c r="C72" s="46"/>
      <x:c r="D72" s="112"/>
      <x:c r="E72" s="112"/>
      <x:c r="F72" s="92"/>
      <x:c r="G72" s="92"/>
      <x:c r="H72" s="92"/>
      <x:c r="I72" s="93" t="str">
        <x:f>IF(B72="","",MAX(0,F72-H72))</x:f>
      </x:c>
      <x:c r="J72" s="46"/>
      <x:c r="K72" s="100" t="str">
        <x:f>IF(B72="","",IF(G72="TL",1,IF(G72="USD",KURLAR!$C$9,IF(G72="EUR",KURLAR!$C$10,0))))</x:f>
      </x:c>
      <x:c r="L72" s="68" t="str">
        <x:f>IF(B72="","",I72*K72)</x:f>
      </x:c>
      <x:c r="M72" s="46"/>
      <x:c r="N72" s="52" t="str">
        <x:f>IF(B72="","",IF(OR(M72="Ödendi",M72="İptal"),"Hayır","Evet"))</x:f>
      </x:c>
    </x:row>
    <x:row r="73">
      <x:c r="A73" s="4"/>
      <x:c r="B73" s="46"/>
      <x:c r="C73" s="46"/>
      <x:c r="D73" s="112"/>
      <x:c r="E73" s="112"/>
      <x:c r="F73" s="92"/>
      <x:c r="G73" s="92"/>
      <x:c r="H73" s="92"/>
      <x:c r="I73" s="93" t="str">
        <x:f>IF(B73="","",MAX(0,F73-H73))</x:f>
      </x:c>
      <x:c r="J73" s="46"/>
      <x:c r="K73" s="100" t="str">
        <x:f>IF(B73="","",IF(G73="TL",1,IF(G73="USD",KURLAR!$C$9,IF(G73="EUR",KURLAR!$C$10,0))))</x:f>
      </x:c>
      <x:c r="L73" s="68" t="str">
        <x:f>IF(B73="","",I73*K73)</x:f>
      </x:c>
      <x:c r="M73" s="46"/>
      <x:c r="N73" s="52" t="str">
        <x:f>IF(B73="","",IF(OR(M73="Ödendi",M73="İptal"),"Hayır","Evet"))</x:f>
      </x:c>
    </x:row>
    <x:row r="74">
      <x:c r="A74" s="4"/>
      <x:c r="B74" s="46"/>
      <x:c r="C74" s="46"/>
      <x:c r="D74" s="112"/>
      <x:c r="E74" s="112"/>
      <x:c r="F74" s="92"/>
      <x:c r="G74" s="92"/>
      <x:c r="H74" s="92"/>
      <x:c r="I74" s="93" t="str">
        <x:f>IF(B74="","",MAX(0,F74-H74))</x:f>
      </x:c>
      <x:c r="J74" s="46"/>
      <x:c r="K74" s="100" t="str">
        <x:f>IF(B74="","",IF(G74="TL",1,IF(G74="USD",KURLAR!$C$9,IF(G74="EUR",KURLAR!$C$10,0))))</x:f>
      </x:c>
      <x:c r="L74" s="68" t="str">
        <x:f>IF(B74="","",I74*K74)</x:f>
      </x:c>
      <x:c r="M74" s="46"/>
      <x:c r="N74" s="52" t="str">
        <x:f>IF(B74="","",IF(OR(M74="Ödendi",M74="İptal"),"Hayır","Evet"))</x:f>
      </x:c>
    </x:row>
    <x:row r="75">
      <x:c r="A75" s="4"/>
      <x:c r="B75" s="46"/>
      <x:c r="C75" s="46"/>
      <x:c r="D75" s="112"/>
      <x:c r="E75" s="112"/>
      <x:c r="F75" s="92"/>
      <x:c r="G75" s="92"/>
      <x:c r="H75" s="92"/>
      <x:c r="I75" s="93" t="str">
        <x:f>IF(B75="","",MAX(0,F75-H75))</x:f>
      </x:c>
      <x:c r="J75" s="46"/>
      <x:c r="K75" s="100" t="str">
        <x:f>IF(B75="","",IF(G75="TL",1,IF(G75="USD",KURLAR!$C$9,IF(G75="EUR",KURLAR!$C$10,0))))</x:f>
      </x:c>
      <x:c r="L75" s="68" t="str">
        <x:f>IF(B75="","",I75*K75)</x:f>
      </x:c>
      <x:c r="M75" s="46"/>
      <x:c r="N75" s="52" t="str">
        <x:f>IF(B75="","",IF(OR(M75="Ödendi",M75="İptal"),"Hayır","Evet"))</x:f>
      </x:c>
    </x:row>
    <x:row r="76">
      <x:c r="A76" s="4"/>
      <x:c r="B76" s="46"/>
      <x:c r="C76" s="46"/>
      <x:c r="D76" s="112"/>
      <x:c r="E76" s="112"/>
      <x:c r="F76" s="92"/>
      <x:c r="G76" s="92"/>
      <x:c r="H76" s="92"/>
      <x:c r="I76" s="93" t="str">
        <x:f>IF(B76="","",MAX(0,F76-H76))</x:f>
      </x:c>
      <x:c r="J76" s="46"/>
      <x:c r="K76" s="100" t="str">
        <x:f>IF(B76="","",IF(G76="TL",1,IF(G76="USD",KURLAR!$C$9,IF(G76="EUR",KURLAR!$C$10,0))))</x:f>
      </x:c>
      <x:c r="L76" s="68" t="str">
        <x:f>IF(B76="","",I76*K76)</x:f>
      </x:c>
      <x:c r="M76" s="46"/>
      <x:c r="N76" s="52" t="str">
        <x:f>IF(B76="","",IF(OR(M76="Ödendi",M76="İptal"),"Hayır","Evet"))</x:f>
      </x:c>
    </x:row>
    <x:row r="77">
      <x:c r="A77" s="4"/>
      <x:c r="B77" s="46"/>
      <x:c r="C77" s="46"/>
      <x:c r="D77" s="112"/>
      <x:c r="E77" s="112"/>
      <x:c r="F77" s="92"/>
      <x:c r="G77" s="92"/>
      <x:c r="H77" s="92"/>
      <x:c r="I77" s="93" t="str">
        <x:f>IF(B77="","",MAX(0,F77-H77))</x:f>
      </x:c>
      <x:c r="J77" s="46"/>
      <x:c r="K77" s="100" t="str">
        <x:f>IF(B77="","",IF(G77="TL",1,IF(G77="USD",KURLAR!$C$9,IF(G77="EUR",KURLAR!$C$10,0))))</x:f>
      </x:c>
      <x:c r="L77" s="68" t="str">
        <x:f>IF(B77="","",I77*K77)</x:f>
      </x:c>
      <x:c r="M77" s="46"/>
      <x:c r="N77" s="52" t="str">
        <x:f>IF(B77="","",IF(OR(M77="Ödendi",M77="İptal"),"Hayır","Evet"))</x:f>
      </x:c>
    </x:row>
    <x:row r="78">
      <x:c r="A78" s="4"/>
      <x:c r="B78" s="46"/>
      <x:c r="C78" s="46"/>
      <x:c r="D78" s="112"/>
      <x:c r="E78" s="112"/>
      <x:c r="F78" s="92"/>
      <x:c r="G78" s="92"/>
      <x:c r="H78" s="92"/>
      <x:c r="I78" s="93" t="str">
        <x:f>IF(B78="","",MAX(0,F78-H78))</x:f>
      </x:c>
      <x:c r="J78" s="46"/>
      <x:c r="K78" s="100" t="str">
        <x:f>IF(B78="","",IF(G78="TL",1,IF(G78="USD",KURLAR!$C$9,IF(G78="EUR",KURLAR!$C$10,0))))</x:f>
      </x:c>
      <x:c r="L78" s="68" t="str">
        <x:f>IF(B78="","",I78*K78)</x:f>
      </x:c>
      <x:c r="M78" s="46"/>
      <x:c r="N78" s="52" t="str">
        <x:f>IF(B78="","",IF(OR(M78="Ödendi",M78="İptal"),"Hayır","Evet"))</x:f>
      </x:c>
    </x:row>
    <x:row r="79">
      <x:c r="A79" s="4"/>
      <x:c r="B79" s="46"/>
      <x:c r="C79" s="46"/>
      <x:c r="D79" s="112"/>
      <x:c r="E79" s="112"/>
      <x:c r="F79" s="92"/>
      <x:c r="G79" s="92"/>
      <x:c r="H79" s="92"/>
      <x:c r="I79" s="93" t="str">
        <x:f>IF(B79="","",MAX(0,F79-H79))</x:f>
      </x:c>
      <x:c r="J79" s="46"/>
      <x:c r="K79" s="100" t="str">
        <x:f>IF(B79="","",IF(G79="TL",1,IF(G79="USD",KURLAR!$C$9,IF(G79="EUR",KURLAR!$C$10,0))))</x:f>
      </x:c>
      <x:c r="L79" s="68" t="str">
        <x:f>IF(B79="","",I79*K79)</x:f>
      </x:c>
      <x:c r="M79" s="46"/>
      <x:c r="N79" s="52" t="str">
        <x:f>IF(B79="","",IF(OR(M79="Ödendi",M79="İptal"),"Hayır","Evet"))</x:f>
      </x:c>
    </x:row>
    <x:row r="80">
      <x:c r="A80" s="4"/>
      <x:c r="B80" s="46"/>
      <x:c r="C80" s="46"/>
      <x:c r="D80" s="112"/>
      <x:c r="E80" s="112"/>
      <x:c r="F80" s="92"/>
      <x:c r="G80" s="92"/>
      <x:c r="H80" s="92"/>
      <x:c r="I80" s="93" t="str">
        <x:f>IF(B80="","",MAX(0,F80-H80))</x:f>
      </x:c>
      <x:c r="J80" s="46"/>
      <x:c r="K80" s="100" t="str">
        <x:f>IF(B80="","",IF(G80="TL",1,IF(G80="USD",KURLAR!$C$9,IF(G80="EUR",KURLAR!$C$10,0))))</x:f>
      </x:c>
      <x:c r="L80" s="68" t="str">
        <x:f>IF(B80="","",I80*K80)</x:f>
      </x:c>
      <x:c r="M80" s="46"/>
      <x:c r="N80" s="52" t="str">
        <x:f>IF(B80="","",IF(OR(M80="Ödendi",M80="İptal"),"Hayır","Evet"))</x:f>
      </x:c>
    </x:row>
    <x:row r="81">
      <x:c r="B81" s="46"/>
      <x:c r="C81" s="46"/>
      <x:c r="D81" s="112"/>
      <x:c r="E81" s="112"/>
      <x:c r="F81" s="92"/>
      <x:c r="G81" s="92"/>
      <x:c r="H81" s="92"/>
      <x:c r="I81" s="93" t="str">
        <x:f>IF(B81="","",MAX(0,F81-H81))</x:f>
      </x:c>
      <x:c r="J81" s="46"/>
      <x:c r="K81" s="100" t="str">
        <x:f>IF(B81="","",IF(G81="TL",1,IF(G81="USD",KURLAR!$C$9,IF(G81="EUR",KURLAR!$C$10,0))))</x:f>
      </x:c>
      <x:c r="L81" s="68" t="str">
        <x:f>IF(B81="","",I81*K81)</x:f>
      </x:c>
      <x:c r="M81" s="46"/>
      <x:c r="N81" s="52" t="str">
        <x:f>IF(B81="","",IF(OR(M81="Ödendi",M81="İptal"),"Hayır","Evet"))</x:f>
      </x:c>
    </x:row>
    <x:row r="82">
      <x:c r="B82" s="46"/>
      <x:c r="C82" s="46"/>
      <x:c r="D82" s="112"/>
      <x:c r="E82" s="112"/>
      <x:c r="F82" s="92"/>
      <x:c r="G82" s="92"/>
      <x:c r="H82" s="92"/>
      <x:c r="I82" s="93" t="str">
        <x:f>IF(B82="","",MAX(0,F82-H82))</x:f>
      </x:c>
      <x:c r="J82" s="46"/>
      <x:c r="K82" s="100" t="str">
        <x:f>IF(B82="","",IF(G82="TL",1,IF(G82="USD",KURLAR!$C$9,IF(G82="EUR",KURLAR!$C$10,0))))</x:f>
      </x:c>
      <x:c r="L82" s="68" t="str">
        <x:f>IF(B82="","",I82*K82)</x:f>
      </x:c>
      <x:c r="M82" s="46"/>
      <x:c r="N82" s="52" t="str">
        <x:f>IF(B82="","",IF(OR(M82="Ödendi",M82="İptal"),"Hayır","Evet"))</x:f>
      </x:c>
    </x:row>
    <x:row r="83">
      <x:c r="B83" s="46"/>
      <x:c r="C83" s="46"/>
      <x:c r="D83" s="112"/>
      <x:c r="E83" s="112"/>
      <x:c r="F83" s="92"/>
      <x:c r="G83" s="92"/>
      <x:c r="H83" s="92"/>
      <x:c r="I83" s="93" t="str">
        <x:f>IF(B83="","",MAX(0,F83-H83))</x:f>
      </x:c>
      <x:c r="J83" s="46"/>
      <x:c r="K83" s="100" t="str">
        <x:f>IF(B83="","",IF(G83="TL",1,IF(G83="USD",KURLAR!$C$9,IF(G83="EUR",KURLAR!$C$10,0))))</x:f>
      </x:c>
      <x:c r="L83" s="68" t="str">
        <x:f>IF(B83="","",I83*K83)</x:f>
      </x:c>
      <x:c r="M83" s="46"/>
      <x:c r="N83" s="52" t="str">
        <x:f>IF(B83="","",IF(OR(M83="Ödendi",M83="İptal"),"Hayır","Evet"))</x:f>
      </x:c>
    </x:row>
    <x:row r="84">
      <x:c r="B84" s="46"/>
      <x:c r="C84" s="46"/>
      <x:c r="D84" s="112"/>
      <x:c r="E84" s="112"/>
      <x:c r="F84" s="92"/>
      <x:c r="G84" s="92"/>
      <x:c r="H84" s="92"/>
      <x:c r="I84" s="93" t="str">
        <x:f>IF(B84="","",MAX(0,F84-H84))</x:f>
      </x:c>
      <x:c r="J84" s="46"/>
      <x:c r="K84" s="100" t="str">
        <x:f>IF(B84="","",IF(G84="TL",1,IF(G84="USD",KURLAR!$C$9,IF(G84="EUR",KURLAR!$C$10,0))))</x:f>
      </x:c>
      <x:c r="L84" s="68" t="str">
        <x:f>IF(B84="","",I84*K84)</x:f>
      </x:c>
      <x:c r="M84" s="46"/>
      <x:c r="N84" s="52" t="str">
        <x:f>IF(B84="","",IF(OR(M84="Ödendi",M84="İptal"),"Hayır","Evet"))</x:f>
      </x:c>
    </x:row>
    <x:row r="85">
      <x:c r="B85" s="46"/>
      <x:c r="C85" s="46"/>
      <x:c r="D85" s="112"/>
      <x:c r="E85" s="112"/>
      <x:c r="F85" s="92"/>
      <x:c r="G85" s="92"/>
      <x:c r="H85" s="92"/>
      <x:c r="I85" s="93" t="str">
        <x:f>IF(B85="","",MAX(0,F85-H85))</x:f>
      </x:c>
      <x:c r="J85" s="46"/>
      <x:c r="K85" s="100" t="str">
        <x:f>IF(B85="","",IF(G85="TL",1,IF(G85="USD",KURLAR!$C$9,IF(G85="EUR",KURLAR!$C$10,0))))</x:f>
      </x:c>
      <x:c r="L85" s="68" t="str">
        <x:f>IF(B85="","",I85*K85)</x:f>
      </x:c>
      <x:c r="M85" s="46"/>
      <x:c r="N85" s="52" t="str">
        <x:f>IF(B85="","",IF(OR(M85="Ödendi",M85="İptal"),"Hayır","Evet"))</x:f>
      </x:c>
    </x:row>
    <x:row r="86">
      <x:c r="B86" s="46"/>
      <x:c r="C86" s="46"/>
      <x:c r="D86" s="112"/>
      <x:c r="E86" s="112"/>
      <x:c r="F86" s="92"/>
      <x:c r="G86" s="92"/>
      <x:c r="H86" s="92"/>
      <x:c r="I86" s="93" t="str">
        <x:f>IF(B86="","",MAX(0,F86-H86))</x:f>
      </x:c>
      <x:c r="J86" s="46"/>
      <x:c r="K86" s="100" t="str">
        <x:f>IF(B86="","",IF(G86="TL",1,IF(G86="USD",KURLAR!$C$9,IF(G86="EUR",KURLAR!$C$10,0))))</x:f>
      </x:c>
      <x:c r="L86" s="68" t="str">
        <x:f>IF(B86="","",I86*K86)</x:f>
      </x:c>
      <x:c r="M86" s="46"/>
      <x:c r="N86" s="52" t="str">
        <x:f>IF(B86="","",IF(OR(M86="Ödendi",M86="İptal"),"Hayır","Evet"))</x:f>
      </x:c>
    </x:row>
    <x:row r="87">
      <x:c r="B87" s="46"/>
      <x:c r="C87" s="46"/>
      <x:c r="D87" s="112"/>
      <x:c r="E87" s="112"/>
      <x:c r="F87" s="92"/>
      <x:c r="G87" s="92"/>
      <x:c r="H87" s="92"/>
      <x:c r="I87" s="93" t="str">
        <x:f>IF(B87="","",MAX(0,F87-H87))</x:f>
      </x:c>
      <x:c r="J87" s="46"/>
      <x:c r="K87" s="100" t="str">
        <x:f>IF(B87="","",IF(G87="TL",1,IF(G87="USD",KURLAR!$C$9,IF(G87="EUR",KURLAR!$C$10,0))))</x:f>
      </x:c>
      <x:c r="L87" s="68" t="str">
        <x:f>IF(B87="","",I87*K87)</x:f>
      </x:c>
      <x:c r="M87" s="46"/>
      <x:c r="N87" s="52" t="str">
        <x:f>IF(B87="","",IF(OR(M87="Ödendi",M87="İptal"),"Hayır","Evet"))</x:f>
      </x:c>
    </x:row>
    <x:row r="88">
      <x:c r="B88" s="46"/>
      <x:c r="C88" s="46"/>
      <x:c r="D88" s="112"/>
      <x:c r="E88" s="112"/>
      <x:c r="F88" s="92"/>
      <x:c r="G88" s="92"/>
      <x:c r="H88" s="92"/>
      <x:c r="I88" s="93" t="str">
        <x:f>IF(B88="","",MAX(0,F88-H88))</x:f>
      </x:c>
      <x:c r="J88" s="46"/>
      <x:c r="K88" s="100" t="str">
        <x:f>IF(B88="","",IF(G88="TL",1,IF(G88="USD",KURLAR!$C$9,IF(G88="EUR",KURLAR!$C$10,0))))</x:f>
      </x:c>
      <x:c r="L88" s="68" t="str">
        <x:f>IF(B88="","",I88*K88)</x:f>
      </x:c>
      <x:c r="M88" s="46"/>
      <x:c r="N88" s="52" t="str">
        <x:f>IF(B88="","",IF(OR(M88="Ödendi",M88="İptal"),"Hayır","Evet"))</x:f>
      </x:c>
    </x:row>
    <x:row r="89">
      <x:c r="B89" s="46"/>
      <x:c r="C89" s="46"/>
      <x:c r="D89" s="112"/>
      <x:c r="E89" s="112"/>
      <x:c r="F89" s="92"/>
      <x:c r="G89" s="92"/>
      <x:c r="H89" s="92"/>
      <x:c r="I89" s="93" t="str">
        <x:f>IF(B89="","",MAX(0,F89-H89))</x:f>
      </x:c>
      <x:c r="J89" s="46"/>
      <x:c r="K89" s="100" t="str">
        <x:f>IF(B89="","",IF(G89="TL",1,IF(G89="USD",KURLAR!$C$9,IF(G89="EUR",KURLAR!$C$10,0))))</x:f>
      </x:c>
      <x:c r="L89" s="68" t="str">
        <x:f>IF(B89="","",I89*K89)</x:f>
      </x:c>
      <x:c r="M89" s="46"/>
      <x:c r="N89" s="52" t="str">
        <x:f>IF(B89="","",IF(OR(M89="Ödendi",M89="İptal"),"Hayır","Evet"))</x:f>
      </x:c>
    </x:row>
    <x:row r="90">
      <x:c r="B90" s="46"/>
      <x:c r="C90" s="46"/>
      <x:c r="D90" s="112"/>
      <x:c r="E90" s="112"/>
      <x:c r="F90" s="92"/>
      <x:c r="G90" s="92"/>
      <x:c r="H90" s="92"/>
      <x:c r="I90" s="93" t="str">
        <x:f>IF(B90="","",MAX(0,F90-H90))</x:f>
      </x:c>
      <x:c r="J90" s="46"/>
      <x:c r="K90" s="100" t="str">
        <x:f>IF(B90="","",IF(G90="TL",1,IF(G90="USD",KURLAR!$C$9,IF(G90="EUR",KURLAR!$C$10,0))))</x:f>
      </x:c>
      <x:c r="L90" s="68" t="str">
        <x:f>IF(B90="","",I90*K90)</x:f>
      </x:c>
      <x:c r="M90" s="46"/>
      <x:c r="N90" s="52" t="str">
        <x:f>IF(B90="","",IF(OR(M90="Ödendi",M90="İptal"),"Hayır","Evet"))</x:f>
      </x:c>
    </x:row>
    <x:row r="91">
      <x:c r="B91" s="46"/>
      <x:c r="C91" s="46"/>
      <x:c r="D91" s="112"/>
      <x:c r="E91" s="112"/>
      <x:c r="F91" s="92"/>
      <x:c r="G91" s="92"/>
      <x:c r="H91" s="92"/>
      <x:c r="I91" s="93" t="str">
        <x:f>IF(B91="","",MAX(0,F91-H91))</x:f>
      </x:c>
      <x:c r="J91" s="46"/>
      <x:c r="K91" s="100" t="str">
        <x:f>IF(B91="","",IF(G91="TL",1,IF(G91="USD",KURLAR!$C$9,IF(G91="EUR",KURLAR!$C$10,0))))</x:f>
      </x:c>
      <x:c r="L91" s="68" t="str">
        <x:f>IF(B91="","",I91*K91)</x:f>
      </x:c>
      <x:c r="M91" s="46"/>
      <x:c r="N91" s="52" t="str">
        <x:f>IF(B91="","",IF(OR(M91="Ödendi",M91="İptal"),"Hayır","Evet"))</x:f>
      </x:c>
    </x:row>
    <x:row r="92">
      <x:c r="B92" s="46"/>
      <x:c r="C92" s="46"/>
      <x:c r="D92" s="112"/>
      <x:c r="E92" s="112"/>
      <x:c r="F92" s="92"/>
      <x:c r="G92" s="92"/>
      <x:c r="H92" s="92"/>
      <x:c r="I92" s="93" t="str">
        <x:f>IF(B92="","",MAX(0,F92-H92))</x:f>
      </x:c>
      <x:c r="J92" s="46"/>
      <x:c r="K92" s="100" t="str">
        <x:f>IF(B92="","",IF(G92="TL",1,IF(G92="USD",KURLAR!$C$9,IF(G92="EUR",KURLAR!$C$10,0))))</x:f>
      </x:c>
      <x:c r="L92" s="68" t="str">
        <x:f>IF(B92="","",I92*K92)</x:f>
      </x:c>
      <x:c r="M92" s="46"/>
      <x:c r="N92" s="52" t="str">
        <x:f>IF(B92="","",IF(OR(M92="Ödendi",M92="İptal"),"Hayır","Evet"))</x:f>
      </x:c>
    </x:row>
    <x:row r="93">
      <x:c r="B93" s="46"/>
      <x:c r="C93" s="46"/>
      <x:c r="D93" s="112"/>
      <x:c r="E93" s="112"/>
      <x:c r="F93" s="92"/>
      <x:c r="G93" s="92"/>
      <x:c r="H93" s="92"/>
      <x:c r="I93" s="93" t="str">
        <x:f>IF(B93="","",MAX(0,F93-H93))</x:f>
      </x:c>
      <x:c r="J93" s="46"/>
      <x:c r="K93" s="100" t="str">
        <x:f>IF(B93="","",IF(G93="TL",1,IF(G93="USD",KURLAR!$C$9,IF(G93="EUR",KURLAR!$C$10,0))))</x:f>
      </x:c>
      <x:c r="L93" s="68" t="str">
        <x:f>IF(B93="","",I93*K93)</x:f>
      </x:c>
      <x:c r="M93" s="46"/>
      <x:c r="N93" s="52" t="str">
        <x:f>IF(B93="","",IF(OR(M93="Ödendi",M93="İptal"),"Hayır","Evet"))</x:f>
      </x:c>
    </x:row>
    <x:row r="94">
      <x:c r="B94" s="46"/>
      <x:c r="C94" s="46"/>
      <x:c r="D94" s="112"/>
      <x:c r="E94" s="112"/>
      <x:c r="F94" s="92"/>
      <x:c r="G94" s="92"/>
      <x:c r="H94" s="92"/>
      <x:c r="I94" s="93" t="str">
        <x:f>IF(B94="","",MAX(0,F94-H94))</x:f>
      </x:c>
      <x:c r="J94" s="46"/>
      <x:c r="K94" s="100" t="str">
        <x:f>IF(B94="","",IF(G94="TL",1,IF(G94="USD",KURLAR!$C$9,IF(G94="EUR",KURLAR!$C$10,0))))</x:f>
      </x:c>
      <x:c r="L94" s="68" t="str">
        <x:f>IF(B94="","",I94*K94)</x:f>
      </x:c>
      <x:c r="M94" s="46"/>
      <x:c r="N94" s="52" t="str">
        <x:f>IF(B94="","",IF(OR(M94="Ödendi",M94="İptal"),"Hayır","Evet"))</x:f>
      </x:c>
    </x:row>
    <x:row r="95">
      <x:c r="B95" s="46"/>
      <x:c r="C95" s="46"/>
      <x:c r="D95" s="112"/>
      <x:c r="E95" s="112"/>
      <x:c r="F95" s="92"/>
      <x:c r="G95" s="92"/>
      <x:c r="H95" s="92"/>
      <x:c r="I95" s="93" t="str">
        <x:f>IF(B95="","",MAX(0,F95-H95))</x:f>
      </x:c>
      <x:c r="J95" s="46"/>
      <x:c r="K95" s="100" t="str">
        <x:f>IF(B95="","",IF(G95="TL",1,IF(G95="USD",KURLAR!$C$9,IF(G95="EUR",KURLAR!$C$10,0))))</x:f>
      </x:c>
      <x:c r="L95" s="68" t="str">
        <x:f>IF(B95="","",I95*K95)</x:f>
      </x:c>
      <x:c r="M95" s="46"/>
      <x:c r="N95" s="52" t="str">
        <x:f>IF(B95="","",IF(OR(M95="Ödendi",M95="İptal"),"Hayır","Evet"))</x:f>
      </x:c>
    </x:row>
    <x:row r="96">
      <x:c r="B96" s="46"/>
      <x:c r="C96" s="46"/>
      <x:c r="D96" s="112"/>
      <x:c r="E96" s="112"/>
      <x:c r="F96" s="92"/>
      <x:c r="G96" s="92"/>
      <x:c r="H96" s="92"/>
      <x:c r="I96" s="93" t="str">
        <x:f>IF(B96="","",MAX(0,F96-H96))</x:f>
      </x:c>
      <x:c r="J96" s="46"/>
      <x:c r="K96" s="100" t="str">
        <x:f>IF(B96="","",IF(G96="TL",1,IF(G96="USD",KURLAR!$C$9,IF(G96="EUR",KURLAR!$C$10,0))))</x:f>
      </x:c>
      <x:c r="L96" s="68" t="str">
        <x:f>IF(B96="","",I96*K96)</x:f>
      </x:c>
      <x:c r="M96" s="46"/>
      <x:c r="N96" s="52" t="str">
        <x:f>IF(B96="","",IF(OR(M96="Ödendi",M96="İptal"),"Hayır","Evet"))</x:f>
      </x:c>
    </x:row>
    <x:row r="97">
      <x:c r="B97" s="46"/>
      <x:c r="C97" s="46"/>
      <x:c r="D97" s="112"/>
      <x:c r="E97" s="112"/>
      <x:c r="F97" s="92"/>
      <x:c r="G97" s="92"/>
      <x:c r="H97" s="92"/>
      <x:c r="I97" s="93" t="str">
        <x:f>IF(B97="","",MAX(0,F97-H97))</x:f>
      </x:c>
      <x:c r="J97" s="46"/>
      <x:c r="K97" s="100" t="str">
        <x:f>IF(B97="","",IF(G97="TL",1,IF(G97="USD",KURLAR!$C$9,IF(G97="EUR",KURLAR!$C$10,0))))</x:f>
      </x:c>
      <x:c r="L97" s="68" t="str">
        <x:f>IF(B97="","",I97*K97)</x:f>
      </x:c>
      <x:c r="M97" s="46"/>
      <x:c r="N97" s="52" t="str">
        <x:f>IF(B97="","",IF(OR(M97="Ödendi",M97="İptal"),"Hayır","Evet"))</x:f>
      </x:c>
    </x:row>
    <x:row r="98">
      <x:c r="B98" s="46"/>
      <x:c r="C98" s="46"/>
      <x:c r="D98" s="112"/>
      <x:c r="E98" s="112"/>
      <x:c r="F98" s="92"/>
      <x:c r="G98" s="92"/>
      <x:c r="H98" s="92"/>
      <x:c r="I98" s="93" t="str">
        <x:f>IF(B98="","",MAX(0,F98-H98))</x:f>
      </x:c>
      <x:c r="J98" s="46"/>
      <x:c r="K98" s="100" t="str">
        <x:f>IF(B98="","",IF(G98="TL",1,IF(G98="USD",KURLAR!$C$9,IF(G98="EUR",KURLAR!$C$10,0))))</x:f>
      </x:c>
      <x:c r="L98" s="68" t="str">
        <x:f>IF(B98="","",I98*K98)</x:f>
      </x:c>
      <x:c r="M98" s="46"/>
      <x:c r="N98" s="52" t="str">
        <x:f>IF(B98="","",IF(OR(M98="Ödendi",M98="İptal"),"Hayır","Evet"))</x:f>
      </x:c>
    </x:row>
    <x:row r="99">
      <x:c r="B99" s="46"/>
      <x:c r="C99" s="46"/>
      <x:c r="D99" s="112"/>
      <x:c r="E99" s="112"/>
      <x:c r="F99" s="92"/>
      <x:c r="G99" s="92"/>
      <x:c r="H99" s="92"/>
      <x:c r="I99" s="93" t="str">
        <x:f>IF(B99="","",MAX(0,F99-H99))</x:f>
      </x:c>
      <x:c r="J99" s="46"/>
      <x:c r="K99" s="100" t="str">
        <x:f>IF(B99="","",IF(G99="TL",1,IF(G99="USD",KURLAR!$C$9,IF(G99="EUR",KURLAR!$C$10,0))))</x:f>
      </x:c>
      <x:c r="L99" s="68" t="str">
        <x:f>IF(B99="","",I99*K99)</x:f>
      </x:c>
      <x:c r="M99" s="46"/>
      <x:c r="N99" s="52" t="str">
        <x:f>IF(B99="","",IF(OR(M99="Ödendi",M99="İptal"),"Hayır","Evet"))</x:f>
      </x:c>
    </x:row>
    <x:row r="100">
      <x:c r="B100" s="46"/>
      <x:c r="C100" s="46"/>
      <x:c r="D100" s="112"/>
      <x:c r="E100" s="112"/>
      <x:c r="F100" s="92"/>
      <x:c r="G100" s="92"/>
      <x:c r="H100" s="92"/>
      <x:c r="I100" s="93" t="str">
        <x:f>IF(B100="","",MAX(0,F100-H100))</x:f>
      </x:c>
      <x:c r="J100" s="46"/>
      <x:c r="K100" s="100" t="str">
        <x:f>IF(B100="","",IF(G100="TL",1,IF(G100="USD",KURLAR!$C$9,IF(G100="EUR",KURLAR!$C$10,0))))</x:f>
      </x:c>
      <x:c r="L100" s="68" t="str">
        <x:f>IF(B100="","",I100*K100)</x:f>
      </x:c>
      <x:c r="M100" s="46"/>
      <x:c r="N100" s="52" t="str">
        <x:f>IF(B100="","",IF(OR(M100="Ödendi",M100="İptal"),"Hayır","Evet"))</x:f>
      </x:c>
    </x:row>
    <x:row r="101">
      <x:c r="B101" s="46"/>
      <x:c r="C101" s="46"/>
      <x:c r="D101" s="112"/>
      <x:c r="E101" s="112"/>
      <x:c r="F101" s="92"/>
      <x:c r="G101" s="92"/>
      <x:c r="H101" s="92"/>
      <x:c r="I101" s="93" t="str">
        <x:f>IF(B101="","",MAX(0,F101-H101))</x:f>
      </x:c>
      <x:c r="J101" s="46"/>
      <x:c r="K101" s="100" t="str">
        <x:f>IF(B101="","",IF(G101="TL",1,IF(G101="USD",KURLAR!$C$9,IF(G101="EUR",KURLAR!$C$10,0))))</x:f>
      </x:c>
      <x:c r="L101" s="68" t="str">
        <x:f>IF(B101="","",I101*K101)</x:f>
      </x:c>
      <x:c r="M101" s="46"/>
      <x:c r="N101" s="52" t="str">
        <x:f>IF(B101="","",IF(OR(M101="Ödendi",M101="İptal"),"Hayır","Evet"))</x:f>
      </x:c>
    </x:row>
    <x:row r="102">
      <x:c r="B102" s="46"/>
      <x:c r="C102" s="46"/>
      <x:c r="D102" s="112"/>
      <x:c r="E102" s="112"/>
      <x:c r="F102" s="92"/>
      <x:c r="G102" s="92"/>
      <x:c r="H102" s="92"/>
      <x:c r="I102" s="93" t="str">
        <x:f>IF(B102="","",MAX(0,F102-H102))</x:f>
      </x:c>
      <x:c r="J102" s="46"/>
      <x:c r="K102" s="100" t="str">
        <x:f>IF(B102="","",IF(G102="TL",1,IF(G102="USD",KURLAR!$C$9,IF(G102="EUR",KURLAR!$C$10,0))))</x:f>
      </x:c>
      <x:c r="L102" s="68" t="str">
        <x:f>IF(B102="","",I102*K102)</x:f>
      </x:c>
      <x:c r="M102" s="46"/>
      <x:c r="N102" s="52" t="str">
        <x:f>IF(B102="","",IF(OR(M102="Ödendi",M102="İptal"),"Hayır","Evet"))</x:f>
      </x:c>
    </x:row>
    <x:row r="103">
      <x:c r="B103" s="46"/>
      <x:c r="C103" s="46"/>
      <x:c r="D103" s="112"/>
      <x:c r="E103" s="112"/>
      <x:c r="F103" s="92"/>
      <x:c r="G103" s="92"/>
      <x:c r="H103" s="92"/>
      <x:c r="I103" s="93" t="str">
        <x:f>IF(B103="","",MAX(0,F103-H103))</x:f>
      </x:c>
      <x:c r="J103" s="46"/>
      <x:c r="K103" s="100" t="str">
        <x:f>IF(B103="","",IF(G103="TL",1,IF(G103="USD",KURLAR!$C$9,IF(G103="EUR",KURLAR!$C$10,0))))</x:f>
      </x:c>
      <x:c r="L103" s="68" t="str">
        <x:f>IF(B103="","",I103*K103)</x:f>
      </x:c>
      <x:c r="M103" s="46"/>
      <x:c r="N103" s="52" t="str">
        <x:f>IF(B103="","",IF(OR(M103="Ödendi",M103="İptal"),"Hayır","Evet"))</x:f>
      </x:c>
    </x:row>
    <x:row r="104">
      <x:c r="B104" s="46"/>
      <x:c r="C104" s="46"/>
      <x:c r="D104" s="112"/>
      <x:c r="E104" s="112"/>
      <x:c r="F104" s="92"/>
      <x:c r="G104" s="92"/>
      <x:c r="H104" s="92"/>
      <x:c r="I104" s="93" t="str">
        <x:f>IF(B104="","",MAX(0,F104-H104))</x:f>
      </x:c>
      <x:c r="J104" s="46"/>
      <x:c r="K104" s="100" t="str">
        <x:f>IF(B104="","",IF(G104="TL",1,IF(G104="USD",KURLAR!$C$9,IF(G104="EUR",KURLAR!$C$10,0))))</x:f>
      </x:c>
      <x:c r="L104" s="68" t="str">
        <x:f>IF(B104="","",I104*K104)</x:f>
      </x:c>
      <x:c r="M104" s="46"/>
      <x:c r="N104" s="52" t="str">
        <x:f>IF(B104="","",IF(OR(M104="Ödendi",M104="İptal"),"Hayır","Evet"))</x:f>
      </x:c>
    </x:row>
    <x:row r="105">
      <x:c r="B105" s="46"/>
      <x:c r="C105" s="46"/>
      <x:c r="D105" s="112"/>
      <x:c r="E105" s="112"/>
      <x:c r="F105" s="92"/>
      <x:c r="G105" s="92"/>
      <x:c r="H105" s="92"/>
      <x:c r="I105" s="93" t="str">
        <x:f>IF(B105="","",MAX(0,F105-H105))</x:f>
      </x:c>
      <x:c r="J105" s="46"/>
      <x:c r="K105" s="100" t="str">
        <x:f>IF(B105="","",IF(G105="TL",1,IF(G105="USD",KURLAR!$C$9,IF(G105="EUR",KURLAR!$C$10,0))))</x:f>
      </x:c>
      <x:c r="L105" s="68" t="str">
        <x:f>IF(B105="","",I105*K105)</x:f>
      </x:c>
      <x:c r="M105" s="46"/>
      <x:c r="N105" s="52" t="str">
        <x:f>IF(B105="","",IF(OR(M105="Ödendi",M105="İptal"),"Hayır","Evet"))</x:f>
      </x:c>
    </x:row>
    <x:row r="106">
      <x:c r="B106" s="46"/>
      <x:c r="C106" s="46"/>
      <x:c r="D106" s="112"/>
      <x:c r="E106" s="112"/>
      <x:c r="F106" s="92"/>
      <x:c r="G106" s="92"/>
      <x:c r="H106" s="92"/>
      <x:c r="I106" s="93" t="str">
        <x:f>IF(B106="","",MAX(0,F106-H106))</x:f>
      </x:c>
      <x:c r="J106" s="46"/>
      <x:c r="K106" s="100" t="str">
        <x:f>IF(B106="","",IF(G106="TL",1,IF(G106="USD",KURLAR!$C$9,IF(G106="EUR",KURLAR!$C$10,0))))</x:f>
      </x:c>
      <x:c r="L106" s="68" t="str">
        <x:f>IF(B106="","",I106*K106)</x:f>
      </x:c>
      <x:c r="M106" s="46"/>
      <x:c r="N106" s="52" t="str">
        <x:f>IF(B106="","",IF(OR(M106="Ödendi",M106="İptal"),"Hayır","Evet"))</x:f>
      </x:c>
    </x:row>
    <x:row r="107">
      <x:c r="B107" s="46"/>
      <x:c r="C107" s="46"/>
      <x:c r="D107" s="112"/>
      <x:c r="E107" s="112"/>
      <x:c r="F107" s="92"/>
      <x:c r="G107" s="92"/>
      <x:c r="H107" s="92"/>
      <x:c r="I107" s="93" t="str">
        <x:f>IF(B107="","",MAX(0,F107-H107))</x:f>
      </x:c>
      <x:c r="J107" s="46"/>
      <x:c r="K107" s="100" t="str">
        <x:f>IF(B107="","",IF(G107="TL",1,IF(G107="USD",KURLAR!$C$9,IF(G107="EUR",KURLAR!$C$10,0))))</x:f>
      </x:c>
      <x:c r="L107" s="68" t="str">
        <x:f>IF(B107="","",I107*K107)</x:f>
      </x:c>
      <x:c r="M107" s="46"/>
      <x:c r="N107" s="52" t="str">
        <x:f>IF(B107="","",IF(OR(M107="Ödendi",M107="İptal"),"Hayır","Evet"))</x:f>
      </x:c>
    </x:row>
    <x:row r="108">
      <x:c r="B108" s="46"/>
      <x:c r="C108" s="46"/>
      <x:c r="D108" s="112"/>
      <x:c r="E108" s="112"/>
      <x:c r="F108" s="92"/>
      <x:c r="G108" s="92"/>
      <x:c r="H108" s="92"/>
      <x:c r="I108" s="93" t="str">
        <x:f>IF(B108="","",MAX(0,F108-H108))</x:f>
      </x:c>
      <x:c r="J108" s="46"/>
      <x:c r="K108" s="100" t="str">
        <x:f>IF(B108="","",IF(G108="TL",1,IF(G108="USD",KURLAR!$C$9,IF(G108="EUR",KURLAR!$C$10,0))))</x:f>
      </x:c>
      <x:c r="L108" s="68" t="str">
        <x:f>IF(B108="","",I108*K108)</x:f>
      </x:c>
      <x:c r="M108" s="46"/>
      <x:c r="N108" s="52" t="str">
        <x:f>IF(B108="","",IF(OR(M108="Ödendi",M108="İptal"),"Hayır","Evet"))</x:f>
      </x:c>
    </x:row>
    <x:row r="109">
      <x:c r="B109" s="46"/>
      <x:c r="C109" s="46"/>
      <x:c r="D109" s="112"/>
      <x:c r="E109" s="112"/>
      <x:c r="F109" s="92"/>
      <x:c r="G109" s="92"/>
      <x:c r="H109" s="92"/>
      <x:c r="I109" s="93" t="str">
        <x:f>IF(B109="","",MAX(0,F109-H109))</x:f>
      </x:c>
      <x:c r="J109" s="46"/>
      <x:c r="K109" s="100" t="str">
        <x:f>IF(B109="","",IF(G109="TL",1,IF(G109="USD",KURLAR!$C$9,IF(G109="EUR",KURLAR!$C$10,0))))</x:f>
      </x:c>
      <x:c r="L109" s="68" t="str">
        <x:f>IF(B109="","",I109*K109)</x:f>
      </x:c>
      <x:c r="M109" s="46"/>
      <x:c r="N109" s="52" t="str">
        <x:f>IF(B109="","",IF(OR(M109="Ödendi",M109="İptal"),"Hayır","Evet"))</x:f>
      </x:c>
    </x:row>
    <x:row r="110">
      <x:c r="B110" s="46"/>
      <x:c r="C110" s="46"/>
      <x:c r="D110" s="112"/>
      <x:c r="E110" s="112"/>
      <x:c r="F110" s="92"/>
      <x:c r="G110" s="92"/>
      <x:c r="H110" s="92"/>
      <x:c r="I110" s="93" t="str">
        <x:f>IF(B110="","",MAX(0,F110-H110))</x:f>
      </x:c>
      <x:c r="J110" s="46"/>
      <x:c r="K110" s="100" t="str">
        <x:f>IF(B110="","",IF(G110="TL",1,IF(G110="USD",KURLAR!$C$9,IF(G110="EUR",KURLAR!$C$10,0))))</x:f>
      </x:c>
      <x:c r="L110" s="68" t="str">
        <x:f>IF(B110="","",I110*K110)</x:f>
      </x:c>
      <x:c r="M110" s="46"/>
      <x:c r="N110" s="52" t="str">
        <x:f>IF(B110="","",IF(OR(M110="Ödendi",M110="İptal"),"Hayır","Evet"))</x:f>
      </x:c>
    </x:row>
    <x:row r="111">
      <x:c r="B111" s="46"/>
      <x:c r="C111" s="46"/>
      <x:c r="D111" s="112"/>
      <x:c r="E111" s="112"/>
      <x:c r="F111" s="92"/>
      <x:c r="G111" s="92"/>
      <x:c r="H111" s="92"/>
      <x:c r="I111" s="93" t="str">
        <x:f>IF(B111="","",MAX(0,F111-H111))</x:f>
      </x:c>
      <x:c r="J111" s="46"/>
      <x:c r="K111" s="100" t="str">
        <x:f>IF(B111="","",IF(G111="TL",1,IF(G111="USD",KURLAR!$C$9,IF(G111="EUR",KURLAR!$C$10,0))))</x:f>
      </x:c>
      <x:c r="L111" s="68" t="str">
        <x:f>IF(B111="","",I111*K111)</x:f>
      </x:c>
      <x:c r="M111" s="46"/>
      <x:c r="N111" s="52" t="str">
        <x:f>IF(B111="","",IF(OR(M111="Ödendi",M111="İptal"),"Hayır","Evet"))</x:f>
      </x:c>
    </x:row>
    <x:row r="112">
      <x:c r="B112" s="46"/>
      <x:c r="C112" s="46"/>
      <x:c r="D112" s="112"/>
      <x:c r="E112" s="112"/>
      <x:c r="F112" s="92"/>
      <x:c r="G112" s="92"/>
      <x:c r="H112" s="92"/>
      <x:c r="I112" s="93" t="str">
        <x:f>IF(B112="","",MAX(0,F112-H112))</x:f>
      </x:c>
      <x:c r="J112" s="46"/>
      <x:c r="K112" s="100" t="str">
        <x:f>IF(B112="","",IF(G112="TL",1,IF(G112="USD",KURLAR!$C$9,IF(G112="EUR",KURLAR!$C$10,0))))</x:f>
      </x:c>
      <x:c r="L112" s="68" t="str">
        <x:f>IF(B112="","",I112*K112)</x:f>
      </x:c>
      <x:c r="M112" s="46"/>
      <x:c r="N112" s="52" t="str">
        <x:f>IF(B112="","",IF(OR(M112="Ödendi",M112="İptal"),"Hayır","Evet"))</x:f>
      </x:c>
    </x:row>
    <x:row r="113">
      <x:c r="B113" s="46"/>
      <x:c r="C113" s="46"/>
      <x:c r="D113" s="112"/>
      <x:c r="E113" s="112"/>
      <x:c r="F113" s="92"/>
      <x:c r="G113" s="92"/>
      <x:c r="H113" s="92"/>
      <x:c r="I113" s="93" t="str">
        <x:f>IF(B113="","",MAX(0,F113-H113))</x:f>
      </x:c>
      <x:c r="J113" s="46"/>
      <x:c r="K113" s="100" t="str">
        <x:f>IF(B113="","",IF(G113="TL",1,IF(G113="USD",KURLAR!$C$9,IF(G113="EUR",KURLAR!$C$10,0))))</x:f>
      </x:c>
      <x:c r="L113" s="68" t="str">
        <x:f>IF(B113="","",I113*K113)</x:f>
      </x:c>
      <x:c r="M113" s="46"/>
      <x:c r="N113" s="52" t="str">
        <x:f>IF(B113="","",IF(OR(M113="Ödendi",M113="İptal"),"Hayır","Evet"))</x:f>
      </x:c>
    </x:row>
    <x:row r="114">
      <x:c r="B114" s="46"/>
      <x:c r="C114" s="46"/>
      <x:c r="D114" s="112"/>
      <x:c r="E114" s="112"/>
      <x:c r="F114" s="92"/>
      <x:c r="G114" s="92"/>
      <x:c r="H114" s="92"/>
      <x:c r="I114" s="93" t="str">
        <x:f>IF(B114="","",MAX(0,F114-H114))</x:f>
      </x:c>
      <x:c r="J114" s="46"/>
      <x:c r="K114" s="100" t="str">
        <x:f>IF(B114="","",IF(G114="TL",1,IF(G114="USD",KURLAR!$C$9,IF(G114="EUR",KURLAR!$C$10,0))))</x:f>
      </x:c>
      <x:c r="L114" s="68" t="str">
        <x:f>IF(B114="","",I114*K114)</x:f>
      </x:c>
      <x:c r="M114" s="46"/>
      <x:c r="N114" s="52" t="str">
        <x:f>IF(B114="","",IF(OR(M114="Ödendi",M114="İptal"),"Hayır","Evet"))</x:f>
      </x:c>
    </x:row>
    <x:row r="115">
      <x:c r="B115" s="46"/>
      <x:c r="C115" s="46"/>
      <x:c r="D115" s="112"/>
      <x:c r="E115" s="112"/>
      <x:c r="F115" s="92"/>
      <x:c r="G115" s="92"/>
      <x:c r="H115" s="92"/>
      <x:c r="I115" s="93" t="str">
        <x:f>IF(B115="","",MAX(0,F115-H115))</x:f>
      </x:c>
      <x:c r="J115" s="46"/>
      <x:c r="K115" s="100" t="str">
        <x:f>IF(B115="","",IF(G115="TL",1,IF(G115="USD",KURLAR!$C$9,IF(G115="EUR",KURLAR!$C$10,0))))</x:f>
      </x:c>
      <x:c r="L115" s="68" t="str">
        <x:f>IF(B115="","",I115*K115)</x:f>
      </x:c>
      <x:c r="M115" s="46"/>
      <x:c r="N115" s="52" t="str">
        <x:f>IF(B115="","",IF(OR(M115="Ödendi",M115="İptal"),"Hayır","Evet"))</x:f>
      </x:c>
    </x:row>
    <x:row r="116">
      <x:c r="B116" s="46"/>
      <x:c r="C116" s="46"/>
      <x:c r="D116" s="112"/>
      <x:c r="E116" s="112"/>
      <x:c r="F116" s="92"/>
      <x:c r="G116" s="92"/>
      <x:c r="H116" s="92"/>
      <x:c r="I116" s="93" t="str">
        <x:f>IF(B116="","",MAX(0,F116-H116))</x:f>
      </x:c>
      <x:c r="J116" s="46"/>
      <x:c r="K116" s="100" t="str">
        <x:f>IF(B116="","",IF(G116="TL",1,IF(G116="USD",KURLAR!$C$9,IF(G116="EUR",KURLAR!$C$10,0))))</x:f>
      </x:c>
      <x:c r="L116" s="68" t="str">
        <x:f>IF(B116="","",I116*K116)</x:f>
      </x:c>
      <x:c r="M116" s="46"/>
      <x:c r="N116" s="52" t="str">
        <x:f>IF(B116="","",IF(OR(M116="Ödendi",M116="İptal"),"Hayır","Evet"))</x:f>
      </x:c>
    </x:row>
    <x:row r="117">
      <x:c r="B117" s="46"/>
      <x:c r="C117" s="46"/>
      <x:c r="D117" s="112"/>
      <x:c r="E117" s="112"/>
      <x:c r="F117" s="92"/>
      <x:c r="G117" s="92"/>
      <x:c r="H117" s="92"/>
      <x:c r="I117" s="93" t="str">
        <x:f>IF(B117="","",MAX(0,F117-H117))</x:f>
      </x:c>
      <x:c r="J117" s="46"/>
      <x:c r="K117" s="100" t="str">
        <x:f>IF(B117="","",IF(G117="TL",1,IF(G117="USD",KURLAR!$C$9,IF(G117="EUR",KURLAR!$C$10,0))))</x:f>
      </x:c>
      <x:c r="L117" s="68" t="str">
        <x:f>IF(B117="","",I117*K117)</x:f>
      </x:c>
      <x:c r="M117" s="46"/>
      <x:c r="N117" s="52" t="str">
        <x:f>IF(B117="","",IF(OR(M117="Ödendi",M117="İptal"),"Hayır","Evet"))</x:f>
      </x:c>
    </x:row>
    <x:row r="118">
      <x:c r="B118" s="46"/>
      <x:c r="C118" s="46"/>
      <x:c r="D118" s="112"/>
      <x:c r="E118" s="112"/>
      <x:c r="F118" s="92"/>
      <x:c r="G118" s="92"/>
      <x:c r="H118" s="92"/>
      <x:c r="I118" s="93" t="str">
        <x:f>IF(B118="","",MAX(0,F118-H118))</x:f>
      </x:c>
      <x:c r="J118" s="46"/>
      <x:c r="K118" s="100" t="str">
        <x:f>IF(B118="","",IF(G118="TL",1,IF(G118="USD",KURLAR!$C$9,IF(G118="EUR",KURLAR!$C$10,0))))</x:f>
      </x:c>
      <x:c r="L118" s="68" t="str">
        <x:f>IF(B118="","",I118*K118)</x:f>
      </x:c>
      <x:c r="M118" s="46"/>
      <x:c r="N118" s="52" t="str">
        <x:f>IF(B118="","",IF(OR(M118="Ödendi",M118="İptal"),"Hayır","Evet"))</x:f>
      </x:c>
    </x:row>
    <x:row r="119">
      <x:c r="B119" s="46"/>
      <x:c r="C119" s="46"/>
      <x:c r="D119" s="112"/>
      <x:c r="E119" s="112"/>
      <x:c r="F119" s="92"/>
      <x:c r="G119" s="92"/>
      <x:c r="H119" s="92"/>
      <x:c r="I119" s="93" t="str">
        <x:f>IF(B119="","",MAX(0,F119-H119))</x:f>
      </x:c>
      <x:c r="J119" s="46"/>
      <x:c r="K119" s="100" t="str">
        <x:f>IF(B119="","",IF(G119="TL",1,IF(G119="USD",KURLAR!$C$9,IF(G119="EUR",KURLAR!$C$10,0))))</x:f>
      </x:c>
      <x:c r="L119" s="68" t="str">
        <x:f>IF(B119="","",I119*K119)</x:f>
      </x:c>
      <x:c r="M119" s="46"/>
      <x:c r="N119" s="52" t="str">
        <x:f>IF(B119="","",IF(OR(M119="Ödendi",M119="İptal"),"Hayır","Evet"))</x:f>
      </x:c>
    </x:row>
    <x:row r="120">
      <x:c r="B120" s="46"/>
      <x:c r="C120" s="46"/>
      <x:c r="D120" s="112"/>
      <x:c r="E120" s="112"/>
      <x:c r="F120" s="92"/>
      <x:c r="G120" s="92"/>
      <x:c r="H120" s="92"/>
      <x:c r="I120" s="93" t="str">
        <x:f>IF(B120="","",MAX(0,F120-H120))</x:f>
      </x:c>
      <x:c r="J120" s="46"/>
      <x:c r="K120" s="100" t="str">
        <x:f>IF(B120="","",IF(G120="TL",1,IF(G120="USD",KURLAR!$C$9,IF(G120="EUR",KURLAR!$C$10,0))))</x:f>
      </x:c>
      <x:c r="L120" s="68" t="str">
        <x:f>IF(B120="","",I120*K120)</x:f>
      </x:c>
      <x:c r="M120" s="46"/>
      <x:c r="N120" s="52" t="str">
        <x:f>IF(B120="","",IF(OR(M120="Ödendi",M120="İptal"),"Hayır","Evet"))</x:f>
      </x:c>
    </x:row>
    <x:row r="121">
      <x:c r="B121" s="46"/>
      <x:c r="C121" s="46"/>
      <x:c r="D121" s="112"/>
      <x:c r="E121" s="112"/>
      <x:c r="F121" s="92"/>
      <x:c r="G121" s="92"/>
      <x:c r="H121" s="92"/>
      <x:c r="I121" s="93" t="str">
        <x:f>IF(B121="","",MAX(0,F121-H121))</x:f>
      </x:c>
      <x:c r="J121" s="46"/>
      <x:c r="K121" s="100" t="str">
        <x:f>IF(B121="","",IF(G121="TL",1,IF(G121="USD",KURLAR!$C$9,IF(G121="EUR",KURLAR!$C$10,0))))</x:f>
      </x:c>
      <x:c r="L121" s="68" t="str">
        <x:f>IF(B121="","",I121*K121)</x:f>
      </x:c>
      <x:c r="M121" s="46"/>
      <x:c r="N121" s="52" t="str">
        <x:f>IF(B121="","",IF(OR(M121="Ödendi",M121="İptal"),"Hayır","Evet"))</x:f>
      </x:c>
    </x:row>
    <x:row r="122">
      <x:c r="B122" s="46"/>
      <x:c r="C122" s="46"/>
      <x:c r="D122" s="112"/>
      <x:c r="E122" s="112"/>
      <x:c r="F122" s="92"/>
      <x:c r="G122" s="92"/>
      <x:c r="H122" s="92"/>
      <x:c r="I122" s="93" t="str">
        <x:f>IF(B122="","",MAX(0,F122-H122))</x:f>
      </x:c>
      <x:c r="J122" s="46"/>
      <x:c r="K122" s="100" t="str">
        <x:f>IF(B122="","",IF(G122="TL",1,IF(G122="USD",KURLAR!$C$9,IF(G122="EUR",KURLAR!$C$10,0))))</x:f>
      </x:c>
      <x:c r="L122" s="68" t="str">
        <x:f>IF(B122="","",I122*K122)</x:f>
      </x:c>
      <x:c r="M122" s="46"/>
      <x:c r="N122" s="52" t="str">
        <x:f>IF(B122="","",IF(OR(M122="Ödendi",M122="İptal"),"Hayır","Evet"))</x:f>
      </x:c>
    </x:row>
    <x:row r="123">
      <x:c r="B123" s="46"/>
      <x:c r="C123" s="46"/>
      <x:c r="D123" s="112"/>
      <x:c r="E123" s="112"/>
      <x:c r="F123" s="92"/>
      <x:c r="G123" s="92"/>
      <x:c r="H123" s="92"/>
      <x:c r="I123" s="93" t="str">
        <x:f>IF(B123="","",MAX(0,F123-H123))</x:f>
      </x:c>
      <x:c r="J123" s="46"/>
      <x:c r="K123" s="100" t="str">
        <x:f>IF(B123="","",IF(G123="TL",1,IF(G123="USD",KURLAR!$C$9,IF(G123="EUR",KURLAR!$C$10,0))))</x:f>
      </x:c>
      <x:c r="L123" s="68" t="str">
        <x:f>IF(B123="","",I123*K123)</x:f>
      </x:c>
      <x:c r="M123" s="46"/>
      <x:c r="N123" s="52" t="str">
        <x:f>IF(B123="","",IF(OR(M123="Ödendi",M123="İptal"),"Hayır","Evet"))</x:f>
      </x:c>
    </x:row>
    <x:row r="124">
      <x:c r="B124" s="46"/>
      <x:c r="C124" s="46"/>
      <x:c r="D124" s="112"/>
      <x:c r="E124" s="112"/>
      <x:c r="F124" s="92"/>
      <x:c r="G124" s="92"/>
      <x:c r="H124" s="92"/>
      <x:c r="I124" s="93" t="str">
        <x:f>IF(B124="","",MAX(0,F124-H124))</x:f>
      </x:c>
      <x:c r="J124" s="46"/>
      <x:c r="K124" s="100" t="str">
        <x:f>IF(B124="","",IF(G124="TL",1,IF(G124="USD",KURLAR!$C$9,IF(G124="EUR",KURLAR!$C$10,0))))</x:f>
      </x:c>
      <x:c r="L124" s="68" t="str">
        <x:f>IF(B124="","",I124*K124)</x:f>
      </x:c>
      <x:c r="M124" s="46"/>
      <x:c r="N124" s="52" t="str">
        <x:f>IF(B124="","",IF(OR(M124="Ödendi",M124="İptal"),"Hayır","Evet"))</x:f>
      </x:c>
    </x:row>
    <x:row r="125">
      <x:c r="B125" s="46"/>
      <x:c r="C125" s="46"/>
      <x:c r="D125" s="112"/>
      <x:c r="E125" s="112"/>
      <x:c r="F125" s="92"/>
      <x:c r="G125" s="92"/>
      <x:c r="H125" s="92"/>
      <x:c r="I125" s="93" t="str">
        <x:f>IF(B125="","",MAX(0,F125-H125))</x:f>
      </x:c>
      <x:c r="J125" s="46"/>
      <x:c r="K125" s="100" t="str">
        <x:f>IF(B125="","",IF(G125="TL",1,IF(G125="USD",KURLAR!$C$9,IF(G125="EUR",KURLAR!$C$10,0))))</x:f>
      </x:c>
      <x:c r="L125" s="68" t="str">
        <x:f>IF(B125="","",I125*K125)</x:f>
      </x:c>
      <x:c r="M125" s="46"/>
      <x:c r="N125" s="52" t="str">
        <x:f>IF(B125="","",IF(OR(M125="Ödendi",M125="İptal"),"Hayır","Evet"))</x:f>
      </x:c>
    </x:row>
    <x:row r="126">
      <x:c r="B126" s="46"/>
      <x:c r="C126" s="46"/>
      <x:c r="D126" s="112"/>
      <x:c r="E126" s="112"/>
      <x:c r="F126" s="92"/>
      <x:c r="G126" s="92"/>
      <x:c r="H126" s="92"/>
      <x:c r="I126" s="93" t="str">
        <x:f>IF(B126="","",MAX(0,F126-H126))</x:f>
      </x:c>
      <x:c r="J126" s="46"/>
      <x:c r="K126" s="100" t="str">
        <x:f>IF(B126="","",IF(G126="TL",1,IF(G126="USD",KURLAR!$C$9,IF(G126="EUR",KURLAR!$C$10,0))))</x:f>
      </x:c>
      <x:c r="L126" s="68" t="str">
        <x:f>IF(B126="","",I126*K126)</x:f>
      </x:c>
      <x:c r="M126" s="46"/>
      <x:c r="N126" s="52" t="str">
        <x:f>IF(B126="","",IF(OR(M126="Ödendi",M126="İptal"),"Hayır","Evet"))</x:f>
      </x:c>
    </x:row>
    <x:row r="127">
      <x:c r="B127" s="46"/>
      <x:c r="C127" s="46"/>
      <x:c r="D127" s="112"/>
      <x:c r="E127" s="112"/>
      <x:c r="F127" s="92"/>
      <x:c r="G127" s="92"/>
      <x:c r="H127" s="92"/>
      <x:c r="I127" s="93" t="str">
        <x:f>IF(B127="","",MAX(0,F127-H127))</x:f>
      </x:c>
      <x:c r="J127" s="46"/>
      <x:c r="K127" s="100" t="str">
        <x:f>IF(B127="","",IF(G127="TL",1,IF(G127="USD",KURLAR!$C$9,IF(G127="EUR",KURLAR!$C$10,0))))</x:f>
      </x:c>
      <x:c r="L127" s="68" t="str">
        <x:f>IF(B127="","",I127*K127)</x:f>
      </x:c>
      <x:c r="M127" s="46"/>
      <x:c r="N127" s="52" t="str">
        <x:f>IF(B127="","",IF(OR(M127="Ödendi",M127="İptal"),"Hayır","Evet"))</x:f>
      </x:c>
    </x:row>
    <x:row r="128">
      <x:c r="B128" s="46"/>
      <x:c r="C128" s="46"/>
      <x:c r="D128" s="112"/>
      <x:c r="E128" s="112"/>
      <x:c r="F128" s="92"/>
      <x:c r="G128" s="92"/>
      <x:c r="H128" s="92"/>
      <x:c r="I128" s="93" t="str">
        <x:f>IF(B128="","",MAX(0,F128-H128))</x:f>
      </x:c>
      <x:c r="J128" s="46"/>
      <x:c r="K128" s="100" t="str">
        <x:f>IF(B128="","",IF(G128="TL",1,IF(G128="USD",KURLAR!$C$9,IF(G128="EUR",KURLAR!$C$10,0))))</x:f>
      </x:c>
      <x:c r="L128" s="68" t="str">
        <x:f>IF(B128="","",I128*K128)</x:f>
      </x:c>
      <x:c r="M128" s="46"/>
      <x:c r="N128" s="52" t="str">
        <x:f>IF(B128="","",IF(OR(M128="Ödendi",M128="İptal"),"Hayır","Evet"))</x:f>
      </x:c>
    </x:row>
    <x:row r="129">
      <x:c r="B129" s="46"/>
      <x:c r="C129" s="46"/>
      <x:c r="D129" s="112"/>
      <x:c r="E129" s="112"/>
      <x:c r="F129" s="92"/>
      <x:c r="G129" s="92"/>
      <x:c r="H129" s="92"/>
      <x:c r="I129" s="93" t="str">
        <x:f>IF(B129="","",MAX(0,F129-H129))</x:f>
      </x:c>
      <x:c r="J129" s="46"/>
      <x:c r="K129" s="100" t="str">
        <x:f>IF(B129="","",IF(G129="TL",1,IF(G129="USD",KURLAR!$C$9,IF(G129="EUR",KURLAR!$C$10,0))))</x:f>
      </x:c>
      <x:c r="L129" s="68" t="str">
        <x:f>IF(B129="","",I129*K129)</x:f>
      </x:c>
      <x:c r="M129" s="46"/>
      <x:c r="N129" s="52" t="str">
        <x:f>IF(B129="","",IF(OR(M129="Ödendi",M129="İptal"),"Hayır","Evet"))</x:f>
      </x:c>
    </x:row>
    <x:row r="130">
      <x:c r="B130" s="46"/>
      <x:c r="C130" s="46"/>
      <x:c r="D130" s="112"/>
      <x:c r="E130" s="112"/>
      <x:c r="F130" s="92"/>
      <x:c r="G130" s="92"/>
      <x:c r="H130" s="92"/>
      <x:c r="I130" s="93" t="str">
        <x:f>IF(B130="","",MAX(0,F130-H130))</x:f>
      </x:c>
      <x:c r="J130" s="46"/>
      <x:c r="K130" s="100" t="str">
        <x:f>IF(B130="","",IF(G130="TL",1,IF(G130="USD",KURLAR!$C$9,IF(G130="EUR",KURLAR!$C$10,0))))</x:f>
      </x:c>
      <x:c r="L130" s="68" t="str">
        <x:f>IF(B130="","",I130*K130)</x:f>
      </x:c>
      <x:c r="M130" s="46"/>
      <x:c r="N130" s="52" t="str">
        <x:f>IF(B130="","",IF(OR(M130="Ödendi",M130="İptal"),"Hayır","Evet"))</x:f>
      </x:c>
    </x:row>
    <x:row r="131">
      <x:c r="B131" s="46"/>
      <x:c r="C131" s="46"/>
      <x:c r="D131" s="112"/>
      <x:c r="E131" s="112"/>
      <x:c r="F131" s="92"/>
      <x:c r="G131" s="92"/>
      <x:c r="H131" s="92"/>
      <x:c r="I131" s="93" t="str">
        <x:f>IF(B131="","",MAX(0,F131-H131))</x:f>
      </x:c>
      <x:c r="J131" s="46"/>
      <x:c r="K131" s="100" t="str">
        <x:f>IF(B131="","",IF(G131="TL",1,IF(G131="USD",KURLAR!$C$9,IF(G131="EUR",KURLAR!$C$10,0))))</x:f>
      </x:c>
      <x:c r="L131" s="68" t="str">
        <x:f>IF(B131="","",I131*K131)</x:f>
      </x:c>
      <x:c r="M131" s="46"/>
      <x:c r="N131" s="52" t="str">
        <x:f>IF(B131="","",IF(OR(M131="Ödendi",M131="İptal"),"Hayır","Evet"))</x:f>
      </x:c>
    </x:row>
    <x:row r="132">
      <x:c r="B132" s="46"/>
      <x:c r="C132" s="46"/>
      <x:c r="D132" s="112"/>
      <x:c r="E132" s="112"/>
      <x:c r="F132" s="92"/>
      <x:c r="G132" s="92"/>
      <x:c r="H132" s="92"/>
      <x:c r="I132" s="93" t="str">
        <x:f>IF(B132="","",MAX(0,F132-H132))</x:f>
      </x:c>
      <x:c r="J132" s="46"/>
      <x:c r="K132" s="100" t="str">
        <x:f>IF(B132="","",IF(G132="TL",1,IF(G132="USD",KURLAR!$C$9,IF(G132="EUR",KURLAR!$C$10,0))))</x:f>
      </x:c>
      <x:c r="L132" s="68" t="str">
        <x:f>IF(B132="","",I132*K132)</x:f>
      </x:c>
      <x:c r="M132" s="46"/>
      <x:c r="N132" s="52" t="str">
        <x:f>IF(B132="","",IF(OR(M132="Ödendi",M132="İptal"),"Hayır","Evet"))</x:f>
      </x:c>
    </x:row>
    <x:row r="133">
      <x:c r="B133" s="46"/>
      <x:c r="C133" s="46"/>
      <x:c r="D133" s="112"/>
      <x:c r="E133" s="112"/>
      <x:c r="F133" s="92"/>
      <x:c r="G133" s="92"/>
      <x:c r="H133" s="92"/>
      <x:c r="I133" s="93" t="str">
        <x:f>IF(B133="","",MAX(0,F133-H133))</x:f>
      </x:c>
      <x:c r="J133" s="46"/>
      <x:c r="K133" s="100" t="str">
        <x:f>IF(B133="","",IF(G133="TL",1,IF(G133="USD",KURLAR!$C$9,IF(G133="EUR",KURLAR!$C$10,0))))</x:f>
      </x:c>
      <x:c r="L133" s="68" t="str">
        <x:f>IF(B133="","",I133*K133)</x:f>
      </x:c>
      <x:c r="M133" s="46"/>
      <x:c r="N133" s="52" t="str">
        <x:f>IF(B133="","",IF(OR(M133="Ödendi",M133="İptal"),"Hayır","Evet"))</x:f>
      </x:c>
    </x:row>
    <x:row r="134">
      <x:c r="B134" s="46"/>
      <x:c r="C134" s="46"/>
      <x:c r="D134" s="112"/>
      <x:c r="E134" s="112"/>
      <x:c r="F134" s="92"/>
      <x:c r="G134" s="92"/>
      <x:c r="H134" s="92"/>
      <x:c r="I134" s="93" t="str">
        <x:f>IF(B134="","",MAX(0,F134-H134))</x:f>
      </x:c>
      <x:c r="J134" s="46"/>
      <x:c r="K134" s="100" t="str">
        <x:f>IF(B134="","",IF(G134="TL",1,IF(G134="USD",KURLAR!$C$9,IF(G134="EUR",KURLAR!$C$10,0))))</x:f>
      </x:c>
      <x:c r="L134" s="68" t="str">
        <x:f>IF(B134="","",I134*K134)</x:f>
      </x:c>
      <x:c r="M134" s="46"/>
      <x:c r="N134" s="52" t="str">
        <x:f>IF(B134="","",IF(OR(M134="Ödendi",M134="İptal"),"Hayır","Evet"))</x:f>
      </x:c>
    </x:row>
    <x:row r="135">
      <x:c r="B135" s="46"/>
      <x:c r="C135" s="46"/>
      <x:c r="D135" s="112"/>
      <x:c r="E135" s="112"/>
      <x:c r="F135" s="92"/>
      <x:c r="G135" s="92"/>
      <x:c r="H135" s="92"/>
      <x:c r="I135" s="93" t="str">
        <x:f>IF(B135="","",MAX(0,F135-H135))</x:f>
      </x:c>
      <x:c r="J135" s="46"/>
      <x:c r="K135" s="100" t="str">
        <x:f>IF(B135="","",IF(G135="TL",1,IF(G135="USD",KURLAR!$C$9,IF(G135="EUR",KURLAR!$C$10,0))))</x:f>
      </x:c>
      <x:c r="L135" s="68" t="str">
        <x:f>IF(B135="","",I135*K135)</x:f>
      </x:c>
      <x:c r="M135" s="46"/>
      <x:c r="N135" s="52" t="str">
        <x:f>IF(B135="","",IF(OR(M135="Ödendi",M135="İptal"),"Hayır","Evet"))</x:f>
      </x:c>
    </x:row>
    <x:row r="136">
      <x:c r="B136" s="46"/>
      <x:c r="C136" s="46"/>
      <x:c r="D136" s="112"/>
      <x:c r="E136" s="112"/>
      <x:c r="F136" s="92"/>
      <x:c r="G136" s="92"/>
      <x:c r="H136" s="92"/>
      <x:c r="I136" s="93" t="str">
        <x:f>IF(B136="","",MAX(0,F136-H136))</x:f>
      </x:c>
      <x:c r="J136" s="46"/>
      <x:c r="K136" s="100" t="str">
        <x:f>IF(B136="","",IF(G136="TL",1,IF(G136="USD",KURLAR!$C$9,IF(G136="EUR",KURLAR!$C$10,0))))</x:f>
      </x:c>
      <x:c r="L136" s="68" t="str">
        <x:f>IF(B136="","",I136*K136)</x:f>
      </x:c>
      <x:c r="M136" s="46"/>
      <x:c r="N136" s="52" t="str">
        <x:f>IF(B136="","",IF(OR(M136="Ödendi",M136="İptal"),"Hayır","Evet"))</x:f>
      </x:c>
    </x:row>
    <x:row r="137">
      <x:c r="B137" s="46"/>
      <x:c r="C137" s="46"/>
      <x:c r="D137" s="112"/>
      <x:c r="E137" s="112"/>
      <x:c r="F137" s="92"/>
      <x:c r="G137" s="92"/>
      <x:c r="H137" s="92"/>
      <x:c r="I137" s="93" t="str">
        <x:f>IF(B137="","",MAX(0,F137-H137))</x:f>
      </x:c>
      <x:c r="J137" s="46"/>
      <x:c r="K137" s="100" t="str">
        <x:f>IF(B137="","",IF(G137="TL",1,IF(G137="USD",KURLAR!$C$9,IF(G137="EUR",KURLAR!$C$10,0))))</x:f>
      </x:c>
      <x:c r="L137" s="68" t="str">
        <x:f>IF(B137="","",I137*K137)</x:f>
      </x:c>
      <x:c r="M137" s="46"/>
      <x:c r="N137" s="52" t="str">
        <x:f>IF(B137="","",IF(OR(M137="Ödendi",M137="İptal"),"Hayır","Evet"))</x:f>
      </x:c>
    </x:row>
    <x:row r="138">
      <x:c r="B138" s="46"/>
      <x:c r="C138" s="46"/>
      <x:c r="D138" s="112"/>
      <x:c r="E138" s="112"/>
      <x:c r="F138" s="92"/>
      <x:c r="G138" s="92"/>
      <x:c r="H138" s="92"/>
      <x:c r="I138" s="93" t="str">
        <x:f>IF(B138="","",MAX(0,F138-H138))</x:f>
      </x:c>
      <x:c r="J138" s="46"/>
      <x:c r="K138" s="100" t="str">
        <x:f>IF(B138="","",IF(G138="TL",1,IF(G138="USD",KURLAR!$C$9,IF(G138="EUR",KURLAR!$C$10,0))))</x:f>
      </x:c>
      <x:c r="L138" s="68" t="str">
        <x:f>IF(B138="","",I138*K138)</x:f>
      </x:c>
      <x:c r="M138" s="46"/>
      <x:c r="N138" s="52" t="str">
        <x:f>IF(B138="","",IF(OR(M138="Ödendi",M138="İptal"),"Hayır","Evet"))</x:f>
      </x:c>
    </x:row>
    <x:row r="139">
      <x:c r="B139" s="46"/>
      <x:c r="C139" s="46"/>
      <x:c r="D139" s="112"/>
      <x:c r="E139" s="112"/>
      <x:c r="F139" s="92"/>
      <x:c r="G139" s="92"/>
      <x:c r="H139" s="92"/>
      <x:c r="I139" s="93" t="str">
        <x:f>IF(B139="","",MAX(0,F139-H139))</x:f>
      </x:c>
      <x:c r="J139" s="46"/>
      <x:c r="K139" s="100" t="str">
        <x:f>IF(B139="","",IF(G139="TL",1,IF(G139="USD",KURLAR!$C$9,IF(G139="EUR",KURLAR!$C$10,0))))</x:f>
      </x:c>
      <x:c r="L139" s="68" t="str">
        <x:f>IF(B139="","",I139*K139)</x:f>
      </x:c>
      <x:c r="M139" s="46"/>
      <x:c r="N139" s="52" t="str">
        <x:f>IF(B139="","",IF(OR(M139="Ödendi",M139="İptal"),"Hayır","Evet"))</x:f>
      </x:c>
    </x:row>
    <x:row r="140">
      <x:c r="B140" s="46"/>
      <x:c r="C140" s="46"/>
      <x:c r="D140" s="112"/>
      <x:c r="E140" s="112"/>
      <x:c r="F140" s="92"/>
      <x:c r="G140" s="92"/>
      <x:c r="H140" s="92"/>
      <x:c r="I140" s="93" t="str">
        <x:f>IF(B140="","",MAX(0,F140-H140))</x:f>
      </x:c>
      <x:c r="J140" s="46"/>
      <x:c r="K140" s="100" t="str">
        <x:f>IF(B140="","",IF(G140="TL",1,IF(G140="USD",KURLAR!$C$9,IF(G140="EUR",KURLAR!$C$10,0))))</x:f>
      </x:c>
      <x:c r="L140" s="68" t="str">
        <x:f>IF(B140="","",I140*K140)</x:f>
      </x:c>
      <x:c r="M140" s="46"/>
      <x:c r="N140" s="52" t="str">
        <x:f>IF(B140="","",IF(OR(M140="Ödendi",M140="İptal"),"Hayır","Evet"))</x:f>
      </x:c>
    </x:row>
    <x:row r="141">
      <x:c r="B141" s="46"/>
      <x:c r="C141" s="46"/>
      <x:c r="D141" s="112"/>
      <x:c r="E141" s="112"/>
      <x:c r="F141" s="92"/>
      <x:c r="G141" s="92"/>
      <x:c r="H141" s="92"/>
      <x:c r="I141" s="93" t="str">
        <x:f>IF(B141="","",MAX(0,F141-H141))</x:f>
      </x:c>
      <x:c r="J141" s="46"/>
      <x:c r="K141" s="100" t="str">
        <x:f>IF(B141="","",IF(G141="TL",1,IF(G141="USD",KURLAR!$C$9,IF(G141="EUR",KURLAR!$C$10,0))))</x:f>
      </x:c>
      <x:c r="L141" s="68" t="str">
        <x:f>IF(B141="","",I141*K141)</x:f>
      </x:c>
      <x:c r="M141" s="46"/>
      <x:c r="N141" s="52" t="str">
        <x:f>IF(B141="","",IF(OR(M141="Ödendi",M141="İptal"),"Hayır","Evet"))</x:f>
      </x:c>
    </x:row>
    <x:row r="142">
      <x:c r="B142" s="46"/>
      <x:c r="C142" s="46"/>
      <x:c r="D142" s="112"/>
      <x:c r="E142" s="112"/>
      <x:c r="F142" s="92"/>
      <x:c r="G142" s="92"/>
      <x:c r="H142" s="92"/>
      <x:c r="I142" s="93" t="str">
        <x:f>IF(B142="","",MAX(0,F142-H142))</x:f>
      </x:c>
      <x:c r="J142" s="46"/>
      <x:c r="K142" s="100" t="str">
        <x:f>IF(B142="","",IF(G142="TL",1,IF(G142="USD",KURLAR!$C$9,IF(G142="EUR",KURLAR!$C$10,0))))</x:f>
      </x:c>
      <x:c r="L142" s="68" t="str">
        <x:f>IF(B142="","",I142*K142)</x:f>
      </x:c>
      <x:c r="M142" s="46"/>
      <x:c r="N142" s="52" t="str">
        <x:f>IF(B142="","",IF(OR(M142="Ödendi",M142="İptal"),"Hayır","Evet"))</x:f>
      </x:c>
    </x:row>
    <x:row r="143">
      <x:c r="B143" s="46"/>
      <x:c r="C143" s="46"/>
      <x:c r="D143" s="112"/>
      <x:c r="E143" s="112"/>
      <x:c r="F143" s="92"/>
      <x:c r="G143" s="92"/>
      <x:c r="H143" s="92"/>
      <x:c r="I143" s="93" t="str">
        <x:f>IF(B143="","",MAX(0,F143-H143))</x:f>
      </x:c>
      <x:c r="J143" s="46"/>
      <x:c r="K143" s="100" t="str">
        <x:f>IF(B143="","",IF(G143="TL",1,IF(G143="USD",KURLAR!$C$9,IF(G143="EUR",KURLAR!$C$10,0))))</x:f>
      </x:c>
      <x:c r="L143" s="68" t="str">
        <x:f>IF(B143="","",I143*K143)</x:f>
      </x:c>
      <x:c r="M143" s="46"/>
      <x:c r="N143" s="52" t="str">
        <x:f>IF(B143="","",IF(OR(M143="Ödendi",M143="İptal"),"Hayır","Evet"))</x:f>
      </x:c>
    </x:row>
    <x:row r="144">
      <x:c r="B144" s="46"/>
      <x:c r="C144" s="46"/>
      <x:c r="D144" s="112"/>
      <x:c r="E144" s="112"/>
      <x:c r="F144" s="92"/>
      <x:c r="G144" s="92"/>
      <x:c r="H144" s="92"/>
      <x:c r="I144" s="93" t="str">
        <x:f>IF(B144="","",MAX(0,F144-H144))</x:f>
      </x:c>
      <x:c r="J144" s="46"/>
      <x:c r="K144" s="100" t="str">
        <x:f>IF(B144="","",IF(G144="TL",1,IF(G144="USD",KURLAR!$C$9,IF(G144="EUR",KURLAR!$C$10,0))))</x:f>
      </x:c>
      <x:c r="L144" s="68" t="str">
        <x:f>IF(B144="","",I144*K144)</x:f>
      </x:c>
      <x:c r="M144" s="46"/>
      <x:c r="N144" s="52" t="str">
        <x:f>IF(B144="","",IF(OR(M144="Ödendi",M144="İptal"),"Hayır","Evet"))</x:f>
      </x:c>
    </x:row>
    <x:row r="145">
      <x:c r="B145" s="46"/>
      <x:c r="C145" s="46"/>
      <x:c r="D145" s="112"/>
      <x:c r="E145" s="112"/>
      <x:c r="F145" s="92"/>
      <x:c r="G145" s="92"/>
      <x:c r="H145" s="92"/>
      <x:c r="I145" s="93" t="str">
        <x:f>IF(B145="","",MAX(0,F145-H145))</x:f>
      </x:c>
      <x:c r="J145" s="46"/>
      <x:c r="K145" s="100" t="str">
        <x:f>IF(B145="","",IF(G145="TL",1,IF(G145="USD",KURLAR!$C$9,IF(G145="EUR",KURLAR!$C$10,0))))</x:f>
      </x:c>
      <x:c r="L145" s="68" t="str">
        <x:f>IF(B145="","",I145*K145)</x:f>
      </x:c>
      <x:c r="M145" s="46"/>
      <x:c r="N145" s="52" t="str">
        <x:f>IF(B145="","",IF(OR(M145="Ödendi",M145="İptal"),"Hayır","Evet"))</x:f>
      </x:c>
    </x:row>
    <x:row r="146">
      <x:c r="B146" s="46"/>
      <x:c r="C146" s="46"/>
      <x:c r="D146" s="112"/>
      <x:c r="E146" s="112"/>
      <x:c r="F146" s="92"/>
      <x:c r="G146" s="92"/>
      <x:c r="H146" s="92"/>
      <x:c r="I146" s="93" t="str">
        <x:f>IF(B146="","",MAX(0,F146-H146))</x:f>
      </x:c>
      <x:c r="J146" s="46"/>
      <x:c r="K146" s="100" t="str">
        <x:f>IF(B146="","",IF(G146="TL",1,IF(G146="USD",KURLAR!$C$9,IF(G146="EUR",KURLAR!$C$10,0))))</x:f>
      </x:c>
      <x:c r="L146" s="68" t="str">
        <x:f>IF(B146="","",I146*K146)</x:f>
      </x:c>
      <x:c r="M146" s="46"/>
      <x:c r="N146" s="52" t="str">
        <x:f>IF(B146="","",IF(OR(M146="Ödendi",M146="İptal"),"Hayır","Evet"))</x:f>
      </x:c>
    </x:row>
    <x:row r="147">
      <x:c r="B147" s="46"/>
      <x:c r="C147" s="46"/>
      <x:c r="D147" s="112"/>
      <x:c r="E147" s="112"/>
      <x:c r="F147" s="92"/>
      <x:c r="G147" s="92"/>
      <x:c r="H147" s="92"/>
      <x:c r="I147" s="93" t="str">
        <x:f>IF(B147="","",MAX(0,F147-H147))</x:f>
      </x:c>
      <x:c r="J147" s="46"/>
      <x:c r="K147" s="100" t="str">
        <x:f>IF(B147="","",IF(G147="TL",1,IF(G147="USD",KURLAR!$C$9,IF(G147="EUR",KURLAR!$C$10,0))))</x:f>
      </x:c>
      <x:c r="L147" s="68" t="str">
        <x:f>IF(B147="","",I147*K147)</x:f>
      </x:c>
      <x:c r="M147" s="46"/>
      <x:c r="N147" s="52" t="str">
        <x:f>IF(B147="","",IF(OR(M147="Ödendi",M147="İptal"),"Hayır","Evet"))</x:f>
      </x:c>
    </x:row>
    <x:row r="148">
      <x:c r="B148" s="46"/>
      <x:c r="C148" s="46"/>
      <x:c r="D148" s="112"/>
      <x:c r="E148" s="112"/>
      <x:c r="F148" s="92"/>
      <x:c r="G148" s="92"/>
      <x:c r="H148" s="92"/>
      <x:c r="I148" s="93" t="str">
        <x:f>IF(B148="","",MAX(0,F148-H148))</x:f>
      </x:c>
      <x:c r="J148" s="46"/>
      <x:c r="K148" s="100" t="str">
        <x:f>IF(B148="","",IF(G148="TL",1,IF(G148="USD",KURLAR!$C$9,IF(G148="EUR",KURLAR!$C$10,0))))</x:f>
      </x:c>
      <x:c r="L148" s="68" t="str">
        <x:f>IF(B148="","",I148*K148)</x:f>
      </x:c>
      <x:c r="M148" s="46"/>
      <x:c r="N148" s="52" t="str">
        <x:f>IF(B148="","",IF(OR(M148="Ödendi",M148="İptal"),"Hayır","Evet"))</x:f>
      </x:c>
    </x:row>
    <x:row r="149">
      <x:c r="B149" s="46"/>
      <x:c r="C149" s="46"/>
      <x:c r="D149" s="112"/>
      <x:c r="E149" s="112"/>
      <x:c r="F149" s="92"/>
      <x:c r="G149" s="92"/>
      <x:c r="H149" s="92"/>
      <x:c r="I149" s="93" t="str">
        <x:f>IF(B149="","",MAX(0,F149-H149))</x:f>
      </x:c>
      <x:c r="J149" s="46"/>
      <x:c r="K149" s="100" t="str">
        <x:f>IF(B149="","",IF(G149="TL",1,IF(G149="USD",KURLAR!$C$9,IF(G149="EUR",KURLAR!$C$10,0))))</x:f>
      </x:c>
      <x:c r="L149" s="68" t="str">
        <x:f>IF(B149="","",I149*K149)</x:f>
      </x:c>
      <x:c r="M149" s="46"/>
      <x:c r="N149" s="52" t="str">
        <x:f>IF(B149="","",IF(OR(M149="Ödendi",M149="İptal"),"Hayır","Evet"))</x:f>
      </x:c>
    </x:row>
    <x:row r="150">
      <x:c r="B150" s="46"/>
      <x:c r="C150" s="46"/>
      <x:c r="D150" s="112"/>
      <x:c r="E150" s="112"/>
      <x:c r="F150" s="92"/>
      <x:c r="G150" s="92"/>
      <x:c r="H150" s="92"/>
      <x:c r="I150" s="93" t="str">
        <x:f>IF(B150="","",MAX(0,F150-H150))</x:f>
      </x:c>
      <x:c r="J150" s="46"/>
      <x:c r="K150" s="100" t="str">
        <x:f>IF(B150="","",IF(G150="TL",1,IF(G150="USD",KURLAR!$C$9,IF(G150="EUR",KURLAR!$C$10,0))))</x:f>
      </x:c>
      <x:c r="L150" s="68" t="str">
        <x:f>IF(B150="","",I150*K150)</x:f>
      </x:c>
      <x:c r="M150" s="46"/>
      <x:c r="N150" s="52" t="str">
        <x:f>IF(B150="","",IF(OR(M150="Ödendi",M150="İptal"),"Hayır","Evet"))</x:f>
      </x:c>
    </x:row>
    <x:row r="151">
      <x:c r="B151" s="46"/>
      <x:c r="C151" s="46"/>
      <x:c r="D151" s="112"/>
      <x:c r="E151" s="112"/>
      <x:c r="F151" s="92"/>
      <x:c r="G151" s="92"/>
      <x:c r="H151" s="92"/>
      <x:c r="I151" s="93" t="str">
        <x:f>IF(B151="","",MAX(0,F151-H151))</x:f>
      </x:c>
      <x:c r="J151" s="46"/>
      <x:c r="K151" s="100" t="str">
        <x:f>IF(B151="","",IF(G151="TL",1,IF(G151="USD",KURLAR!$C$9,IF(G151="EUR",KURLAR!$C$10,0))))</x:f>
      </x:c>
      <x:c r="L151" s="68" t="str">
        <x:f>IF(B151="","",I151*K151)</x:f>
      </x:c>
      <x:c r="M151" s="46"/>
      <x:c r="N151" s="52" t="str">
        <x:f>IF(B151="","",IF(OR(M151="Ödendi",M151="İptal"),"Hayır","Evet"))</x:f>
      </x:c>
    </x:row>
    <x:row r="152">
      <x:c r="B152" s="46"/>
      <x:c r="C152" s="46"/>
      <x:c r="D152" s="112"/>
      <x:c r="E152" s="112"/>
      <x:c r="F152" s="92"/>
      <x:c r="G152" s="92"/>
      <x:c r="H152" s="92"/>
      <x:c r="I152" s="93" t="str">
        <x:f>IF(B152="","",MAX(0,F152-H152))</x:f>
      </x:c>
      <x:c r="J152" s="46"/>
      <x:c r="K152" s="100" t="str">
        <x:f>IF(B152="","",IF(G152="TL",1,IF(G152="USD",KURLAR!$C$9,IF(G152="EUR",KURLAR!$C$10,0))))</x:f>
      </x:c>
      <x:c r="L152" s="68" t="str">
        <x:f>IF(B152="","",I152*K152)</x:f>
      </x:c>
      <x:c r="M152" s="46"/>
      <x:c r="N152" s="52" t="str">
        <x:f>IF(B152="","",IF(OR(M152="Ödendi",M152="İptal"),"Hayır","Evet"))</x:f>
      </x:c>
    </x:row>
    <x:row r="153">
      <x:c r="B153" s="46"/>
      <x:c r="C153" s="46"/>
      <x:c r="D153" s="112"/>
      <x:c r="E153" s="112"/>
      <x:c r="F153" s="92"/>
      <x:c r="G153" s="92"/>
      <x:c r="H153" s="92"/>
      <x:c r="I153" s="93" t="str">
        <x:f>IF(B153="","",MAX(0,F153-H153))</x:f>
      </x:c>
      <x:c r="J153" s="46"/>
      <x:c r="K153" s="100" t="str">
        <x:f>IF(B153="","",IF(G153="TL",1,IF(G153="USD",KURLAR!$C$9,IF(G153="EUR",KURLAR!$C$10,0))))</x:f>
      </x:c>
      <x:c r="L153" s="68" t="str">
        <x:f>IF(B153="","",I153*K153)</x:f>
      </x:c>
      <x:c r="M153" s="46"/>
      <x:c r="N153" s="52" t="str">
        <x:f>IF(B153="","",IF(OR(M153="Ödendi",M153="İptal"),"Hayır","Evet"))</x:f>
      </x:c>
    </x:row>
    <x:row r="154">
      <x:c r="B154" s="46"/>
      <x:c r="C154" s="46"/>
      <x:c r="D154" s="112"/>
      <x:c r="E154" s="112"/>
      <x:c r="F154" s="92"/>
      <x:c r="G154" s="92"/>
      <x:c r="H154" s="92"/>
      <x:c r="I154" s="93" t="str">
        <x:f>IF(B154="","",MAX(0,F154-H154))</x:f>
      </x:c>
      <x:c r="J154" s="46"/>
      <x:c r="K154" s="100" t="str">
        <x:f>IF(B154="","",IF(G154="TL",1,IF(G154="USD",KURLAR!$C$9,IF(G154="EUR",KURLAR!$C$10,0))))</x:f>
      </x:c>
      <x:c r="L154" s="68" t="str">
        <x:f>IF(B154="","",I154*K154)</x:f>
      </x:c>
      <x:c r="M154" s="46"/>
      <x:c r="N154" s="52" t="str">
        <x:f>IF(B154="","",IF(OR(M154="Ödendi",M154="İptal"),"Hayır","Evet"))</x:f>
      </x:c>
    </x:row>
    <x:row r="155">
      <x:c r="B155" s="46"/>
      <x:c r="C155" s="46"/>
      <x:c r="D155" s="112"/>
      <x:c r="E155" s="112"/>
      <x:c r="F155" s="92"/>
      <x:c r="G155" s="92"/>
      <x:c r="H155" s="92"/>
      <x:c r="I155" s="93" t="str">
        <x:f>IF(B155="","",MAX(0,F155-H155))</x:f>
      </x:c>
      <x:c r="J155" s="46"/>
      <x:c r="K155" s="100" t="str">
        <x:f>IF(B155="","",IF(G155="TL",1,IF(G155="USD",KURLAR!$C$9,IF(G155="EUR",KURLAR!$C$10,0))))</x:f>
      </x:c>
      <x:c r="L155" s="68" t="str">
        <x:f>IF(B155="","",I155*K155)</x:f>
      </x:c>
      <x:c r="M155" s="46"/>
      <x:c r="N155" s="52" t="str">
        <x:f>IF(B155="","",IF(OR(M155="Ödendi",M155="İptal"),"Hayır","Evet"))</x:f>
      </x:c>
    </x:row>
    <x:row r="156">
      <x:c r="B156" s="46"/>
      <x:c r="C156" s="46"/>
      <x:c r="D156" s="112"/>
      <x:c r="E156" s="112"/>
      <x:c r="F156" s="92"/>
      <x:c r="G156" s="92"/>
      <x:c r="H156" s="92"/>
      <x:c r="I156" s="93" t="str">
        <x:f>IF(B156="","",MAX(0,F156-H156))</x:f>
      </x:c>
      <x:c r="J156" s="46"/>
      <x:c r="K156" s="100" t="str">
        <x:f>IF(B156="","",IF(G156="TL",1,IF(G156="USD",KURLAR!$C$9,IF(G156="EUR",KURLAR!$C$10,0))))</x:f>
      </x:c>
      <x:c r="L156" s="68" t="str">
        <x:f>IF(B156="","",I156*K156)</x:f>
      </x:c>
      <x:c r="M156" s="46"/>
      <x:c r="N156" s="52" t="str">
        <x:f>IF(B156="","",IF(OR(M156="Ödendi",M156="İptal"),"Hayır","Evet"))</x:f>
      </x:c>
    </x:row>
    <x:row r="157">
      <x:c r="B157" s="46"/>
      <x:c r="C157" s="46"/>
      <x:c r="D157" s="112"/>
      <x:c r="E157" s="112"/>
      <x:c r="F157" s="92"/>
      <x:c r="G157" s="92"/>
      <x:c r="H157" s="92"/>
      <x:c r="I157" s="93" t="str">
        <x:f>IF(B157="","",MAX(0,F157-H157))</x:f>
      </x:c>
      <x:c r="J157" s="46"/>
      <x:c r="K157" s="100" t="str">
        <x:f>IF(B157="","",IF(G157="TL",1,IF(G157="USD",KURLAR!$C$9,IF(G157="EUR",KURLAR!$C$10,0))))</x:f>
      </x:c>
      <x:c r="L157" s="68" t="str">
        <x:f>IF(B157="","",I157*K157)</x:f>
      </x:c>
      <x:c r="M157" s="46"/>
      <x:c r="N157" s="52" t="str">
        <x:f>IF(B157="","",IF(OR(M157="Ödendi",M157="İptal"),"Hayır","Evet"))</x:f>
      </x:c>
    </x:row>
    <x:row r="158">
      <x:c r="B158" s="46"/>
      <x:c r="C158" s="46"/>
      <x:c r="D158" s="112"/>
      <x:c r="E158" s="112"/>
      <x:c r="F158" s="92"/>
      <x:c r="G158" s="92"/>
      <x:c r="H158" s="92"/>
      <x:c r="I158" s="93" t="str">
        <x:f>IF(B158="","",MAX(0,F158-H158))</x:f>
      </x:c>
      <x:c r="J158" s="46"/>
      <x:c r="K158" s="100" t="str">
        <x:f>IF(B158="","",IF(G158="TL",1,IF(G158="USD",KURLAR!$C$9,IF(G158="EUR",KURLAR!$C$10,0))))</x:f>
      </x:c>
      <x:c r="L158" s="68" t="str">
        <x:f>IF(B158="","",I158*K158)</x:f>
      </x:c>
      <x:c r="M158" s="46"/>
      <x:c r="N158" s="52" t="str">
        <x:f>IF(B158="","",IF(OR(M158="Ödendi",M158="İptal"),"Hayır","Evet"))</x:f>
      </x:c>
    </x:row>
    <x:row r="159">
      <x:c r="B159" s="46"/>
      <x:c r="C159" s="46"/>
      <x:c r="D159" s="112"/>
      <x:c r="E159" s="112"/>
      <x:c r="F159" s="92"/>
      <x:c r="G159" s="92"/>
      <x:c r="H159" s="92"/>
      <x:c r="I159" s="93" t="str">
        <x:f>IF(B159="","",MAX(0,F159-H159))</x:f>
      </x:c>
      <x:c r="J159" s="46"/>
      <x:c r="K159" s="100" t="str">
        <x:f>IF(B159="","",IF(G159="TL",1,IF(G159="USD",KURLAR!$C$9,IF(G159="EUR",KURLAR!$C$10,0))))</x:f>
      </x:c>
      <x:c r="L159" s="68" t="str">
        <x:f>IF(B159="","",I159*K159)</x:f>
      </x:c>
      <x:c r="M159" s="46"/>
      <x:c r="N159" s="52" t="str">
        <x:f>IF(B159="","",IF(OR(M159="Ödendi",M159="İptal"),"Hayır","Evet"))</x:f>
      </x:c>
    </x:row>
    <x:row r="160">
      <x:c r="B160" s="46"/>
      <x:c r="C160" s="46"/>
      <x:c r="D160" s="112"/>
      <x:c r="E160" s="112"/>
      <x:c r="F160" s="92"/>
      <x:c r="G160" s="92"/>
      <x:c r="H160" s="92"/>
      <x:c r="I160" s="93" t="str">
        <x:f>IF(B160="","",MAX(0,F160-H160))</x:f>
      </x:c>
      <x:c r="J160" s="46"/>
      <x:c r="K160" s="100" t="str">
        <x:f>IF(B160="","",IF(G160="TL",1,IF(G160="USD",KURLAR!$C$9,IF(G160="EUR",KURLAR!$C$10,0))))</x:f>
      </x:c>
      <x:c r="L160" s="68" t="str">
        <x:f>IF(B160="","",I160*K160)</x:f>
      </x:c>
      <x:c r="M160" s="46"/>
      <x:c r="N160" s="52" t="str">
        <x:f>IF(B160="","",IF(OR(M160="Ödendi",M160="İptal"),"Hayır","Evet"))</x:f>
      </x:c>
    </x:row>
    <x:row r="161">
      <x:c r="B161" s="46"/>
      <x:c r="C161" s="46"/>
      <x:c r="D161" s="112"/>
      <x:c r="E161" s="112"/>
      <x:c r="F161" s="92"/>
      <x:c r="G161" s="92"/>
      <x:c r="H161" s="92"/>
      <x:c r="I161" s="93" t="str">
        <x:f>IF(B161="","",MAX(0,F161-H161))</x:f>
      </x:c>
      <x:c r="J161" s="46"/>
      <x:c r="K161" s="100" t="str">
        <x:f>IF(B161="","",IF(G161="TL",1,IF(G161="USD",KURLAR!$C$9,IF(G161="EUR",KURLAR!$C$10,0))))</x:f>
      </x:c>
      <x:c r="L161" s="68" t="str">
        <x:f>IF(B161="","",I161*K161)</x:f>
      </x:c>
      <x:c r="M161" s="46"/>
      <x:c r="N161" s="52" t="str">
        <x:f>IF(B161="","",IF(OR(M161="Ödendi",M161="İptal"),"Hayır","Evet"))</x:f>
      </x:c>
    </x:row>
    <x:row r="162">
      <x:c r="B162" s="46"/>
      <x:c r="C162" s="46"/>
      <x:c r="D162" s="112"/>
      <x:c r="E162" s="112"/>
      <x:c r="F162" s="92"/>
      <x:c r="G162" s="92"/>
      <x:c r="H162" s="92"/>
      <x:c r="I162" s="93" t="str">
        <x:f>IF(B162="","",MAX(0,F162-H162))</x:f>
      </x:c>
      <x:c r="J162" s="46"/>
      <x:c r="K162" s="100" t="str">
        <x:f>IF(B162="","",IF(G162="TL",1,IF(G162="USD",KURLAR!$C$9,IF(G162="EUR",KURLAR!$C$10,0))))</x:f>
      </x:c>
      <x:c r="L162" s="68" t="str">
        <x:f>IF(B162="","",I162*K162)</x:f>
      </x:c>
      <x:c r="M162" s="46"/>
      <x:c r="N162" s="52" t="str">
        <x:f>IF(B162="","",IF(OR(M162="Ödendi",M162="İptal"),"Hayır","Evet"))</x:f>
      </x:c>
    </x:row>
    <x:row r="163">
      <x:c r="B163" s="46"/>
      <x:c r="C163" s="46"/>
      <x:c r="D163" s="112"/>
      <x:c r="E163" s="112"/>
      <x:c r="F163" s="92"/>
      <x:c r="G163" s="92"/>
      <x:c r="H163" s="92"/>
      <x:c r="I163" s="93" t="str">
        <x:f>IF(B163="","",MAX(0,F163-H163))</x:f>
      </x:c>
      <x:c r="J163" s="46"/>
      <x:c r="K163" s="100" t="str">
        <x:f>IF(B163="","",IF(G163="TL",1,IF(G163="USD",KURLAR!$C$9,IF(G163="EUR",KURLAR!$C$10,0))))</x:f>
      </x:c>
      <x:c r="L163" s="68" t="str">
        <x:f>IF(B163="","",I163*K163)</x:f>
      </x:c>
      <x:c r="M163" s="46"/>
      <x:c r="N163" s="52" t="str">
        <x:f>IF(B163="","",IF(OR(M163="Ödendi",M163="İptal"),"Hayır","Evet"))</x:f>
      </x:c>
    </x:row>
    <x:row r="164">
      <x:c r="B164" s="46"/>
      <x:c r="C164" s="46"/>
      <x:c r="D164" s="112"/>
      <x:c r="E164" s="112"/>
      <x:c r="F164" s="92"/>
      <x:c r="G164" s="92"/>
      <x:c r="H164" s="92"/>
      <x:c r="I164" s="93" t="str">
        <x:f>IF(B164="","",MAX(0,F164-H164))</x:f>
      </x:c>
      <x:c r="J164" s="46"/>
      <x:c r="K164" s="100" t="str">
        <x:f>IF(B164="","",IF(G164="TL",1,IF(G164="USD",KURLAR!$C$9,IF(G164="EUR",KURLAR!$C$10,0))))</x:f>
      </x:c>
      <x:c r="L164" s="68" t="str">
        <x:f>IF(B164="","",I164*K164)</x:f>
      </x:c>
      <x:c r="M164" s="46"/>
      <x:c r="N164" s="52" t="str">
        <x:f>IF(B164="","",IF(OR(M164="Ödendi",M164="İptal"),"Hayır","Evet"))</x:f>
      </x:c>
    </x:row>
    <x:row r="165">
      <x:c r="B165" s="46"/>
      <x:c r="C165" s="46"/>
      <x:c r="D165" s="112"/>
      <x:c r="E165" s="112"/>
      <x:c r="F165" s="92"/>
      <x:c r="G165" s="92"/>
      <x:c r="H165" s="92"/>
      <x:c r="I165" s="93" t="str">
        <x:f>IF(B165="","",MAX(0,F165-H165))</x:f>
      </x:c>
      <x:c r="J165" s="46"/>
      <x:c r="K165" s="100" t="str">
        <x:f>IF(B165="","",IF(G165="TL",1,IF(G165="USD",KURLAR!$C$9,IF(G165="EUR",KURLAR!$C$10,0))))</x:f>
      </x:c>
      <x:c r="L165" s="68" t="str">
        <x:f>IF(B165="","",I165*K165)</x:f>
      </x:c>
      <x:c r="M165" s="46"/>
      <x:c r="N165" s="52" t="str">
        <x:f>IF(B165="","",IF(OR(M165="Ödendi",M165="İptal"),"Hayır","Evet"))</x:f>
      </x:c>
    </x:row>
    <x:row r="166">
      <x:c r="B166" s="46"/>
      <x:c r="C166" s="46"/>
      <x:c r="D166" s="112"/>
      <x:c r="E166" s="112"/>
      <x:c r="F166" s="92"/>
      <x:c r="G166" s="92"/>
      <x:c r="H166" s="92"/>
      <x:c r="I166" s="93" t="str">
        <x:f>IF(B166="","",MAX(0,F166-H166))</x:f>
      </x:c>
      <x:c r="J166" s="46"/>
      <x:c r="K166" s="100" t="str">
        <x:f>IF(B166="","",IF(G166="TL",1,IF(G166="USD",KURLAR!$C$9,IF(G166="EUR",KURLAR!$C$10,0))))</x:f>
      </x:c>
      <x:c r="L166" s="68" t="str">
        <x:f>IF(B166="","",I166*K166)</x:f>
      </x:c>
      <x:c r="M166" s="46"/>
      <x:c r="N166" s="52" t="str">
        <x:f>IF(B166="","",IF(OR(M166="Ödendi",M166="İptal"),"Hayır","Evet"))</x:f>
      </x:c>
    </x:row>
    <x:row r="167">
      <x:c r="B167" s="46"/>
      <x:c r="C167" s="46"/>
      <x:c r="D167" s="112"/>
      <x:c r="E167" s="112"/>
      <x:c r="F167" s="92"/>
      <x:c r="G167" s="92"/>
      <x:c r="H167" s="92"/>
      <x:c r="I167" s="93" t="str">
        <x:f>IF(B167="","",MAX(0,F167-H167))</x:f>
      </x:c>
      <x:c r="J167" s="46"/>
      <x:c r="K167" s="100" t="str">
        <x:f>IF(B167="","",IF(G167="TL",1,IF(G167="USD",KURLAR!$C$9,IF(G167="EUR",KURLAR!$C$10,0))))</x:f>
      </x:c>
      <x:c r="L167" s="68" t="str">
        <x:f>IF(B167="","",I167*K167)</x:f>
      </x:c>
      <x:c r="M167" s="46"/>
      <x:c r="N167" s="52" t="str">
        <x:f>IF(B167="","",IF(OR(M167="Ödendi",M167="İptal"),"Hayır","Evet"))</x:f>
      </x:c>
    </x:row>
    <x:row r="168">
      <x:c r="B168" s="46"/>
      <x:c r="C168" s="46"/>
      <x:c r="D168" s="112"/>
      <x:c r="E168" s="112"/>
      <x:c r="F168" s="92"/>
      <x:c r="G168" s="92"/>
      <x:c r="H168" s="92"/>
      <x:c r="I168" s="93" t="str">
        <x:f>IF(B168="","",MAX(0,F168-H168))</x:f>
      </x:c>
      <x:c r="J168" s="46"/>
      <x:c r="K168" s="100" t="str">
        <x:f>IF(B168="","",IF(G168="TL",1,IF(G168="USD",KURLAR!$C$9,IF(G168="EUR",KURLAR!$C$10,0))))</x:f>
      </x:c>
      <x:c r="L168" s="68" t="str">
        <x:f>IF(B168="","",I168*K168)</x:f>
      </x:c>
      <x:c r="M168" s="46"/>
      <x:c r="N168" s="52" t="str">
        <x:f>IF(B168="","",IF(OR(M168="Ödendi",M168="İptal"),"Hayır","Evet"))</x:f>
      </x:c>
    </x:row>
    <x:row r="169">
      <x:c r="B169" s="46"/>
      <x:c r="C169" s="46"/>
      <x:c r="D169" s="112"/>
      <x:c r="E169" s="112"/>
      <x:c r="F169" s="92"/>
      <x:c r="G169" s="92"/>
      <x:c r="H169" s="92"/>
      <x:c r="I169" s="93" t="str">
        <x:f>IF(B169="","",MAX(0,F169-H169))</x:f>
      </x:c>
      <x:c r="J169" s="46"/>
      <x:c r="K169" s="100" t="str">
        <x:f>IF(B169="","",IF(G169="TL",1,IF(G169="USD",KURLAR!$C$9,IF(G169="EUR",KURLAR!$C$10,0))))</x:f>
      </x:c>
      <x:c r="L169" s="68" t="str">
        <x:f>IF(B169="","",I169*K169)</x:f>
      </x:c>
      <x:c r="M169" s="46"/>
      <x:c r="N169" s="52" t="str">
        <x:f>IF(B169="","",IF(OR(M169="Ödendi",M169="İptal"),"Hayır","Evet"))</x:f>
      </x:c>
    </x:row>
    <x:row r="170">
      <x:c r="B170" s="46"/>
      <x:c r="C170" s="46"/>
      <x:c r="D170" s="112"/>
      <x:c r="E170" s="112"/>
      <x:c r="F170" s="92"/>
      <x:c r="G170" s="92"/>
      <x:c r="H170" s="92"/>
      <x:c r="I170" s="93" t="str">
        <x:f>IF(B170="","",MAX(0,F170-H170))</x:f>
      </x:c>
      <x:c r="J170" s="46"/>
      <x:c r="K170" s="100" t="str">
        <x:f>IF(B170="","",IF(G170="TL",1,IF(G170="USD",KURLAR!$C$9,IF(G170="EUR",KURLAR!$C$10,0))))</x:f>
      </x:c>
      <x:c r="L170" s="68" t="str">
        <x:f>IF(B170="","",I170*K170)</x:f>
      </x:c>
      <x:c r="M170" s="46"/>
      <x:c r="N170" s="52" t="str">
        <x:f>IF(B170="","",IF(OR(M170="Ödendi",M170="İptal"),"Hayır","Evet"))</x:f>
      </x:c>
    </x:row>
    <x:row r="171">
      <x:c r="B171" s="46"/>
      <x:c r="C171" s="46"/>
      <x:c r="D171" s="112"/>
      <x:c r="E171" s="112"/>
      <x:c r="F171" s="92"/>
      <x:c r="G171" s="92"/>
      <x:c r="H171" s="92"/>
      <x:c r="I171" s="93" t="str">
        <x:f>IF(B171="","",MAX(0,F171-H171))</x:f>
      </x:c>
      <x:c r="J171" s="46"/>
      <x:c r="K171" s="100" t="str">
        <x:f>IF(B171="","",IF(G171="TL",1,IF(G171="USD",KURLAR!$C$9,IF(G171="EUR",KURLAR!$C$10,0))))</x:f>
      </x:c>
      <x:c r="L171" s="68" t="str">
        <x:f>IF(B171="","",I171*K171)</x:f>
      </x:c>
      <x:c r="M171" s="46"/>
      <x:c r="N171" s="52" t="str">
        <x:f>IF(B171="","",IF(OR(M171="Ödendi",M171="İptal"),"Hayır","Evet"))</x:f>
      </x:c>
    </x:row>
    <x:row r="172">
      <x:c r="B172" s="46"/>
      <x:c r="C172" s="46"/>
      <x:c r="D172" s="112"/>
      <x:c r="E172" s="112"/>
      <x:c r="F172" s="92"/>
      <x:c r="G172" s="92"/>
      <x:c r="H172" s="92"/>
      <x:c r="I172" s="93" t="str">
        <x:f>IF(B172="","",MAX(0,F172-H172))</x:f>
      </x:c>
      <x:c r="J172" s="46"/>
      <x:c r="K172" s="100" t="str">
        <x:f>IF(B172="","",IF(G172="TL",1,IF(G172="USD",KURLAR!$C$9,IF(G172="EUR",KURLAR!$C$10,0))))</x:f>
      </x:c>
      <x:c r="L172" s="68" t="str">
        <x:f>IF(B172="","",I172*K172)</x:f>
      </x:c>
      <x:c r="M172" s="46"/>
      <x:c r="N172" s="52" t="str">
        <x:f>IF(B172="","",IF(OR(M172="Ödendi",M172="İptal"),"Hayır","Evet"))</x:f>
      </x:c>
    </x:row>
    <x:row r="173">
      <x:c r="B173" s="46"/>
      <x:c r="C173" s="46"/>
      <x:c r="D173" s="112"/>
      <x:c r="E173" s="112"/>
      <x:c r="F173" s="92"/>
      <x:c r="G173" s="92"/>
      <x:c r="H173" s="92"/>
      <x:c r="I173" s="93" t="str">
        <x:f>IF(B173="","",MAX(0,F173-H173))</x:f>
      </x:c>
      <x:c r="J173" s="46"/>
      <x:c r="K173" s="100" t="str">
        <x:f>IF(B173="","",IF(G173="TL",1,IF(G173="USD",KURLAR!$C$9,IF(G173="EUR",KURLAR!$C$10,0))))</x:f>
      </x:c>
      <x:c r="L173" s="68" t="str">
        <x:f>IF(B173="","",I173*K173)</x:f>
      </x:c>
      <x:c r="M173" s="46"/>
      <x:c r="N173" s="52" t="str">
        <x:f>IF(B173="","",IF(OR(M173="Ödendi",M173="İptal"),"Hayır","Evet"))</x:f>
      </x:c>
    </x:row>
    <x:row r="174">
      <x:c r="B174" s="46"/>
      <x:c r="C174" s="46"/>
      <x:c r="D174" s="112"/>
      <x:c r="E174" s="112"/>
      <x:c r="F174" s="92"/>
      <x:c r="G174" s="92"/>
      <x:c r="H174" s="92"/>
      <x:c r="I174" s="93" t="str">
        <x:f>IF(B174="","",MAX(0,F174-H174))</x:f>
      </x:c>
      <x:c r="J174" s="46"/>
      <x:c r="K174" s="100" t="str">
        <x:f>IF(B174="","",IF(G174="TL",1,IF(G174="USD",KURLAR!$C$9,IF(G174="EUR",KURLAR!$C$10,0))))</x:f>
      </x:c>
      <x:c r="L174" s="68" t="str">
        <x:f>IF(B174="","",I174*K174)</x:f>
      </x:c>
      <x:c r="M174" s="46"/>
      <x:c r="N174" s="52" t="str">
        <x:f>IF(B174="","",IF(OR(M174="Ödendi",M174="İptal"),"Hayır","Evet"))</x:f>
      </x:c>
    </x:row>
    <x:row r="175">
      <x:c r="B175" s="46"/>
      <x:c r="C175" s="46"/>
      <x:c r="D175" s="112"/>
      <x:c r="E175" s="112"/>
      <x:c r="F175" s="92"/>
      <x:c r="G175" s="92"/>
      <x:c r="H175" s="92"/>
      <x:c r="I175" s="93" t="str">
        <x:f>IF(B175="","",MAX(0,F175-H175))</x:f>
      </x:c>
      <x:c r="J175" s="46"/>
      <x:c r="K175" s="100" t="str">
        <x:f>IF(B175="","",IF(G175="TL",1,IF(G175="USD",KURLAR!$C$9,IF(G175="EUR",KURLAR!$C$10,0))))</x:f>
      </x:c>
      <x:c r="L175" s="68" t="str">
        <x:f>IF(B175="","",I175*K175)</x:f>
      </x:c>
      <x:c r="M175" s="46"/>
      <x:c r="N175" s="52" t="str">
        <x:f>IF(B175="","",IF(OR(M175="Ödendi",M175="İptal"),"Hayır","Evet"))</x:f>
      </x:c>
    </x:row>
    <x:row r="176">
      <x:c r="B176" s="46"/>
      <x:c r="C176" s="46"/>
      <x:c r="D176" s="112"/>
      <x:c r="E176" s="112"/>
      <x:c r="F176" s="92"/>
      <x:c r="G176" s="92"/>
      <x:c r="H176" s="92"/>
      <x:c r="I176" s="93" t="str">
        <x:f>IF(B176="","",MAX(0,F176-H176))</x:f>
      </x:c>
      <x:c r="J176" s="46"/>
      <x:c r="K176" s="100" t="str">
        <x:f>IF(B176="","",IF(G176="TL",1,IF(G176="USD",KURLAR!$C$9,IF(G176="EUR",KURLAR!$C$10,0))))</x:f>
      </x:c>
      <x:c r="L176" s="68" t="str">
        <x:f>IF(B176="","",I176*K176)</x:f>
      </x:c>
      <x:c r="M176" s="46"/>
      <x:c r="N176" s="52" t="str">
        <x:f>IF(B176="","",IF(OR(M176="Ödendi",M176="İptal"),"Hayır","Evet"))</x:f>
      </x:c>
    </x:row>
    <x:row r="177">
      <x:c r="B177" s="46"/>
      <x:c r="C177" s="46"/>
      <x:c r="D177" s="112"/>
      <x:c r="E177" s="112"/>
      <x:c r="F177" s="92"/>
      <x:c r="G177" s="92"/>
      <x:c r="H177" s="92"/>
      <x:c r="I177" s="93" t="str">
        <x:f>IF(B177="","",MAX(0,F177-H177))</x:f>
      </x:c>
      <x:c r="J177" s="46"/>
      <x:c r="K177" s="100" t="str">
        <x:f>IF(B177="","",IF(G177="TL",1,IF(G177="USD",KURLAR!$C$9,IF(G177="EUR",KURLAR!$C$10,0))))</x:f>
      </x:c>
      <x:c r="L177" s="68" t="str">
        <x:f>IF(B177="","",I177*K177)</x:f>
      </x:c>
      <x:c r="M177" s="46"/>
      <x:c r="N177" s="52" t="str">
        <x:f>IF(B177="","",IF(OR(M177="Ödendi",M177="İptal"),"Hayır","Evet"))</x:f>
      </x:c>
    </x:row>
    <x:row r="178">
      <x:c r="B178" s="46"/>
      <x:c r="C178" s="46"/>
      <x:c r="D178" s="112"/>
      <x:c r="E178" s="112"/>
      <x:c r="F178" s="92"/>
      <x:c r="G178" s="92"/>
      <x:c r="H178" s="92"/>
      <x:c r="I178" s="93" t="str">
        <x:f>IF(B178="","",MAX(0,F178-H178))</x:f>
      </x:c>
      <x:c r="J178" s="46"/>
      <x:c r="K178" s="100" t="str">
        <x:f>IF(B178="","",IF(G178="TL",1,IF(G178="USD",KURLAR!$C$9,IF(G178="EUR",KURLAR!$C$10,0))))</x:f>
      </x:c>
      <x:c r="L178" s="68" t="str">
        <x:f>IF(B178="","",I178*K178)</x:f>
      </x:c>
      <x:c r="M178" s="46"/>
      <x:c r="N178" s="52" t="str">
        <x:f>IF(B178="","",IF(OR(M178="Ödendi",M178="İptal"),"Hayır","Evet"))</x:f>
      </x:c>
    </x:row>
    <x:row r="179">
      <x:c r="B179" s="46"/>
      <x:c r="C179" s="46"/>
      <x:c r="D179" s="112"/>
      <x:c r="E179" s="112"/>
      <x:c r="F179" s="92"/>
      <x:c r="G179" s="92"/>
      <x:c r="H179" s="92"/>
      <x:c r="I179" s="93" t="str">
        <x:f>IF(B179="","",MAX(0,F179-H179))</x:f>
      </x:c>
      <x:c r="J179" s="46"/>
      <x:c r="K179" s="100" t="str">
        <x:f>IF(B179="","",IF(G179="TL",1,IF(G179="USD",KURLAR!$C$9,IF(G179="EUR",KURLAR!$C$10,0))))</x:f>
      </x:c>
      <x:c r="L179" s="68" t="str">
        <x:f>IF(B179="","",I179*K179)</x:f>
      </x:c>
      <x:c r="M179" s="46"/>
      <x:c r="N179" s="52" t="str">
        <x:f>IF(B179="","",IF(OR(M179="Ödendi",M179="İptal"),"Hayır","Evet"))</x:f>
      </x:c>
    </x:row>
    <x:row r="180">
      <x:c r="B180" s="46"/>
      <x:c r="C180" s="46"/>
      <x:c r="D180" s="112"/>
      <x:c r="E180" s="112"/>
      <x:c r="F180" s="92"/>
      <x:c r="G180" s="92"/>
      <x:c r="H180" s="92"/>
      <x:c r="I180" s="93" t="str">
        <x:f>IF(B180="","",MAX(0,F180-H180))</x:f>
      </x:c>
      <x:c r="J180" s="46"/>
      <x:c r="K180" s="100" t="str">
        <x:f>IF(B180="","",IF(G180="TL",1,IF(G180="USD",KURLAR!$C$9,IF(G180="EUR",KURLAR!$C$10,0))))</x:f>
      </x:c>
      <x:c r="L180" s="68" t="str">
        <x:f>IF(B180="","",I180*K180)</x:f>
      </x:c>
      <x:c r="M180" s="46"/>
      <x:c r="N180" s="52" t="str">
        <x:f>IF(B180="","",IF(OR(M180="Ödendi",M180="İptal"),"Hayır","Evet"))</x:f>
      </x:c>
    </x:row>
    <x:row r="181">
      <x:c r="B181" s="46"/>
      <x:c r="C181" s="46"/>
      <x:c r="D181" s="112"/>
      <x:c r="E181" s="112"/>
      <x:c r="F181" s="92"/>
      <x:c r="G181" s="92"/>
      <x:c r="H181" s="92"/>
      <x:c r="I181" s="93" t="str">
        <x:f>IF(B181="","",MAX(0,F181-H181))</x:f>
      </x:c>
      <x:c r="J181" s="46"/>
      <x:c r="K181" s="100" t="str">
        <x:f>IF(B181="","",IF(G181="TL",1,IF(G181="USD",KURLAR!$C$9,IF(G181="EUR",KURLAR!$C$10,0))))</x:f>
      </x:c>
      <x:c r="L181" s="68" t="str">
        <x:f>IF(B181="","",I181*K181)</x:f>
      </x:c>
      <x:c r="M181" s="46"/>
      <x:c r="N181" s="52" t="str">
        <x:f>IF(B181="","",IF(OR(M181="Ödendi",M181="İptal"),"Hayır","Evet"))</x:f>
      </x:c>
    </x:row>
    <x:row r="182">
      <x:c r="B182" s="46"/>
      <x:c r="C182" s="46"/>
      <x:c r="D182" s="112"/>
      <x:c r="E182" s="112"/>
      <x:c r="F182" s="92"/>
      <x:c r="G182" s="92"/>
      <x:c r="H182" s="92"/>
      <x:c r="I182" s="93" t="str">
        <x:f>IF(B182="","",MAX(0,F182-H182))</x:f>
      </x:c>
      <x:c r="J182" s="46"/>
      <x:c r="K182" s="100" t="str">
        <x:f>IF(B182="","",IF(G182="TL",1,IF(G182="USD",KURLAR!$C$9,IF(G182="EUR",KURLAR!$C$10,0))))</x:f>
      </x:c>
      <x:c r="L182" s="68" t="str">
        <x:f>IF(B182="","",I182*K182)</x:f>
      </x:c>
      <x:c r="M182" s="46"/>
      <x:c r="N182" s="52" t="str">
        <x:f>IF(B182="","",IF(OR(M182="Ödendi",M182="İptal"),"Hayır","Evet"))</x:f>
      </x:c>
    </x:row>
    <x:row r="183">
      <x:c r="B183" s="46"/>
      <x:c r="C183" s="46"/>
      <x:c r="D183" s="112"/>
      <x:c r="E183" s="112"/>
      <x:c r="F183" s="92"/>
      <x:c r="G183" s="92"/>
      <x:c r="H183" s="92"/>
      <x:c r="I183" s="93" t="str">
        <x:f>IF(B183="","",MAX(0,F183-H183))</x:f>
      </x:c>
      <x:c r="J183" s="46"/>
      <x:c r="K183" s="100" t="str">
        <x:f>IF(B183="","",IF(G183="TL",1,IF(G183="USD",KURLAR!$C$9,IF(G183="EUR",KURLAR!$C$10,0))))</x:f>
      </x:c>
      <x:c r="L183" s="68" t="str">
        <x:f>IF(B183="","",I183*K183)</x:f>
      </x:c>
      <x:c r="M183" s="46"/>
      <x:c r="N183" s="52" t="str">
        <x:f>IF(B183="","",IF(OR(M183="Ödendi",M183="İptal"),"Hayır","Evet"))</x:f>
      </x:c>
    </x:row>
    <x:row r="184">
      <x:c r="B184" s="46"/>
      <x:c r="C184" s="46"/>
      <x:c r="D184" s="112"/>
      <x:c r="E184" s="112"/>
      <x:c r="F184" s="92"/>
      <x:c r="G184" s="92"/>
      <x:c r="H184" s="92"/>
      <x:c r="I184" s="93" t="str">
        <x:f>IF(B184="","",MAX(0,F184-H184))</x:f>
      </x:c>
      <x:c r="J184" s="46"/>
      <x:c r="K184" s="100" t="str">
        <x:f>IF(B184="","",IF(G184="TL",1,IF(G184="USD",KURLAR!$C$9,IF(G184="EUR",KURLAR!$C$10,0))))</x:f>
      </x:c>
      <x:c r="L184" s="68" t="str">
        <x:f>IF(B184="","",I184*K184)</x:f>
      </x:c>
      <x:c r="M184" s="46"/>
      <x:c r="N184" s="52" t="str">
        <x:f>IF(B184="","",IF(OR(M184="Ödendi",M184="İptal"),"Hayır","Evet"))</x:f>
      </x:c>
    </x:row>
    <x:row r="185">
      <x:c r="B185" s="46"/>
      <x:c r="C185" s="46"/>
      <x:c r="D185" s="112"/>
      <x:c r="E185" s="112"/>
      <x:c r="F185" s="92"/>
      <x:c r="G185" s="92"/>
      <x:c r="H185" s="92"/>
      <x:c r="I185" s="93" t="str">
        <x:f>IF(B185="","",MAX(0,F185-H185))</x:f>
      </x:c>
      <x:c r="J185" s="46"/>
      <x:c r="K185" s="100" t="str">
        <x:f>IF(B185="","",IF(G185="TL",1,IF(G185="USD",KURLAR!$C$9,IF(G185="EUR",KURLAR!$C$10,0))))</x:f>
      </x:c>
      <x:c r="L185" s="68" t="str">
        <x:f>IF(B185="","",I185*K185)</x:f>
      </x:c>
      <x:c r="M185" s="46"/>
      <x:c r="N185" s="52" t="str">
        <x:f>IF(B185="","",IF(OR(M185="Ödendi",M185="İptal"),"Hayır","Evet"))</x:f>
      </x:c>
    </x:row>
    <x:row r="186">
      <x:c r="B186" s="46"/>
      <x:c r="C186" s="46"/>
      <x:c r="D186" s="112"/>
      <x:c r="E186" s="112"/>
      <x:c r="F186" s="92"/>
      <x:c r="G186" s="92"/>
      <x:c r="H186" s="92"/>
      <x:c r="I186" s="93" t="str">
        <x:f>IF(B186="","",MAX(0,F186-H186))</x:f>
      </x:c>
      <x:c r="J186" s="46"/>
      <x:c r="K186" s="100" t="str">
        <x:f>IF(B186="","",IF(G186="TL",1,IF(G186="USD",KURLAR!$C$9,IF(G186="EUR",KURLAR!$C$10,0))))</x:f>
      </x:c>
      <x:c r="L186" s="68" t="str">
        <x:f>IF(B186="","",I186*K186)</x:f>
      </x:c>
      <x:c r="M186" s="46"/>
      <x:c r="N186" s="52" t="str">
        <x:f>IF(B186="","",IF(OR(M186="Ödendi",M186="İptal"),"Hayır","Evet"))</x:f>
      </x:c>
    </x:row>
    <x:row r="187">
      <x:c r="B187" s="46"/>
      <x:c r="C187" s="46"/>
      <x:c r="D187" s="112"/>
      <x:c r="E187" s="112"/>
      <x:c r="F187" s="92"/>
      <x:c r="G187" s="92"/>
      <x:c r="H187" s="92"/>
      <x:c r="I187" s="93" t="str">
        <x:f>IF(B187="","",MAX(0,F187-H187))</x:f>
      </x:c>
      <x:c r="J187" s="46"/>
      <x:c r="K187" s="100" t="str">
        <x:f>IF(B187="","",IF(G187="TL",1,IF(G187="USD",KURLAR!$C$9,IF(G187="EUR",KURLAR!$C$10,0))))</x:f>
      </x:c>
      <x:c r="L187" s="68" t="str">
        <x:f>IF(B187="","",I187*K187)</x:f>
      </x:c>
      <x:c r="M187" s="46"/>
      <x:c r="N187" s="52" t="str">
        <x:f>IF(B187="","",IF(OR(M187="Ödendi",M187="İptal"),"Hayır","Evet"))</x:f>
      </x:c>
    </x:row>
    <x:row r="188">
      <x:c r="B188" s="46"/>
      <x:c r="C188" s="46"/>
      <x:c r="D188" s="112"/>
      <x:c r="E188" s="112"/>
      <x:c r="F188" s="92"/>
      <x:c r="G188" s="92"/>
      <x:c r="H188" s="92"/>
      <x:c r="I188" s="93" t="str">
        <x:f>IF(B188="","",MAX(0,F188-H188))</x:f>
      </x:c>
      <x:c r="J188" s="46"/>
      <x:c r="K188" s="100" t="str">
        <x:f>IF(B188="","",IF(G188="TL",1,IF(G188="USD",KURLAR!$C$9,IF(G188="EUR",KURLAR!$C$10,0))))</x:f>
      </x:c>
      <x:c r="L188" s="68" t="str">
        <x:f>IF(B188="","",I188*K188)</x:f>
      </x:c>
      <x:c r="M188" s="46"/>
      <x:c r="N188" s="52" t="str">
        <x:f>IF(B188="","",IF(OR(M188="Ödendi",M188="İptal"),"Hayır","Evet"))</x:f>
      </x:c>
    </x:row>
    <x:row r="189">
      <x:c r="B189" s="46"/>
      <x:c r="C189" s="46"/>
      <x:c r="D189" s="112"/>
      <x:c r="E189" s="112"/>
      <x:c r="F189" s="92"/>
      <x:c r="G189" s="92"/>
      <x:c r="H189" s="92"/>
      <x:c r="I189" s="93" t="str">
        <x:f>IF(B189="","",MAX(0,F189-H189))</x:f>
      </x:c>
      <x:c r="J189" s="46"/>
      <x:c r="K189" s="100" t="str">
        <x:f>IF(B189="","",IF(G189="TL",1,IF(G189="USD",KURLAR!$C$9,IF(G189="EUR",KURLAR!$C$10,0))))</x:f>
      </x:c>
      <x:c r="L189" s="68" t="str">
        <x:f>IF(B189="","",I189*K189)</x:f>
      </x:c>
      <x:c r="M189" s="46"/>
      <x:c r="N189" s="52" t="str">
        <x:f>IF(B189="","",IF(OR(M189="Ödendi",M189="İptal"),"Hayır","Evet"))</x:f>
      </x:c>
    </x:row>
    <x:row r="190">
      <x:c r="B190" s="46"/>
      <x:c r="C190" s="46"/>
      <x:c r="D190" s="112"/>
      <x:c r="E190" s="112"/>
      <x:c r="F190" s="92"/>
      <x:c r="G190" s="92"/>
      <x:c r="H190" s="92"/>
      <x:c r="I190" s="93" t="str">
        <x:f>IF(B190="","",MAX(0,F190-H190))</x:f>
      </x:c>
      <x:c r="J190" s="46"/>
      <x:c r="K190" s="100" t="str">
        <x:f>IF(B190="","",IF(G190="TL",1,IF(G190="USD",KURLAR!$C$9,IF(G190="EUR",KURLAR!$C$10,0))))</x:f>
      </x:c>
      <x:c r="L190" s="68" t="str">
        <x:f>IF(B190="","",I190*K190)</x:f>
      </x:c>
      <x:c r="M190" s="46"/>
      <x:c r="N190" s="52" t="str">
        <x:f>IF(B190="","",IF(OR(M190="Ödendi",M190="İptal"),"Hayır","Evet"))</x:f>
      </x:c>
    </x:row>
    <x:row r="191">
      <x:c r="B191" s="46"/>
      <x:c r="C191" s="46"/>
      <x:c r="D191" s="112"/>
      <x:c r="E191" s="112"/>
      <x:c r="F191" s="92"/>
      <x:c r="G191" s="92"/>
      <x:c r="H191" s="92"/>
      <x:c r="I191" s="93" t="str">
        <x:f>IF(B191="","",MAX(0,F191-H191))</x:f>
      </x:c>
      <x:c r="J191" s="46"/>
      <x:c r="K191" s="100" t="str">
        <x:f>IF(B191="","",IF(G191="TL",1,IF(G191="USD",KURLAR!$C$9,IF(G191="EUR",KURLAR!$C$10,0))))</x:f>
      </x:c>
      <x:c r="L191" s="68" t="str">
        <x:f>IF(B191="","",I191*K191)</x:f>
      </x:c>
      <x:c r="M191" s="46"/>
      <x:c r="N191" s="52" t="str">
        <x:f>IF(B191="","",IF(OR(M191="Ödendi",M191="İptal"),"Hayır","Evet"))</x:f>
      </x:c>
    </x:row>
    <x:row r="192">
      <x:c r="B192" s="46"/>
      <x:c r="C192" s="46"/>
      <x:c r="D192" s="112"/>
      <x:c r="E192" s="112"/>
      <x:c r="F192" s="92"/>
      <x:c r="G192" s="92"/>
      <x:c r="H192" s="92"/>
      <x:c r="I192" s="93" t="str">
        <x:f>IF(B192="","",MAX(0,F192-H192))</x:f>
      </x:c>
      <x:c r="J192" s="46"/>
      <x:c r="K192" s="100" t="str">
        <x:f>IF(B192="","",IF(G192="TL",1,IF(G192="USD",KURLAR!$C$9,IF(G192="EUR",KURLAR!$C$10,0))))</x:f>
      </x:c>
      <x:c r="L192" s="68" t="str">
        <x:f>IF(B192="","",I192*K192)</x:f>
      </x:c>
      <x:c r="M192" s="46"/>
      <x:c r="N192" s="52" t="str">
        <x:f>IF(B192="","",IF(OR(M192="Ödendi",M192="İptal"),"Hayır","Evet"))</x:f>
      </x:c>
    </x:row>
    <x:row r="193">
      <x:c r="B193" s="46"/>
      <x:c r="C193" s="46"/>
      <x:c r="D193" s="112"/>
      <x:c r="E193" s="112"/>
      <x:c r="F193" s="92"/>
      <x:c r="G193" s="92"/>
      <x:c r="H193" s="92"/>
      <x:c r="I193" s="93" t="str">
        <x:f>IF(B193="","",MAX(0,F193-H193))</x:f>
      </x:c>
      <x:c r="J193" s="46"/>
      <x:c r="K193" s="100" t="str">
        <x:f>IF(B193="","",IF(G193="TL",1,IF(G193="USD",KURLAR!$C$9,IF(G193="EUR",KURLAR!$C$10,0))))</x:f>
      </x:c>
      <x:c r="L193" s="68" t="str">
        <x:f>IF(B193="","",I193*K193)</x:f>
      </x:c>
      <x:c r="M193" s="46"/>
      <x:c r="N193" s="52" t="str">
        <x:f>IF(B193="","",IF(OR(M193="Ödendi",M193="İptal"),"Hayır","Evet"))</x:f>
      </x:c>
    </x:row>
    <x:row r="194">
      <x:c r="B194" s="46"/>
      <x:c r="C194" s="46"/>
      <x:c r="D194" s="112"/>
      <x:c r="E194" s="112"/>
      <x:c r="F194" s="92"/>
      <x:c r="G194" s="92"/>
      <x:c r="H194" s="92"/>
      <x:c r="I194" s="93" t="str">
        <x:f>IF(B194="","",MAX(0,F194-H194))</x:f>
      </x:c>
      <x:c r="J194" s="46"/>
      <x:c r="K194" s="100" t="str">
        <x:f>IF(B194="","",IF(G194="TL",1,IF(G194="USD",KURLAR!$C$9,IF(G194="EUR",KURLAR!$C$10,0))))</x:f>
      </x:c>
      <x:c r="L194" s="68" t="str">
        <x:f>IF(B194="","",I194*K194)</x:f>
      </x:c>
      <x:c r="M194" s="46"/>
      <x:c r="N194" s="52" t="str">
        <x:f>IF(B194="","",IF(OR(M194="Ödendi",M194="İptal"),"Hayır","Evet"))</x:f>
      </x:c>
    </x:row>
    <x:row r="195">
      <x:c r="B195" s="46"/>
      <x:c r="C195" s="46"/>
      <x:c r="D195" s="112"/>
      <x:c r="E195" s="112"/>
      <x:c r="F195" s="92"/>
      <x:c r="G195" s="92"/>
      <x:c r="H195" s="92"/>
      <x:c r="I195" s="93" t="str">
        <x:f>IF(B195="","",MAX(0,F195-H195))</x:f>
      </x:c>
      <x:c r="J195" s="46"/>
      <x:c r="K195" s="100" t="str">
        <x:f>IF(B195="","",IF(G195="TL",1,IF(G195="USD",KURLAR!$C$9,IF(G195="EUR",KURLAR!$C$10,0))))</x:f>
      </x:c>
      <x:c r="L195" s="68" t="str">
        <x:f>IF(B195="","",I195*K195)</x:f>
      </x:c>
      <x:c r="M195" s="46"/>
      <x:c r="N195" s="52" t="str">
        <x:f>IF(B195="","",IF(OR(M195="Ödendi",M195="İptal"),"Hayır","Evet"))</x:f>
      </x:c>
    </x:row>
    <x:row r="196">
      <x:c r="B196" s="46"/>
      <x:c r="C196" s="46"/>
      <x:c r="D196" s="112"/>
      <x:c r="E196" s="112"/>
      <x:c r="F196" s="92"/>
      <x:c r="G196" s="92"/>
      <x:c r="H196" s="92"/>
      <x:c r="I196" s="93" t="str">
        <x:f>IF(B196="","",MAX(0,F196-H196))</x:f>
      </x:c>
      <x:c r="J196" s="46"/>
      <x:c r="K196" s="100" t="str">
        <x:f>IF(B196="","",IF(G196="TL",1,IF(G196="USD",KURLAR!$C$9,IF(G196="EUR",KURLAR!$C$10,0))))</x:f>
      </x:c>
      <x:c r="L196" s="68" t="str">
        <x:f>IF(B196="","",I196*K196)</x:f>
      </x:c>
      <x:c r="M196" s="46"/>
      <x:c r="N196" s="52" t="str">
        <x:f>IF(B196="","",IF(OR(M196="Ödendi",M196="İptal"),"Hayır","Evet"))</x:f>
      </x:c>
    </x:row>
    <x:row r="197">
      <x:c r="B197" s="46"/>
      <x:c r="C197" s="46"/>
      <x:c r="D197" s="112"/>
      <x:c r="E197" s="112"/>
      <x:c r="F197" s="92"/>
      <x:c r="G197" s="92"/>
      <x:c r="H197" s="92"/>
      <x:c r="I197" s="93" t="str">
        <x:f>IF(B197="","",MAX(0,F197-H197))</x:f>
      </x:c>
      <x:c r="J197" s="46"/>
      <x:c r="K197" s="100" t="str">
        <x:f>IF(B197="","",IF(G197="TL",1,IF(G197="USD",KURLAR!$C$9,IF(G197="EUR",KURLAR!$C$10,0))))</x:f>
      </x:c>
      <x:c r="L197" s="68" t="str">
        <x:f>IF(B197="","",I197*K197)</x:f>
      </x:c>
      <x:c r="M197" s="46"/>
      <x:c r="N197" s="52" t="str">
        <x:f>IF(B197="","",IF(OR(M197="Ödendi",M197="İptal"),"Hayır","Evet"))</x:f>
      </x:c>
    </x:row>
    <x:row r="198">
      <x:c r="B198" s="46"/>
      <x:c r="C198" s="46"/>
      <x:c r="D198" s="112"/>
      <x:c r="E198" s="112"/>
      <x:c r="F198" s="92"/>
      <x:c r="G198" s="92"/>
      <x:c r="H198" s="92"/>
      <x:c r="I198" s="93" t="str">
        <x:f>IF(B198="","",MAX(0,F198-H198))</x:f>
      </x:c>
      <x:c r="J198" s="46"/>
      <x:c r="K198" s="100" t="str">
        <x:f>IF(B198="","",IF(G198="TL",1,IF(G198="USD",KURLAR!$C$9,IF(G198="EUR",KURLAR!$C$10,0))))</x:f>
      </x:c>
      <x:c r="L198" s="68" t="str">
        <x:f>IF(B198="","",I198*K198)</x:f>
      </x:c>
      <x:c r="M198" s="46"/>
      <x:c r="N198" s="52" t="str">
        <x:f>IF(B198="","",IF(OR(M198="Ödendi",M198="İptal"),"Hayır","Evet"))</x:f>
      </x:c>
    </x:row>
    <x:row r="199">
      <x:c r="B199" s="46"/>
      <x:c r="C199" s="46"/>
      <x:c r="D199" s="112"/>
      <x:c r="E199" s="112"/>
      <x:c r="F199" s="92"/>
      <x:c r="G199" s="92"/>
      <x:c r="H199" s="92"/>
      <x:c r="I199" s="93" t="str">
        <x:f>IF(B199="","",MAX(0,F199-H199))</x:f>
      </x:c>
      <x:c r="J199" s="46"/>
      <x:c r="K199" s="100" t="str">
        <x:f>IF(B199="","",IF(G199="TL",1,IF(G199="USD",KURLAR!$C$9,IF(G199="EUR",KURLAR!$C$10,0))))</x:f>
      </x:c>
      <x:c r="L199" s="68" t="str">
        <x:f>IF(B199="","",I199*K199)</x:f>
      </x:c>
      <x:c r="M199" s="46"/>
      <x:c r="N199" s="52" t="str">
        <x:f>IF(B199="","",IF(OR(M199="Ödendi",M199="İptal"),"Hayır","Evet"))</x:f>
      </x:c>
    </x:row>
    <x:row r="200">
      <x:c r="B200" s="46"/>
      <x:c r="C200" s="46"/>
      <x:c r="D200" s="112"/>
      <x:c r="E200" s="112"/>
      <x:c r="F200" s="92"/>
      <x:c r="G200" s="92"/>
      <x:c r="H200" s="92"/>
      <x:c r="I200" s="93" t="str">
        <x:f>IF(B200="","",MAX(0,F200-H200))</x:f>
      </x:c>
      <x:c r="J200" s="46"/>
      <x:c r="K200" s="100" t="str">
        <x:f>IF(B200="","",IF(G200="TL",1,IF(G200="USD",KURLAR!$C$9,IF(G200="EUR",KURLAR!$C$10,0))))</x:f>
      </x:c>
      <x:c r="L200" s="68" t="str">
        <x:f>IF(B200="","",I200*K200)</x:f>
      </x:c>
      <x:c r="M200" s="46"/>
      <x:c r="N200" s="52" t="str">
        <x:f>IF(B200="","",IF(OR(M200="Ödendi",M200="İptal"),"Hayır","Evet"))</x:f>
      </x:c>
    </x:row>
    <x:row r="201">
      <x:c r="B201" s="46"/>
      <x:c r="C201" s="46"/>
      <x:c r="D201" s="112"/>
      <x:c r="E201" s="112"/>
      <x:c r="F201" s="92"/>
      <x:c r="G201" s="92"/>
      <x:c r="H201" s="92"/>
      <x:c r="I201" s="93" t="str">
        <x:f>IF(B201="","",MAX(0,F201-H201))</x:f>
      </x:c>
      <x:c r="J201" s="46"/>
      <x:c r="K201" s="100" t="str">
        <x:f>IF(B201="","",IF(G201="TL",1,IF(G201="USD",KURLAR!$C$9,IF(G201="EUR",KURLAR!$C$10,0))))</x:f>
      </x:c>
      <x:c r="L201" s="68" t="str">
        <x:f>IF(B201="","",I201*K201)</x:f>
      </x:c>
      <x:c r="M201" s="46"/>
      <x:c r="N201" s="52" t="str">
        <x:f>IF(B201="","",IF(OR(M201="Ödendi",M201="İptal"),"Hayır","Evet"))</x:f>
      </x:c>
    </x:row>
    <x:row r="202">
      <x:c r="B202" s="46"/>
      <x:c r="C202" s="46"/>
      <x:c r="D202" s="112"/>
      <x:c r="E202" s="112"/>
      <x:c r="F202" s="92"/>
      <x:c r="G202" s="92"/>
      <x:c r="H202" s="92"/>
      <x:c r="I202" s="93" t="str">
        <x:f>IF(B202="","",MAX(0,F202-H202))</x:f>
      </x:c>
      <x:c r="J202" s="46"/>
      <x:c r="K202" s="100" t="str">
        <x:f>IF(B202="","",IF(G202="TL",1,IF(G202="USD",KURLAR!$C$9,IF(G202="EUR",KURLAR!$C$10,0))))</x:f>
      </x:c>
      <x:c r="L202" s="68" t="str">
        <x:f>IF(B202="","",I202*K202)</x:f>
      </x:c>
      <x:c r="M202" s="46"/>
      <x:c r="N202" s="52" t="str">
        <x:f>IF(B202="","",IF(OR(M202="Ödendi",M202="İptal"),"Hayır","Evet"))</x:f>
      </x:c>
    </x:row>
    <x:row r="203">
      <x:c r="B203" s="46"/>
      <x:c r="C203" s="46"/>
      <x:c r="D203" s="112"/>
      <x:c r="E203" s="112"/>
      <x:c r="F203" s="92"/>
      <x:c r="G203" s="92"/>
      <x:c r="H203" s="92"/>
      <x:c r="I203" s="93" t="str">
        <x:f>IF(B203="","",MAX(0,F203-H203))</x:f>
      </x:c>
      <x:c r="J203" s="46"/>
      <x:c r="K203" s="100" t="str">
        <x:f>IF(B203="","",IF(G203="TL",1,IF(G203="USD",KURLAR!$C$9,IF(G203="EUR",KURLAR!$C$10,0))))</x:f>
      </x:c>
      <x:c r="L203" s="68" t="str">
        <x:f>IF(B203="","",I203*K203)</x:f>
      </x:c>
      <x:c r="M203" s="46"/>
      <x:c r="N203" s="52" t="str">
        <x:f>IF(B203="","",IF(OR(M203="Ödendi",M203="İptal"),"Hayır","Evet"))</x:f>
      </x:c>
    </x:row>
    <x:row r="204">
      <x:c r="B204" s="46"/>
      <x:c r="C204" s="46"/>
      <x:c r="D204" s="112"/>
      <x:c r="E204" s="112"/>
      <x:c r="F204" s="92"/>
      <x:c r="G204" s="92"/>
      <x:c r="H204" s="92"/>
      <x:c r="I204" s="93" t="str">
        <x:f>IF(B204="","",MAX(0,F204-H204))</x:f>
      </x:c>
      <x:c r="J204" s="46"/>
      <x:c r="K204" s="100" t="str">
        <x:f>IF(B204="","",IF(G204="TL",1,IF(G204="USD",KURLAR!$C$9,IF(G204="EUR",KURLAR!$C$10,0))))</x:f>
      </x:c>
      <x:c r="L204" s="68" t="str">
        <x:f>IF(B204="","",I204*K204)</x:f>
      </x:c>
      <x:c r="M204" s="46"/>
      <x:c r="N204" s="52" t="str">
        <x:f>IF(B204="","",IF(OR(M204="Ödendi",M204="İptal"),"Hayır","Evet"))</x:f>
      </x:c>
    </x:row>
    <x:row r="205">
      <x:c r="B205" s="46"/>
      <x:c r="C205" s="46"/>
      <x:c r="D205" s="112"/>
      <x:c r="E205" s="112"/>
      <x:c r="F205" s="92"/>
      <x:c r="G205" s="92"/>
      <x:c r="H205" s="92"/>
      <x:c r="I205" s="93" t="str">
        <x:f>IF(B205="","",MAX(0,F205-H205))</x:f>
      </x:c>
      <x:c r="J205" s="46"/>
      <x:c r="K205" s="100" t="str">
        <x:f>IF(B205="","",IF(G205="TL",1,IF(G205="USD",KURLAR!$C$9,IF(G205="EUR",KURLAR!$C$10,0))))</x:f>
      </x:c>
      <x:c r="L205" s="68" t="str">
        <x:f>IF(B205="","",I205*K205)</x:f>
      </x:c>
      <x:c r="M205" s="46"/>
      <x:c r="N205" s="52" t="str">
        <x:f>IF(B205="","",IF(OR(M205="Ödendi",M205="İptal"),"Hayır","Evet"))</x:f>
      </x:c>
    </x:row>
    <x:row r="206">
      <x:c r="B206" s="46"/>
      <x:c r="C206" s="46"/>
      <x:c r="D206" s="112"/>
      <x:c r="E206" s="112"/>
      <x:c r="F206" s="92"/>
      <x:c r="G206" s="92"/>
      <x:c r="H206" s="92"/>
      <x:c r="I206" s="93" t="str">
        <x:f>IF(B206="","",MAX(0,F206-H206))</x:f>
      </x:c>
      <x:c r="J206" s="46"/>
      <x:c r="K206" s="100" t="str">
        <x:f>IF(B206="","",IF(G206="TL",1,IF(G206="USD",KURLAR!$C$9,IF(G206="EUR",KURLAR!$C$10,0))))</x:f>
      </x:c>
      <x:c r="L206" s="68" t="str">
        <x:f>IF(B206="","",I206*K206)</x:f>
      </x:c>
      <x:c r="M206" s="46"/>
      <x:c r="N206" s="52" t="str">
        <x:f>IF(B206="","",IF(OR(M206="Ödendi",M206="İptal"),"Hayır","Evet"))</x:f>
      </x:c>
    </x:row>
    <x:row r="207">
      <x:c r="B207" s="46"/>
      <x:c r="C207" s="46"/>
      <x:c r="D207" s="112"/>
      <x:c r="E207" s="112"/>
      <x:c r="F207" s="92"/>
      <x:c r="G207" s="92"/>
      <x:c r="H207" s="92"/>
      <x:c r="I207" s="93" t="str">
        <x:f>IF(B207="","",MAX(0,F207-H207))</x:f>
      </x:c>
      <x:c r="J207" s="46"/>
      <x:c r="K207" s="100" t="str">
        <x:f>IF(B207="","",IF(G207="TL",1,IF(G207="USD",KURLAR!$C$9,IF(G207="EUR",KURLAR!$C$10,0))))</x:f>
      </x:c>
      <x:c r="L207" s="68" t="str">
        <x:f>IF(B207="","",I207*K207)</x:f>
      </x:c>
      <x:c r="M207" s="46"/>
      <x:c r="N207" s="52" t="str">
        <x:f>IF(B207="","",IF(OR(M207="Ödendi",M207="İptal"),"Hayır","Evet"))</x:f>
      </x:c>
    </x:row>
    <x:row r="208">
      <x:c r="B208" s="46"/>
      <x:c r="C208" s="46"/>
      <x:c r="D208" s="112"/>
      <x:c r="E208" s="112"/>
      <x:c r="F208" s="92"/>
      <x:c r="G208" s="92"/>
      <x:c r="H208" s="92"/>
      <x:c r="I208" s="93" t="str">
        <x:f>IF(B208="","",MAX(0,F208-H208))</x:f>
      </x:c>
      <x:c r="J208" s="46"/>
      <x:c r="K208" s="100" t="str">
        <x:f>IF(B208="","",IF(G208="TL",1,IF(G208="USD",KURLAR!$C$9,IF(G208="EUR",KURLAR!$C$10,0))))</x:f>
      </x:c>
      <x:c r="L208" s="68" t="str">
        <x:f>IF(B208="","",I208*K208)</x:f>
      </x:c>
      <x:c r="M208" s="46"/>
      <x:c r="N208" s="52" t="str">
        <x:f>IF(B208="","",IF(OR(M208="Ödendi",M208="İptal"),"Hayır","Evet"))</x:f>
      </x:c>
    </x:row>
    <x:row r="209">
      <x:c r="B209" s="46"/>
      <x:c r="C209" s="46"/>
      <x:c r="D209" s="112"/>
      <x:c r="E209" s="112"/>
      <x:c r="F209" s="92"/>
      <x:c r="G209" s="92"/>
      <x:c r="H209" s="92"/>
      <x:c r="I209" s="93" t="str">
        <x:f>IF(B209="","",MAX(0,F209-H209))</x:f>
      </x:c>
      <x:c r="J209" s="46"/>
      <x:c r="K209" s="100" t="str">
        <x:f>IF(B209="","",IF(G209="TL",1,IF(G209="USD",KURLAR!$C$9,IF(G209="EUR",KURLAR!$C$10,0))))</x:f>
      </x:c>
      <x:c r="L209" s="68" t="str">
        <x:f>IF(B209="","",I209*K209)</x:f>
      </x:c>
      <x:c r="M209" s="46"/>
      <x:c r="N209" s="52" t="str">
        <x:f>IF(B209="","",IF(OR(M209="Ödendi",M209="İptal"),"Hayır","Evet"))</x:f>
      </x:c>
    </x:row>
    <x:row r="210">
      <x:c r="B210" s="46"/>
      <x:c r="C210" s="46"/>
      <x:c r="D210" s="112"/>
      <x:c r="E210" s="112"/>
      <x:c r="F210" s="92"/>
      <x:c r="G210" s="92"/>
      <x:c r="H210" s="92"/>
      <x:c r="I210" s="93" t="str">
        <x:f>IF(B210="","",MAX(0,F210-H210))</x:f>
      </x:c>
      <x:c r="J210" s="46"/>
      <x:c r="K210" s="100" t="str">
        <x:f>IF(B210="","",IF(G210="TL",1,IF(G210="USD",KURLAR!$C$9,IF(G210="EUR",KURLAR!$C$10,0))))</x:f>
      </x:c>
      <x:c r="L210" s="68" t="str">
        <x:f>IF(B210="","",I210*K210)</x:f>
      </x:c>
      <x:c r="M210" s="46"/>
      <x:c r="N210" s="52" t="str">
        <x:f>IF(B210="","",IF(OR(M210="Ödendi",M210="İptal"),"Hayır","Evet"))</x:f>
      </x:c>
    </x:row>
    <x:row r="211">
      <x:c r="B211" s="46"/>
      <x:c r="C211" s="46"/>
      <x:c r="D211" s="112"/>
      <x:c r="E211" s="112"/>
      <x:c r="F211" s="92"/>
      <x:c r="G211" s="92"/>
      <x:c r="H211" s="92"/>
      <x:c r="I211" s="93" t="str">
        <x:f>IF(B211="","",MAX(0,F211-H211))</x:f>
      </x:c>
      <x:c r="J211" s="46"/>
      <x:c r="K211" s="100" t="str">
        <x:f>IF(B211="","",IF(G211="TL",1,IF(G211="USD",KURLAR!$C$9,IF(G211="EUR",KURLAR!$C$10,0))))</x:f>
      </x:c>
      <x:c r="L211" s="68" t="str">
        <x:f>IF(B211="","",I211*K211)</x:f>
      </x:c>
      <x:c r="M211" s="46"/>
      <x:c r="N211" s="52" t="str">
        <x:f>IF(B211="","",IF(OR(M211="Ödendi",M211="İptal"),"Hayır","Evet"))</x:f>
      </x:c>
    </x:row>
    <x:row r="212">
      <x:c r="B212" s="46"/>
      <x:c r="C212" s="46"/>
      <x:c r="D212" s="112"/>
      <x:c r="E212" s="112"/>
      <x:c r="F212" s="92"/>
      <x:c r="G212" s="92"/>
      <x:c r="H212" s="92"/>
      <x:c r="I212" s="93" t="str">
        <x:f>IF(B212="","",MAX(0,F212-H212))</x:f>
      </x:c>
      <x:c r="J212" s="46"/>
      <x:c r="K212" s="100" t="str">
        <x:f>IF(B212="","",IF(G212="TL",1,IF(G212="USD",KURLAR!$C$9,IF(G212="EUR",KURLAR!$C$10,0))))</x:f>
      </x:c>
      <x:c r="L212" s="68" t="str">
        <x:f>IF(B212="","",I212*K212)</x:f>
      </x:c>
      <x:c r="M212" s="46"/>
      <x:c r="N212" s="52" t="str">
        <x:f>IF(B212="","",IF(OR(M212="Ödendi",M212="İptal"),"Hayır","Evet"))</x:f>
      </x:c>
    </x:row>
    <x:row r="213">
      <x:c r="B213" s="46"/>
      <x:c r="C213" s="46"/>
      <x:c r="D213" s="112"/>
      <x:c r="E213" s="112"/>
      <x:c r="F213" s="92"/>
      <x:c r="G213" s="92"/>
      <x:c r="H213" s="92"/>
      <x:c r="I213" s="93" t="str">
        <x:f>IF(B213="","",MAX(0,F213-H213))</x:f>
      </x:c>
      <x:c r="J213" s="46"/>
      <x:c r="K213" s="100" t="str">
        <x:f>IF(B213="","",IF(G213="TL",1,IF(G213="USD",KURLAR!$C$9,IF(G213="EUR",KURLAR!$C$10,0))))</x:f>
      </x:c>
      <x:c r="L213" s="68" t="str">
        <x:f>IF(B213="","",I213*K213)</x:f>
      </x:c>
      <x:c r="M213" s="46"/>
      <x:c r="N213" s="52" t="str">
        <x:f>IF(B213="","",IF(OR(M213="Ödendi",M213="İptal"),"Hayır","Evet"))</x:f>
      </x:c>
    </x:row>
    <x:row r="214">
      <x:c r="B214" s="46"/>
      <x:c r="C214" s="46"/>
      <x:c r="D214" s="112"/>
      <x:c r="E214" s="112"/>
      <x:c r="F214" s="92"/>
      <x:c r="G214" s="92"/>
      <x:c r="H214" s="92"/>
      <x:c r="I214" s="93" t="str">
        <x:f>IF(B214="","",MAX(0,F214-H214))</x:f>
      </x:c>
      <x:c r="J214" s="46"/>
      <x:c r="K214" s="100" t="str">
        <x:f>IF(B214="","",IF(G214="TL",1,IF(G214="USD",KURLAR!$C$9,IF(G214="EUR",KURLAR!$C$10,0))))</x:f>
      </x:c>
      <x:c r="L214" s="68" t="str">
        <x:f>IF(B214="","",I214*K214)</x:f>
      </x:c>
      <x:c r="M214" s="46"/>
      <x:c r="N214" s="52" t="str">
        <x:f>IF(B214="","",IF(OR(M214="Ödendi",M214="İptal"),"Hayır","Evet"))</x:f>
      </x:c>
    </x:row>
    <x:row r="215">
      <x:c r="B215" s="46"/>
      <x:c r="C215" s="46"/>
      <x:c r="D215" s="112"/>
      <x:c r="E215" s="112"/>
      <x:c r="F215" s="92"/>
      <x:c r="G215" s="92"/>
      <x:c r="H215" s="92"/>
      <x:c r="I215" s="93" t="str">
        <x:f>IF(B215="","",MAX(0,F215-H215))</x:f>
      </x:c>
      <x:c r="J215" s="46"/>
      <x:c r="K215" s="100" t="str">
        <x:f>IF(B215="","",IF(G215="TL",1,IF(G215="USD",KURLAR!$C$9,IF(G215="EUR",KURLAR!$C$10,0))))</x:f>
      </x:c>
      <x:c r="L215" s="68" t="str">
        <x:f>IF(B215="","",I215*K215)</x:f>
      </x:c>
      <x:c r="M215" s="46"/>
      <x:c r="N215" s="52" t="str">
        <x:f>IF(B215="","",IF(OR(M215="Ödendi",M215="İptal"),"Hayır","Evet"))</x:f>
      </x:c>
    </x:row>
    <x:row r="216">
      <x:c r="B216" s="46"/>
      <x:c r="C216" s="46"/>
      <x:c r="D216" s="112"/>
      <x:c r="E216" s="112"/>
      <x:c r="F216" s="92"/>
      <x:c r="G216" s="92"/>
      <x:c r="H216" s="92"/>
      <x:c r="I216" s="93" t="str">
        <x:f>IF(B216="","",MAX(0,F216-H216))</x:f>
      </x:c>
      <x:c r="J216" s="46"/>
      <x:c r="K216" s="100" t="str">
        <x:f>IF(B216="","",IF(G216="TL",1,IF(G216="USD",KURLAR!$C$9,IF(G216="EUR",KURLAR!$C$10,0))))</x:f>
      </x:c>
      <x:c r="L216" s="68" t="str">
        <x:f>IF(B216="","",I216*K216)</x:f>
      </x:c>
      <x:c r="M216" s="46"/>
      <x:c r="N216" s="52" t="str">
        <x:f>IF(B216="","",IF(OR(M216="Ödendi",M216="İptal"),"Hayır","Evet"))</x:f>
      </x:c>
    </x:row>
    <x:row r="217">
      <x:c r="B217" s="46"/>
      <x:c r="C217" s="46"/>
      <x:c r="D217" s="112"/>
      <x:c r="E217" s="112"/>
      <x:c r="F217" s="92"/>
      <x:c r="G217" s="92"/>
      <x:c r="H217" s="92"/>
      <x:c r="I217" s="93" t="str">
        <x:f>IF(B217="","",MAX(0,F217-H217))</x:f>
      </x:c>
      <x:c r="J217" s="46"/>
      <x:c r="K217" s="100" t="str">
        <x:f>IF(B217="","",IF(G217="TL",1,IF(G217="USD",KURLAR!$C$9,IF(G217="EUR",KURLAR!$C$10,0))))</x:f>
      </x:c>
      <x:c r="L217" s="68" t="str">
        <x:f>IF(B217="","",I217*K217)</x:f>
      </x:c>
      <x:c r="M217" s="46"/>
      <x:c r="N217" s="52" t="str">
        <x:f>IF(B217="","",IF(OR(M217="Ödendi",M217="İptal"),"Hayır","Evet"))</x:f>
      </x:c>
    </x:row>
    <x:row r="218">
      <x:c r="B218" s="46"/>
      <x:c r="C218" s="46"/>
      <x:c r="D218" s="112"/>
      <x:c r="E218" s="112"/>
      <x:c r="F218" s="92"/>
      <x:c r="G218" s="92"/>
      <x:c r="H218" s="92"/>
      <x:c r="I218" s="93" t="str">
        <x:f>IF(B218="","",MAX(0,F218-H218))</x:f>
      </x:c>
      <x:c r="J218" s="46"/>
      <x:c r="K218" s="100" t="str">
        <x:f>IF(B218="","",IF(G218="TL",1,IF(G218="USD",KURLAR!$C$9,IF(G218="EUR",KURLAR!$C$10,0))))</x:f>
      </x:c>
      <x:c r="L218" s="68" t="str">
        <x:f>IF(B218="","",I218*K218)</x:f>
      </x:c>
      <x:c r="M218" s="46"/>
      <x:c r="N218" s="52" t="str">
        <x:f>IF(B218="","",IF(OR(M218="Ödendi",M218="İptal"),"Hayır","Evet"))</x:f>
      </x:c>
    </x:row>
    <x:row r="219">
      <x:c r="B219" s="46"/>
      <x:c r="C219" s="46"/>
      <x:c r="D219" s="112"/>
      <x:c r="E219" s="112"/>
      <x:c r="F219" s="92"/>
      <x:c r="G219" s="92"/>
      <x:c r="H219" s="92"/>
      <x:c r="I219" s="93" t="str">
        <x:f>IF(B219="","",MAX(0,F219-H219))</x:f>
      </x:c>
      <x:c r="J219" s="46"/>
      <x:c r="K219" s="100" t="str">
        <x:f>IF(B219="","",IF(G219="TL",1,IF(G219="USD",KURLAR!$C$9,IF(G219="EUR",KURLAR!$C$10,0))))</x:f>
      </x:c>
      <x:c r="L219" s="68" t="str">
        <x:f>IF(B219="","",I219*K219)</x:f>
      </x:c>
      <x:c r="M219" s="46"/>
      <x:c r="N219" s="52" t="str">
        <x:f>IF(B219="","",IF(OR(M219="Ödendi",M219="İptal"),"Hayır","Evet"))</x:f>
      </x:c>
    </x:row>
    <x:row r="220">
      <x:c r="B220" s="46"/>
      <x:c r="C220" s="46"/>
      <x:c r="D220" s="112"/>
      <x:c r="E220" s="112"/>
      <x:c r="F220" s="92"/>
      <x:c r="G220" s="92"/>
      <x:c r="H220" s="92"/>
      <x:c r="I220" s="93" t="str">
        <x:f>IF(B220="","",MAX(0,F220-H220))</x:f>
      </x:c>
      <x:c r="J220" s="46"/>
      <x:c r="K220" s="100" t="str">
        <x:f>IF(B220="","",IF(G220="TL",1,IF(G220="USD",KURLAR!$C$9,IF(G220="EUR",KURLAR!$C$10,0))))</x:f>
      </x:c>
      <x:c r="L220" s="68" t="str">
        <x:f>IF(B220="","",I220*K220)</x:f>
      </x:c>
      <x:c r="M220" s="46"/>
      <x:c r="N220" s="52" t="str">
        <x:f>IF(B220="","",IF(OR(M220="Ödendi",M220="İptal"),"Hayır","Evet"))</x:f>
      </x:c>
    </x:row>
    <x:row r="221">
      <x:c r="B221" s="46"/>
      <x:c r="C221" s="46"/>
      <x:c r="D221" s="112"/>
      <x:c r="E221" s="112"/>
      <x:c r="F221" s="92"/>
      <x:c r="G221" s="92"/>
      <x:c r="H221" s="92"/>
      <x:c r="I221" s="93" t="str">
        <x:f>IF(B221="","",MAX(0,F221-H221))</x:f>
      </x:c>
      <x:c r="J221" s="46"/>
      <x:c r="K221" s="100" t="str">
        <x:f>IF(B221="","",IF(G221="TL",1,IF(G221="USD",KURLAR!$C$9,IF(G221="EUR",KURLAR!$C$10,0))))</x:f>
      </x:c>
      <x:c r="L221" s="68" t="str">
        <x:f>IF(B221="","",I221*K221)</x:f>
      </x:c>
      <x:c r="M221" s="46"/>
      <x:c r="N221" s="52" t="str">
        <x:f>IF(B221="","",IF(OR(M221="Ödendi",M221="İptal"),"Hayır","Evet"))</x:f>
      </x:c>
    </x:row>
    <x:row r="222">
      <x:c r="B222" s="46"/>
      <x:c r="C222" s="46"/>
      <x:c r="D222" s="112"/>
      <x:c r="E222" s="112"/>
      <x:c r="F222" s="92"/>
      <x:c r="G222" s="92"/>
      <x:c r="H222" s="92"/>
      <x:c r="I222" s="93" t="str">
        <x:f>IF(B222="","",MAX(0,F222-H222))</x:f>
      </x:c>
      <x:c r="J222" s="46"/>
      <x:c r="K222" s="100" t="str">
        <x:f>IF(B222="","",IF(G222="TL",1,IF(G222="USD",KURLAR!$C$9,IF(G222="EUR",KURLAR!$C$10,0))))</x:f>
      </x:c>
      <x:c r="L222" s="68" t="str">
        <x:f>IF(B222="","",I222*K222)</x:f>
      </x:c>
      <x:c r="M222" s="46"/>
      <x:c r="N222" s="52" t="str">
        <x:f>IF(B222="","",IF(OR(M222="Ödendi",M222="İptal"),"Hayır","Evet"))</x:f>
      </x:c>
    </x:row>
    <x:row r="223">
      <x:c r="B223" s="46"/>
      <x:c r="C223" s="46"/>
      <x:c r="D223" s="112"/>
      <x:c r="E223" s="112"/>
      <x:c r="F223" s="92"/>
      <x:c r="G223" s="92"/>
      <x:c r="H223" s="92"/>
      <x:c r="I223" s="93" t="str">
        <x:f>IF(B223="","",MAX(0,F223-H223))</x:f>
      </x:c>
      <x:c r="J223" s="46"/>
      <x:c r="K223" s="100" t="str">
        <x:f>IF(B223="","",IF(G223="TL",1,IF(G223="USD",KURLAR!$C$9,IF(G223="EUR",KURLAR!$C$10,0))))</x:f>
      </x:c>
      <x:c r="L223" s="68" t="str">
        <x:f>IF(B223="","",I223*K223)</x:f>
      </x:c>
      <x:c r="M223" s="46"/>
      <x:c r="N223" s="52" t="str">
        <x:f>IF(B223="","",IF(OR(M223="Ödendi",M223="İptal"),"Hayır","Evet"))</x:f>
      </x:c>
    </x:row>
    <x:row r="224">
      <x:c r="B224" s="46"/>
      <x:c r="C224" s="46"/>
      <x:c r="D224" s="112"/>
      <x:c r="E224" s="112"/>
      <x:c r="F224" s="92"/>
      <x:c r="G224" s="92"/>
      <x:c r="H224" s="92"/>
      <x:c r="I224" s="93" t="str">
        <x:f>IF(B224="","",MAX(0,F224-H224))</x:f>
      </x:c>
      <x:c r="J224" s="46"/>
      <x:c r="K224" s="100" t="str">
        <x:f>IF(B224="","",IF(G224="TL",1,IF(G224="USD",KURLAR!$C$9,IF(G224="EUR",KURLAR!$C$10,0))))</x:f>
      </x:c>
      <x:c r="L224" s="68" t="str">
        <x:f>IF(B224="","",I224*K224)</x:f>
      </x:c>
      <x:c r="M224" s="46"/>
      <x:c r="N224" s="52" t="str">
        <x:f>IF(B224="","",IF(OR(M224="Ödendi",M224="İptal"),"Hayır","Evet"))</x:f>
      </x:c>
    </x:row>
    <x:row r="225">
      <x:c r="B225" s="46"/>
      <x:c r="C225" s="46"/>
      <x:c r="D225" s="112"/>
      <x:c r="E225" s="112"/>
      <x:c r="F225" s="92"/>
      <x:c r="G225" s="92"/>
      <x:c r="H225" s="92"/>
      <x:c r="I225" s="93" t="str">
        <x:f>IF(B225="","",MAX(0,F225-H225))</x:f>
      </x:c>
      <x:c r="J225" s="46"/>
      <x:c r="K225" s="100" t="str">
        <x:f>IF(B225="","",IF(G225="TL",1,IF(G225="USD",KURLAR!$C$9,IF(G225="EUR",KURLAR!$C$10,0))))</x:f>
      </x:c>
      <x:c r="L225" s="68" t="str">
        <x:f>IF(B225="","",I225*K225)</x:f>
      </x:c>
      <x:c r="M225" s="46"/>
      <x:c r="N225" s="52" t="str">
        <x:f>IF(B225="","",IF(OR(M225="Ödendi",M225="İptal"),"Hayır","Evet"))</x:f>
      </x:c>
    </x:row>
    <x:row r="226">
      <x:c r="B226" s="46"/>
      <x:c r="C226" s="46"/>
      <x:c r="D226" s="112"/>
      <x:c r="E226" s="112"/>
      <x:c r="F226" s="92"/>
      <x:c r="G226" s="92"/>
      <x:c r="H226" s="92"/>
      <x:c r="I226" s="93" t="str">
        <x:f>IF(B226="","",MAX(0,F226-H226))</x:f>
      </x:c>
      <x:c r="J226" s="46"/>
      <x:c r="K226" s="100" t="str">
        <x:f>IF(B226="","",IF(G226="TL",1,IF(G226="USD",KURLAR!$C$9,IF(G226="EUR",KURLAR!$C$10,0))))</x:f>
      </x:c>
      <x:c r="L226" s="68" t="str">
        <x:f>IF(B226="","",I226*K226)</x:f>
      </x:c>
      <x:c r="M226" s="46"/>
      <x:c r="N226" s="52" t="str">
        <x:f>IF(B226="","",IF(OR(M226="Ödendi",M226="İptal"),"Hayır","Evet"))</x:f>
      </x:c>
    </x:row>
    <x:row r="227">
      <x:c r="B227" s="46"/>
      <x:c r="C227" s="46"/>
      <x:c r="D227" s="112"/>
      <x:c r="E227" s="112"/>
      <x:c r="F227" s="92"/>
      <x:c r="G227" s="92"/>
      <x:c r="H227" s="92"/>
      <x:c r="I227" s="93" t="str">
        <x:f>IF(B227="","",MAX(0,F227-H227))</x:f>
      </x:c>
      <x:c r="J227" s="46"/>
      <x:c r="K227" s="100" t="str">
        <x:f>IF(B227="","",IF(G227="TL",1,IF(G227="USD",KURLAR!$C$9,IF(G227="EUR",KURLAR!$C$10,0))))</x:f>
      </x:c>
      <x:c r="L227" s="68" t="str">
        <x:f>IF(B227="","",I227*K227)</x:f>
      </x:c>
      <x:c r="M227" s="46"/>
      <x:c r="N227" s="52" t="str">
        <x:f>IF(B227="","",IF(OR(M227="Ödendi",M227="İptal"),"Hayır","Evet"))</x:f>
      </x:c>
    </x:row>
    <x:row r="228">
      <x:c r="B228" s="46"/>
      <x:c r="C228" s="46"/>
      <x:c r="D228" s="112"/>
      <x:c r="E228" s="112"/>
      <x:c r="F228" s="92"/>
      <x:c r="G228" s="92"/>
      <x:c r="H228" s="92"/>
      <x:c r="I228" s="93" t="str">
        <x:f>IF(B228="","",MAX(0,F228-H228))</x:f>
      </x:c>
      <x:c r="J228" s="46"/>
      <x:c r="K228" s="100" t="str">
        <x:f>IF(B228="","",IF(G228="TL",1,IF(G228="USD",KURLAR!$C$9,IF(G228="EUR",KURLAR!$C$10,0))))</x:f>
      </x:c>
      <x:c r="L228" s="68" t="str">
        <x:f>IF(B228="","",I228*K228)</x:f>
      </x:c>
      <x:c r="M228" s="46"/>
      <x:c r="N228" s="52" t="str">
        <x:f>IF(B228="","",IF(OR(M228="Ödendi",M228="İptal"),"Hayır","Evet"))</x:f>
      </x:c>
    </x:row>
    <x:row r="229">
      <x:c r="B229" s="46"/>
      <x:c r="C229" s="46"/>
      <x:c r="D229" s="112"/>
      <x:c r="E229" s="112"/>
      <x:c r="F229" s="92"/>
      <x:c r="G229" s="92"/>
      <x:c r="H229" s="92"/>
      <x:c r="I229" s="93" t="str">
        <x:f>IF(B229="","",MAX(0,F229-H229))</x:f>
      </x:c>
      <x:c r="J229" s="46"/>
      <x:c r="K229" s="100" t="str">
        <x:f>IF(B229="","",IF(G229="TL",1,IF(G229="USD",KURLAR!$C$9,IF(G229="EUR",KURLAR!$C$10,0))))</x:f>
      </x:c>
      <x:c r="L229" s="68" t="str">
        <x:f>IF(B229="","",I229*K229)</x:f>
      </x:c>
      <x:c r="M229" s="46"/>
      <x:c r="N229" s="52" t="str">
        <x:f>IF(B229="","",IF(OR(M229="Ödendi",M229="İptal"),"Hayır","Evet"))</x:f>
      </x:c>
    </x:row>
    <x:row r="230">
      <x:c r="B230" s="46"/>
      <x:c r="C230" s="46"/>
      <x:c r="D230" s="112"/>
      <x:c r="E230" s="112"/>
      <x:c r="F230" s="92"/>
      <x:c r="G230" s="92"/>
      <x:c r="H230" s="92"/>
      <x:c r="I230" s="93" t="str">
        <x:f>IF(B230="","",MAX(0,F230-H230))</x:f>
      </x:c>
      <x:c r="J230" s="46"/>
      <x:c r="K230" s="100" t="str">
        <x:f>IF(B230="","",IF(G230="TL",1,IF(G230="USD",KURLAR!$C$9,IF(G230="EUR",KURLAR!$C$10,0))))</x:f>
      </x:c>
      <x:c r="L230" s="68" t="str">
        <x:f>IF(B230="","",I230*K230)</x:f>
      </x:c>
      <x:c r="M230" s="46"/>
      <x:c r="N230" s="52" t="str">
        <x:f>IF(B230="","",IF(OR(M230="Ödendi",M230="İptal"),"Hayır","Evet"))</x:f>
      </x:c>
    </x:row>
    <x:row r="231">
      <x:c r="B231" s="46"/>
      <x:c r="C231" s="46"/>
      <x:c r="D231" s="112"/>
      <x:c r="E231" s="112"/>
      <x:c r="F231" s="92"/>
      <x:c r="G231" s="92"/>
      <x:c r="H231" s="92"/>
      <x:c r="I231" s="93" t="str">
        <x:f>IF(B231="","",MAX(0,F231-H231))</x:f>
      </x:c>
      <x:c r="J231" s="46"/>
      <x:c r="K231" s="100" t="str">
        <x:f>IF(B231="","",IF(G231="TL",1,IF(G231="USD",KURLAR!$C$9,IF(G231="EUR",KURLAR!$C$10,0))))</x:f>
      </x:c>
      <x:c r="L231" s="68" t="str">
        <x:f>IF(B231="","",I231*K231)</x:f>
      </x:c>
      <x:c r="M231" s="46"/>
      <x:c r="N231" s="52" t="str">
        <x:f>IF(B231="","",IF(OR(M231="Ödendi",M231="İptal"),"Hayır","Evet"))</x:f>
      </x:c>
    </x:row>
    <x:row r="232">
      <x:c r="B232" s="46"/>
      <x:c r="C232" s="46"/>
      <x:c r="D232" s="112"/>
      <x:c r="E232" s="112"/>
      <x:c r="F232" s="92"/>
      <x:c r="G232" s="92"/>
      <x:c r="H232" s="92"/>
      <x:c r="I232" s="93" t="str">
        <x:f>IF(B232="","",MAX(0,F232-H232))</x:f>
      </x:c>
      <x:c r="J232" s="46"/>
      <x:c r="K232" s="100" t="str">
        <x:f>IF(B232="","",IF(G232="TL",1,IF(G232="USD",KURLAR!$C$9,IF(G232="EUR",KURLAR!$C$10,0))))</x:f>
      </x:c>
      <x:c r="L232" s="68" t="str">
        <x:f>IF(B232="","",I232*K232)</x:f>
      </x:c>
      <x:c r="M232" s="46"/>
      <x:c r="N232" s="52" t="str">
        <x:f>IF(B232="","",IF(OR(M232="Ödendi",M232="İptal"),"Hayır","Evet"))</x:f>
      </x:c>
    </x:row>
    <x:row r="233">
      <x:c r="B233" s="46"/>
      <x:c r="C233" s="46"/>
      <x:c r="D233" s="112"/>
      <x:c r="E233" s="112"/>
      <x:c r="F233" s="92"/>
      <x:c r="G233" s="92"/>
      <x:c r="H233" s="92"/>
      <x:c r="I233" s="93" t="str">
        <x:f>IF(B233="","",MAX(0,F233-H233))</x:f>
      </x:c>
      <x:c r="J233" s="46"/>
      <x:c r="K233" s="100" t="str">
        <x:f>IF(B233="","",IF(G233="TL",1,IF(G233="USD",KURLAR!$C$9,IF(G233="EUR",KURLAR!$C$10,0))))</x:f>
      </x:c>
      <x:c r="L233" s="68" t="str">
        <x:f>IF(B233="","",I233*K233)</x:f>
      </x:c>
      <x:c r="M233" s="46"/>
      <x:c r="N233" s="52" t="str">
        <x:f>IF(B233="","",IF(OR(M233="Ödendi",M233="İptal"),"Hayır","Evet"))</x:f>
      </x:c>
    </x:row>
    <x:row r="234">
      <x:c r="B234" s="46"/>
      <x:c r="C234" s="46"/>
      <x:c r="D234" s="112"/>
      <x:c r="E234" s="112"/>
      <x:c r="F234" s="92"/>
      <x:c r="G234" s="92"/>
      <x:c r="H234" s="92"/>
      <x:c r="I234" s="93" t="str">
        <x:f>IF(B234="","",MAX(0,F234-H234))</x:f>
      </x:c>
      <x:c r="J234" s="46"/>
      <x:c r="K234" s="100" t="str">
        <x:f>IF(B234="","",IF(G234="TL",1,IF(G234="USD",KURLAR!$C$9,IF(G234="EUR",KURLAR!$C$10,0))))</x:f>
      </x:c>
      <x:c r="L234" s="68" t="str">
        <x:f>IF(B234="","",I234*K234)</x:f>
      </x:c>
      <x:c r="M234" s="46"/>
      <x:c r="N234" s="52" t="str">
        <x:f>IF(B234="","",IF(OR(M234="Ödendi",M234="İptal"),"Hayır","Evet"))</x:f>
      </x:c>
    </x:row>
    <x:row r="235">
      <x:c r="B235" s="46"/>
      <x:c r="C235" s="46"/>
      <x:c r="D235" s="112"/>
      <x:c r="E235" s="112"/>
      <x:c r="F235" s="92"/>
      <x:c r="G235" s="92"/>
      <x:c r="H235" s="92"/>
      <x:c r="I235" s="93" t="str">
        <x:f>IF(B235="","",MAX(0,F235-H235))</x:f>
      </x:c>
      <x:c r="J235" s="46"/>
      <x:c r="K235" s="100" t="str">
        <x:f>IF(B235="","",IF(G235="TL",1,IF(G235="USD",KURLAR!$C$9,IF(G235="EUR",KURLAR!$C$10,0))))</x:f>
      </x:c>
      <x:c r="L235" s="68" t="str">
        <x:f>IF(B235="","",I235*K235)</x:f>
      </x:c>
      <x:c r="M235" s="46"/>
      <x:c r="N235" s="52" t="str">
        <x:f>IF(B235="","",IF(OR(M235="Ödendi",M235="İptal"),"Hayır","Evet"))</x:f>
      </x:c>
    </x:row>
    <x:row r="236">
      <x:c r="B236" s="46"/>
      <x:c r="C236" s="46"/>
      <x:c r="D236" s="112"/>
      <x:c r="E236" s="112"/>
      <x:c r="F236" s="92"/>
      <x:c r="G236" s="92"/>
      <x:c r="H236" s="92"/>
      <x:c r="I236" s="93" t="str">
        <x:f>IF(B236="","",MAX(0,F236-H236))</x:f>
      </x:c>
      <x:c r="J236" s="46"/>
      <x:c r="K236" s="100" t="str">
        <x:f>IF(B236="","",IF(G236="TL",1,IF(G236="USD",KURLAR!$C$9,IF(G236="EUR",KURLAR!$C$10,0))))</x:f>
      </x:c>
      <x:c r="L236" s="68" t="str">
        <x:f>IF(B236="","",I236*K236)</x:f>
      </x:c>
      <x:c r="M236" s="46"/>
      <x:c r="N236" s="52" t="str">
        <x:f>IF(B236="","",IF(OR(M236="Ödendi",M236="İptal"),"Hayır","Evet"))</x:f>
      </x:c>
    </x:row>
    <x:row r="237">
      <x:c r="B237" s="46"/>
      <x:c r="C237" s="46"/>
      <x:c r="D237" s="112"/>
      <x:c r="E237" s="112"/>
      <x:c r="F237" s="92"/>
      <x:c r="G237" s="92"/>
      <x:c r="H237" s="92"/>
      <x:c r="I237" s="93" t="str">
        <x:f>IF(B237="","",MAX(0,F237-H237))</x:f>
      </x:c>
      <x:c r="J237" s="46"/>
      <x:c r="K237" s="100" t="str">
        <x:f>IF(B237="","",IF(G237="TL",1,IF(G237="USD",KURLAR!$C$9,IF(G237="EUR",KURLAR!$C$10,0))))</x:f>
      </x:c>
      <x:c r="L237" s="68" t="str">
        <x:f>IF(B237="","",I237*K237)</x:f>
      </x:c>
      <x:c r="M237" s="46"/>
      <x:c r="N237" s="52" t="str">
        <x:f>IF(B237="","",IF(OR(M237="Ödendi",M237="İptal"),"Hayır","Evet"))</x:f>
      </x:c>
    </x:row>
    <x:row r="238">
      <x:c r="B238" s="46"/>
      <x:c r="C238" s="46"/>
      <x:c r="D238" s="112"/>
      <x:c r="E238" s="112"/>
      <x:c r="F238" s="92"/>
      <x:c r="G238" s="92"/>
      <x:c r="H238" s="92"/>
      <x:c r="I238" s="93" t="str">
        <x:f>IF(B238="","",MAX(0,F238-H238))</x:f>
      </x:c>
      <x:c r="J238" s="46"/>
      <x:c r="K238" s="100" t="str">
        <x:f>IF(B238="","",IF(G238="TL",1,IF(G238="USD",KURLAR!$C$9,IF(G238="EUR",KURLAR!$C$10,0))))</x:f>
      </x:c>
      <x:c r="L238" s="68" t="str">
        <x:f>IF(B238="","",I238*K238)</x:f>
      </x:c>
      <x:c r="M238" s="46"/>
      <x:c r="N238" s="52" t="str">
        <x:f>IF(B238="","",IF(OR(M238="Ödendi",M238="İptal"),"Hayır","Evet"))</x:f>
      </x:c>
    </x:row>
    <x:row r="239">
      <x:c r="B239" s="46"/>
      <x:c r="C239" s="46"/>
      <x:c r="D239" s="112"/>
      <x:c r="E239" s="112"/>
      <x:c r="F239" s="92"/>
      <x:c r="G239" s="92"/>
      <x:c r="H239" s="92"/>
      <x:c r="I239" s="93" t="str">
        <x:f>IF(B239="","",MAX(0,F239-H239))</x:f>
      </x:c>
      <x:c r="J239" s="46"/>
      <x:c r="K239" s="100" t="str">
        <x:f>IF(B239="","",IF(G239="TL",1,IF(G239="USD",KURLAR!$C$9,IF(G239="EUR",KURLAR!$C$10,0))))</x:f>
      </x:c>
      <x:c r="L239" s="68" t="str">
        <x:f>IF(B239="","",I239*K239)</x:f>
      </x:c>
      <x:c r="M239" s="46"/>
      <x:c r="N239" s="52" t="str">
        <x:f>IF(B239="","",IF(OR(M239="Ödendi",M239="İptal"),"Hayır","Evet"))</x:f>
      </x:c>
    </x:row>
    <x:row r="240">
      <x:c r="B240" s="46"/>
      <x:c r="C240" s="46"/>
      <x:c r="D240" s="112"/>
      <x:c r="E240" s="112"/>
      <x:c r="F240" s="92"/>
      <x:c r="G240" s="92"/>
      <x:c r="H240" s="92"/>
      <x:c r="I240" s="93" t="str">
        <x:f>IF(B240="","",MAX(0,F240-H240))</x:f>
      </x:c>
      <x:c r="J240" s="46"/>
      <x:c r="K240" s="100" t="str">
        <x:f>IF(B240="","",IF(G240="TL",1,IF(G240="USD",KURLAR!$C$9,IF(G240="EUR",KURLAR!$C$10,0))))</x:f>
      </x:c>
      <x:c r="L240" s="68" t="str">
        <x:f>IF(B240="","",I240*K240)</x:f>
      </x:c>
      <x:c r="M240" s="46"/>
      <x:c r="N240" s="52" t="str">
        <x:f>IF(B240="","",IF(OR(M240="Ödendi",M240="İptal"),"Hayır","Evet"))</x:f>
      </x:c>
    </x:row>
    <x:row r="241">
      <x:c r="B241" s="46"/>
      <x:c r="C241" s="46"/>
      <x:c r="D241" s="112"/>
      <x:c r="E241" s="112"/>
      <x:c r="F241" s="92"/>
      <x:c r="G241" s="92"/>
      <x:c r="H241" s="92"/>
      <x:c r="I241" s="93" t="str">
        <x:f>IF(B241="","",MAX(0,F241-H241))</x:f>
      </x:c>
      <x:c r="J241" s="46"/>
      <x:c r="K241" s="100" t="str">
        <x:f>IF(B241="","",IF(G241="TL",1,IF(G241="USD",KURLAR!$C$9,IF(G241="EUR",KURLAR!$C$10,0))))</x:f>
      </x:c>
      <x:c r="L241" s="68" t="str">
        <x:f>IF(B241="","",I241*K241)</x:f>
      </x:c>
      <x:c r="M241" s="46"/>
      <x:c r="N241" s="52" t="str">
        <x:f>IF(B241="","",IF(OR(M241="Ödendi",M241="İptal"),"Hayır","Evet"))</x:f>
      </x:c>
    </x:row>
    <x:row r="242">
      <x:c r="B242" s="46"/>
      <x:c r="C242" s="46"/>
      <x:c r="D242" s="112"/>
      <x:c r="E242" s="112"/>
      <x:c r="F242" s="92"/>
      <x:c r="G242" s="92"/>
      <x:c r="H242" s="92"/>
      <x:c r="I242" s="93" t="str">
        <x:f>IF(B242="","",MAX(0,F242-H242))</x:f>
      </x:c>
      <x:c r="J242" s="46"/>
      <x:c r="K242" s="100" t="str">
        <x:f>IF(B242="","",IF(G242="TL",1,IF(G242="USD",KURLAR!$C$9,IF(G242="EUR",KURLAR!$C$10,0))))</x:f>
      </x:c>
      <x:c r="L242" s="68" t="str">
        <x:f>IF(B242="","",I242*K242)</x:f>
      </x:c>
      <x:c r="M242" s="46"/>
      <x:c r="N242" s="52" t="str">
        <x:f>IF(B242="","",IF(OR(M242="Ödendi",M242="İptal"),"Hayır","Evet"))</x:f>
      </x:c>
    </x:row>
    <x:row r="243">
      <x:c r="B243" s="46"/>
      <x:c r="C243" s="46"/>
      <x:c r="D243" s="112"/>
      <x:c r="E243" s="112"/>
      <x:c r="F243" s="92"/>
      <x:c r="G243" s="92"/>
      <x:c r="H243" s="92"/>
      <x:c r="I243" s="93" t="str">
        <x:f>IF(B243="","",MAX(0,F243-H243))</x:f>
      </x:c>
      <x:c r="J243" s="46"/>
      <x:c r="K243" s="100" t="str">
        <x:f>IF(B243="","",IF(G243="TL",1,IF(G243="USD",KURLAR!$C$9,IF(G243="EUR",KURLAR!$C$10,0))))</x:f>
      </x:c>
      <x:c r="L243" s="68" t="str">
        <x:f>IF(B243="","",I243*K243)</x:f>
      </x:c>
      <x:c r="M243" s="46"/>
      <x:c r="N243" s="52" t="str">
        <x:f>IF(B243="","",IF(OR(M243="Ödendi",M243="İptal"),"Hayır","Evet"))</x:f>
      </x:c>
    </x:row>
    <x:row r="244">
      <x:c r="B244" s="46"/>
      <x:c r="C244" s="46"/>
      <x:c r="D244" s="112"/>
      <x:c r="E244" s="112"/>
      <x:c r="F244" s="92"/>
      <x:c r="G244" s="92"/>
      <x:c r="H244" s="92"/>
      <x:c r="I244" s="93" t="str">
        <x:f>IF(B244="","",MAX(0,F244-H244))</x:f>
      </x:c>
      <x:c r="J244" s="46"/>
      <x:c r="K244" s="100" t="str">
        <x:f>IF(B244="","",IF(G244="TL",1,IF(G244="USD",KURLAR!$C$9,IF(G244="EUR",KURLAR!$C$10,0))))</x:f>
      </x:c>
      <x:c r="L244" s="68" t="str">
        <x:f>IF(B244="","",I244*K244)</x:f>
      </x:c>
      <x:c r="M244" s="46"/>
      <x:c r="N244" s="52" t="str">
        <x:f>IF(B244="","",IF(OR(M244="Ödendi",M244="İptal"),"Hayır","Evet"))</x:f>
      </x:c>
    </x:row>
    <x:row r="245">
      <x:c r="B245" s="46"/>
      <x:c r="C245" s="46"/>
      <x:c r="D245" s="112"/>
      <x:c r="E245" s="112"/>
      <x:c r="F245" s="92"/>
      <x:c r="G245" s="92"/>
      <x:c r="H245" s="92"/>
      <x:c r="I245" s="93" t="str">
        <x:f>IF(B245="","",MAX(0,F245-H245))</x:f>
      </x:c>
      <x:c r="J245" s="46"/>
      <x:c r="K245" s="100" t="str">
        <x:f>IF(B245="","",IF(G245="TL",1,IF(G245="USD",KURLAR!$C$9,IF(G245="EUR",KURLAR!$C$10,0))))</x:f>
      </x:c>
      <x:c r="L245" s="68" t="str">
        <x:f>IF(B245="","",I245*K245)</x:f>
      </x:c>
      <x:c r="M245" s="46"/>
      <x:c r="N245" s="52" t="str">
        <x:f>IF(B245="","",IF(OR(M245="Ödendi",M245="İptal"),"Hayır","Evet"))</x:f>
      </x:c>
    </x:row>
    <x:row r="246">
      <x:c r="B246" s="46"/>
      <x:c r="C246" s="46"/>
      <x:c r="D246" s="112"/>
      <x:c r="E246" s="112"/>
      <x:c r="F246" s="92"/>
      <x:c r="G246" s="92"/>
      <x:c r="H246" s="92"/>
      <x:c r="I246" s="93" t="str">
        <x:f>IF(B246="","",MAX(0,F246-H246))</x:f>
      </x:c>
      <x:c r="J246" s="46"/>
      <x:c r="K246" s="100" t="str">
        <x:f>IF(B246="","",IF(G246="TL",1,IF(G246="USD",KURLAR!$C$9,IF(G246="EUR",KURLAR!$C$10,0))))</x:f>
      </x:c>
      <x:c r="L246" s="68" t="str">
        <x:f>IF(B246="","",I246*K246)</x:f>
      </x:c>
      <x:c r="M246" s="46"/>
      <x:c r="N246" s="52" t="str">
        <x:f>IF(B246="","",IF(OR(M246="Ödendi",M246="İptal"),"Hayır","Evet"))</x:f>
      </x:c>
    </x:row>
    <x:row r="247">
      <x:c r="B247" s="46"/>
      <x:c r="C247" s="46"/>
      <x:c r="D247" s="112"/>
      <x:c r="E247" s="112"/>
      <x:c r="F247" s="92"/>
      <x:c r="G247" s="92"/>
      <x:c r="H247" s="92"/>
      <x:c r="I247" s="93" t="str">
        <x:f>IF(B247="","",MAX(0,F247-H247))</x:f>
      </x:c>
      <x:c r="J247" s="46"/>
      <x:c r="K247" s="100" t="str">
        <x:f>IF(B247="","",IF(G247="TL",1,IF(G247="USD",KURLAR!$C$9,IF(G247="EUR",KURLAR!$C$10,0))))</x:f>
      </x:c>
      <x:c r="L247" s="68" t="str">
        <x:f>IF(B247="","",I247*K247)</x:f>
      </x:c>
      <x:c r="M247" s="46"/>
      <x:c r="N247" s="52" t="str">
        <x:f>IF(B247="","",IF(OR(M247="Ödendi",M247="İptal"),"Hayır","Evet"))</x:f>
      </x:c>
    </x:row>
    <x:row r="248">
      <x:c r="B248" s="46"/>
      <x:c r="C248" s="46"/>
      <x:c r="D248" s="112"/>
      <x:c r="E248" s="112"/>
      <x:c r="F248" s="92"/>
      <x:c r="G248" s="92"/>
      <x:c r="H248" s="92"/>
      <x:c r="I248" s="93" t="str">
        <x:f>IF(B248="","",MAX(0,F248-H248))</x:f>
      </x:c>
      <x:c r="J248" s="46"/>
      <x:c r="K248" s="100" t="str">
        <x:f>IF(B248="","",IF(G248="TL",1,IF(G248="USD",KURLAR!$C$9,IF(G248="EUR",KURLAR!$C$10,0))))</x:f>
      </x:c>
      <x:c r="L248" s="68" t="str">
        <x:f>IF(B248="","",I248*K248)</x:f>
      </x:c>
      <x:c r="M248" s="46"/>
      <x:c r="N248" s="52" t="str">
        <x:f>IF(B248="","",IF(OR(M248="Ödendi",M248="İptal"),"Hayır","Evet"))</x:f>
      </x:c>
    </x:row>
    <x:row r="249">
      <x:c r="B249" s="46"/>
      <x:c r="C249" s="46"/>
      <x:c r="D249" s="112"/>
      <x:c r="E249" s="112"/>
      <x:c r="F249" s="92"/>
      <x:c r="G249" s="92"/>
      <x:c r="H249" s="92"/>
      <x:c r="I249" s="93" t="str">
        <x:f>IF(B249="","",MAX(0,F249-H249))</x:f>
      </x:c>
      <x:c r="J249" s="46"/>
      <x:c r="K249" s="100" t="str">
        <x:f>IF(B249="","",IF(G249="TL",1,IF(G249="USD",KURLAR!$C$9,IF(G249="EUR",KURLAR!$C$10,0))))</x:f>
      </x:c>
      <x:c r="L249" s="68" t="str">
        <x:f>IF(B249="","",I249*K249)</x:f>
      </x:c>
      <x:c r="M249" s="46"/>
      <x:c r="N249" s="52" t="str">
        <x:f>IF(B249="","",IF(OR(M249="Ödendi",M249="İptal"),"Hayır","Evet"))</x:f>
      </x:c>
    </x:row>
    <x:row r="250">
      <x:c r="B250" s="46"/>
      <x:c r="C250" s="46"/>
      <x:c r="D250" s="112"/>
      <x:c r="E250" s="112"/>
      <x:c r="F250" s="92"/>
      <x:c r="G250" s="92"/>
      <x:c r="H250" s="92"/>
      <x:c r="I250" s="93" t="str">
        <x:f>IF(B250="","",MAX(0,F250-H250))</x:f>
      </x:c>
      <x:c r="J250" s="46"/>
      <x:c r="K250" s="100" t="str">
        <x:f>IF(B250="","",IF(G250="TL",1,IF(G250="USD",KURLAR!$C$9,IF(G250="EUR",KURLAR!$C$10,0))))</x:f>
      </x:c>
      <x:c r="L250" s="68" t="str">
        <x:f>IF(B250="","",I250*K250)</x:f>
      </x:c>
      <x:c r="M250" s="46"/>
      <x:c r="N250" s="52" t="str">
        <x:f>IF(B250="","",IF(OR(M250="Ödendi",M250="İptal"),"Hayır","Evet"))</x:f>
      </x:c>
    </x:row>
    <x:row r="251">
      <x:c r="B251" s="46"/>
      <x:c r="C251" s="46"/>
      <x:c r="D251" s="112"/>
      <x:c r="E251" s="112"/>
      <x:c r="F251" s="92"/>
      <x:c r="G251" s="92"/>
      <x:c r="H251" s="92"/>
      <x:c r="I251" s="93" t="str">
        <x:f>IF(B251="","",MAX(0,F251-H251))</x:f>
      </x:c>
      <x:c r="J251" s="46"/>
      <x:c r="K251" s="100" t="str">
        <x:f>IF(B251="","",IF(G251="TL",1,IF(G251="USD",KURLAR!$C$9,IF(G251="EUR",KURLAR!$C$10,0))))</x:f>
      </x:c>
      <x:c r="L251" s="68" t="str">
        <x:f>IF(B251="","",I251*K251)</x:f>
      </x:c>
      <x:c r="M251" s="46"/>
      <x:c r="N251" s="52" t="str">
        <x:f>IF(B251="","",IF(OR(M251="Ödendi",M251="İptal"),"Hayır","Evet"))</x:f>
      </x:c>
    </x:row>
    <x:row r="252">
      <x:c r="B252" s="46"/>
      <x:c r="C252" s="46"/>
      <x:c r="D252" s="112"/>
      <x:c r="E252" s="112"/>
      <x:c r="F252" s="92"/>
      <x:c r="G252" s="92"/>
      <x:c r="H252" s="92"/>
      <x:c r="I252" s="93" t="str">
        <x:f>IF(B252="","",MAX(0,F252-H252))</x:f>
      </x:c>
      <x:c r="J252" s="46"/>
      <x:c r="K252" s="100" t="str">
        <x:f>IF(B252="","",IF(G252="TL",1,IF(G252="USD",KURLAR!$C$9,IF(G252="EUR",KURLAR!$C$10,0))))</x:f>
      </x:c>
      <x:c r="L252" s="68" t="str">
        <x:f>IF(B252="","",I252*K252)</x:f>
      </x:c>
      <x:c r="M252" s="46"/>
      <x:c r="N252" s="52" t="str">
        <x:f>IF(B252="","",IF(OR(M252="Ödendi",M252="İptal"),"Hayır","Evet"))</x:f>
      </x:c>
    </x:row>
    <x:row r="253">
      <x:c r="B253" s="46"/>
      <x:c r="C253" s="46"/>
      <x:c r="D253" s="112"/>
      <x:c r="E253" s="112"/>
      <x:c r="F253" s="92"/>
      <x:c r="G253" s="92"/>
      <x:c r="H253" s="92"/>
      <x:c r="I253" s="93" t="str">
        <x:f>IF(B253="","",MAX(0,F253-H253))</x:f>
      </x:c>
      <x:c r="J253" s="46"/>
      <x:c r="K253" s="100" t="str">
        <x:f>IF(B253="","",IF(G253="TL",1,IF(G253="USD",KURLAR!$C$9,IF(G253="EUR",KURLAR!$C$10,0))))</x:f>
      </x:c>
      <x:c r="L253" s="68" t="str">
        <x:f>IF(B253="","",I253*K253)</x:f>
      </x:c>
      <x:c r="M253" s="46"/>
      <x:c r="N253" s="52" t="str">
        <x:f>IF(B253="","",IF(OR(M253="Ödendi",M253="İptal"),"Hayır","Evet"))</x:f>
      </x:c>
    </x:row>
    <x:row r="254">
      <x:c r="B254" s="46"/>
      <x:c r="C254" s="46"/>
      <x:c r="D254" s="112"/>
      <x:c r="E254" s="112"/>
      <x:c r="F254" s="92"/>
      <x:c r="G254" s="92"/>
      <x:c r="H254" s="92"/>
      <x:c r="I254" s="93" t="str">
        <x:f>IF(B254="","",MAX(0,F254-H254))</x:f>
      </x:c>
      <x:c r="J254" s="46"/>
      <x:c r="K254" s="100" t="str">
        <x:f>IF(B254="","",IF(G254="TL",1,IF(G254="USD",KURLAR!$C$9,IF(G254="EUR",KURLAR!$C$10,0))))</x:f>
      </x:c>
      <x:c r="L254" s="68" t="str">
        <x:f>IF(B254="","",I254*K254)</x:f>
      </x:c>
      <x:c r="M254" s="46"/>
      <x:c r="N254" s="52" t="str">
        <x:f>IF(B254="","",IF(OR(M254="Ödendi",M254="İptal"),"Hayır","Evet"))</x:f>
      </x:c>
    </x:row>
    <x:row r="255">
      <x:c r="B255" s="46"/>
      <x:c r="C255" s="46"/>
      <x:c r="D255" s="112"/>
      <x:c r="E255" s="112"/>
      <x:c r="F255" s="92"/>
      <x:c r="G255" s="92"/>
      <x:c r="H255" s="92"/>
      <x:c r="I255" s="93" t="str">
        <x:f>IF(B255="","",MAX(0,F255-H255))</x:f>
      </x:c>
      <x:c r="J255" s="46"/>
      <x:c r="K255" s="100" t="str">
        <x:f>IF(B255="","",IF(G255="TL",1,IF(G255="USD",KURLAR!$C$9,IF(G255="EUR",KURLAR!$C$10,0))))</x:f>
      </x:c>
      <x:c r="L255" s="68" t="str">
        <x:f>IF(B255="","",I255*K255)</x:f>
      </x:c>
      <x:c r="M255" s="46"/>
      <x:c r="N255" s="52" t="str">
        <x:f>IF(B255="","",IF(OR(M255="Ödendi",M255="İptal"),"Hayır","Evet"))</x:f>
      </x:c>
    </x:row>
    <x:row r="256">
      <x:c r="B256" s="46"/>
      <x:c r="C256" s="46"/>
      <x:c r="D256" s="112"/>
      <x:c r="E256" s="112"/>
      <x:c r="F256" s="92"/>
      <x:c r="G256" s="92"/>
      <x:c r="H256" s="92"/>
      <x:c r="I256" s="93" t="str">
        <x:f>IF(B256="","",MAX(0,F256-H256))</x:f>
      </x:c>
      <x:c r="J256" s="46"/>
      <x:c r="K256" s="100" t="str">
        <x:f>IF(B256="","",IF(G256="TL",1,IF(G256="USD",KURLAR!$C$9,IF(G256="EUR",KURLAR!$C$10,0))))</x:f>
      </x:c>
      <x:c r="L256" s="68" t="str">
        <x:f>IF(B256="","",I256*K256)</x:f>
      </x:c>
      <x:c r="M256" s="46"/>
      <x:c r="N256" s="52" t="str">
        <x:f>IF(B256="","",IF(OR(M256="Ödendi",M256="İptal"),"Hayır","Evet"))</x:f>
      </x:c>
    </x:row>
    <x:row r="257">
      <x:c r="B257" s="46"/>
      <x:c r="C257" s="46"/>
      <x:c r="D257" s="112"/>
      <x:c r="E257" s="112"/>
      <x:c r="F257" s="92"/>
      <x:c r="G257" s="92"/>
      <x:c r="H257" s="92"/>
      <x:c r="I257" s="93" t="str">
        <x:f>IF(B257="","",MAX(0,F257-H257))</x:f>
      </x:c>
      <x:c r="J257" s="46"/>
      <x:c r="K257" s="100" t="str">
        <x:f>IF(B257="","",IF(G257="TL",1,IF(G257="USD",KURLAR!$C$9,IF(G257="EUR",KURLAR!$C$10,0))))</x:f>
      </x:c>
      <x:c r="L257" s="68" t="str">
        <x:f>IF(B257="","",I257*K257)</x:f>
      </x:c>
      <x:c r="M257" s="46"/>
      <x:c r="N257" s="52" t="str">
        <x:f>IF(B257="","",IF(OR(M257="Ödendi",M257="İptal"),"Hayır","Evet"))</x:f>
      </x:c>
    </x:row>
    <x:row r="258">
      <x:c r="B258" s="46"/>
      <x:c r="C258" s="46"/>
      <x:c r="D258" s="112"/>
      <x:c r="E258" s="112"/>
      <x:c r="F258" s="92"/>
      <x:c r="G258" s="92"/>
      <x:c r="H258" s="92"/>
      <x:c r="I258" s="93" t="str">
        <x:f>IF(B258="","",MAX(0,F258-H258))</x:f>
      </x:c>
      <x:c r="J258" s="46"/>
      <x:c r="K258" s="100" t="str">
        <x:f>IF(B258="","",IF(G258="TL",1,IF(G258="USD",KURLAR!$C$9,IF(G258="EUR",KURLAR!$C$10,0))))</x:f>
      </x:c>
      <x:c r="L258" s="68" t="str">
        <x:f>IF(B258="","",I258*K258)</x:f>
      </x:c>
      <x:c r="M258" s="46"/>
      <x:c r="N258" s="52" t="str">
        <x:f>IF(B258="","",IF(OR(M258="Ödendi",M258="İptal"),"Hayır","Evet"))</x:f>
      </x:c>
    </x:row>
    <x:row r="259">
      <x:c r="B259" s="46"/>
      <x:c r="C259" s="46"/>
      <x:c r="D259" s="112"/>
      <x:c r="E259" s="112"/>
      <x:c r="F259" s="92"/>
      <x:c r="G259" s="92"/>
      <x:c r="H259" s="92"/>
      <x:c r="I259" s="93" t="str">
        <x:f>IF(B259="","",MAX(0,F259-H259))</x:f>
      </x:c>
      <x:c r="J259" s="46"/>
      <x:c r="K259" s="100" t="str">
        <x:f>IF(B259="","",IF(G259="TL",1,IF(G259="USD",KURLAR!$C$9,IF(G259="EUR",KURLAR!$C$10,0))))</x:f>
      </x:c>
      <x:c r="L259" s="68" t="str">
        <x:f>IF(B259="","",I259*K259)</x:f>
      </x:c>
      <x:c r="M259" s="46"/>
      <x:c r="N259" s="52" t="str">
        <x:f>IF(B259="","",IF(OR(M259="Ödendi",M259="İptal"),"Hayır","Evet"))</x:f>
      </x:c>
    </x:row>
    <x:row r="260">
      <x:c r="B260" s="46"/>
      <x:c r="C260" s="46"/>
      <x:c r="D260" s="112"/>
      <x:c r="E260" s="112"/>
      <x:c r="F260" s="92"/>
      <x:c r="G260" s="92"/>
      <x:c r="H260" s="92"/>
      <x:c r="I260" s="93" t="str">
        <x:f>IF(B260="","",MAX(0,F260-H260))</x:f>
      </x:c>
      <x:c r="J260" s="46"/>
      <x:c r="K260" s="100" t="str">
        <x:f>IF(B260="","",IF(G260="TL",1,IF(G260="USD",KURLAR!$C$9,IF(G260="EUR",KURLAR!$C$10,0))))</x:f>
      </x:c>
      <x:c r="L260" s="68" t="str">
        <x:f>IF(B260="","",I260*K260)</x:f>
      </x:c>
      <x:c r="M260" s="46"/>
      <x:c r="N260" s="52" t="str">
        <x:f>IF(B260="","",IF(OR(M260="Ödendi",M260="İptal"),"Hayır","Evet"))</x:f>
      </x:c>
    </x:row>
    <x:row r="261">
      <x:c r="B261" s="46"/>
      <x:c r="C261" s="46"/>
      <x:c r="D261" s="112"/>
      <x:c r="E261" s="112"/>
      <x:c r="F261" s="92"/>
      <x:c r="G261" s="92"/>
      <x:c r="H261" s="92"/>
      <x:c r="I261" s="93" t="str">
        <x:f>IF(B261="","",MAX(0,F261-H261))</x:f>
      </x:c>
      <x:c r="J261" s="46"/>
      <x:c r="K261" s="100" t="str">
        <x:f>IF(B261="","",IF(G261="TL",1,IF(G261="USD",KURLAR!$C$9,IF(G261="EUR",KURLAR!$C$10,0))))</x:f>
      </x:c>
      <x:c r="L261" s="68" t="str">
        <x:f>IF(B261="","",I261*K261)</x:f>
      </x:c>
      <x:c r="M261" s="46"/>
      <x:c r="N261" s="52" t="str">
        <x:f>IF(B261="","",IF(OR(M261="Ödendi",M261="İptal"),"Hayır","Evet"))</x:f>
      </x:c>
    </x:row>
    <x:row r="262">
      <x:c r="B262" s="46"/>
      <x:c r="C262" s="46"/>
      <x:c r="D262" s="112"/>
      <x:c r="E262" s="112"/>
      <x:c r="F262" s="92"/>
      <x:c r="G262" s="92"/>
      <x:c r="H262" s="92"/>
      <x:c r="I262" s="93" t="str">
        <x:f>IF(B262="","",MAX(0,F262-H262))</x:f>
      </x:c>
      <x:c r="J262" s="46"/>
      <x:c r="K262" s="100" t="str">
        <x:f>IF(B262="","",IF(G262="TL",1,IF(G262="USD",KURLAR!$C$9,IF(G262="EUR",KURLAR!$C$10,0))))</x:f>
      </x:c>
      <x:c r="L262" s="68" t="str">
        <x:f>IF(B262="","",I262*K262)</x:f>
      </x:c>
      <x:c r="M262" s="46"/>
      <x:c r="N262" s="52" t="str">
        <x:f>IF(B262="","",IF(OR(M262="Ödendi",M262="İptal"),"Hayır","Evet"))</x:f>
      </x:c>
    </x:row>
    <x:row r="263">
      <x:c r="B263" s="46"/>
      <x:c r="C263" s="46"/>
      <x:c r="D263" s="112"/>
      <x:c r="E263" s="112"/>
      <x:c r="F263" s="92"/>
      <x:c r="G263" s="92"/>
      <x:c r="H263" s="92"/>
      <x:c r="I263" s="93" t="str">
        <x:f>IF(B263="","",MAX(0,F263-H263))</x:f>
      </x:c>
      <x:c r="J263" s="46"/>
      <x:c r="K263" s="100" t="str">
        <x:f>IF(B263="","",IF(G263="TL",1,IF(G263="USD",KURLAR!$C$9,IF(G263="EUR",KURLAR!$C$10,0))))</x:f>
      </x:c>
      <x:c r="L263" s="68" t="str">
        <x:f>IF(B263="","",I263*K263)</x:f>
      </x:c>
      <x:c r="M263" s="46"/>
      <x:c r="N263" s="52" t="str">
        <x:f>IF(B263="","",IF(OR(M263="Ödendi",M263="İptal"),"Hayır","Evet"))</x:f>
      </x:c>
    </x:row>
    <x:row r="264">
      <x:c r="B264" s="46"/>
      <x:c r="C264" s="46"/>
      <x:c r="D264" s="112"/>
      <x:c r="E264" s="112"/>
      <x:c r="F264" s="92"/>
      <x:c r="G264" s="92"/>
      <x:c r="H264" s="92"/>
      <x:c r="I264" s="93" t="str">
        <x:f>IF(B264="","",MAX(0,F264-H264))</x:f>
      </x:c>
      <x:c r="J264" s="46"/>
      <x:c r="K264" s="100" t="str">
        <x:f>IF(B264="","",IF(G264="TL",1,IF(G264="USD",KURLAR!$C$9,IF(G264="EUR",KURLAR!$C$10,0))))</x:f>
      </x:c>
      <x:c r="L264" s="68" t="str">
        <x:f>IF(B264="","",I264*K264)</x:f>
      </x:c>
      <x:c r="M264" s="46"/>
      <x:c r="N264" s="52" t="str">
        <x:f>IF(B264="","",IF(OR(M264="Ödendi",M264="İptal"),"Hayır","Evet"))</x:f>
      </x:c>
    </x:row>
    <x:row r="265">
      <x:c r="B265" s="46"/>
      <x:c r="C265" s="46"/>
      <x:c r="D265" s="112"/>
      <x:c r="E265" s="112"/>
      <x:c r="F265" s="92"/>
      <x:c r="G265" s="92"/>
      <x:c r="H265" s="92"/>
      <x:c r="I265" s="93" t="str">
        <x:f>IF(B265="","",MAX(0,F265-H265))</x:f>
      </x:c>
      <x:c r="J265" s="46"/>
      <x:c r="K265" s="100" t="str">
        <x:f>IF(B265="","",IF(G265="TL",1,IF(G265="USD",KURLAR!$C$9,IF(G265="EUR",KURLAR!$C$10,0))))</x:f>
      </x:c>
      <x:c r="L265" s="68" t="str">
        <x:f>IF(B265="","",I265*K265)</x:f>
      </x:c>
      <x:c r="M265" s="46"/>
      <x:c r="N265" s="52" t="str">
        <x:f>IF(B265="","",IF(OR(M265="Ödendi",M265="İptal"),"Hayır","Evet"))</x:f>
      </x:c>
    </x:row>
    <x:row r="266">
      <x:c r="B266" s="46"/>
      <x:c r="C266" s="46"/>
      <x:c r="D266" s="112"/>
      <x:c r="E266" s="112"/>
      <x:c r="F266" s="92"/>
      <x:c r="G266" s="92"/>
      <x:c r="H266" s="92"/>
      <x:c r="I266" s="93" t="str">
        <x:f>IF(B266="","",MAX(0,F266-H266))</x:f>
      </x:c>
      <x:c r="J266" s="46"/>
      <x:c r="K266" s="100" t="str">
        <x:f>IF(B266="","",IF(G266="TL",1,IF(G266="USD",KURLAR!$C$9,IF(G266="EUR",KURLAR!$C$10,0))))</x:f>
      </x:c>
      <x:c r="L266" s="68" t="str">
        <x:f>IF(B266="","",I266*K266)</x:f>
      </x:c>
      <x:c r="M266" s="46"/>
      <x:c r="N266" s="52" t="str">
        <x:f>IF(B266="","",IF(OR(M266="Ödendi",M266="İptal"),"Hayır","Evet"))</x:f>
      </x:c>
    </x:row>
    <x:row r="267">
      <x:c r="B267" s="46"/>
      <x:c r="C267" s="46"/>
      <x:c r="D267" s="112"/>
      <x:c r="E267" s="112"/>
      <x:c r="F267" s="92"/>
      <x:c r="G267" s="92"/>
      <x:c r="H267" s="92"/>
      <x:c r="I267" s="93" t="str">
        <x:f>IF(B267="","",MAX(0,F267-H267))</x:f>
      </x:c>
      <x:c r="J267" s="46"/>
      <x:c r="K267" s="100" t="str">
        <x:f>IF(B267="","",IF(G267="TL",1,IF(G267="USD",KURLAR!$C$9,IF(G267="EUR",KURLAR!$C$10,0))))</x:f>
      </x:c>
      <x:c r="L267" s="68" t="str">
        <x:f>IF(B267="","",I267*K267)</x:f>
      </x:c>
      <x:c r="M267" s="46"/>
      <x:c r="N267" s="52" t="str">
        <x:f>IF(B267="","",IF(OR(M267="Ödendi",M267="İptal"),"Hayır","Evet"))</x:f>
      </x:c>
    </x:row>
    <x:row r="268">
      <x:c r="B268" s="46"/>
      <x:c r="C268" s="46"/>
      <x:c r="D268" s="112"/>
      <x:c r="E268" s="112"/>
      <x:c r="F268" s="92"/>
      <x:c r="G268" s="92"/>
      <x:c r="H268" s="92"/>
      <x:c r="I268" s="93" t="str">
        <x:f>IF(B268="","",MAX(0,F268-H268))</x:f>
      </x:c>
      <x:c r="J268" s="46"/>
      <x:c r="K268" s="100" t="str">
        <x:f>IF(B268="","",IF(G268="TL",1,IF(G268="USD",KURLAR!$C$9,IF(G268="EUR",KURLAR!$C$10,0))))</x:f>
      </x:c>
      <x:c r="L268" s="68" t="str">
        <x:f>IF(B268="","",I268*K268)</x:f>
      </x:c>
      <x:c r="M268" s="46"/>
      <x:c r="N268" s="52" t="str">
        <x:f>IF(B268="","",IF(OR(M268="Ödendi",M268="İptal"),"Hayır","Evet"))</x:f>
      </x:c>
    </x:row>
    <x:row r="269">
      <x:c r="B269" s="46"/>
      <x:c r="C269" s="46"/>
      <x:c r="D269" s="112"/>
      <x:c r="E269" s="112"/>
      <x:c r="F269" s="92"/>
      <x:c r="G269" s="92"/>
      <x:c r="H269" s="92"/>
      <x:c r="I269" s="93" t="str">
        <x:f>IF(B269="","",MAX(0,F269-H269))</x:f>
      </x:c>
      <x:c r="J269" s="46"/>
      <x:c r="K269" s="100" t="str">
        <x:f>IF(B269="","",IF(G269="TL",1,IF(G269="USD",KURLAR!$C$9,IF(G269="EUR",KURLAR!$C$10,0))))</x:f>
      </x:c>
      <x:c r="L269" s="68" t="str">
        <x:f>IF(B269="","",I269*K269)</x:f>
      </x:c>
      <x:c r="M269" s="46"/>
      <x:c r="N269" s="52" t="str">
        <x:f>IF(B269="","",IF(OR(M269="Ödendi",M269="İptal"),"Hayır","Evet"))</x:f>
      </x:c>
    </x:row>
    <x:row r="270">
      <x:c r="B270" s="46"/>
      <x:c r="C270" s="46"/>
      <x:c r="D270" s="112"/>
      <x:c r="E270" s="112"/>
      <x:c r="F270" s="92"/>
      <x:c r="G270" s="92"/>
      <x:c r="H270" s="92"/>
      <x:c r="I270" s="93" t="str">
        <x:f>IF(B270="","",MAX(0,F270-H270))</x:f>
      </x:c>
      <x:c r="J270" s="46"/>
      <x:c r="K270" s="100" t="str">
        <x:f>IF(B270="","",IF(G270="TL",1,IF(G270="USD",KURLAR!$C$9,IF(G270="EUR",KURLAR!$C$10,0))))</x:f>
      </x:c>
      <x:c r="L270" s="68" t="str">
        <x:f>IF(B270="","",I270*K270)</x:f>
      </x:c>
      <x:c r="M270" s="46"/>
      <x:c r="N270" s="52" t="str">
        <x:f>IF(B270="","",IF(OR(M270="Ödendi",M270="İptal"),"Hayır","Evet"))</x:f>
      </x:c>
    </x:row>
    <x:row r="271">
      <x:c r="B271" s="46"/>
      <x:c r="C271" s="46"/>
      <x:c r="D271" s="112"/>
      <x:c r="E271" s="112"/>
      <x:c r="F271" s="92"/>
      <x:c r="G271" s="92"/>
      <x:c r="H271" s="92"/>
      <x:c r="I271" s="93" t="str">
        <x:f>IF(B271="","",MAX(0,F271-H271))</x:f>
      </x:c>
      <x:c r="J271" s="46"/>
      <x:c r="K271" s="100" t="str">
        <x:f>IF(B271="","",IF(G271="TL",1,IF(G271="USD",KURLAR!$C$9,IF(G271="EUR",KURLAR!$C$10,0))))</x:f>
      </x:c>
      <x:c r="L271" s="68" t="str">
        <x:f>IF(B271="","",I271*K271)</x:f>
      </x:c>
      <x:c r="M271" s="46"/>
      <x:c r="N271" s="52" t="str">
        <x:f>IF(B271="","",IF(OR(M271="Ödendi",M271="İptal"),"Hayır","Evet"))</x:f>
      </x:c>
    </x:row>
    <x:row r="272">
      <x:c r="B272" s="46"/>
      <x:c r="C272" s="46"/>
      <x:c r="D272" s="112"/>
      <x:c r="E272" s="112"/>
      <x:c r="F272" s="92"/>
      <x:c r="G272" s="92"/>
      <x:c r="H272" s="92"/>
      <x:c r="I272" s="93" t="str">
        <x:f>IF(B272="","",MAX(0,F272-H272))</x:f>
      </x:c>
      <x:c r="J272" s="46"/>
      <x:c r="K272" s="100" t="str">
        <x:f>IF(B272="","",IF(G272="TL",1,IF(G272="USD",KURLAR!$C$9,IF(G272="EUR",KURLAR!$C$10,0))))</x:f>
      </x:c>
      <x:c r="L272" s="68" t="str">
        <x:f>IF(B272="","",I272*K272)</x:f>
      </x:c>
      <x:c r="M272" s="46"/>
      <x:c r="N272" s="52" t="str">
        <x:f>IF(B272="","",IF(OR(M272="Ödendi",M272="İptal"),"Hayır","Evet"))</x:f>
      </x:c>
    </x:row>
    <x:row r="273">
      <x:c r="B273" s="46"/>
      <x:c r="C273" s="46"/>
      <x:c r="D273" s="112"/>
      <x:c r="E273" s="112"/>
      <x:c r="F273" s="92"/>
      <x:c r="G273" s="92"/>
      <x:c r="H273" s="92"/>
      <x:c r="I273" s="93" t="str">
        <x:f>IF(B273="","",MAX(0,F273-H273))</x:f>
      </x:c>
      <x:c r="J273" s="46"/>
      <x:c r="K273" s="100" t="str">
        <x:f>IF(B273="","",IF(G273="TL",1,IF(G273="USD",KURLAR!$C$9,IF(G273="EUR",KURLAR!$C$10,0))))</x:f>
      </x:c>
      <x:c r="L273" s="68" t="str">
        <x:f>IF(B273="","",I273*K273)</x:f>
      </x:c>
      <x:c r="M273" s="46"/>
      <x:c r="N273" s="52" t="str">
        <x:f>IF(B273="","",IF(OR(M273="Ödendi",M273="İptal"),"Hayır","Evet"))</x:f>
      </x:c>
    </x:row>
    <x:row r="274">
      <x:c r="B274" s="46"/>
      <x:c r="C274" s="46"/>
      <x:c r="D274" s="112"/>
      <x:c r="E274" s="112"/>
      <x:c r="F274" s="92"/>
      <x:c r="G274" s="92"/>
      <x:c r="H274" s="92"/>
      <x:c r="I274" s="93" t="str">
        <x:f>IF(B274="","",MAX(0,F274-H274))</x:f>
      </x:c>
      <x:c r="J274" s="46"/>
      <x:c r="K274" s="100" t="str">
        <x:f>IF(B274="","",IF(G274="TL",1,IF(G274="USD",KURLAR!$C$9,IF(G274="EUR",KURLAR!$C$10,0))))</x:f>
      </x:c>
      <x:c r="L274" s="68" t="str">
        <x:f>IF(B274="","",I274*K274)</x:f>
      </x:c>
      <x:c r="M274" s="46"/>
      <x:c r="N274" s="52" t="str">
        <x:f>IF(B274="","",IF(OR(M274="Ödendi",M274="İptal"),"Hayır","Evet"))</x:f>
      </x:c>
    </x:row>
    <x:row r="275">
      <x:c r="B275" s="46"/>
      <x:c r="C275" s="46"/>
      <x:c r="D275" s="112"/>
      <x:c r="E275" s="112"/>
      <x:c r="F275" s="92"/>
      <x:c r="G275" s="92"/>
      <x:c r="H275" s="92"/>
      <x:c r="I275" s="93" t="str">
        <x:f>IF(B275="","",MAX(0,F275-H275))</x:f>
      </x:c>
      <x:c r="J275" s="46"/>
      <x:c r="K275" s="100" t="str">
        <x:f>IF(B275="","",IF(G275="TL",1,IF(G275="USD",KURLAR!$C$9,IF(G275="EUR",KURLAR!$C$10,0))))</x:f>
      </x:c>
      <x:c r="L275" s="68" t="str">
        <x:f>IF(B275="","",I275*K275)</x:f>
      </x:c>
      <x:c r="M275" s="46"/>
      <x:c r="N275" s="52" t="str">
        <x:f>IF(B275="","",IF(OR(M275="Ödendi",M275="İptal"),"Hayır","Evet"))</x:f>
      </x:c>
    </x:row>
    <x:row r="276">
      <x:c r="B276" s="46"/>
      <x:c r="C276" s="46"/>
      <x:c r="D276" s="112"/>
      <x:c r="E276" s="112"/>
      <x:c r="F276" s="92"/>
      <x:c r="G276" s="92"/>
      <x:c r="H276" s="92"/>
      <x:c r="I276" s="93" t="str">
        <x:f>IF(B276="","",MAX(0,F276-H276))</x:f>
      </x:c>
      <x:c r="J276" s="46"/>
      <x:c r="K276" s="100" t="str">
        <x:f>IF(B276="","",IF(G276="TL",1,IF(G276="USD",KURLAR!$C$9,IF(G276="EUR",KURLAR!$C$10,0))))</x:f>
      </x:c>
      <x:c r="L276" s="68" t="str">
        <x:f>IF(B276="","",I276*K276)</x:f>
      </x:c>
      <x:c r="M276" s="46"/>
      <x:c r="N276" s="52" t="str">
        <x:f>IF(B276="","",IF(OR(M276="Ödendi",M276="İptal"),"Hayır","Evet"))</x:f>
      </x:c>
    </x:row>
    <x:row r="277">
      <x:c r="B277" s="46"/>
      <x:c r="C277" s="46"/>
      <x:c r="D277" s="112"/>
      <x:c r="E277" s="112"/>
      <x:c r="F277" s="92"/>
      <x:c r="G277" s="92"/>
      <x:c r="H277" s="92"/>
      <x:c r="I277" s="93" t="str">
        <x:f>IF(B277="","",MAX(0,F277-H277))</x:f>
      </x:c>
      <x:c r="J277" s="46"/>
      <x:c r="K277" s="100" t="str">
        <x:f>IF(B277="","",IF(G277="TL",1,IF(G277="USD",KURLAR!$C$9,IF(G277="EUR",KURLAR!$C$10,0))))</x:f>
      </x:c>
      <x:c r="L277" s="68" t="str">
        <x:f>IF(B277="","",I277*K277)</x:f>
      </x:c>
      <x:c r="M277" s="46"/>
      <x:c r="N277" s="52" t="str">
        <x:f>IF(B277="","",IF(OR(M277="Ödendi",M277="İptal"),"Hayır","Evet"))</x:f>
      </x:c>
    </x:row>
    <x:row r="278">
      <x:c r="B278" s="46"/>
      <x:c r="C278" s="46"/>
      <x:c r="D278" s="112"/>
      <x:c r="E278" s="112"/>
      <x:c r="F278" s="92"/>
      <x:c r="G278" s="92"/>
      <x:c r="H278" s="92"/>
      <x:c r="I278" s="93" t="str">
        <x:f>IF(B278="","",MAX(0,F278-H278))</x:f>
      </x:c>
      <x:c r="J278" s="46"/>
      <x:c r="K278" s="100" t="str">
        <x:f>IF(B278="","",IF(G278="TL",1,IF(G278="USD",KURLAR!$C$9,IF(G278="EUR",KURLAR!$C$10,0))))</x:f>
      </x:c>
      <x:c r="L278" s="68" t="str">
        <x:f>IF(B278="","",I278*K278)</x:f>
      </x:c>
      <x:c r="M278" s="46"/>
      <x:c r="N278" s="52" t="str">
        <x:f>IF(B278="","",IF(OR(M278="Ödendi",M278="İptal"),"Hayır","Evet"))</x:f>
      </x:c>
    </x:row>
    <x:row r="279">
      <x:c r="B279" s="46"/>
      <x:c r="C279" s="46"/>
      <x:c r="D279" s="112"/>
      <x:c r="E279" s="112"/>
      <x:c r="F279" s="92"/>
      <x:c r="G279" s="92"/>
      <x:c r="H279" s="92"/>
      <x:c r="I279" s="93" t="str">
        <x:f>IF(B279="","",MAX(0,F279-H279))</x:f>
      </x:c>
      <x:c r="J279" s="46"/>
      <x:c r="K279" s="100" t="str">
        <x:f>IF(B279="","",IF(G279="TL",1,IF(G279="USD",KURLAR!$C$9,IF(G279="EUR",KURLAR!$C$10,0))))</x:f>
      </x:c>
      <x:c r="L279" s="68" t="str">
        <x:f>IF(B279="","",I279*K279)</x:f>
      </x:c>
      <x:c r="M279" s="46"/>
      <x:c r="N279" s="52" t="str">
        <x:f>IF(B279="","",IF(OR(M279="Ödendi",M279="İptal"),"Hayır","Evet"))</x:f>
      </x:c>
    </x:row>
    <x:row r="280">
      <x:c r="B280" s="46"/>
      <x:c r="C280" s="46"/>
      <x:c r="D280" s="112"/>
      <x:c r="E280" s="112"/>
      <x:c r="F280" s="92"/>
      <x:c r="G280" s="92"/>
      <x:c r="H280" s="92"/>
      <x:c r="I280" s="93" t="str">
        <x:f>IF(B280="","",MAX(0,F280-H280))</x:f>
      </x:c>
      <x:c r="J280" s="46"/>
      <x:c r="K280" s="100" t="str">
        <x:f>IF(B280="","",IF(G280="TL",1,IF(G280="USD",KURLAR!$C$9,IF(G280="EUR",KURLAR!$C$10,0))))</x:f>
      </x:c>
      <x:c r="L280" s="68" t="str">
        <x:f>IF(B280="","",I280*K280)</x:f>
      </x:c>
      <x:c r="M280" s="46"/>
      <x:c r="N280" s="52" t="str">
        <x:f>IF(B280="","",IF(OR(M280="Ödendi",M280="İptal"),"Hayır","Evet"))</x:f>
      </x:c>
    </x:row>
    <x:row r="281">
      <x:c r="B281" s="46"/>
      <x:c r="C281" s="46"/>
      <x:c r="D281" s="112"/>
      <x:c r="E281" s="112"/>
      <x:c r="F281" s="92"/>
      <x:c r="G281" s="92"/>
      <x:c r="H281" s="92"/>
      <x:c r="I281" s="93" t="str">
        <x:f>IF(B281="","",MAX(0,F281-H281))</x:f>
      </x:c>
      <x:c r="J281" s="46"/>
      <x:c r="K281" s="100" t="str">
        <x:f>IF(B281="","",IF(G281="TL",1,IF(G281="USD",KURLAR!$C$9,IF(G281="EUR",KURLAR!$C$10,0))))</x:f>
      </x:c>
      <x:c r="L281" s="68" t="str">
        <x:f>IF(B281="","",I281*K281)</x:f>
      </x:c>
      <x:c r="M281" s="46"/>
      <x:c r="N281" s="52" t="str">
        <x:f>IF(B281="","",IF(OR(M281="Ödendi",M281="İptal"),"Hayır","Evet"))</x:f>
      </x:c>
    </x:row>
    <x:row r="282">
      <x:c r="B282" s="46"/>
      <x:c r="C282" s="46"/>
      <x:c r="D282" s="112"/>
      <x:c r="E282" s="112"/>
      <x:c r="F282" s="92"/>
      <x:c r="G282" s="92"/>
      <x:c r="H282" s="92"/>
      <x:c r="I282" s="93" t="str">
        <x:f>IF(B282="","",MAX(0,F282-H282))</x:f>
      </x:c>
      <x:c r="J282" s="46"/>
      <x:c r="K282" s="100" t="str">
        <x:f>IF(B282="","",IF(G282="TL",1,IF(G282="USD",KURLAR!$C$9,IF(G282="EUR",KURLAR!$C$10,0))))</x:f>
      </x:c>
      <x:c r="L282" s="68" t="str">
        <x:f>IF(B282="","",I282*K282)</x:f>
      </x:c>
      <x:c r="M282" s="46"/>
      <x:c r="N282" s="52" t="str">
        <x:f>IF(B282="","",IF(OR(M282="Ödendi",M282="İptal"),"Hayır","Evet"))</x:f>
      </x:c>
    </x:row>
    <x:row r="283">
      <x:c r="B283" s="46"/>
      <x:c r="C283" s="46"/>
      <x:c r="D283" s="112"/>
      <x:c r="E283" s="112"/>
      <x:c r="F283" s="92"/>
      <x:c r="G283" s="92"/>
      <x:c r="H283" s="92"/>
      <x:c r="I283" s="93" t="str">
        <x:f>IF(B283="","",MAX(0,F283-H283))</x:f>
      </x:c>
      <x:c r="J283" s="46"/>
      <x:c r="K283" s="100" t="str">
        <x:f>IF(B283="","",IF(G283="TL",1,IF(G283="USD",KURLAR!$C$9,IF(G283="EUR",KURLAR!$C$10,0))))</x:f>
      </x:c>
      <x:c r="L283" s="68" t="str">
        <x:f>IF(B283="","",I283*K283)</x:f>
      </x:c>
      <x:c r="M283" s="46"/>
      <x:c r="N283" s="52" t="str">
        <x:f>IF(B283="","",IF(OR(M283="Ödendi",M283="İptal"),"Hayır","Evet"))</x:f>
      </x:c>
    </x:row>
    <x:row r="284">
      <x:c r="B284" s="46"/>
      <x:c r="C284" s="46"/>
      <x:c r="D284" s="112"/>
      <x:c r="E284" s="112"/>
      <x:c r="F284" s="92"/>
      <x:c r="G284" s="92"/>
      <x:c r="H284" s="92"/>
      <x:c r="I284" s="93" t="str">
        <x:f>IF(B284="","",MAX(0,F284-H284))</x:f>
      </x:c>
      <x:c r="J284" s="46"/>
      <x:c r="K284" s="100" t="str">
        <x:f>IF(B284="","",IF(G284="TL",1,IF(G284="USD",KURLAR!$C$9,IF(G284="EUR",KURLAR!$C$10,0))))</x:f>
      </x:c>
      <x:c r="L284" s="68" t="str">
        <x:f>IF(B284="","",I284*K284)</x:f>
      </x:c>
      <x:c r="M284" s="46"/>
      <x:c r="N284" s="52" t="str">
        <x:f>IF(B284="","",IF(OR(M284="Ödendi",M284="İptal"),"Hayır","Evet"))</x:f>
      </x:c>
    </x:row>
    <x:row r="285">
      <x:c r="B285" s="46"/>
      <x:c r="C285" s="46"/>
      <x:c r="D285" s="112"/>
      <x:c r="E285" s="112"/>
      <x:c r="F285" s="92"/>
      <x:c r="G285" s="92"/>
      <x:c r="H285" s="92"/>
      <x:c r="I285" s="93" t="str">
        <x:f>IF(B285="","",MAX(0,F285-H285))</x:f>
      </x:c>
      <x:c r="J285" s="46"/>
      <x:c r="K285" s="100" t="str">
        <x:f>IF(B285="","",IF(G285="TL",1,IF(G285="USD",KURLAR!$C$9,IF(G285="EUR",KURLAR!$C$10,0))))</x:f>
      </x:c>
      <x:c r="L285" s="68" t="str">
        <x:f>IF(B285="","",I285*K285)</x:f>
      </x:c>
      <x:c r="M285" s="46"/>
      <x:c r="N285" s="52" t="str">
        <x:f>IF(B285="","",IF(OR(M285="Ödendi",M285="İptal"),"Hayır","Evet"))</x:f>
      </x:c>
    </x:row>
    <x:row r="286">
      <x:c r="B286" s="46"/>
      <x:c r="C286" s="46"/>
      <x:c r="D286" s="112"/>
      <x:c r="E286" s="112"/>
      <x:c r="F286" s="92"/>
      <x:c r="G286" s="92"/>
      <x:c r="H286" s="92"/>
      <x:c r="I286" s="93" t="str">
        <x:f>IF(B286="","",MAX(0,F286-H286))</x:f>
      </x:c>
      <x:c r="J286" s="46"/>
      <x:c r="K286" s="100" t="str">
        <x:f>IF(B286="","",IF(G286="TL",1,IF(G286="USD",KURLAR!$C$9,IF(G286="EUR",KURLAR!$C$10,0))))</x:f>
      </x:c>
      <x:c r="L286" s="68" t="str">
        <x:f>IF(B286="","",I286*K286)</x:f>
      </x:c>
      <x:c r="M286" s="46"/>
      <x:c r="N286" s="52" t="str">
        <x:f>IF(B286="","",IF(OR(M286="Ödendi",M286="İptal"),"Hayır","Evet"))</x:f>
      </x:c>
    </x:row>
    <x:row r="287">
      <x:c r="B287" s="46"/>
      <x:c r="C287" s="46"/>
      <x:c r="D287" s="112"/>
      <x:c r="E287" s="112"/>
      <x:c r="F287" s="92"/>
      <x:c r="G287" s="92"/>
      <x:c r="H287" s="92"/>
      <x:c r="I287" s="93" t="str">
        <x:f>IF(B287="","",MAX(0,F287-H287))</x:f>
      </x:c>
      <x:c r="J287" s="46"/>
      <x:c r="K287" s="100" t="str">
        <x:f>IF(B287="","",IF(G287="TL",1,IF(G287="USD",KURLAR!$C$9,IF(G287="EUR",KURLAR!$C$10,0))))</x:f>
      </x:c>
      <x:c r="L287" s="68" t="str">
        <x:f>IF(B287="","",I287*K287)</x:f>
      </x:c>
      <x:c r="M287" s="46"/>
      <x:c r="N287" s="52" t="str">
        <x:f>IF(B287="","",IF(OR(M287="Ödendi",M287="İptal"),"Hayır","Evet"))</x:f>
      </x:c>
    </x:row>
    <x:row r="288">
      <x:c r="B288" s="46"/>
      <x:c r="C288" s="46"/>
      <x:c r="D288" s="112"/>
      <x:c r="E288" s="112"/>
      <x:c r="F288" s="92"/>
      <x:c r="G288" s="92"/>
      <x:c r="H288" s="92"/>
      <x:c r="I288" s="93" t="str">
        <x:f>IF(B288="","",MAX(0,F288-H288))</x:f>
      </x:c>
      <x:c r="J288" s="46"/>
      <x:c r="K288" s="100" t="str">
        <x:f>IF(B288="","",IF(G288="TL",1,IF(G288="USD",KURLAR!$C$9,IF(G288="EUR",KURLAR!$C$10,0))))</x:f>
      </x:c>
      <x:c r="L288" s="68" t="str">
        <x:f>IF(B288="","",I288*K288)</x:f>
      </x:c>
      <x:c r="M288" s="46"/>
      <x:c r="N288" s="52" t="str">
        <x:f>IF(B288="","",IF(OR(M288="Ödendi",M288="İptal"),"Hayır","Evet"))</x:f>
      </x:c>
    </x:row>
    <x:row r="289">
      <x:c r="B289" s="46"/>
      <x:c r="C289" s="46"/>
      <x:c r="D289" s="112"/>
      <x:c r="E289" s="112"/>
      <x:c r="F289" s="92"/>
      <x:c r="G289" s="92"/>
      <x:c r="H289" s="92"/>
      <x:c r="I289" s="93" t="str">
        <x:f>IF(B289="","",MAX(0,F289-H289))</x:f>
      </x:c>
      <x:c r="J289" s="46"/>
      <x:c r="K289" s="100" t="str">
        <x:f>IF(B289="","",IF(G289="TL",1,IF(G289="USD",KURLAR!$C$9,IF(G289="EUR",KURLAR!$C$10,0))))</x:f>
      </x:c>
      <x:c r="L289" s="68" t="str">
        <x:f>IF(B289="","",I289*K289)</x:f>
      </x:c>
      <x:c r="M289" s="46"/>
      <x:c r="N289" s="52" t="str">
        <x:f>IF(B289="","",IF(OR(M289="Ödendi",M289="İptal"),"Hayır","Evet"))</x:f>
      </x:c>
    </x:row>
    <x:row r="290">
      <x:c r="B290" s="46"/>
      <x:c r="C290" s="46"/>
      <x:c r="D290" s="112"/>
      <x:c r="E290" s="112"/>
      <x:c r="F290" s="92"/>
      <x:c r="G290" s="92"/>
      <x:c r="H290" s="92"/>
      <x:c r="I290" s="93" t="str">
        <x:f>IF(B290="","",MAX(0,F290-H290))</x:f>
      </x:c>
      <x:c r="J290" s="46"/>
      <x:c r="K290" s="100" t="str">
        <x:f>IF(B290="","",IF(G290="TL",1,IF(G290="USD",KURLAR!$C$9,IF(G290="EUR",KURLAR!$C$10,0))))</x:f>
      </x:c>
      <x:c r="L290" s="68" t="str">
        <x:f>IF(B290="","",I290*K290)</x:f>
      </x:c>
      <x:c r="M290" s="46"/>
      <x:c r="N290" s="52" t="str">
        <x:f>IF(B290="","",IF(OR(M290="Ödendi",M290="İptal"),"Hayır","Evet"))</x:f>
      </x:c>
    </x:row>
    <x:row r="291">
      <x:c r="B291" s="46"/>
      <x:c r="C291" s="46"/>
      <x:c r="D291" s="112"/>
      <x:c r="E291" s="112"/>
      <x:c r="F291" s="92"/>
      <x:c r="G291" s="92"/>
      <x:c r="H291" s="92"/>
      <x:c r="I291" s="93" t="str">
        <x:f>IF(B291="","",MAX(0,F291-H291))</x:f>
      </x:c>
      <x:c r="J291" s="46"/>
      <x:c r="K291" s="100" t="str">
        <x:f>IF(B291="","",IF(G291="TL",1,IF(G291="USD",KURLAR!$C$9,IF(G291="EUR",KURLAR!$C$10,0))))</x:f>
      </x:c>
      <x:c r="L291" s="68" t="str">
        <x:f>IF(B291="","",I291*K291)</x:f>
      </x:c>
      <x:c r="M291" s="46"/>
      <x:c r="N291" s="52" t="str">
        <x:f>IF(B291="","",IF(OR(M291="Ödendi",M291="İptal"),"Hayır","Evet"))</x:f>
      </x:c>
    </x:row>
    <x:row r="292">
      <x:c r="B292" s="46"/>
      <x:c r="C292" s="46"/>
      <x:c r="D292" s="112"/>
      <x:c r="E292" s="112"/>
      <x:c r="F292" s="92"/>
      <x:c r="G292" s="92"/>
      <x:c r="H292" s="92"/>
      <x:c r="I292" s="93" t="str">
        <x:f>IF(B292="","",MAX(0,F292-H292))</x:f>
      </x:c>
      <x:c r="J292" s="46"/>
      <x:c r="K292" s="100" t="str">
        <x:f>IF(B292="","",IF(G292="TL",1,IF(G292="USD",KURLAR!$C$9,IF(G292="EUR",KURLAR!$C$10,0))))</x:f>
      </x:c>
      <x:c r="L292" s="68" t="str">
        <x:f>IF(B292="","",I292*K292)</x:f>
      </x:c>
      <x:c r="M292" s="46"/>
      <x:c r="N292" s="52" t="str">
        <x:f>IF(B292="","",IF(OR(M292="Ödendi",M292="İptal"),"Hayır","Evet"))</x:f>
      </x:c>
    </x:row>
    <x:row r="293">
      <x:c r="B293" s="46"/>
      <x:c r="C293" s="46"/>
      <x:c r="D293" s="112"/>
      <x:c r="E293" s="112"/>
      <x:c r="F293" s="92"/>
      <x:c r="G293" s="92"/>
      <x:c r="H293" s="92"/>
      <x:c r="I293" s="93" t="str">
        <x:f>IF(B293="","",MAX(0,F293-H293))</x:f>
      </x:c>
      <x:c r="J293" s="46"/>
      <x:c r="K293" s="100" t="str">
        <x:f>IF(B293="","",IF(G293="TL",1,IF(G293="USD",KURLAR!$C$9,IF(G293="EUR",KURLAR!$C$10,0))))</x:f>
      </x:c>
      <x:c r="L293" s="68" t="str">
        <x:f>IF(B293="","",I293*K293)</x:f>
      </x:c>
      <x:c r="M293" s="46"/>
      <x:c r="N293" s="52" t="str">
        <x:f>IF(B293="","",IF(OR(M293="Ödendi",M293="İptal"),"Hayır","Evet"))</x:f>
      </x:c>
    </x:row>
    <x:row r="294">
      <x:c r="B294" s="46"/>
      <x:c r="C294" s="46"/>
      <x:c r="D294" s="112"/>
      <x:c r="E294" s="112"/>
      <x:c r="F294" s="92"/>
      <x:c r="G294" s="92"/>
      <x:c r="H294" s="92"/>
      <x:c r="I294" s="93" t="str">
        <x:f>IF(B294="","",MAX(0,F294-H294))</x:f>
      </x:c>
      <x:c r="J294" s="46"/>
      <x:c r="K294" s="100" t="str">
        <x:f>IF(B294="","",IF(G294="TL",1,IF(G294="USD",KURLAR!$C$9,IF(G294="EUR",KURLAR!$C$10,0))))</x:f>
      </x:c>
      <x:c r="L294" s="68" t="str">
        <x:f>IF(B294="","",I294*K294)</x:f>
      </x:c>
      <x:c r="M294" s="46"/>
      <x:c r="N294" s="52" t="str">
        <x:f>IF(B294="","",IF(OR(M294="Ödendi",M294="İptal"),"Hayır","Evet"))</x:f>
      </x:c>
    </x:row>
    <x:row r="295">
      <x:c r="B295" s="46"/>
      <x:c r="C295" s="46"/>
      <x:c r="D295" s="112"/>
      <x:c r="E295" s="112"/>
      <x:c r="F295" s="92"/>
      <x:c r="G295" s="92"/>
      <x:c r="H295" s="92"/>
      <x:c r="I295" s="93" t="str">
        <x:f>IF(B295="","",MAX(0,F295-H295))</x:f>
      </x:c>
      <x:c r="J295" s="46"/>
      <x:c r="K295" s="100" t="str">
        <x:f>IF(B295="","",IF(G295="TL",1,IF(G295="USD",KURLAR!$C$9,IF(G295="EUR",KURLAR!$C$10,0))))</x:f>
      </x:c>
      <x:c r="L295" s="68" t="str">
        <x:f>IF(B295="","",I295*K295)</x:f>
      </x:c>
      <x:c r="M295" s="46"/>
      <x:c r="N295" s="52" t="str">
        <x:f>IF(B295="","",IF(OR(M295="Ödendi",M295="İptal"),"Hayır","Evet"))</x:f>
      </x:c>
    </x:row>
    <x:row r="296">
      <x:c r="B296" s="46"/>
      <x:c r="C296" s="46"/>
      <x:c r="D296" s="112"/>
      <x:c r="E296" s="112"/>
      <x:c r="F296" s="92"/>
      <x:c r="G296" s="92"/>
      <x:c r="H296" s="92"/>
      <x:c r="I296" s="93" t="str">
        <x:f>IF(B296="","",MAX(0,F296-H296))</x:f>
      </x:c>
      <x:c r="J296" s="46"/>
      <x:c r="K296" s="100" t="str">
        <x:f>IF(B296="","",IF(G296="TL",1,IF(G296="USD",KURLAR!$C$9,IF(G296="EUR",KURLAR!$C$10,0))))</x:f>
      </x:c>
      <x:c r="L296" s="68" t="str">
        <x:f>IF(B296="","",I296*K296)</x:f>
      </x:c>
      <x:c r="M296" s="46"/>
      <x:c r="N296" s="52" t="str">
        <x:f>IF(B296="","",IF(OR(M296="Ödendi",M296="İptal"),"Hayır","Evet"))</x:f>
      </x:c>
    </x:row>
    <x:row r="297">
      <x:c r="B297" s="46"/>
      <x:c r="C297" s="46"/>
      <x:c r="D297" s="112"/>
      <x:c r="E297" s="112"/>
      <x:c r="F297" s="92"/>
      <x:c r="G297" s="92"/>
      <x:c r="H297" s="92"/>
      <x:c r="I297" s="93" t="str">
        <x:f>IF(B297="","",MAX(0,F297-H297))</x:f>
      </x:c>
      <x:c r="J297" s="46"/>
      <x:c r="K297" s="100" t="str">
        <x:f>IF(B297="","",IF(G297="TL",1,IF(G297="USD",KURLAR!$C$9,IF(G297="EUR",KURLAR!$C$10,0))))</x:f>
      </x:c>
      <x:c r="L297" s="68" t="str">
        <x:f>IF(B297="","",I297*K297)</x:f>
      </x:c>
      <x:c r="M297" s="46"/>
      <x:c r="N297" s="52" t="str">
        <x:f>IF(B297="","",IF(OR(M297="Ödendi",M297="İptal"),"Hayır","Evet"))</x:f>
      </x:c>
    </x:row>
    <x:row r="298">
      <x:c r="B298" s="46"/>
      <x:c r="C298" s="46"/>
      <x:c r="D298" s="112"/>
      <x:c r="E298" s="112"/>
      <x:c r="F298" s="92"/>
      <x:c r="G298" s="92"/>
      <x:c r="H298" s="92"/>
      <x:c r="I298" s="93" t="str">
        <x:f>IF(B298="","",MAX(0,F298-H298))</x:f>
      </x:c>
      <x:c r="J298" s="46"/>
      <x:c r="K298" s="100" t="str">
        <x:f>IF(B298="","",IF(G298="TL",1,IF(G298="USD",KURLAR!$C$9,IF(G298="EUR",KURLAR!$C$10,0))))</x:f>
      </x:c>
      <x:c r="L298" s="68" t="str">
        <x:f>IF(B298="","",I298*K298)</x:f>
      </x:c>
      <x:c r="M298" s="46"/>
      <x:c r="N298" s="52" t="str">
        <x:f>IF(B298="","",IF(OR(M298="Ödendi",M298="İptal"),"Hayır","Evet"))</x:f>
      </x:c>
    </x:row>
    <x:row r="299">
      <x:c r="B299" s="46"/>
      <x:c r="C299" s="46"/>
      <x:c r="D299" s="112"/>
      <x:c r="E299" s="112"/>
      <x:c r="F299" s="92"/>
      <x:c r="G299" s="92"/>
      <x:c r="H299" s="92"/>
      <x:c r="I299" s="93" t="str">
        <x:f>IF(B299="","",MAX(0,F299-H299))</x:f>
      </x:c>
      <x:c r="J299" s="46"/>
      <x:c r="K299" s="100" t="str">
        <x:f>IF(B299="","",IF(G299="TL",1,IF(G299="USD",KURLAR!$C$9,IF(G299="EUR",KURLAR!$C$10,0))))</x:f>
      </x:c>
      <x:c r="L299" s="68" t="str">
        <x:f>IF(B299="","",I299*K299)</x:f>
      </x:c>
      <x:c r="M299" s="46"/>
      <x:c r="N299" s="52" t="str">
        <x:f>IF(B299="","",IF(OR(M299="Ödendi",M299="İptal"),"Hayır","Evet"))</x:f>
      </x:c>
    </x:row>
    <x:row r="300">
      <x:c r="B300" s="46"/>
      <x:c r="C300" s="46"/>
      <x:c r="D300" s="112"/>
      <x:c r="E300" s="112"/>
      <x:c r="F300" s="92"/>
      <x:c r="G300" s="92"/>
      <x:c r="H300" s="92"/>
      <x:c r="I300" s="93" t="str">
        <x:f>IF(B300="","",MAX(0,F300-H300))</x:f>
      </x:c>
      <x:c r="J300" s="46"/>
      <x:c r="K300" s="100" t="str">
        <x:f>IF(B300="","",IF(G300="TL",1,IF(G300="USD",KURLAR!$C$9,IF(G300="EUR",KURLAR!$C$10,0))))</x:f>
      </x:c>
      <x:c r="L300" s="68" t="str">
        <x:f>IF(B300="","",I300*K300)</x:f>
      </x:c>
      <x:c r="M300" s="46"/>
      <x:c r="N300" s="52" t="str">
        <x:f>IF(B300="","",IF(OR(M300="Ödendi",M300="İptal"),"Hayır","Evet"))</x:f>
      </x:c>
    </x:row>
    <x:row r="301">
      <x:c r="B301" s="46"/>
      <x:c r="C301" s="46"/>
      <x:c r="D301" s="112"/>
      <x:c r="E301" s="112"/>
      <x:c r="F301" s="92"/>
      <x:c r="G301" s="92"/>
      <x:c r="H301" s="92"/>
      <x:c r="I301" s="93" t="str">
        <x:f>IF(B301="","",MAX(0,F301-H301))</x:f>
      </x:c>
      <x:c r="J301" s="46"/>
      <x:c r="K301" s="100" t="str">
        <x:f>IF(B301="","",IF(G301="TL",1,IF(G301="USD",KURLAR!$C$9,IF(G301="EUR",KURLAR!$C$10,0))))</x:f>
      </x:c>
      <x:c r="L301" s="68" t="str">
        <x:f>IF(B301="","",I301*K301)</x:f>
      </x:c>
      <x:c r="M301" s="46"/>
      <x:c r="N301" s="52" t="str">
        <x:f>IF(B301="","",IF(OR(M301="Ödendi",M301="İptal"),"Hayır","Evet"))</x:f>
      </x:c>
    </x:row>
    <x:row r="302">
      <x:c r="B302" s="46"/>
      <x:c r="C302" s="46"/>
      <x:c r="D302" s="112"/>
      <x:c r="E302" s="112"/>
      <x:c r="F302" s="92"/>
      <x:c r="G302" s="92"/>
      <x:c r="H302" s="92"/>
      <x:c r="I302" s="93" t="str">
        <x:f>IF(B302="","",MAX(0,F302-H302))</x:f>
      </x:c>
      <x:c r="J302" s="46"/>
      <x:c r="K302" s="100" t="str">
        <x:f>IF(B302="","",IF(G302="TL",1,IF(G302="USD",KURLAR!$C$9,IF(G302="EUR",KURLAR!$C$10,0))))</x:f>
      </x:c>
      <x:c r="L302" s="68" t="str">
        <x:f>IF(B302="","",I302*K302)</x:f>
      </x:c>
      <x:c r="M302" s="46"/>
      <x:c r="N302" s="52" t="str">
        <x:f>IF(B302="","",IF(OR(M302="Ödendi",M302="İptal"),"Hayır","Evet"))</x:f>
      </x:c>
    </x:row>
    <x:row r="303">
      <x:c r="B303" s="46"/>
      <x:c r="C303" s="46"/>
      <x:c r="D303" s="112"/>
      <x:c r="E303" s="112"/>
      <x:c r="F303" s="92"/>
      <x:c r="G303" s="92"/>
      <x:c r="H303" s="92"/>
      <x:c r="I303" s="93" t="str">
        <x:f>IF(B303="","",MAX(0,F303-H303))</x:f>
      </x:c>
      <x:c r="J303" s="46"/>
      <x:c r="K303" s="100" t="str">
        <x:f>IF(B303="","",IF(G303="TL",1,IF(G303="USD",KURLAR!$C$9,IF(G303="EUR",KURLAR!$C$10,0))))</x:f>
      </x:c>
      <x:c r="L303" s="68" t="str">
        <x:f>IF(B303="","",I303*K303)</x:f>
      </x:c>
      <x:c r="M303" s="46"/>
      <x:c r="N303" s="52" t="str">
        <x:f>IF(B303="","",IF(OR(M303="Ödendi",M303="İptal"),"Hayır","Evet"))</x:f>
      </x:c>
    </x:row>
    <x:row r="304">
      <x:c r="B304" s="46"/>
      <x:c r="C304" s="46"/>
      <x:c r="D304" s="112"/>
      <x:c r="E304" s="112"/>
      <x:c r="F304" s="92"/>
      <x:c r="G304" s="92"/>
      <x:c r="H304" s="92"/>
      <x:c r="I304" s="93" t="str">
        <x:f>IF(B304="","",MAX(0,F304-H304))</x:f>
      </x:c>
      <x:c r="J304" s="46"/>
      <x:c r="K304" s="100" t="str">
        <x:f>IF(B304="","",IF(G304="TL",1,IF(G304="USD",KURLAR!$C$9,IF(G304="EUR",KURLAR!$C$10,0))))</x:f>
      </x:c>
      <x:c r="L304" s="68" t="str">
        <x:f>IF(B304="","",I304*K304)</x:f>
      </x:c>
      <x:c r="M304" s="46"/>
      <x:c r="N304" s="52" t="str">
        <x:f>IF(B304="","",IF(OR(M304="Ödendi",M304="İptal"),"Hayır","Evet"))</x:f>
      </x:c>
    </x:row>
    <x:row r="305">
      <x:c r="B305" s="46"/>
      <x:c r="C305" s="46"/>
      <x:c r="D305" s="112"/>
      <x:c r="E305" s="112"/>
      <x:c r="F305" s="92"/>
      <x:c r="G305" s="92"/>
      <x:c r="H305" s="92"/>
      <x:c r="I305" s="93" t="str">
        <x:f>IF(B305="","",MAX(0,F305-H305))</x:f>
      </x:c>
      <x:c r="J305" s="46"/>
      <x:c r="K305" s="100" t="str">
        <x:f>IF(B305="","",IF(G305="TL",1,IF(G305="USD",KURLAR!$C$9,IF(G305="EUR",KURLAR!$C$10,0))))</x:f>
      </x:c>
      <x:c r="L305" s="68" t="str">
        <x:f>IF(B305="","",I305*K305)</x:f>
      </x:c>
      <x:c r="M305" s="46"/>
      <x:c r="N305" s="52" t="str">
        <x:f>IF(B305="","",IF(OR(M305="Ödendi",M305="İptal"),"Hayır","Evet"))</x:f>
      </x:c>
    </x:row>
    <x:row r="306">
      <x:c r="B306" s="46"/>
      <x:c r="C306" s="46"/>
      <x:c r="D306" s="112"/>
      <x:c r="E306" s="112"/>
      <x:c r="F306" s="92"/>
      <x:c r="G306" s="92"/>
      <x:c r="H306" s="92"/>
      <x:c r="I306" s="93" t="str">
        <x:f>IF(B306="","",MAX(0,F306-H306))</x:f>
      </x:c>
      <x:c r="J306" s="46"/>
      <x:c r="K306" s="100" t="str">
        <x:f>IF(B306="","",IF(G306="TL",1,IF(G306="USD",KURLAR!$C$9,IF(G306="EUR",KURLAR!$C$10,0))))</x:f>
      </x:c>
      <x:c r="L306" s="68" t="str">
        <x:f>IF(B306="","",I306*K306)</x:f>
      </x:c>
      <x:c r="M306" s="46"/>
      <x:c r="N306" s="52" t="str">
        <x:f>IF(B306="","",IF(OR(M306="Ödendi",M306="İptal"),"Hayır","Evet"))</x:f>
      </x:c>
    </x:row>
    <x:row r="307">
      <x:c r="B307" s="46"/>
      <x:c r="C307" s="46"/>
      <x:c r="D307" s="112"/>
      <x:c r="E307" s="112"/>
      <x:c r="F307" s="92"/>
      <x:c r="G307" s="92"/>
      <x:c r="H307" s="92"/>
      <x:c r="I307" s="93" t="str">
        <x:f>IF(B307="","",MAX(0,F307-H307))</x:f>
      </x:c>
      <x:c r="J307" s="46"/>
      <x:c r="K307" s="100" t="str">
        <x:f>IF(B307="","",IF(G307="TL",1,IF(G307="USD",KURLAR!$C$9,IF(G307="EUR",KURLAR!$C$10,0))))</x:f>
      </x:c>
      <x:c r="L307" s="68" t="str">
        <x:f>IF(B307="","",I307*K307)</x:f>
      </x:c>
      <x:c r="M307" s="46"/>
      <x:c r="N307" s="52" t="str">
        <x:f>IF(B307="","",IF(OR(M307="Ödendi",M307="İptal"),"Hayır","Evet"))</x:f>
      </x:c>
    </x:row>
    <x:row r="308">
      <x:c r="B308" s="46"/>
      <x:c r="C308" s="46"/>
      <x:c r="D308" s="112"/>
      <x:c r="E308" s="112"/>
      <x:c r="F308" s="92"/>
      <x:c r="G308" s="92"/>
      <x:c r="H308" s="92"/>
      <x:c r="I308" s="93" t="str">
        <x:f>IF(B308="","",MAX(0,F308-H308))</x:f>
      </x:c>
      <x:c r="J308" s="46"/>
      <x:c r="K308" s="100" t="str">
        <x:f>IF(B308="","",IF(G308="TL",1,IF(G308="USD",KURLAR!$C$9,IF(G308="EUR",KURLAR!$C$10,0))))</x:f>
      </x:c>
      <x:c r="L308" s="68" t="str">
        <x:f>IF(B308="","",I308*K308)</x:f>
      </x:c>
      <x:c r="M308" s="46"/>
      <x:c r="N308" s="52" t="str">
        <x:f>IF(B308="","",IF(OR(M308="Ödendi",M308="İptal"),"Hayır","Evet"))</x:f>
      </x:c>
    </x:row>
    <x:row r="309">
      <x:c r="B309" s="46"/>
      <x:c r="C309" s="46"/>
      <x:c r="D309" s="112"/>
      <x:c r="E309" s="112"/>
      <x:c r="F309" s="92"/>
      <x:c r="G309" s="92"/>
      <x:c r="H309" s="92"/>
      <x:c r="I309" s="93" t="str">
        <x:f>IF(B309="","",MAX(0,F309-H309))</x:f>
      </x:c>
      <x:c r="J309" s="46"/>
      <x:c r="K309" s="100" t="str">
        <x:f>IF(B309="","",IF(G309="TL",1,IF(G309="USD",KURLAR!$C$9,IF(G309="EUR",KURLAR!$C$10,0))))</x:f>
      </x:c>
      <x:c r="L309" s="68" t="str">
        <x:f>IF(B309="","",I309*K309)</x:f>
      </x:c>
      <x:c r="M309" s="46"/>
      <x:c r="N309" s="52" t="str">
        <x:f>IF(B309="","",IF(OR(M309="Ödendi",M309="İptal"),"Hayır","Evet"))</x:f>
      </x:c>
    </x:row>
    <x:row r="310">
      <x:c r="B310" s="46"/>
      <x:c r="C310" s="46"/>
      <x:c r="D310" s="112"/>
      <x:c r="E310" s="112"/>
      <x:c r="F310" s="92"/>
      <x:c r="G310" s="92"/>
      <x:c r="H310" s="92"/>
      <x:c r="I310" s="93" t="str">
        <x:f>IF(B310="","",MAX(0,F310-H310))</x:f>
      </x:c>
      <x:c r="J310" s="46"/>
      <x:c r="K310" s="100" t="str">
        <x:f>IF(B310="","",IF(G310="TL",1,IF(G310="USD",KURLAR!$C$9,IF(G310="EUR",KURLAR!$C$10,0))))</x:f>
      </x:c>
      <x:c r="L310" s="68" t="str">
        <x:f>IF(B310="","",I310*K310)</x:f>
      </x:c>
      <x:c r="M310" s="46"/>
      <x:c r="N310" s="52" t="str">
        <x:f>IF(B310="","",IF(OR(M310="Ödendi",M310="İptal"),"Hayır","Evet"))</x:f>
      </x:c>
    </x:row>
    <x:row r="311">
      <x:c r="B311" s="46"/>
      <x:c r="C311" s="46"/>
      <x:c r="D311" s="112"/>
      <x:c r="E311" s="112"/>
      <x:c r="F311" s="92"/>
      <x:c r="G311" s="92"/>
      <x:c r="H311" s="92"/>
      <x:c r="I311" s="93" t="str">
        <x:f>IF(B311="","",MAX(0,F311-H311))</x:f>
      </x:c>
      <x:c r="J311" s="46"/>
      <x:c r="K311" s="100" t="str">
        <x:f>IF(B311="","",IF(G311="TL",1,IF(G311="USD",KURLAR!$C$9,IF(G311="EUR",KURLAR!$C$10,0))))</x:f>
      </x:c>
      <x:c r="L311" s="68" t="str">
        <x:f>IF(B311="","",I311*K311)</x:f>
      </x:c>
      <x:c r="M311" s="46"/>
      <x:c r="N311" s="52" t="str">
        <x:f>IF(B311="","",IF(OR(M311="Ödendi",M311="İptal"),"Hayır","Evet"))</x:f>
      </x:c>
    </x:row>
    <x:row r="312">
      <x:c r="B312" s="46"/>
      <x:c r="C312" s="46"/>
      <x:c r="D312" s="112"/>
      <x:c r="E312" s="112"/>
      <x:c r="F312" s="92"/>
      <x:c r="G312" s="92"/>
      <x:c r="H312" s="92"/>
      <x:c r="I312" s="93" t="str">
        <x:f>IF(B312="","",MAX(0,F312-H312))</x:f>
      </x:c>
      <x:c r="J312" s="46"/>
      <x:c r="K312" s="100" t="str">
        <x:f>IF(B312="","",IF(G312="TL",1,IF(G312="USD",KURLAR!$C$9,IF(G312="EUR",KURLAR!$C$10,0))))</x:f>
      </x:c>
      <x:c r="L312" s="68" t="str">
        <x:f>IF(B312="","",I312*K312)</x:f>
      </x:c>
      <x:c r="M312" s="46"/>
      <x:c r="N312" s="52" t="str">
        <x:f>IF(B312="","",IF(OR(M312="Ödendi",M312="İptal"),"Hayır","Evet"))</x:f>
      </x:c>
    </x:row>
    <x:row r="313">
      <x:c r="B313" s="46"/>
      <x:c r="C313" s="46"/>
      <x:c r="D313" s="112"/>
      <x:c r="E313" s="112"/>
      <x:c r="F313" s="92"/>
      <x:c r="G313" s="92"/>
      <x:c r="H313" s="92"/>
      <x:c r="I313" s="93" t="str">
        <x:f>IF(B313="","",MAX(0,F313-H313))</x:f>
      </x:c>
      <x:c r="J313" s="46"/>
      <x:c r="K313" s="100" t="str">
        <x:f>IF(B313="","",IF(G313="TL",1,IF(G313="USD",KURLAR!$C$9,IF(G313="EUR",KURLAR!$C$10,0))))</x:f>
      </x:c>
      <x:c r="L313" s="68" t="str">
        <x:f>IF(B313="","",I313*K313)</x:f>
      </x:c>
      <x:c r="M313" s="46"/>
      <x:c r="N313" s="52" t="str">
        <x:f>IF(B313="","",IF(OR(M313="Ödendi",M313="İptal"),"Hayır","Evet"))</x:f>
      </x:c>
    </x:row>
    <x:row r="314">
      <x:c r="B314" s="46"/>
      <x:c r="C314" s="46"/>
      <x:c r="D314" s="112"/>
      <x:c r="E314" s="112"/>
      <x:c r="F314" s="92"/>
      <x:c r="G314" s="92"/>
      <x:c r="H314" s="92"/>
      <x:c r="I314" s="93" t="str">
        <x:f>IF(B314="","",MAX(0,F314-H314))</x:f>
      </x:c>
      <x:c r="J314" s="46"/>
      <x:c r="K314" s="100" t="str">
        <x:f>IF(B314="","",IF(G314="TL",1,IF(G314="USD",KURLAR!$C$9,IF(G314="EUR",KURLAR!$C$10,0))))</x:f>
      </x:c>
      <x:c r="L314" s="68" t="str">
        <x:f>IF(B314="","",I314*K314)</x:f>
      </x:c>
      <x:c r="M314" s="46"/>
      <x:c r="N314" s="52" t="str">
        <x:f>IF(B314="","",IF(OR(M314="Ödendi",M314="İptal"),"Hayır","Evet"))</x:f>
      </x:c>
    </x:row>
    <x:row r="315">
      <x:c r="B315" s="46"/>
      <x:c r="C315" s="46"/>
      <x:c r="D315" s="112"/>
      <x:c r="E315" s="112"/>
      <x:c r="F315" s="92"/>
      <x:c r="G315" s="92"/>
      <x:c r="H315" s="92"/>
      <x:c r="I315" s="93" t="str">
        <x:f>IF(B315="","",MAX(0,F315-H315))</x:f>
      </x:c>
      <x:c r="J315" s="46"/>
      <x:c r="K315" s="100" t="str">
        <x:f>IF(B315="","",IF(G315="TL",1,IF(G315="USD",KURLAR!$C$9,IF(G315="EUR",KURLAR!$C$10,0))))</x:f>
      </x:c>
      <x:c r="L315" s="68" t="str">
        <x:f>IF(B315="","",I315*K315)</x:f>
      </x:c>
      <x:c r="M315" s="46"/>
      <x:c r="N315" s="52" t="str">
        <x:f>IF(B315="","",IF(OR(M315="Ödendi",M315="İptal"),"Hayır","Evet"))</x:f>
      </x:c>
    </x:row>
    <x:row r="316">
      <x:c r="B316" s="46"/>
      <x:c r="C316" s="46"/>
      <x:c r="D316" s="112"/>
      <x:c r="E316" s="112"/>
      <x:c r="F316" s="92"/>
      <x:c r="G316" s="92"/>
      <x:c r="H316" s="92"/>
      <x:c r="I316" s="93" t="str">
        <x:f>IF(B316="","",MAX(0,F316-H316))</x:f>
      </x:c>
      <x:c r="J316" s="46"/>
      <x:c r="K316" s="100" t="str">
        <x:f>IF(B316="","",IF(G316="TL",1,IF(G316="USD",KURLAR!$C$9,IF(G316="EUR",KURLAR!$C$10,0))))</x:f>
      </x:c>
      <x:c r="L316" s="68" t="str">
        <x:f>IF(B316="","",I316*K316)</x:f>
      </x:c>
      <x:c r="M316" s="46"/>
      <x:c r="N316" s="52" t="str">
        <x:f>IF(B316="","",IF(OR(M316="Ödendi",M316="İptal"),"Hayır","Evet"))</x:f>
      </x:c>
    </x:row>
    <x:row r="317">
      <x:c r="B317" s="46"/>
      <x:c r="C317" s="46"/>
      <x:c r="D317" s="112"/>
      <x:c r="E317" s="112"/>
      <x:c r="F317" s="92"/>
      <x:c r="G317" s="92"/>
      <x:c r="H317" s="92"/>
      <x:c r="I317" s="93" t="str">
        <x:f>IF(B317="","",MAX(0,F317-H317))</x:f>
      </x:c>
      <x:c r="J317" s="46"/>
      <x:c r="K317" s="100" t="str">
        <x:f>IF(B317="","",IF(G317="TL",1,IF(G317="USD",KURLAR!$C$9,IF(G317="EUR",KURLAR!$C$10,0))))</x:f>
      </x:c>
      <x:c r="L317" s="68" t="str">
        <x:f>IF(B317="","",I317*K317)</x:f>
      </x:c>
      <x:c r="M317" s="46"/>
      <x:c r="N317" s="52" t="str">
        <x:f>IF(B317="","",IF(OR(M317="Ödendi",M317="İptal"),"Hayır","Evet"))</x:f>
      </x:c>
    </x:row>
    <x:row r="318">
      <x:c r="B318" s="46"/>
      <x:c r="C318" s="46"/>
      <x:c r="D318" s="112"/>
      <x:c r="E318" s="112"/>
      <x:c r="F318" s="92"/>
      <x:c r="G318" s="92"/>
      <x:c r="H318" s="92"/>
      <x:c r="I318" s="93" t="str">
        <x:f>IF(B318="","",MAX(0,F318-H318))</x:f>
      </x:c>
      <x:c r="J318" s="46"/>
      <x:c r="K318" s="100" t="str">
        <x:f>IF(B318="","",IF(G318="TL",1,IF(G318="USD",KURLAR!$C$9,IF(G318="EUR",KURLAR!$C$10,0))))</x:f>
      </x:c>
      <x:c r="L318" s="68" t="str">
        <x:f>IF(B318="","",I318*K318)</x:f>
      </x:c>
      <x:c r="M318" s="46"/>
      <x:c r="N318" s="52" t="str">
        <x:f>IF(B318="","",IF(OR(M318="Ödendi",M318="İptal"),"Hayır","Evet"))</x:f>
      </x:c>
    </x:row>
    <x:row r="319">
      <x:c r="B319" s="46"/>
      <x:c r="C319" s="46"/>
      <x:c r="D319" s="112"/>
      <x:c r="E319" s="112"/>
      <x:c r="F319" s="92"/>
      <x:c r="G319" s="92"/>
      <x:c r="H319" s="92"/>
      <x:c r="I319" s="93" t="str">
        <x:f>IF(B319="","",MAX(0,F319-H319))</x:f>
      </x:c>
      <x:c r="J319" s="46"/>
      <x:c r="K319" s="100" t="str">
        <x:f>IF(B319="","",IF(G319="TL",1,IF(G319="USD",KURLAR!$C$9,IF(G319="EUR",KURLAR!$C$10,0))))</x:f>
      </x:c>
      <x:c r="L319" s="68" t="str">
        <x:f>IF(B319="","",I319*K319)</x:f>
      </x:c>
      <x:c r="M319" s="46"/>
      <x:c r="N319" s="52" t="str">
        <x:f>IF(B319="","",IF(OR(M319="Ödendi",M319="İptal"),"Hayır","Evet"))</x:f>
      </x:c>
    </x:row>
    <x:row r="320">
      <x:c r="B320" s="46"/>
      <x:c r="C320" s="46"/>
      <x:c r="D320" s="112"/>
      <x:c r="E320" s="112"/>
      <x:c r="F320" s="92"/>
      <x:c r="G320" s="92"/>
      <x:c r="H320" s="92"/>
      <x:c r="I320" s="93" t="str">
        <x:f>IF(B320="","",MAX(0,F320-H320))</x:f>
      </x:c>
      <x:c r="J320" s="46"/>
      <x:c r="K320" s="100" t="str">
        <x:f>IF(B320="","",IF(G320="TL",1,IF(G320="USD",KURLAR!$C$9,IF(G320="EUR",KURLAR!$C$10,0))))</x:f>
      </x:c>
      <x:c r="L320" s="68" t="str">
        <x:f>IF(B320="","",I320*K320)</x:f>
      </x:c>
      <x:c r="M320" s="46"/>
      <x:c r="N320" s="52" t="str">
        <x:f>IF(B320="","",IF(OR(M320="Ödendi",M320="İptal"),"Hayır","Evet"))</x:f>
      </x:c>
    </x:row>
    <x:row r="321">
      <x:c r="B321" s="46"/>
      <x:c r="C321" s="46"/>
      <x:c r="D321" s="112"/>
      <x:c r="E321" s="112"/>
      <x:c r="F321" s="92"/>
      <x:c r="G321" s="92"/>
      <x:c r="H321" s="92"/>
      <x:c r="I321" s="93" t="str">
        <x:f>IF(B321="","",MAX(0,F321-H321))</x:f>
      </x:c>
      <x:c r="J321" s="46"/>
      <x:c r="K321" s="100" t="str">
        <x:f>IF(B321="","",IF(G321="TL",1,IF(G321="USD",KURLAR!$C$9,IF(G321="EUR",KURLAR!$C$10,0))))</x:f>
      </x:c>
      <x:c r="L321" s="68" t="str">
        <x:f>IF(B321="","",I321*K321)</x:f>
      </x:c>
      <x:c r="M321" s="46"/>
      <x:c r="N321" s="52" t="str">
        <x:f>IF(B321="","",IF(OR(M321="Ödendi",M321="İptal"),"Hayır","Evet"))</x:f>
      </x:c>
    </x:row>
    <x:row r="322">
      <x:c r="B322" s="46"/>
      <x:c r="C322" s="46"/>
      <x:c r="D322" s="112"/>
      <x:c r="E322" s="112"/>
      <x:c r="F322" s="92"/>
      <x:c r="G322" s="92"/>
      <x:c r="H322" s="92"/>
      <x:c r="I322" s="93" t="str">
        <x:f>IF(B322="","",MAX(0,F322-H322))</x:f>
      </x:c>
      <x:c r="J322" s="46"/>
      <x:c r="K322" s="100" t="str">
        <x:f>IF(B322="","",IF(G322="TL",1,IF(G322="USD",KURLAR!$C$9,IF(G322="EUR",KURLAR!$C$10,0))))</x:f>
      </x:c>
      <x:c r="L322" s="68" t="str">
        <x:f>IF(B322="","",I322*K322)</x:f>
      </x:c>
      <x:c r="M322" s="46"/>
      <x:c r="N322" s="52" t="str">
        <x:f>IF(B322="","",IF(OR(M322="Ödendi",M322="İptal"),"Hayır","Evet"))</x:f>
      </x:c>
    </x:row>
    <x:row r="323">
      <x:c r="B323" s="46"/>
      <x:c r="C323" s="46"/>
      <x:c r="D323" s="112"/>
      <x:c r="E323" s="112"/>
      <x:c r="F323" s="92"/>
      <x:c r="G323" s="92"/>
      <x:c r="H323" s="92"/>
      <x:c r="I323" s="93" t="str">
        <x:f>IF(B323="","",MAX(0,F323-H323))</x:f>
      </x:c>
      <x:c r="J323" s="46"/>
      <x:c r="K323" s="100" t="str">
        <x:f>IF(B323="","",IF(G323="TL",1,IF(G323="USD",KURLAR!$C$9,IF(G323="EUR",KURLAR!$C$10,0))))</x:f>
      </x:c>
      <x:c r="L323" s="68" t="str">
        <x:f>IF(B323="","",I323*K323)</x:f>
      </x:c>
      <x:c r="M323" s="46"/>
      <x:c r="N323" s="52" t="str">
        <x:f>IF(B323="","",IF(OR(M323="Ödendi",M323="İptal"),"Hayır","Evet"))</x:f>
      </x:c>
    </x:row>
    <x:row r="324">
      <x:c r="B324" s="46"/>
      <x:c r="C324" s="46"/>
      <x:c r="D324" s="112"/>
      <x:c r="E324" s="112"/>
      <x:c r="F324" s="92"/>
      <x:c r="G324" s="92"/>
      <x:c r="H324" s="92"/>
      <x:c r="I324" s="93" t="str">
        <x:f>IF(B324="","",MAX(0,F324-H324))</x:f>
      </x:c>
      <x:c r="J324" s="46"/>
      <x:c r="K324" s="100" t="str">
        <x:f>IF(B324="","",IF(G324="TL",1,IF(G324="USD",KURLAR!$C$9,IF(G324="EUR",KURLAR!$C$10,0))))</x:f>
      </x:c>
      <x:c r="L324" s="68" t="str">
        <x:f>IF(B324="","",I324*K324)</x:f>
      </x:c>
      <x:c r="M324" s="46"/>
      <x:c r="N324" s="52" t="str">
        <x:f>IF(B324="","",IF(OR(M324="Ödendi",M324="İptal"),"Hayır","Evet"))</x:f>
      </x:c>
    </x:row>
    <x:row r="325">
      <x:c r="B325" s="46"/>
      <x:c r="C325" s="46"/>
      <x:c r="D325" s="112"/>
      <x:c r="E325" s="112"/>
      <x:c r="F325" s="92"/>
      <x:c r="G325" s="92"/>
      <x:c r="H325" s="92"/>
      <x:c r="I325" s="93" t="str">
        <x:f>IF(B325="","",MAX(0,F325-H325))</x:f>
      </x:c>
      <x:c r="J325" s="46"/>
      <x:c r="K325" s="100" t="str">
        <x:f>IF(B325="","",IF(G325="TL",1,IF(G325="USD",KURLAR!$C$9,IF(G325="EUR",KURLAR!$C$10,0))))</x:f>
      </x:c>
      <x:c r="L325" s="68" t="str">
        <x:f>IF(B325="","",I325*K325)</x:f>
      </x:c>
      <x:c r="M325" s="46"/>
      <x:c r="N325" s="52" t="str">
        <x:f>IF(B325="","",IF(OR(M325="Ödendi",M325="İptal"),"Hayır","Evet"))</x:f>
      </x:c>
    </x:row>
    <x:row r="326">
      <x:c r="B326" s="46"/>
      <x:c r="C326" s="46"/>
      <x:c r="D326" s="112"/>
      <x:c r="E326" s="112"/>
      <x:c r="F326" s="92"/>
      <x:c r="G326" s="92"/>
      <x:c r="H326" s="92"/>
      <x:c r="I326" s="93" t="str">
        <x:f>IF(B326="","",MAX(0,F326-H326))</x:f>
      </x:c>
      <x:c r="J326" s="46"/>
      <x:c r="K326" s="100" t="str">
        <x:f>IF(B326="","",IF(G326="TL",1,IF(G326="USD",KURLAR!$C$9,IF(G326="EUR",KURLAR!$C$10,0))))</x:f>
      </x:c>
      <x:c r="L326" s="68" t="str">
        <x:f>IF(B326="","",I326*K326)</x:f>
      </x:c>
      <x:c r="M326" s="46"/>
      <x:c r="N326" s="52" t="str">
        <x:f>IF(B326="","",IF(OR(M326="Ödendi",M326="İptal"),"Hayır","Evet"))</x:f>
      </x:c>
    </x:row>
    <x:row r="327">
      <x:c r="B327" s="46"/>
      <x:c r="C327" s="46"/>
      <x:c r="D327" s="112"/>
      <x:c r="E327" s="112"/>
      <x:c r="F327" s="92"/>
      <x:c r="G327" s="92"/>
      <x:c r="H327" s="92"/>
      <x:c r="I327" s="93" t="str">
        <x:f>IF(B327="","",MAX(0,F327-H327))</x:f>
      </x:c>
      <x:c r="J327" s="46"/>
      <x:c r="K327" s="100" t="str">
        <x:f>IF(B327="","",IF(G327="TL",1,IF(G327="USD",KURLAR!$C$9,IF(G327="EUR",KURLAR!$C$10,0))))</x:f>
      </x:c>
      <x:c r="L327" s="68" t="str">
        <x:f>IF(B327="","",I327*K327)</x:f>
      </x:c>
      <x:c r="M327" s="46"/>
      <x:c r="N327" s="52" t="str">
        <x:f>IF(B327="","",IF(OR(M327="Ödendi",M327="İptal"),"Hayır","Evet"))</x:f>
      </x:c>
    </x:row>
    <x:row r="328">
      <x:c r="B328" s="46"/>
      <x:c r="C328" s="46"/>
      <x:c r="D328" s="112"/>
      <x:c r="E328" s="112"/>
      <x:c r="F328" s="92"/>
      <x:c r="G328" s="92"/>
      <x:c r="H328" s="92"/>
      <x:c r="I328" s="93" t="str">
        <x:f>IF(B328="","",MAX(0,F328-H328))</x:f>
      </x:c>
      <x:c r="J328" s="46"/>
      <x:c r="K328" s="100" t="str">
        <x:f>IF(B328="","",IF(G328="TL",1,IF(G328="USD",KURLAR!$C$9,IF(G328="EUR",KURLAR!$C$10,0))))</x:f>
      </x:c>
      <x:c r="L328" s="68" t="str">
        <x:f>IF(B328="","",I328*K328)</x:f>
      </x:c>
      <x:c r="M328" s="46"/>
      <x:c r="N328" s="52" t="str">
        <x:f>IF(B328="","",IF(OR(M328="Ödendi",M328="İptal"),"Hayır","Evet"))</x:f>
      </x:c>
    </x:row>
    <x:row r="329">
      <x:c r="B329" s="46"/>
      <x:c r="C329" s="46"/>
      <x:c r="D329" s="112"/>
      <x:c r="E329" s="112"/>
      <x:c r="F329" s="92"/>
      <x:c r="G329" s="92"/>
      <x:c r="H329" s="92"/>
      <x:c r="I329" s="93" t="str">
        <x:f>IF(B329="","",MAX(0,F329-H329))</x:f>
      </x:c>
      <x:c r="J329" s="46"/>
      <x:c r="K329" s="100" t="str">
        <x:f>IF(B329="","",IF(G329="TL",1,IF(G329="USD",KURLAR!$C$9,IF(G329="EUR",KURLAR!$C$10,0))))</x:f>
      </x:c>
      <x:c r="L329" s="68" t="str">
        <x:f>IF(B329="","",I329*K329)</x:f>
      </x:c>
      <x:c r="M329" s="46"/>
      <x:c r="N329" s="52" t="str">
        <x:f>IF(B329="","",IF(OR(M329="Ödendi",M329="İptal"),"Hayır","Evet"))</x:f>
      </x:c>
    </x:row>
    <x:row r="330">
      <x:c r="B330" s="46"/>
      <x:c r="C330" s="46"/>
      <x:c r="D330" s="112"/>
      <x:c r="E330" s="112"/>
      <x:c r="F330" s="92"/>
      <x:c r="G330" s="92"/>
      <x:c r="H330" s="92"/>
      <x:c r="I330" s="93" t="str">
        <x:f>IF(B330="","",MAX(0,F330-H330))</x:f>
      </x:c>
      <x:c r="J330" s="46"/>
      <x:c r="K330" s="100" t="str">
        <x:f>IF(B330="","",IF(G330="TL",1,IF(G330="USD",KURLAR!$C$9,IF(G330="EUR",KURLAR!$C$10,0))))</x:f>
      </x:c>
      <x:c r="L330" s="68" t="str">
        <x:f>IF(B330="","",I330*K330)</x:f>
      </x:c>
      <x:c r="M330" s="46"/>
      <x:c r="N330" s="52" t="str">
        <x:f>IF(B330="","",IF(OR(M330="Ödendi",M330="İptal"),"Hayır","Evet"))</x:f>
      </x:c>
    </x:row>
    <x:row r="331">
      <x:c r="B331" s="46"/>
      <x:c r="C331" s="46"/>
      <x:c r="D331" s="112"/>
      <x:c r="E331" s="112"/>
      <x:c r="F331" s="92"/>
      <x:c r="G331" s="92"/>
      <x:c r="H331" s="92"/>
      <x:c r="I331" s="93" t="str">
        <x:f>IF(B331="","",MAX(0,F331-H331))</x:f>
      </x:c>
      <x:c r="J331" s="46"/>
      <x:c r="K331" s="100" t="str">
        <x:f>IF(B331="","",IF(G331="TL",1,IF(G331="USD",KURLAR!$C$9,IF(G331="EUR",KURLAR!$C$10,0))))</x:f>
      </x:c>
      <x:c r="L331" s="68" t="str">
        <x:f>IF(B331="","",I331*K331)</x:f>
      </x:c>
      <x:c r="M331" s="46"/>
      <x:c r="N331" s="52" t="str">
        <x:f>IF(B331="","",IF(OR(M331="Ödendi",M331="İptal"),"Hayır","Evet"))</x:f>
      </x:c>
    </x:row>
    <x:row r="332">
      <x:c r="B332" s="46"/>
      <x:c r="C332" s="46"/>
      <x:c r="D332" s="112"/>
      <x:c r="E332" s="112"/>
      <x:c r="F332" s="92"/>
      <x:c r="G332" s="92"/>
      <x:c r="H332" s="92"/>
      <x:c r="I332" s="93" t="str">
        <x:f>IF(B332="","",MAX(0,F332-H332))</x:f>
      </x:c>
      <x:c r="J332" s="46"/>
      <x:c r="K332" s="100" t="str">
        <x:f>IF(B332="","",IF(G332="TL",1,IF(G332="USD",KURLAR!$C$9,IF(G332="EUR",KURLAR!$C$10,0))))</x:f>
      </x:c>
      <x:c r="L332" s="68" t="str">
        <x:f>IF(B332="","",I332*K332)</x:f>
      </x:c>
      <x:c r="M332" s="46"/>
      <x:c r="N332" s="52" t="str">
        <x:f>IF(B332="","",IF(OR(M332="Ödendi",M332="İptal"),"Hayır","Evet"))</x:f>
      </x:c>
    </x:row>
    <x:row r="333">
      <x:c r="B333" s="46"/>
      <x:c r="C333" s="46"/>
      <x:c r="D333" s="112"/>
      <x:c r="E333" s="112"/>
      <x:c r="F333" s="92"/>
      <x:c r="G333" s="92"/>
      <x:c r="H333" s="92"/>
      <x:c r="I333" s="93" t="str">
        <x:f>IF(B333="","",MAX(0,F333-H333))</x:f>
      </x:c>
      <x:c r="J333" s="46"/>
      <x:c r="K333" s="100" t="str">
        <x:f>IF(B333="","",IF(G333="TL",1,IF(G333="USD",KURLAR!$C$9,IF(G333="EUR",KURLAR!$C$10,0))))</x:f>
      </x:c>
      <x:c r="L333" s="68" t="str">
        <x:f>IF(B333="","",I333*K333)</x:f>
      </x:c>
      <x:c r="M333" s="46"/>
      <x:c r="N333" s="52" t="str">
        <x:f>IF(B333="","",IF(OR(M333="Ödendi",M333="İptal"),"Hayır","Evet"))</x:f>
      </x:c>
    </x:row>
    <x:row r="334">
      <x:c r="B334" s="46"/>
      <x:c r="C334" s="46"/>
      <x:c r="D334" s="112"/>
      <x:c r="E334" s="112"/>
      <x:c r="F334" s="92"/>
      <x:c r="G334" s="92"/>
      <x:c r="H334" s="92"/>
      <x:c r="I334" s="93" t="str">
        <x:f>IF(B334="","",MAX(0,F334-H334))</x:f>
      </x:c>
      <x:c r="J334" s="46"/>
      <x:c r="K334" s="100" t="str">
        <x:f>IF(B334="","",IF(G334="TL",1,IF(G334="USD",KURLAR!$C$9,IF(G334="EUR",KURLAR!$C$10,0))))</x:f>
      </x:c>
      <x:c r="L334" s="68" t="str">
        <x:f>IF(B334="","",I334*K334)</x:f>
      </x:c>
      <x:c r="M334" s="46"/>
      <x:c r="N334" s="52" t="str">
        <x:f>IF(B334="","",IF(OR(M334="Ödendi",M334="İptal"),"Hayır","Evet"))</x:f>
      </x:c>
    </x:row>
    <x:row r="335">
      <x:c r="B335" s="46"/>
      <x:c r="C335" s="46"/>
      <x:c r="D335" s="112"/>
      <x:c r="E335" s="112"/>
      <x:c r="F335" s="92"/>
      <x:c r="G335" s="92"/>
      <x:c r="H335" s="92"/>
      <x:c r="I335" s="93" t="str">
        <x:f>IF(B335="","",MAX(0,F335-H335))</x:f>
      </x:c>
      <x:c r="J335" s="46"/>
      <x:c r="K335" s="100" t="str">
        <x:f>IF(B335="","",IF(G335="TL",1,IF(G335="USD",KURLAR!$C$9,IF(G335="EUR",KURLAR!$C$10,0))))</x:f>
      </x:c>
      <x:c r="L335" s="68" t="str">
        <x:f>IF(B335="","",I335*K335)</x:f>
      </x:c>
      <x:c r="M335" s="46"/>
      <x:c r="N335" s="52" t="str">
        <x:f>IF(B335="","",IF(OR(M335="Ödendi",M335="İptal"),"Hayır","Evet"))</x:f>
      </x:c>
    </x:row>
    <x:row r="336">
      <x:c r="B336" s="46"/>
      <x:c r="C336" s="46"/>
      <x:c r="D336" s="112"/>
      <x:c r="E336" s="112"/>
      <x:c r="F336" s="92"/>
      <x:c r="G336" s="92"/>
      <x:c r="H336" s="92"/>
      <x:c r="I336" s="93" t="str">
        <x:f>IF(B336="","",MAX(0,F336-H336))</x:f>
      </x:c>
      <x:c r="J336" s="46"/>
      <x:c r="K336" s="100" t="str">
        <x:f>IF(B336="","",IF(G336="TL",1,IF(G336="USD",KURLAR!$C$9,IF(G336="EUR",KURLAR!$C$10,0))))</x:f>
      </x:c>
      <x:c r="L336" s="68" t="str">
        <x:f>IF(B336="","",I336*K336)</x:f>
      </x:c>
      <x:c r="M336" s="46"/>
      <x:c r="N336" s="52" t="str">
        <x:f>IF(B336="","",IF(OR(M336="Ödendi",M336="İptal"),"Hayır","Evet"))</x:f>
      </x:c>
    </x:row>
    <x:row r="337">
      <x:c r="B337" s="46"/>
      <x:c r="C337" s="46"/>
      <x:c r="D337" s="112"/>
      <x:c r="E337" s="112"/>
      <x:c r="F337" s="92"/>
      <x:c r="G337" s="92"/>
      <x:c r="H337" s="92"/>
      <x:c r="I337" s="93" t="str">
        <x:f>IF(B337="","",MAX(0,F337-H337))</x:f>
      </x:c>
      <x:c r="J337" s="46"/>
      <x:c r="K337" s="100" t="str">
        <x:f>IF(B337="","",IF(G337="TL",1,IF(G337="USD",KURLAR!$C$9,IF(G337="EUR",KURLAR!$C$10,0))))</x:f>
      </x:c>
      <x:c r="L337" s="68" t="str">
        <x:f>IF(B337="","",I337*K337)</x:f>
      </x:c>
      <x:c r="M337" s="46"/>
      <x:c r="N337" s="52" t="str">
        <x:f>IF(B337="","",IF(OR(M337="Ödendi",M337="İptal"),"Hayır","Evet"))</x:f>
      </x:c>
    </x:row>
    <x:row r="338">
      <x:c r="B338" s="46"/>
      <x:c r="C338" s="46"/>
      <x:c r="D338" s="112"/>
      <x:c r="E338" s="112"/>
      <x:c r="F338" s="92"/>
      <x:c r="G338" s="92"/>
      <x:c r="H338" s="92"/>
      <x:c r="I338" s="93" t="str">
        <x:f>IF(B338="","",MAX(0,F338-H338))</x:f>
      </x:c>
      <x:c r="J338" s="46"/>
      <x:c r="K338" s="100" t="str">
        <x:f>IF(B338="","",IF(G338="TL",1,IF(G338="USD",KURLAR!$C$9,IF(G338="EUR",KURLAR!$C$10,0))))</x:f>
      </x:c>
      <x:c r="L338" s="68" t="str">
        <x:f>IF(B338="","",I338*K338)</x:f>
      </x:c>
      <x:c r="M338" s="46"/>
      <x:c r="N338" s="52" t="str">
        <x:f>IF(B338="","",IF(OR(M338="Ödendi",M338="İptal"),"Hayır","Evet"))</x:f>
      </x:c>
    </x:row>
    <x:row r="339">
      <x:c r="B339" s="46"/>
      <x:c r="C339" s="46"/>
      <x:c r="D339" s="112"/>
      <x:c r="E339" s="112"/>
      <x:c r="F339" s="92"/>
      <x:c r="G339" s="92"/>
      <x:c r="H339" s="92"/>
      <x:c r="I339" s="93" t="str">
        <x:f>IF(B339="","",MAX(0,F339-H339))</x:f>
      </x:c>
      <x:c r="J339" s="46"/>
      <x:c r="K339" s="100" t="str">
        <x:f>IF(B339="","",IF(G339="TL",1,IF(G339="USD",KURLAR!$C$9,IF(G339="EUR",KURLAR!$C$10,0))))</x:f>
      </x:c>
      <x:c r="L339" s="68" t="str">
        <x:f>IF(B339="","",I339*K339)</x:f>
      </x:c>
      <x:c r="M339" s="46"/>
      <x:c r="N339" s="52" t="str">
        <x:f>IF(B339="","",IF(OR(M339="Ödendi",M339="İptal"),"Hayır","Evet"))</x:f>
      </x:c>
    </x:row>
    <x:row r="340">
      <x:c r="B340" s="46"/>
      <x:c r="C340" s="46"/>
      <x:c r="D340" s="112"/>
      <x:c r="E340" s="112"/>
      <x:c r="F340" s="92"/>
      <x:c r="G340" s="92"/>
      <x:c r="H340" s="92"/>
      <x:c r="I340" s="93" t="str">
        <x:f>IF(B340="","",MAX(0,F340-H340))</x:f>
      </x:c>
      <x:c r="J340" s="46"/>
      <x:c r="K340" s="100" t="str">
        <x:f>IF(B340="","",IF(G340="TL",1,IF(G340="USD",KURLAR!$C$9,IF(G340="EUR",KURLAR!$C$10,0))))</x:f>
      </x:c>
      <x:c r="L340" s="68" t="str">
        <x:f>IF(B340="","",I340*K340)</x:f>
      </x:c>
      <x:c r="M340" s="46"/>
      <x:c r="N340" s="52" t="str">
        <x:f>IF(B340="","",IF(OR(M340="Ödendi",M340="İptal"),"Hayır","Evet"))</x:f>
      </x:c>
    </x:row>
    <x:row r="341">
      <x:c r="B341" s="46"/>
      <x:c r="C341" s="46"/>
      <x:c r="D341" s="112"/>
      <x:c r="E341" s="112"/>
      <x:c r="F341" s="92"/>
      <x:c r="G341" s="92"/>
      <x:c r="H341" s="92"/>
      <x:c r="I341" s="93" t="str">
        <x:f>IF(B341="","",MAX(0,F341-H341))</x:f>
      </x:c>
      <x:c r="J341" s="46"/>
      <x:c r="K341" s="100" t="str">
        <x:f>IF(B341="","",IF(G341="TL",1,IF(G341="USD",KURLAR!$C$9,IF(G341="EUR",KURLAR!$C$10,0))))</x:f>
      </x:c>
      <x:c r="L341" s="68" t="str">
        <x:f>IF(B341="","",I341*K341)</x:f>
      </x:c>
      <x:c r="M341" s="46"/>
      <x:c r="N341" s="52" t="str">
        <x:f>IF(B341="","",IF(OR(M341="Ödendi",M341="İptal"),"Hayır","Evet"))</x:f>
      </x:c>
    </x:row>
    <x:row r="342">
      <x:c r="B342" s="46"/>
      <x:c r="C342" s="46"/>
      <x:c r="D342" s="112"/>
      <x:c r="E342" s="112"/>
      <x:c r="F342" s="92"/>
      <x:c r="G342" s="92"/>
      <x:c r="H342" s="92"/>
      <x:c r="I342" s="93" t="str">
        <x:f>IF(B342="","",MAX(0,F342-H342))</x:f>
      </x:c>
      <x:c r="J342" s="46"/>
      <x:c r="K342" s="100" t="str">
        <x:f>IF(B342="","",IF(G342="TL",1,IF(G342="USD",KURLAR!$C$9,IF(G342="EUR",KURLAR!$C$10,0))))</x:f>
      </x:c>
      <x:c r="L342" s="68" t="str">
        <x:f>IF(B342="","",I342*K342)</x:f>
      </x:c>
      <x:c r="M342" s="46"/>
      <x:c r="N342" s="52" t="str">
        <x:f>IF(B342="","",IF(OR(M342="Ödendi",M342="İptal"),"Hayır","Evet"))</x:f>
      </x:c>
    </x:row>
    <x:row r="343">
      <x:c r="B343" s="46"/>
      <x:c r="C343" s="46"/>
      <x:c r="D343" s="112"/>
      <x:c r="E343" s="112"/>
      <x:c r="F343" s="92"/>
      <x:c r="G343" s="92"/>
      <x:c r="H343" s="92"/>
      <x:c r="I343" s="93" t="str">
        <x:f>IF(B343="","",MAX(0,F343-H343))</x:f>
      </x:c>
      <x:c r="J343" s="46"/>
      <x:c r="K343" s="100" t="str">
        <x:f>IF(B343="","",IF(G343="TL",1,IF(G343="USD",KURLAR!$C$9,IF(G343="EUR",KURLAR!$C$10,0))))</x:f>
      </x:c>
      <x:c r="L343" s="68" t="str">
        <x:f>IF(B343="","",I343*K343)</x:f>
      </x:c>
      <x:c r="M343" s="46"/>
      <x:c r="N343" s="52" t="str">
        <x:f>IF(B343="","",IF(OR(M343="Ödendi",M343="İptal"),"Hayır","Evet"))</x:f>
      </x:c>
    </x:row>
    <x:row r="344">
      <x:c r="B344" s="46"/>
      <x:c r="C344" s="46"/>
      <x:c r="D344" s="112"/>
      <x:c r="E344" s="112"/>
      <x:c r="F344" s="92"/>
      <x:c r="G344" s="92"/>
      <x:c r="H344" s="92"/>
      <x:c r="I344" s="93" t="str">
        <x:f>IF(B344="","",MAX(0,F344-H344))</x:f>
      </x:c>
      <x:c r="J344" s="46"/>
      <x:c r="K344" s="100" t="str">
        <x:f>IF(B344="","",IF(G344="TL",1,IF(G344="USD",KURLAR!$C$9,IF(G344="EUR",KURLAR!$C$10,0))))</x:f>
      </x:c>
      <x:c r="L344" s="68" t="str">
        <x:f>IF(B344="","",I344*K344)</x:f>
      </x:c>
      <x:c r="M344" s="46"/>
      <x:c r="N344" s="52" t="str">
        <x:f>IF(B344="","",IF(OR(M344="Ödendi",M344="İptal"),"Hayır","Evet"))</x:f>
      </x:c>
    </x:row>
    <x:row r="345">
      <x:c r="B345" s="46"/>
      <x:c r="C345" s="46"/>
      <x:c r="D345" s="112"/>
      <x:c r="E345" s="112"/>
      <x:c r="F345" s="92"/>
      <x:c r="G345" s="92"/>
      <x:c r="H345" s="92"/>
      <x:c r="I345" s="93" t="str">
        <x:f>IF(B345="","",MAX(0,F345-H345))</x:f>
      </x:c>
      <x:c r="J345" s="46"/>
      <x:c r="K345" s="100" t="str">
        <x:f>IF(B345="","",IF(G345="TL",1,IF(G345="USD",KURLAR!$C$9,IF(G345="EUR",KURLAR!$C$10,0))))</x:f>
      </x:c>
      <x:c r="L345" s="68" t="str">
        <x:f>IF(B345="","",I345*K345)</x:f>
      </x:c>
      <x:c r="M345" s="46"/>
      <x:c r="N345" s="52" t="str">
        <x:f>IF(B345="","",IF(OR(M345="Ödendi",M345="İptal"),"Hayır","Evet"))</x:f>
      </x:c>
    </x:row>
    <x:row r="346">
      <x:c r="B346" s="46"/>
      <x:c r="C346" s="46"/>
      <x:c r="D346" s="112"/>
      <x:c r="E346" s="112"/>
      <x:c r="F346" s="92"/>
      <x:c r="G346" s="92"/>
      <x:c r="H346" s="92"/>
      <x:c r="I346" s="93" t="str">
        <x:f>IF(B346="","",MAX(0,F346-H346))</x:f>
      </x:c>
      <x:c r="J346" s="46"/>
      <x:c r="K346" s="100" t="str">
        <x:f>IF(B346="","",IF(G346="TL",1,IF(G346="USD",KURLAR!$C$9,IF(G346="EUR",KURLAR!$C$10,0))))</x:f>
      </x:c>
      <x:c r="L346" s="68" t="str">
        <x:f>IF(B346="","",I346*K346)</x:f>
      </x:c>
      <x:c r="M346" s="46"/>
      <x:c r="N346" s="52" t="str">
        <x:f>IF(B346="","",IF(OR(M346="Ödendi",M346="İptal"),"Hayır","Evet"))</x:f>
      </x:c>
    </x:row>
    <x:row r="347">
      <x:c r="B347" s="46"/>
      <x:c r="C347" s="46"/>
      <x:c r="D347" s="112"/>
      <x:c r="E347" s="112"/>
      <x:c r="F347" s="92"/>
      <x:c r="G347" s="92"/>
      <x:c r="H347" s="92"/>
      <x:c r="I347" s="93" t="str">
        <x:f>IF(B347="","",MAX(0,F347-H347))</x:f>
      </x:c>
      <x:c r="J347" s="46"/>
      <x:c r="K347" s="100" t="str">
        <x:f>IF(B347="","",IF(G347="TL",1,IF(G347="USD",KURLAR!$C$9,IF(G347="EUR",KURLAR!$C$10,0))))</x:f>
      </x:c>
      <x:c r="L347" s="68" t="str">
        <x:f>IF(B347="","",I347*K347)</x:f>
      </x:c>
      <x:c r="M347" s="46"/>
      <x:c r="N347" s="52" t="str">
        <x:f>IF(B347="","",IF(OR(M347="Ödendi",M347="İptal"),"Hayır","Evet"))</x:f>
      </x:c>
    </x:row>
    <x:row r="348">
      <x:c r="B348" s="46"/>
      <x:c r="C348" s="46"/>
      <x:c r="D348" s="112"/>
      <x:c r="E348" s="112"/>
      <x:c r="F348" s="92"/>
      <x:c r="G348" s="92"/>
      <x:c r="H348" s="92"/>
      <x:c r="I348" s="93" t="str">
        <x:f>IF(B348="","",MAX(0,F348-H348))</x:f>
      </x:c>
      <x:c r="J348" s="46"/>
      <x:c r="K348" s="100" t="str">
        <x:f>IF(B348="","",IF(G348="TL",1,IF(G348="USD",KURLAR!$C$9,IF(G348="EUR",KURLAR!$C$10,0))))</x:f>
      </x:c>
      <x:c r="L348" s="68" t="str">
        <x:f>IF(B348="","",I348*K348)</x:f>
      </x:c>
      <x:c r="M348" s="46"/>
      <x:c r="N348" s="52" t="str">
        <x:f>IF(B348="","",IF(OR(M348="Ödendi",M348="İptal"),"Hayır","Evet"))</x:f>
      </x:c>
    </x:row>
    <x:row r="349">
      <x:c r="B349" s="46"/>
      <x:c r="C349" s="46"/>
      <x:c r="D349" s="112"/>
      <x:c r="E349" s="112"/>
      <x:c r="F349" s="92"/>
      <x:c r="G349" s="92"/>
      <x:c r="H349" s="92"/>
      <x:c r="I349" s="93" t="str">
        <x:f>IF(B349="","",MAX(0,F349-H349))</x:f>
      </x:c>
      <x:c r="J349" s="46"/>
      <x:c r="K349" s="100" t="str">
        <x:f>IF(B349="","",IF(G349="TL",1,IF(G349="USD",KURLAR!$C$9,IF(G349="EUR",KURLAR!$C$10,0))))</x:f>
      </x:c>
      <x:c r="L349" s="68" t="str">
        <x:f>IF(B349="","",I349*K349)</x:f>
      </x:c>
      <x:c r="M349" s="46"/>
      <x:c r="N349" s="52" t="str">
        <x:f>IF(B349="","",IF(OR(M349="Ödendi",M349="İptal"),"Hayır","Evet"))</x:f>
      </x:c>
    </x:row>
    <x:row r="350">
      <x:c r="B350" s="46"/>
      <x:c r="C350" s="46"/>
      <x:c r="D350" s="112"/>
      <x:c r="E350" s="112"/>
      <x:c r="F350" s="92"/>
      <x:c r="G350" s="92"/>
      <x:c r="H350" s="92"/>
      <x:c r="I350" s="93" t="str">
        <x:f>IF(B350="","",MAX(0,F350-H350))</x:f>
      </x:c>
      <x:c r="J350" s="46"/>
      <x:c r="K350" s="100" t="str">
        <x:f>IF(B350="","",IF(G350="TL",1,IF(G350="USD",KURLAR!$C$9,IF(G350="EUR",KURLAR!$C$10,0))))</x:f>
      </x:c>
      <x:c r="L350" s="68" t="str">
        <x:f>IF(B350="","",I350*K350)</x:f>
      </x:c>
      <x:c r="M350" s="46"/>
      <x:c r="N350" s="52" t="str">
        <x:f>IF(B350="","",IF(OR(M350="Ödendi",M350="İptal"),"Hayır","Evet"))</x:f>
      </x:c>
    </x:row>
    <x:row r="351">
      <x:c r="B351" s="46"/>
      <x:c r="C351" s="46"/>
      <x:c r="D351" s="112"/>
      <x:c r="E351" s="112"/>
      <x:c r="F351" s="92"/>
      <x:c r="G351" s="92"/>
      <x:c r="H351" s="92"/>
      <x:c r="I351" s="93" t="str">
        <x:f>IF(B351="","",MAX(0,F351-H351))</x:f>
      </x:c>
      <x:c r="J351" s="46"/>
      <x:c r="K351" s="100" t="str">
        <x:f>IF(B351="","",IF(G351="TL",1,IF(G351="USD",KURLAR!$C$9,IF(G351="EUR",KURLAR!$C$10,0))))</x:f>
      </x:c>
      <x:c r="L351" s="68" t="str">
        <x:f>IF(B351="","",I351*K351)</x:f>
      </x:c>
      <x:c r="M351" s="46"/>
      <x:c r="N351" s="52" t="str">
        <x:f>IF(B351="","",IF(OR(M351="Ödendi",M351="İptal"),"Hayır","Evet"))</x:f>
      </x:c>
    </x:row>
    <x:row r="352">
      <x:c r="B352" s="46"/>
      <x:c r="C352" s="46"/>
      <x:c r="D352" s="112"/>
      <x:c r="E352" s="112"/>
      <x:c r="F352" s="92"/>
      <x:c r="G352" s="92"/>
      <x:c r="H352" s="92"/>
      <x:c r="I352" s="93" t="str">
        <x:f>IF(B352="","",MAX(0,F352-H352))</x:f>
      </x:c>
      <x:c r="J352" s="46"/>
      <x:c r="K352" s="100" t="str">
        <x:f>IF(B352="","",IF(G352="TL",1,IF(G352="USD",KURLAR!$C$9,IF(G352="EUR",KURLAR!$C$10,0))))</x:f>
      </x:c>
      <x:c r="L352" s="68" t="str">
        <x:f>IF(B352="","",I352*K352)</x:f>
      </x:c>
      <x:c r="M352" s="46"/>
      <x:c r="N352" s="52" t="str">
        <x:f>IF(B352="","",IF(OR(M352="Ödendi",M352="İptal"),"Hayır","Evet"))</x:f>
      </x:c>
    </x:row>
    <x:row r="353">
      <x:c r="B353" s="46"/>
      <x:c r="C353" s="46"/>
      <x:c r="D353" s="112"/>
      <x:c r="E353" s="112"/>
      <x:c r="F353" s="92"/>
      <x:c r="G353" s="92"/>
      <x:c r="H353" s="92"/>
      <x:c r="I353" s="93" t="str">
        <x:f>IF(B353="","",MAX(0,F353-H353))</x:f>
      </x:c>
      <x:c r="J353" s="46"/>
      <x:c r="K353" s="100" t="str">
        <x:f>IF(B353="","",IF(G353="TL",1,IF(G353="USD",KURLAR!$C$9,IF(G353="EUR",KURLAR!$C$10,0))))</x:f>
      </x:c>
      <x:c r="L353" s="68" t="str">
        <x:f>IF(B353="","",I353*K353)</x:f>
      </x:c>
      <x:c r="M353" s="46"/>
      <x:c r="N353" s="52" t="str">
        <x:f>IF(B353="","",IF(OR(M353="Ödendi",M353="İptal"),"Hayır","Evet"))</x:f>
      </x:c>
    </x:row>
    <x:row r="354">
      <x:c r="B354" s="46"/>
      <x:c r="C354" s="46"/>
      <x:c r="D354" s="112"/>
      <x:c r="E354" s="112"/>
      <x:c r="F354" s="92"/>
      <x:c r="G354" s="92"/>
      <x:c r="H354" s="92"/>
      <x:c r="I354" s="93" t="str">
        <x:f>IF(B354="","",MAX(0,F354-H354))</x:f>
      </x:c>
      <x:c r="J354" s="46"/>
      <x:c r="K354" s="100" t="str">
        <x:f>IF(B354="","",IF(G354="TL",1,IF(G354="USD",KURLAR!$C$9,IF(G354="EUR",KURLAR!$C$10,0))))</x:f>
      </x:c>
      <x:c r="L354" s="68" t="str">
        <x:f>IF(B354="","",I354*K354)</x:f>
      </x:c>
      <x:c r="M354" s="46"/>
      <x:c r="N354" s="52" t="str">
        <x:f>IF(B354="","",IF(OR(M354="Ödendi",M354="İptal"),"Hayır","Evet"))</x:f>
      </x:c>
    </x:row>
    <x:row r="355">
      <x:c r="B355" s="46"/>
      <x:c r="C355" s="46"/>
      <x:c r="D355" s="112"/>
      <x:c r="E355" s="112"/>
      <x:c r="F355" s="92"/>
      <x:c r="G355" s="92"/>
      <x:c r="H355" s="92"/>
      <x:c r="I355" s="93" t="str">
        <x:f>IF(B355="","",MAX(0,F355-H355))</x:f>
      </x:c>
      <x:c r="J355" s="46"/>
      <x:c r="K355" s="100" t="str">
        <x:f>IF(B355="","",IF(G355="TL",1,IF(G355="USD",KURLAR!$C$9,IF(G355="EUR",KURLAR!$C$10,0))))</x:f>
      </x:c>
      <x:c r="L355" s="68" t="str">
        <x:f>IF(B355="","",I355*K355)</x:f>
      </x:c>
      <x:c r="M355" s="46"/>
      <x:c r="N355" s="52" t="str">
        <x:f>IF(B355="","",IF(OR(M355="Ödendi",M355="İptal"),"Hayır","Evet"))</x:f>
      </x:c>
    </x:row>
    <x:row r="356">
      <x:c r="B356" s="46"/>
      <x:c r="C356" s="46"/>
      <x:c r="D356" s="112"/>
      <x:c r="E356" s="112"/>
      <x:c r="F356" s="92"/>
      <x:c r="G356" s="92"/>
      <x:c r="H356" s="92"/>
      <x:c r="I356" s="93" t="str">
        <x:f>IF(B356="","",MAX(0,F356-H356))</x:f>
      </x:c>
      <x:c r="J356" s="46"/>
      <x:c r="K356" s="100" t="str">
        <x:f>IF(B356="","",IF(G356="TL",1,IF(G356="USD",KURLAR!$C$9,IF(G356="EUR",KURLAR!$C$10,0))))</x:f>
      </x:c>
      <x:c r="L356" s="68" t="str">
        <x:f>IF(B356="","",I356*K356)</x:f>
      </x:c>
      <x:c r="M356" s="46"/>
      <x:c r="N356" s="52" t="str">
        <x:f>IF(B356="","",IF(OR(M356="Ödendi",M356="İptal"),"Hayır","Evet"))</x:f>
      </x:c>
    </x:row>
    <x:row r="357">
      <x:c r="B357" s="46"/>
      <x:c r="C357" s="46"/>
      <x:c r="D357" s="112"/>
      <x:c r="E357" s="112"/>
      <x:c r="F357" s="92"/>
      <x:c r="G357" s="92"/>
      <x:c r="H357" s="92"/>
      <x:c r="I357" s="93" t="str">
        <x:f>IF(B357="","",MAX(0,F357-H357))</x:f>
      </x:c>
      <x:c r="J357" s="46"/>
      <x:c r="K357" s="100" t="str">
        <x:f>IF(B357="","",IF(G357="TL",1,IF(G357="USD",KURLAR!$C$9,IF(G357="EUR",KURLAR!$C$10,0))))</x:f>
      </x:c>
      <x:c r="L357" s="68" t="str">
        <x:f>IF(B357="","",I357*K357)</x:f>
      </x:c>
      <x:c r="M357" s="46"/>
      <x:c r="N357" s="52" t="str">
        <x:f>IF(B357="","",IF(OR(M357="Ödendi",M357="İptal"),"Hayır","Evet"))</x:f>
      </x:c>
    </x:row>
    <x:row r="358">
      <x:c r="B358" s="46"/>
      <x:c r="C358" s="46"/>
      <x:c r="D358" s="112"/>
      <x:c r="E358" s="112"/>
      <x:c r="F358" s="92"/>
      <x:c r="G358" s="92"/>
      <x:c r="H358" s="92"/>
      <x:c r="I358" s="93" t="str">
        <x:f>IF(B358="","",MAX(0,F358-H358))</x:f>
      </x:c>
      <x:c r="J358" s="46"/>
      <x:c r="K358" s="100" t="str">
        <x:f>IF(B358="","",IF(G358="TL",1,IF(G358="USD",KURLAR!$C$9,IF(G358="EUR",KURLAR!$C$10,0))))</x:f>
      </x:c>
      <x:c r="L358" s="68" t="str">
        <x:f>IF(B358="","",I358*K358)</x:f>
      </x:c>
      <x:c r="M358" s="46"/>
      <x:c r="N358" s="52" t="str">
        <x:f>IF(B358="","",IF(OR(M358="Ödendi",M358="İptal"),"Hayır","Evet"))</x:f>
      </x:c>
    </x:row>
    <x:row r="359">
      <x:c r="B359" s="46"/>
      <x:c r="C359" s="46"/>
      <x:c r="D359" s="112"/>
      <x:c r="E359" s="112"/>
      <x:c r="F359" s="92"/>
      <x:c r="G359" s="92"/>
      <x:c r="H359" s="92"/>
      <x:c r="I359" s="93" t="str">
        <x:f>IF(B359="","",MAX(0,F359-H359))</x:f>
      </x:c>
      <x:c r="J359" s="46"/>
      <x:c r="K359" s="100" t="str">
        <x:f>IF(B359="","",IF(G359="TL",1,IF(G359="USD",KURLAR!$C$9,IF(G359="EUR",KURLAR!$C$10,0))))</x:f>
      </x:c>
      <x:c r="L359" s="68" t="str">
        <x:f>IF(B359="","",I359*K359)</x:f>
      </x:c>
      <x:c r="M359" s="46"/>
      <x:c r="N359" s="52" t="str">
        <x:f>IF(B359="","",IF(OR(M359="Ödendi",M359="İptal"),"Hayır","Evet"))</x:f>
      </x:c>
    </x:row>
    <x:row r="360">
      <x:c r="B360" s="46"/>
      <x:c r="C360" s="46"/>
      <x:c r="D360" s="112"/>
      <x:c r="E360" s="112"/>
      <x:c r="F360" s="92"/>
      <x:c r="G360" s="92"/>
      <x:c r="H360" s="92"/>
      <x:c r="I360" s="93" t="str">
        <x:f>IF(B360="","",MAX(0,F360-H360))</x:f>
      </x:c>
      <x:c r="J360" s="46"/>
      <x:c r="K360" s="100" t="str">
        <x:f>IF(B360="","",IF(G360="TL",1,IF(G360="USD",KURLAR!$C$9,IF(G360="EUR",KURLAR!$C$10,0))))</x:f>
      </x:c>
      <x:c r="L360" s="68" t="str">
        <x:f>IF(B360="","",I360*K360)</x:f>
      </x:c>
      <x:c r="M360" s="46"/>
      <x:c r="N360" s="52" t="str">
        <x:f>IF(B360="","",IF(OR(M360="Ödendi",M360="İptal"),"Hayır","Evet"))</x:f>
      </x:c>
    </x:row>
    <x:row r="361">
      <x:c r="B361" s="46"/>
      <x:c r="C361" s="46"/>
      <x:c r="D361" s="112"/>
      <x:c r="E361" s="112"/>
      <x:c r="F361" s="92"/>
      <x:c r="G361" s="92"/>
      <x:c r="H361" s="92"/>
      <x:c r="I361" s="93" t="str">
        <x:f>IF(B361="","",MAX(0,F361-H361))</x:f>
      </x:c>
      <x:c r="J361" s="46"/>
      <x:c r="K361" s="100" t="str">
        <x:f>IF(B361="","",IF(G361="TL",1,IF(G361="USD",KURLAR!$C$9,IF(G361="EUR",KURLAR!$C$10,0))))</x:f>
      </x:c>
      <x:c r="L361" s="68" t="str">
        <x:f>IF(B361="","",I361*K361)</x:f>
      </x:c>
      <x:c r="M361" s="46"/>
      <x:c r="N361" s="52" t="str">
        <x:f>IF(B361="","",IF(OR(M361="Ödendi",M361="İptal"),"Hayır","Evet"))</x:f>
      </x:c>
    </x:row>
    <x:row r="362">
      <x:c r="B362" s="46"/>
      <x:c r="C362" s="46"/>
      <x:c r="D362" s="112"/>
      <x:c r="E362" s="112"/>
      <x:c r="F362" s="92"/>
      <x:c r="G362" s="92"/>
      <x:c r="H362" s="92"/>
      <x:c r="I362" s="93" t="str">
        <x:f>IF(B362="","",MAX(0,F362-H362))</x:f>
      </x:c>
      <x:c r="J362" s="46"/>
      <x:c r="K362" s="100" t="str">
        <x:f>IF(B362="","",IF(G362="TL",1,IF(G362="USD",KURLAR!$C$9,IF(G362="EUR",KURLAR!$C$10,0))))</x:f>
      </x:c>
      <x:c r="L362" s="68" t="str">
        <x:f>IF(B362="","",I362*K362)</x:f>
      </x:c>
      <x:c r="M362" s="46"/>
      <x:c r="N362" s="52" t="str">
        <x:f>IF(B362="","",IF(OR(M362="Ödendi",M362="İptal"),"Hayır","Evet"))</x:f>
      </x:c>
    </x:row>
    <x:row r="363">
      <x:c r="B363" s="46"/>
      <x:c r="C363" s="46"/>
      <x:c r="D363" s="112"/>
      <x:c r="E363" s="112"/>
      <x:c r="F363" s="92"/>
      <x:c r="G363" s="92"/>
      <x:c r="H363" s="92"/>
      <x:c r="I363" s="93" t="str">
        <x:f>IF(B363="","",MAX(0,F363-H363))</x:f>
      </x:c>
      <x:c r="J363" s="46"/>
      <x:c r="K363" s="100" t="str">
        <x:f>IF(B363="","",IF(G363="TL",1,IF(G363="USD",KURLAR!$C$9,IF(G363="EUR",KURLAR!$C$10,0))))</x:f>
      </x:c>
      <x:c r="L363" s="68" t="str">
        <x:f>IF(B363="","",I363*K363)</x:f>
      </x:c>
      <x:c r="M363" s="46"/>
      <x:c r="N363" s="52" t="str">
        <x:f>IF(B363="","",IF(OR(M363="Ödendi",M363="İptal"),"Hayır","Evet"))</x:f>
      </x:c>
    </x:row>
    <x:row r="364">
      <x:c r="B364" s="46"/>
      <x:c r="C364" s="46"/>
      <x:c r="D364" s="112"/>
      <x:c r="E364" s="112"/>
      <x:c r="F364" s="92"/>
      <x:c r="G364" s="92"/>
      <x:c r="H364" s="92"/>
      <x:c r="I364" s="93" t="str">
        <x:f>IF(B364="","",MAX(0,F364-H364))</x:f>
      </x:c>
      <x:c r="J364" s="46"/>
      <x:c r="K364" s="100" t="str">
        <x:f>IF(B364="","",IF(G364="TL",1,IF(G364="USD",KURLAR!$C$9,IF(G364="EUR",KURLAR!$C$10,0))))</x:f>
      </x:c>
      <x:c r="L364" s="68" t="str">
        <x:f>IF(B364="","",I364*K364)</x:f>
      </x:c>
      <x:c r="M364" s="46"/>
      <x:c r="N364" s="52" t="str">
        <x:f>IF(B364="","",IF(OR(M364="Ödendi",M364="İptal"),"Hayır","Evet"))</x:f>
      </x:c>
    </x:row>
    <x:row r="365">
      <x:c r="B365" s="46"/>
      <x:c r="C365" s="46"/>
      <x:c r="D365" s="112"/>
      <x:c r="E365" s="112"/>
      <x:c r="F365" s="92"/>
      <x:c r="G365" s="92"/>
      <x:c r="H365" s="92"/>
      <x:c r="I365" s="93" t="str">
        <x:f>IF(B365="","",MAX(0,F365-H365))</x:f>
      </x:c>
      <x:c r="J365" s="46"/>
      <x:c r="K365" s="100" t="str">
        <x:f>IF(B365="","",IF(G365="TL",1,IF(G365="USD",KURLAR!$C$9,IF(G365="EUR",KURLAR!$C$10,0))))</x:f>
      </x:c>
      <x:c r="L365" s="68" t="str">
        <x:f>IF(B365="","",I365*K365)</x:f>
      </x:c>
      <x:c r="M365" s="46"/>
      <x:c r="N365" s="52" t="str">
        <x:f>IF(B365="","",IF(OR(M365="Ödendi",M365="İptal"),"Hayır","Evet"))</x:f>
      </x:c>
    </x:row>
    <x:row r="366">
      <x:c r="B366" s="46"/>
      <x:c r="C366" s="46"/>
      <x:c r="D366" s="112"/>
      <x:c r="E366" s="112"/>
      <x:c r="F366" s="92"/>
      <x:c r="G366" s="92"/>
      <x:c r="H366" s="92"/>
      <x:c r="I366" s="93" t="str">
        <x:f>IF(B366="","",MAX(0,F366-H366))</x:f>
      </x:c>
      <x:c r="J366" s="46"/>
      <x:c r="K366" s="100" t="str">
        <x:f>IF(B366="","",IF(G366="TL",1,IF(G366="USD",KURLAR!$C$9,IF(G366="EUR",KURLAR!$C$10,0))))</x:f>
      </x:c>
      <x:c r="L366" s="68" t="str">
        <x:f>IF(B366="","",I366*K366)</x:f>
      </x:c>
      <x:c r="M366" s="46"/>
      <x:c r="N366" s="52" t="str">
        <x:f>IF(B366="","",IF(OR(M366="Ödendi",M366="İptal"),"Hayır","Evet"))</x:f>
      </x:c>
    </x:row>
    <x:row r="367">
      <x:c r="B367" s="46"/>
      <x:c r="C367" s="46"/>
      <x:c r="D367" s="112"/>
      <x:c r="E367" s="112"/>
      <x:c r="F367" s="92"/>
      <x:c r="G367" s="92"/>
      <x:c r="H367" s="92"/>
      <x:c r="I367" s="93" t="str">
        <x:f>IF(B367="","",MAX(0,F367-H367))</x:f>
      </x:c>
      <x:c r="J367" s="46"/>
      <x:c r="K367" s="100" t="str">
        <x:f>IF(B367="","",IF(G367="TL",1,IF(G367="USD",KURLAR!$C$9,IF(G367="EUR",KURLAR!$C$10,0))))</x:f>
      </x:c>
      <x:c r="L367" s="68" t="str">
        <x:f>IF(B367="","",I367*K367)</x:f>
      </x:c>
      <x:c r="M367" s="46"/>
      <x:c r="N367" s="52" t="str">
        <x:f>IF(B367="","",IF(OR(M367="Ödendi",M367="İptal"),"Hayır","Evet"))</x:f>
      </x:c>
    </x:row>
    <x:row r="368">
      <x:c r="B368" s="46"/>
      <x:c r="C368" s="46"/>
      <x:c r="D368" s="112"/>
      <x:c r="E368" s="112"/>
      <x:c r="F368" s="92"/>
      <x:c r="G368" s="92"/>
      <x:c r="H368" s="92"/>
      <x:c r="I368" s="93" t="str">
        <x:f>IF(B368="","",MAX(0,F368-H368))</x:f>
      </x:c>
      <x:c r="J368" s="46"/>
      <x:c r="K368" s="100" t="str">
        <x:f>IF(B368="","",IF(G368="TL",1,IF(G368="USD",KURLAR!$C$9,IF(G368="EUR",KURLAR!$C$10,0))))</x:f>
      </x:c>
      <x:c r="L368" s="68" t="str">
        <x:f>IF(B368="","",I368*K368)</x:f>
      </x:c>
      <x:c r="M368" s="46"/>
      <x:c r="N368" s="52" t="str">
        <x:f>IF(B368="","",IF(OR(M368="Ödendi",M368="İptal"),"Hayır","Evet"))</x:f>
      </x:c>
    </x:row>
    <x:row r="369">
      <x:c r="B369" s="46"/>
      <x:c r="C369" s="46"/>
      <x:c r="D369" s="112"/>
      <x:c r="E369" s="112"/>
      <x:c r="F369" s="92"/>
      <x:c r="G369" s="92"/>
      <x:c r="H369" s="92"/>
      <x:c r="I369" s="93" t="str">
        <x:f>IF(B369="","",MAX(0,F369-H369))</x:f>
      </x:c>
      <x:c r="J369" s="46"/>
      <x:c r="K369" s="100" t="str">
        <x:f>IF(B369="","",IF(G369="TL",1,IF(G369="USD",KURLAR!$C$9,IF(G369="EUR",KURLAR!$C$10,0))))</x:f>
      </x:c>
      <x:c r="L369" s="68" t="str">
        <x:f>IF(B369="","",I369*K369)</x:f>
      </x:c>
      <x:c r="M369" s="46"/>
      <x:c r="N369" s="52" t="str">
        <x:f>IF(B369="","",IF(OR(M369="Ödendi",M369="İptal"),"Hayır","Evet"))</x:f>
      </x:c>
    </x:row>
    <x:row r="370">
      <x:c r="B370" s="46"/>
      <x:c r="C370" s="46"/>
      <x:c r="D370" s="112"/>
      <x:c r="E370" s="112"/>
      <x:c r="F370" s="92"/>
      <x:c r="G370" s="92"/>
      <x:c r="H370" s="92"/>
      <x:c r="I370" s="93" t="str">
        <x:f>IF(B370="","",MAX(0,F370-H370))</x:f>
      </x:c>
      <x:c r="J370" s="46"/>
      <x:c r="K370" s="100" t="str">
        <x:f>IF(B370="","",IF(G370="TL",1,IF(G370="USD",KURLAR!$C$9,IF(G370="EUR",KURLAR!$C$10,0))))</x:f>
      </x:c>
      <x:c r="L370" s="68" t="str">
        <x:f>IF(B370="","",I370*K370)</x:f>
      </x:c>
      <x:c r="M370" s="46"/>
      <x:c r="N370" s="52" t="str">
        <x:f>IF(B370="","",IF(OR(M370="Ödendi",M370="İptal"),"Hayır","Evet"))</x:f>
      </x:c>
    </x:row>
    <x:row r="371">
      <x:c r="B371" s="46"/>
      <x:c r="C371" s="46"/>
      <x:c r="D371" s="112"/>
      <x:c r="E371" s="112"/>
      <x:c r="F371" s="92"/>
      <x:c r="G371" s="92"/>
      <x:c r="H371" s="92"/>
      <x:c r="I371" s="93" t="str">
        <x:f>IF(B371="","",MAX(0,F371-H371))</x:f>
      </x:c>
      <x:c r="J371" s="46"/>
      <x:c r="K371" s="100" t="str">
        <x:f>IF(B371="","",IF(G371="TL",1,IF(G371="USD",KURLAR!$C$9,IF(G371="EUR",KURLAR!$C$10,0))))</x:f>
      </x:c>
      <x:c r="L371" s="68" t="str">
        <x:f>IF(B371="","",I371*K371)</x:f>
      </x:c>
      <x:c r="M371" s="46"/>
      <x:c r="N371" s="52" t="str">
        <x:f>IF(B371="","",IF(OR(M371="Ödendi",M371="İptal"),"Hayır","Evet"))</x:f>
      </x:c>
    </x:row>
    <x:row r="372">
      <x:c r="B372" s="46"/>
      <x:c r="C372" s="46"/>
      <x:c r="D372" s="112"/>
      <x:c r="E372" s="112"/>
      <x:c r="F372" s="92"/>
      <x:c r="G372" s="92"/>
      <x:c r="H372" s="92"/>
      <x:c r="I372" s="93" t="str">
        <x:f>IF(B372="","",MAX(0,F372-H372))</x:f>
      </x:c>
      <x:c r="J372" s="46"/>
      <x:c r="K372" s="100" t="str">
        <x:f>IF(B372="","",IF(G372="TL",1,IF(G372="USD",KURLAR!$C$9,IF(G372="EUR",KURLAR!$C$10,0))))</x:f>
      </x:c>
      <x:c r="L372" s="68" t="str">
        <x:f>IF(B372="","",I372*K372)</x:f>
      </x:c>
      <x:c r="M372" s="46"/>
      <x:c r="N372" s="52" t="str">
        <x:f>IF(B372="","",IF(OR(M372="Ödendi",M372="İptal"),"Hayır","Evet"))</x:f>
      </x:c>
    </x:row>
    <x:row r="373">
      <x:c r="B373" s="46"/>
      <x:c r="C373" s="46"/>
      <x:c r="D373" s="112"/>
      <x:c r="E373" s="112"/>
      <x:c r="F373" s="92"/>
      <x:c r="G373" s="92"/>
      <x:c r="H373" s="92"/>
      <x:c r="I373" s="93" t="str">
        <x:f>IF(B373="","",MAX(0,F373-H373))</x:f>
      </x:c>
      <x:c r="J373" s="46"/>
      <x:c r="K373" s="100" t="str">
        <x:f>IF(B373="","",IF(G373="TL",1,IF(G373="USD",KURLAR!$C$9,IF(G373="EUR",KURLAR!$C$10,0))))</x:f>
      </x:c>
      <x:c r="L373" s="68" t="str">
        <x:f>IF(B373="","",I373*K373)</x:f>
      </x:c>
      <x:c r="M373" s="46"/>
      <x:c r="N373" s="52" t="str">
        <x:f>IF(B373="","",IF(OR(M373="Ödendi",M373="İptal"),"Hayır","Evet"))</x:f>
      </x:c>
    </x:row>
    <x:row r="374">
      <x:c r="B374" s="46"/>
      <x:c r="C374" s="46"/>
      <x:c r="D374" s="112"/>
      <x:c r="E374" s="112"/>
      <x:c r="F374" s="92"/>
      <x:c r="G374" s="92"/>
      <x:c r="H374" s="92"/>
      <x:c r="I374" s="93" t="str">
        <x:f>IF(B374="","",MAX(0,F374-H374))</x:f>
      </x:c>
      <x:c r="J374" s="46"/>
      <x:c r="K374" s="100" t="str">
        <x:f>IF(B374="","",IF(G374="TL",1,IF(G374="USD",KURLAR!$C$9,IF(G374="EUR",KURLAR!$C$10,0))))</x:f>
      </x:c>
      <x:c r="L374" s="68" t="str">
        <x:f>IF(B374="","",I374*K374)</x:f>
      </x:c>
      <x:c r="M374" s="46"/>
      <x:c r="N374" s="52" t="str">
        <x:f>IF(B374="","",IF(OR(M374="Ödendi",M374="İptal"),"Hayır","Evet"))</x:f>
      </x:c>
    </x:row>
    <x:row r="375">
      <x:c r="B375" s="46"/>
      <x:c r="C375" s="46"/>
      <x:c r="D375" s="112"/>
      <x:c r="E375" s="112"/>
      <x:c r="F375" s="92"/>
      <x:c r="G375" s="92"/>
      <x:c r="H375" s="92"/>
      <x:c r="I375" s="93" t="str">
        <x:f>IF(B375="","",MAX(0,F375-H375))</x:f>
      </x:c>
      <x:c r="J375" s="46"/>
      <x:c r="K375" s="100" t="str">
        <x:f>IF(B375="","",IF(G375="TL",1,IF(G375="USD",KURLAR!$C$9,IF(G375="EUR",KURLAR!$C$10,0))))</x:f>
      </x:c>
      <x:c r="L375" s="68" t="str">
        <x:f>IF(B375="","",I375*K375)</x:f>
      </x:c>
      <x:c r="M375" s="46"/>
      <x:c r="N375" s="52" t="str">
        <x:f>IF(B375="","",IF(OR(M375="Ödendi",M375="İptal"),"Hayır","Evet"))</x:f>
      </x:c>
    </x:row>
    <x:row r="376">
      <x:c r="B376" s="46"/>
      <x:c r="C376" s="46"/>
      <x:c r="D376" s="112"/>
      <x:c r="E376" s="112"/>
      <x:c r="F376" s="92"/>
      <x:c r="G376" s="92"/>
      <x:c r="H376" s="92"/>
      <x:c r="I376" s="93" t="str">
        <x:f>IF(B376="","",MAX(0,F376-H376))</x:f>
      </x:c>
      <x:c r="J376" s="46"/>
      <x:c r="K376" s="100" t="str">
        <x:f>IF(B376="","",IF(G376="TL",1,IF(G376="USD",KURLAR!$C$9,IF(G376="EUR",KURLAR!$C$10,0))))</x:f>
      </x:c>
      <x:c r="L376" s="68" t="str">
        <x:f>IF(B376="","",I376*K376)</x:f>
      </x:c>
      <x:c r="M376" s="46"/>
      <x:c r="N376" s="52" t="str">
        <x:f>IF(B376="","",IF(OR(M376="Ödendi",M376="İptal"),"Hayır","Evet"))</x:f>
      </x:c>
    </x:row>
    <x:row r="377">
      <x:c r="B377" s="46"/>
      <x:c r="C377" s="46"/>
      <x:c r="D377" s="112"/>
      <x:c r="E377" s="112"/>
      <x:c r="F377" s="92"/>
      <x:c r="G377" s="92"/>
      <x:c r="H377" s="92"/>
      <x:c r="I377" s="93" t="str">
        <x:f>IF(B377="","",MAX(0,F377-H377))</x:f>
      </x:c>
      <x:c r="J377" s="46"/>
      <x:c r="K377" s="100" t="str">
        <x:f>IF(B377="","",IF(G377="TL",1,IF(G377="USD",KURLAR!$C$9,IF(G377="EUR",KURLAR!$C$10,0))))</x:f>
      </x:c>
      <x:c r="L377" s="68" t="str">
        <x:f>IF(B377="","",I377*K377)</x:f>
      </x:c>
      <x:c r="M377" s="46"/>
      <x:c r="N377" s="52" t="str">
        <x:f>IF(B377="","",IF(OR(M377="Ödendi",M377="İptal"),"Hayır","Evet"))</x:f>
      </x:c>
    </x:row>
    <x:row r="378">
      <x:c r="B378" s="46"/>
      <x:c r="C378" s="46"/>
      <x:c r="D378" s="112"/>
      <x:c r="E378" s="112"/>
      <x:c r="F378" s="92"/>
      <x:c r="G378" s="92"/>
      <x:c r="H378" s="92"/>
      <x:c r="I378" s="93" t="str">
        <x:f>IF(B378="","",MAX(0,F378-H378))</x:f>
      </x:c>
      <x:c r="J378" s="46"/>
      <x:c r="K378" s="100" t="str">
        <x:f>IF(B378="","",IF(G378="TL",1,IF(G378="USD",KURLAR!$C$9,IF(G378="EUR",KURLAR!$C$10,0))))</x:f>
      </x:c>
      <x:c r="L378" s="68" t="str">
        <x:f>IF(B378="","",I378*K378)</x:f>
      </x:c>
      <x:c r="M378" s="46"/>
      <x:c r="N378" s="52" t="str">
        <x:f>IF(B378="","",IF(OR(M378="Ödendi",M378="İptal"),"Hayır","Evet"))</x:f>
      </x:c>
    </x:row>
    <x:row r="379">
      <x:c r="B379" s="46"/>
      <x:c r="C379" s="46"/>
      <x:c r="D379" s="112"/>
      <x:c r="E379" s="112"/>
      <x:c r="F379" s="92"/>
      <x:c r="G379" s="92"/>
      <x:c r="H379" s="92"/>
      <x:c r="I379" s="93" t="str">
        <x:f>IF(B379="","",MAX(0,F379-H379))</x:f>
      </x:c>
      <x:c r="J379" s="46"/>
      <x:c r="K379" s="100" t="str">
        <x:f>IF(B379="","",IF(G379="TL",1,IF(G379="USD",KURLAR!$C$9,IF(G379="EUR",KURLAR!$C$10,0))))</x:f>
      </x:c>
      <x:c r="L379" s="68" t="str">
        <x:f>IF(B379="","",I379*K379)</x:f>
      </x:c>
      <x:c r="M379" s="46"/>
      <x:c r="N379" s="52" t="str">
        <x:f>IF(B379="","",IF(OR(M379="Ödendi",M379="İptal"),"Hayır","Evet"))</x:f>
      </x:c>
    </x:row>
    <x:row r="380">
      <x:c r="B380" s="46"/>
      <x:c r="C380" s="46"/>
      <x:c r="D380" s="112"/>
      <x:c r="E380" s="112"/>
      <x:c r="F380" s="92"/>
      <x:c r="G380" s="92"/>
      <x:c r="H380" s="92"/>
      <x:c r="I380" s="93" t="str">
        <x:f>IF(B380="","",MAX(0,F380-H380))</x:f>
      </x:c>
      <x:c r="J380" s="46"/>
      <x:c r="K380" s="100" t="str">
        <x:f>IF(B380="","",IF(G380="TL",1,IF(G380="USD",KURLAR!$C$9,IF(G380="EUR",KURLAR!$C$10,0))))</x:f>
      </x:c>
      <x:c r="L380" s="68" t="str">
        <x:f>IF(B380="","",I380*K380)</x:f>
      </x:c>
      <x:c r="M380" s="46"/>
      <x:c r="N380" s="52" t="str">
        <x:f>IF(B380="","",IF(OR(M380="Ödendi",M380="İptal"),"Hayır","Evet"))</x:f>
      </x:c>
    </x:row>
    <x:row r="381">
      <x:c r="B381" s="46"/>
      <x:c r="C381" s="46"/>
      <x:c r="D381" s="112"/>
      <x:c r="E381" s="112"/>
      <x:c r="F381" s="92"/>
      <x:c r="G381" s="92"/>
      <x:c r="H381" s="92"/>
      <x:c r="I381" s="93" t="str">
        <x:f>IF(B381="","",MAX(0,F381-H381))</x:f>
      </x:c>
      <x:c r="J381" s="46"/>
      <x:c r="K381" s="100" t="str">
        <x:f>IF(B381="","",IF(G381="TL",1,IF(G381="USD",KURLAR!$C$9,IF(G381="EUR",KURLAR!$C$10,0))))</x:f>
      </x:c>
      <x:c r="L381" s="68" t="str">
        <x:f>IF(B381="","",I381*K381)</x:f>
      </x:c>
      <x:c r="M381" s="46"/>
      <x:c r="N381" s="52" t="str">
        <x:f>IF(B381="","",IF(OR(M381="Ödendi",M381="İptal"),"Hayır","Evet"))</x:f>
      </x:c>
    </x:row>
    <x:row r="382">
      <x:c r="B382" s="46"/>
      <x:c r="C382" s="46"/>
      <x:c r="D382" s="112"/>
      <x:c r="E382" s="112"/>
      <x:c r="F382" s="92"/>
      <x:c r="G382" s="92"/>
      <x:c r="H382" s="92"/>
      <x:c r="I382" s="93" t="str">
        <x:f>IF(B382="","",MAX(0,F382-H382))</x:f>
      </x:c>
      <x:c r="J382" s="46"/>
      <x:c r="K382" s="100" t="str">
        <x:f>IF(B382="","",IF(G382="TL",1,IF(G382="USD",KURLAR!$C$9,IF(G382="EUR",KURLAR!$C$10,0))))</x:f>
      </x:c>
      <x:c r="L382" s="68" t="str">
        <x:f>IF(B382="","",I382*K382)</x:f>
      </x:c>
      <x:c r="M382" s="46"/>
      <x:c r="N382" s="52" t="str">
        <x:f>IF(B382="","",IF(OR(M382="Ödendi",M382="İptal"),"Hayır","Evet"))</x:f>
      </x:c>
    </x:row>
    <x:row r="383">
      <x:c r="B383" s="46"/>
      <x:c r="C383" s="46"/>
      <x:c r="D383" s="112"/>
      <x:c r="E383" s="112"/>
      <x:c r="F383" s="92"/>
      <x:c r="G383" s="92"/>
      <x:c r="H383" s="92"/>
      <x:c r="I383" s="93" t="str">
        <x:f>IF(B383="","",MAX(0,F383-H383))</x:f>
      </x:c>
      <x:c r="J383" s="46"/>
      <x:c r="K383" s="100" t="str">
        <x:f>IF(B383="","",IF(G383="TL",1,IF(G383="USD",KURLAR!$C$9,IF(G383="EUR",KURLAR!$C$10,0))))</x:f>
      </x:c>
      <x:c r="L383" s="68" t="str">
        <x:f>IF(B383="","",I383*K383)</x:f>
      </x:c>
      <x:c r="M383" s="46"/>
      <x:c r="N383" s="52" t="str">
        <x:f>IF(B383="","",IF(OR(M383="Ödendi",M383="İptal"),"Hayır","Evet"))</x:f>
      </x:c>
    </x:row>
    <x:row r="384">
      <x:c r="B384" s="46"/>
      <x:c r="C384" s="46"/>
      <x:c r="D384" s="112"/>
      <x:c r="E384" s="112"/>
      <x:c r="F384" s="92"/>
      <x:c r="G384" s="92"/>
      <x:c r="H384" s="92"/>
      <x:c r="I384" s="93" t="str">
        <x:f>IF(B384="","",MAX(0,F384-H384))</x:f>
      </x:c>
      <x:c r="J384" s="46"/>
      <x:c r="K384" s="100" t="str">
        <x:f>IF(B384="","",IF(G384="TL",1,IF(G384="USD",KURLAR!$C$9,IF(G384="EUR",KURLAR!$C$10,0))))</x:f>
      </x:c>
      <x:c r="L384" s="68" t="str">
        <x:f>IF(B384="","",I384*K384)</x:f>
      </x:c>
      <x:c r="M384" s="46"/>
      <x:c r="N384" s="52" t="str">
        <x:f>IF(B384="","",IF(OR(M384="Ödendi",M384="İptal"),"Hayır","Evet"))</x:f>
      </x:c>
    </x:row>
    <x:row r="385">
      <x:c r="B385" s="46"/>
      <x:c r="C385" s="46"/>
      <x:c r="D385" s="112"/>
      <x:c r="E385" s="112"/>
      <x:c r="F385" s="92"/>
      <x:c r="G385" s="92"/>
      <x:c r="H385" s="92"/>
      <x:c r="I385" s="93" t="str">
        <x:f>IF(B385="","",MAX(0,F385-H385))</x:f>
      </x:c>
      <x:c r="J385" s="46"/>
      <x:c r="K385" s="100" t="str">
        <x:f>IF(B385="","",IF(G385="TL",1,IF(G385="USD",KURLAR!$C$9,IF(G385="EUR",KURLAR!$C$10,0))))</x:f>
      </x:c>
      <x:c r="L385" s="68" t="str">
        <x:f>IF(B385="","",I385*K385)</x:f>
      </x:c>
      <x:c r="M385" s="46"/>
      <x:c r="N385" s="52" t="str">
        <x:f>IF(B385="","",IF(OR(M385="Ödendi",M385="İptal"),"Hayır","Evet"))</x:f>
      </x:c>
    </x:row>
    <x:row r="386">
      <x:c r="B386" s="46"/>
      <x:c r="C386" s="46"/>
      <x:c r="D386" s="112"/>
      <x:c r="E386" s="112"/>
      <x:c r="F386" s="92"/>
      <x:c r="G386" s="92"/>
      <x:c r="H386" s="92"/>
      <x:c r="I386" s="93" t="str">
        <x:f>IF(B386="","",MAX(0,F386-H386))</x:f>
      </x:c>
      <x:c r="J386" s="46"/>
      <x:c r="K386" s="100" t="str">
        <x:f>IF(B386="","",IF(G386="TL",1,IF(G386="USD",KURLAR!$C$9,IF(G386="EUR",KURLAR!$C$10,0))))</x:f>
      </x:c>
      <x:c r="L386" s="68" t="str">
        <x:f>IF(B386="","",I386*K386)</x:f>
      </x:c>
      <x:c r="M386" s="46"/>
      <x:c r="N386" s="52" t="str">
        <x:f>IF(B386="","",IF(OR(M386="Ödendi",M386="İptal"),"Hayır","Evet"))</x:f>
      </x:c>
    </x:row>
    <x:row r="387">
      <x:c r="B387" s="46"/>
      <x:c r="C387" s="46"/>
      <x:c r="D387" s="112"/>
      <x:c r="E387" s="112"/>
      <x:c r="F387" s="92"/>
      <x:c r="G387" s="92"/>
      <x:c r="H387" s="92"/>
      <x:c r="I387" s="93" t="str">
        <x:f>IF(B387="","",MAX(0,F387-H387))</x:f>
      </x:c>
      <x:c r="J387" s="46"/>
      <x:c r="K387" s="100" t="str">
        <x:f>IF(B387="","",IF(G387="TL",1,IF(G387="USD",KURLAR!$C$9,IF(G387="EUR",KURLAR!$C$10,0))))</x:f>
      </x:c>
      <x:c r="L387" s="68" t="str">
        <x:f>IF(B387="","",I387*K387)</x:f>
      </x:c>
      <x:c r="M387" s="46"/>
      <x:c r="N387" s="52" t="str">
        <x:f>IF(B387="","",IF(OR(M387="Ödendi",M387="İptal"),"Hayır","Evet"))</x:f>
      </x:c>
    </x:row>
    <x:row r="388">
      <x:c r="B388" s="46"/>
      <x:c r="C388" s="46"/>
      <x:c r="D388" s="112"/>
      <x:c r="E388" s="112"/>
      <x:c r="F388" s="92"/>
      <x:c r="G388" s="92"/>
      <x:c r="H388" s="92"/>
      <x:c r="I388" s="93" t="str">
        <x:f>IF(B388="","",MAX(0,F388-H388))</x:f>
      </x:c>
      <x:c r="J388" s="46"/>
      <x:c r="K388" s="100" t="str">
        <x:f>IF(B388="","",IF(G388="TL",1,IF(G388="USD",KURLAR!$C$9,IF(G388="EUR",KURLAR!$C$10,0))))</x:f>
      </x:c>
      <x:c r="L388" s="68" t="str">
        <x:f>IF(B388="","",I388*K388)</x:f>
      </x:c>
      <x:c r="M388" s="46"/>
      <x:c r="N388" s="52" t="str">
        <x:f>IF(B388="","",IF(OR(M388="Ödendi",M388="İptal"),"Hayır","Evet"))</x:f>
      </x:c>
    </x:row>
    <x:row r="389">
      <x:c r="B389" s="46"/>
      <x:c r="C389" s="46"/>
      <x:c r="D389" s="112"/>
      <x:c r="E389" s="112"/>
      <x:c r="F389" s="92"/>
      <x:c r="G389" s="92"/>
      <x:c r="H389" s="92"/>
      <x:c r="I389" s="93" t="str">
        <x:f>IF(B389="","",MAX(0,F389-H389))</x:f>
      </x:c>
      <x:c r="J389" s="46"/>
      <x:c r="K389" s="100" t="str">
        <x:f>IF(B389="","",IF(G389="TL",1,IF(G389="USD",KURLAR!$C$9,IF(G389="EUR",KURLAR!$C$10,0))))</x:f>
      </x:c>
      <x:c r="L389" s="68" t="str">
        <x:f>IF(B389="","",I389*K389)</x:f>
      </x:c>
      <x:c r="M389" s="46"/>
      <x:c r="N389" s="52" t="str">
        <x:f>IF(B389="","",IF(OR(M389="Ödendi",M389="İptal"),"Hayır","Evet"))</x:f>
      </x:c>
    </x:row>
    <x:row r="390">
      <x:c r="B390" s="46"/>
      <x:c r="C390" s="46"/>
      <x:c r="D390" s="112"/>
      <x:c r="E390" s="112"/>
      <x:c r="F390" s="92"/>
      <x:c r="G390" s="92"/>
      <x:c r="H390" s="92"/>
      <x:c r="I390" s="93" t="str">
        <x:f>IF(B390="","",MAX(0,F390-H390))</x:f>
      </x:c>
      <x:c r="J390" s="46"/>
      <x:c r="K390" s="100" t="str">
        <x:f>IF(B390="","",IF(G390="TL",1,IF(G390="USD",KURLAR!$C$9,IF(G390="EUR",KURLAR!$C$10,0))))</x:f>
      </x:c>
      <x:c r="L390" s="68" t="str">
        <x:f>IF(B390="","",I390*K390)</x:f>
      </x:c>
      <x:c r="M390" s="46"/>
      <x:c r="N390" s="52" t="str">
        <x:f>IF(B390="","",IF(OR(M390="Ödendi",M390="İptal"),"Hayır","Evet"))</x:f>
      </x:c>
    </x:row>
    <x:row r="391">
      <x:c r="B391" s="46"/>
      <x:c r="C391" s="46"/>
      <x:c r="D391" s="112"/>
      <x:c r="E391" s="112"/>
      <x:c r="F391" s="92"/>
      <x:c r="G391" s="92"/>
      <x:c r="H391" s="92"/>
      <x:c r="I391" s="93" t="str">
        <x:f>IF(B391="","",MAX(0,F391-H391))</x:f>
      </x:c>
      <x:c r="J391" s="46"/>
      <x:c r="K391" s="100" t="str">
        <x:f>IF(B391="","",IF(G391="TL",1,IF(G391="USD",KURLAR!$C$9,IF(G391="EUR",KURLAR!$C$10,0))))</x:f>
      </x:c>
      <x:c r="L391" s="68" t="str">
        <x:f>IF(B391="","",I391*K391)</x:f>
      </x:c>
      <x:c r="M391" s="46"/>
      <x:c r="N391" s="52" t="str">
        <x:f>IF(B391="","",IF(OR(M391="Ödendi",M391="İptal"),"Hayır","Evet"))</x:f>
      </x:c>
    </x:row>
    <x:row r="392">
      <x:c r="B392" s="46"/>
      <x:c r="C392" s="46"/>
      <x:c r="D392" s="112"/>
      <x:c r="E392" s="112"/>
      <x:c r="F392" s="92"/>
      <x:c r="G392" s="92"/>
      <x:c r="H392" s="92"/>
      <x:c r="I392" s="93" t="str">
        <x:f>IF(B392="","",MAX(0,F392-H392))</x:f>
      </x:c>
      <x:c r="J392" s="46"/>
      <x:c r="K392" s="100" t="str">
        <x:f>IF(B392="","",IF(G392="TL",1,IF(G392="USD",KURLAR!$C$9,IF(G392="EUR",KURLAR!$C$10,0))))</x:f>
      </x:c>
      <x:c r="L392" s="68" t="str">
        <x:f>IF(B392="","",I392*K392)</x:f>
      </x:c>
      <x:c r="M392" s="46"/>
      <x:c r="N392" s="52" t="str">
        <x:f>IF(B392="","",IF(OR(M392="Ödendi",M392="İptal"),"Hayır","Evet"))</x:f>
      </x:c>
    </x:row>
    <x:row r="393">
      <x:c r="B393" s="46"/>
      <x:c r="C393" s="46"/>
      <x:c r="D393" s="112"/>
      <x:c r="E393" s="112"/>
      <x:c r="F393" s="92"/>
      <x:c r="G393" s="92"/>
      <x:c r="H393" s="92"/>
      <x:c r="I393" s="93" t="str">
        <x:f>IF(B393="","",MAX(0,F393-H393))</x:f>
      </x:c>
      <x:c r="J393" s="46"/>
      <x:c r="K393" s="100" t="str">
        <x:f>IF(B393="","",IF(G393="TL",1,IF(G393="USD",KURLAR!$C$9,IF(G393="EUR",KURLAR!$C$10,0))))</x:f>
      </x:c>
      <x:c r="L393" s="68" t="str">
        <x:f>IF(B393="","",I393*K393)</x:f>
      </x:c>
      <x:c r="M393" s="46"/>
      <x:c r="N393" s="52" t="str">
        <x:f>IF(B393="","",IF(OR(M393="Ödendi",M393="İptal"),"Hayır","Evet"))</x:f>
      </x:c>
    </x:row>
    <x:row r="394">
      <x:c r="B394" s="46"/>
      <x:c r="C394" s="46"/>
      <x:c r="D394" s="112"/>
      <x:c r="E394" s="112"/>
      <x:c r="F394" s="92"/>
      <x:c r="G394" s="92"/>
      <x:c r="H394" s="92"/>
      <x:c r="I394" s="93" t="str">
        <x:f>IF(B394="","",MAX(0,F394-H394))</x:f>
      </x:c>
      <x:c r="J394" s="46"/>
      <x:c r="K394" s="100" t="str">
        <x:f>IF(B394="","",IF(G394="TL",1,IF(G394="USD",KURLAR!$C$9,IF(G394="EUR",KURLAR!$C$10,0))))</x:f>
      </x:c>
      <x:c r="L394" s="68" t="str">
        <x:f>IF(B394="","",I394*K394)</x:f>
      </x:c>
      <x:c r="M394" s="46"/>
      <x:c r="N394" s="52" t="str">
        <x:f>IF(B394="","",IF(OR(M394="Ödendi",M394="İptal"),"Hayır","Evet"))</x:f>
      </x:c>
    </x:row>
    <x:row r="395">
      <x:c r="B395" s="46"/>
      <x:c r="C395" s="46"/>
      <x:c r="D395" s="112"/>
      <x:c r="E395" s="112"/>
      <x:c r="F395" s="92"/>
      <x:c r="G395" s="92"/>
      <x:c r="H395" s="92"/>
      <x:c r="I395" s="93" t="str">
        <x:f>IF(B395="","",MAX(0,F395-H395))</x:f>
      </x:c>
      <x:c r="J395" s="46"/>
      <x:c r="K395" s="100" t="str">
        <x:f>IF(B395="","",IF(G395="TL",1,IF(G395="USD",KURLAR!$C$9,IF(G395="EUR",KURLAR!$C$10,0))))</x:f>
      </x:c>
      <x:c r="L395" s="68" t="str">
        <x:f>IF(B395="","",I395*K395)</x:f>
      </x:c>
      <x:c r="M395" s="46"/>
      <x:c r="N395" s="52" t="str">
        <x:f>IF(B395="","",IF(OR(M395="Ödendi",M395="İptal"),"Hayır","Evet"))</x:f>
      </x:c>
    </x:row>
    <x:row r="396">
      <x:c r="B396" s="46"/>
      <x:c r="C396" s="46"/>
      <x:c r="D396" s="112"/>
      <x:c r="E396" s="112"/>
      <x:c r="F396" s="92"/>
      <x:c r="G396" s="92"/>
      <x:c r="H396" s="92"/>
      <x:c r="I396" s="93" t="str">
        <x:f>IF(B396="","",MAX(0,F396-H396))</x:f>
      </x:c>
      <x:c r="J396" s="46"/>
      <x:c r="K396" s="100" t="str">
        <x:f>IF(B396="","",IF(G396="TL",1,IF(G396="USD",KURLAR!$C$9,IF(G396="EUR",KURLAR!$C$10,0))))</x:f>
      </x:c>
      <x:c r="L396" s="68" t="str">
        <x:f>IF(B396="","",I396*K396)</x:f>
      </x:c>
      <x:c r="M396" s="46"/>
      <x:c r="N396" s="52" t="str">
        <x:f>IF(B396="","",IF(OR(M396="Ödendi",M396="İptal"),"Hayır","Evet"))</x:f>
      </x:c>
    </x:row>
    <x:row r="397">
      <x:c r="B397" s="46"/>
      <x:c r="C397" s="46"/>
      <x:c r="D397" s="112"/>
      <x:c r="E397" s="112"/>
      <x:c r="F397" s="92"/>
      <x:c r="G397" s="92"/>
      <x:c r="H397" s="92"/>
      <x:c r="I397" s="93" t="str">
        <x:f>IF(B397="","",MAX(0,F397-H397))</x:f>
      </x:c>
      <x:c r="J397" s="46"/>
      <x:c r="K397" s="100" t="str">
        <x:f>IF(B397="","",IF(G397="TL",1,IF(G397="USD",KURLAR!$C$9,IF(G397="EUR",KURLAR!$C$10,0))))</x:f>
      </x:c>
      <x:c r="L397" s="68" t="str">
        <x:f>IF(B397="","",I397*K397)</x:f>
      </x:c>
      <x:c r="M397" s="46"/>
      <x:c r="N397" s="52" t="str">
        <x:f>IF(B397="","",IF(OR(M397="Ödendi",M397="İptal"),"Hayır","Evet"))</x:f>
      </x:c>
    </x:row>
    <x:row r="398">
      <x:c r="B398" s="46"/>
      <x:c r="C398" s="46"/>
      <x:c r="D398" s="112"/>
      <x:c r="E398" s="112"/>
      <x:c r="F398" s="92"/>
      <x:c r="G398" s="92"/>
      <x:c r="H398" s="92"/>
      <x:c r="I398" s="93" t="str">
        <x:f>IF(B398="","",MAX(0,F398-H398))</x:f>
      </x:c>
      <x:c r="J398" s="46"/>
      <x:c r="K398" s="100" t="str">
        <x:f>IF(B398="","",IF(G398="TL",1,IF(G398="USD",KURLAR!$C$9,IF(G398="EUR",KURLAR!$C$10,0))))</x:f>
      </x:c>
      <x:c r="L398" s="68" t="str">
        <x:f>IF(B398="","",I398*K398)</x:f>
      </x:c>
      <x:c r="M398" s="46"/>
      <x:c r="N398" s="52" t="str">
        <x:f>IF(B398="","",IF(OR(M398="Ödendi",M398="İptal"),"Hayır","Evet"))</x:f>
      </x:c>
    </x:row>
    <x:row r="399">
      <x:c r="B399" s="46"/>
      <x:c r="C399" s="46"/>
      <x:c r="D399" s="112"/>
      <x:c r="E399" s="112"/>
      <x:c r="F399" s="92"/>
      <x:c r="G399" s="92"/>
      <x:c r="H399" s="92"/>
      <x:c r="I399" s="93" t="str">
        <x:f>IF(B399="","",MAX(0,F399-H399))</x:f>
      </x:c>
      <x:c r="J399" s="46"/>
      <x:c r="K399" s="100" t="str">
        <x:f>IF(B399="","",IF(G399="TL",1,IF(G399="USD",KURLAR!$C$9,IF(G399="EUR",KURLAR!$C$10,0))))</x:f>
      </x:c>
      <x:c r="L399" s="68" t="str">
        <x:f>IF(B399="","",I399*K399)</x:f>
      </x:c>
      <x:c r="M399" s="46"/>
      <x:c r="N399" s="52" t="str">
        <x:f>IF(B399="","",IF(OR(M399="Ödendi",M399="İptal"),"Hayır","Evet"))</x:f>
      </x:c>
    </x:row>
    <x:row r="400">
      <x:c r="B400" s="46"/>
      <x:c r="C400" s="46"/>
      <x:c r="D400" s="112"/>
      <x:c r="E400" s="112"/>
      <x:c r="F400" s="92"/>
      <x:c r="G400" s="92"/>
      <x:c r="H400" s="92"/>
      <x:c r="I400" s="93" t="str">
        <x:f>IF(B400="","",MAX(0,F400-H400))</x:f>
      </x:c>
      <x:c r="J400" s="46"/>
      <x:c r="K400" s="100" t="str">
        <x:f>IF(B400="","",IF(G400="TL",1,IF(G400="USD",KURLAR!$C$9,IF(G400="EUR",KURLAR!$C$10,0))))</x:f>
      </x:c>
      <x:c r="L400" s="68" t="str">
        <x:f>IF(B400="","",I400*K400)</x:f>
      </x:c>
      <x:c r="M400" s="46"/>
      <x:c r="N400" s="52" t="str">
        <x:f>IF(B400="","",IF(OR(M400="Ödendi",M400="İptal"),"Hayır","Evet"))</x:f>
      </x:c>
    </x:row>
    <x:row r="401">
      <x:c r="B401" s="46"/>
      <x:c r="C401" s="46"/>
      <x:c r="D401" s="112"/>
      <x:c r="E401" s="112"/>
      <x:c r="F401" s="92"/>
      <x:c r="G401" s="92"/>
      <x:c r="H401" s="92"/>
      <x:c r="I401" s="93" t="str">
        <x:f>IF(B401="","",MAX(0,F401-H401))</x:f>
      </x:c>
      <x:c r="J401" s="46"/>
      <x:c r="K401" s="100" t="str">
        <x:f>IF(B401="","",IF(G401="TL",1,IF(G401="USD",KURLAR!$C$9,IF(G401="EUR",KURLAR!$C$10,0))))</x:f>
      </x:c>
      <x:c r="L401" s="68" t="str">
        <x:f>IF(B401="","",I401*K401)</x:f>
      </x:c>
      <x:c r="M401" s="46"/>
      <x:c r="N401" s="52" t="str">
        <x:f>IF(B401="","",IF(OR(M401="Ödendi",M401="İptal"),"Hayır","Evet"))</x:f>
      </x:c>
    </x:row>
    <x:row r="402">
      <x:c r="B402" s="46"/>
      <x:c r="C402" s="46"/>
      <x:c r="D402" s="112"/>
      <x:c r="E402" s="112"/>
      <x:c r="F402" s="92"/>
      <x:c r="G402" s="92"/>
      <x:c r="H402" s="92"/>
      <x:c r="I402" s="93" t="str">
        <x:f>IF(B402="","",MAX(0,F402-H402))</x:f>
      </x:c>
      <x:c r="J402" s="46"/>
      <x:c r="K402" s="100" t="str">
        <x:f>IF(B402="","",IF(G402="TL",1,IF(G402="USD",KURLAR!$C$9,IF(G402="EUR",KURLAR!$C$10,0))))</x:f>
      </x:c>
      <x:c r="L402" s="68" t="str">
        <x:f>IF(B402="","",I402*K402)</x:f>
      </x:c>
      <x:c r="M402" s="46"/>
      <x:c r="N402" s="52" t="str">
        <x:f>IF(B402="","",IF(OR(M402="Ödendi",M402="İptal"),"Hayır","Evet"))</x:f>
      </x:c>
    </x:row>
    <x:row r="403">
      <x:c r="B403" s="46"/>
      <x:c r="C403" s="46"/>
      <x:c r="D403" s="112"/>
      <x:c r="E403" s="112"/>
      <x:c r="F403" s="92"/>
      <x:c r="G403" s="92"/>
      <x:c r="H403" s="92"/>
      <x:c r="I403" s="93" t="str">
        <x:f>IF(B403="","",MAX(0,F403-H403))</x:f>
      </x:c>
      <x:c r="J403" s="46"/>
      <x:c r="K403" s="100" t="str">
        <x:f>IF(B403="","",IF(G403="TL",1,IF(G403="USD",KURLAR!$C$9,IF(G403="EUR",KURLAR!$C$10,0))))</x:f>
      </x:c>
      <x:c r="L403" s="68" t="str">
        <x:f>IF(B403="","",I403*K403)</x:f>
      </x:c>
      <x:c r="M403" s="46"/>
      <x:c r="N403" s="52" t="str">
        <x:f>IF(B403="","",IF(OR(M403="Ödendi",M403="İptal"),"Hayır","Evet"))</x:f>
      </x:c>
    </x:row>
    <x:row r="404">
      <x:c r="B404" s="46"/>
      <x:c r="C404" s="46"/>
      <x:c r="D404" s="112"/>
      <x:c r="E404" s="112"/>
      <x:c r="F404" s="92"/>
      <x:c r="G404" s="92"/>
      <x:c r="H404" s="92"/>
      <x:c r="I404" s="93" t="str">
        <x:f>IF(B404="","",MAX(0,F404-H404))</x:f>
      </x:c>
      <x:c r="J404" s="46"/>
      <x:c r="K404" s="100" t="str">
        <x:f>IF(B404="","",IF(G404="TL",1,IF(G404="USD",KURLAR!$C$9,IF(G404="EUR",KURLAR!$C$10,0))))</x:f>
      </x:c>
      <x:c r="L404" s="68" t="str">
        <x:f>IF(B404="","",I404*K404)</x:f>
      </x:c>
      <x:c r="M404" s="46"/>
      <x:c r="N404" s="52" t="str">
        <x:f>IF(B404="","",IF(OR(M404="Ödendi",M404="İptal"),"Hayır","Evet"))</x:f>
      </x:c>
    </x:row>
    <x:row r="405">
      <x:c r="B405" s="46"/>
      <x:c r="C405" s="46"/>
      <x:c r="D405" s="112"/>
      <x:c r="E405" s="112"/>
      <x:c r="F405" s="92"/>
      <x:c r="G405" s="92"/>
      <x:c r="H405" s="92"/>
      <x:c r="I405" s="93" t="str">
        <x:f>IF(B405="","",MAX(0,F405-H405))</x:f>
      </x:c>
      <x:c r="J405" s="46"/>
      <x:c r="K405" s="100" t="str">
        <x:f>IF(B405="","",IF(G405="TL",1,IF(G405="USD",KURLAR!$C$9,IF(G405="EUR",KURLAR!$C$10,0))))</x:f>
      </x:c>
      <x:c r="L405" s="68" t="str">
        <x:f>IF(B405="","",I405*K405)</x:f>
      </x:c>
      <x:c r="M405" s="46"/>
      <x:c r="N405" s="52" t="str">
        <x:f>IF(B405="","",IF(OR(M405="Ödendi",M405="İptal"),"Hayır","Evet"))</x:f>
      </x:c>
    </x:row>
    <x:row r="406">
      <x:c r="B406" s="46"/>
      <x:c r="C406" s="46"/>
      <x:c r="D406" s="112"/>
      <x:c r="E406" s="112"/>
      <x:c r="F406" s="92"/>
      <x:c r="G406" s="92"/>
      <x:c r="H406" s="92"/>
      <x:c r="I406" s="93" t="str">
        <x:f>IF(B406="","",MAX(0,F406-H406))</x:f>
      </x:c>
      <x:c r="J406" s="46"/>
      <x:c r="K406" s="100" t="str">
        <x:f>IF(B406="","",IF(G406="TL",1,IF(G406="USD",KURLAR!$C$9,IF(G406="EUR",KURLAR!$C$10,0))))</x:f>
      </x:c>
      <x:c r="L406" s="68" t="str">
        <x:f>IF(B406="","",I406*K406)</x:f>
      </x:c>
      <x:c r="M406" s="46"/>
      <x:c r="N406" s="52" t="str">
        <x:f>IF(B406="","",IF(OR(M406="Ödendi",M406="İptal"),"Hayır","Evet"))</x:f>
      </x:c>
    </x:row>
    <x:row r="407">
      <x:c r="B407" s="46"/>
      <x:c r="C407" s="46"/>
      <x:c r="D407" s="112"/>
      <x:c r="E407" s="112"/>
      <x:c r="F407" s="92"/>
      <x:c r="G407" s="92"/>
      <x:c r="H407" s="92"/>
      <x:c r="I407" s="93" t="str">
        <x:f>IF(B407="","",MAX(0,F407-H407))</x:f>
      </x:c>
      <x:c r="J407" s="46"/>
      <x:c r="K407" s="100" t="str">
        <x:f>IF(B407="","",IF(G407="TL",1,IF(G407="USD",KURLAR!$C$9,IF(G407="EUR",KURLAR!$C$10,0))))</x:f>
      </x:c>
      <x:c r="L407" s="68" t="str">
        <x:f>IF(B407="","",I407*K407)</x:f>
      </x:c>
      <x:c r="M407" s="46"/>
      <x:c r="N407" s="52" t="str">
        <x:f>IF(B407="","",IF(OR(M407="Ödendi",M407="İptal"),"Hayır","Evet"))</x:f>
      </x:c>
    </x:row>
    <x:row r="408">
      <x:c r="B408" s="46"/>
      <x:c r="C408" s="46"/>
      <x:c r="D408" s="112"/>
      <x:c r="E408" s="112"/>
      <x:c r="F408" s="92"/>
      <x:c r="G408" s="92"/>
      <x:c r="H408" s="92"/>
      <x:c r="I408" s="93" t="str">
        <x:f>IF(B408="","",MAX(0,F408-H408))</x:f>
      </x:c>
      <x:c r="J408" s="46"/>
      <x:c r="K408" s="100" t="str">
        <x:f>IF(B408="","",IF(G408="TL",1,IF(G408="USD",KURLAR!$C$9,IF(G408="EUR",KURLAR!$C$10,0))))</x:f>
      </x:c>
      <x:c r="L408" s="68" t="str">
        <x:f>IF(B408="","",I408*K408)</x:f>
      </x:c>
      <x:c r="M408" s="46"/>
      <x:c r="N408" s="52" t="str">
        <x:f>IF(B408="","",IF(OR(M408="Ödendi",M408="İptal"),"Hayır","Evet"))</x:f>
      </x:c>
    </x:row>
    <x:row r="409">
      <x:c r="B409" s="46"/>
      <x:c r="C409" s="46"/>
      <x:c r="D409" s="112"/>
      <x:c r="E409" s="112"/>
      <x:c r="F409" s="92"/>
      <x:c r="G409" s="92"/>
      <x:c r="H409" s="92"/>
      <x:c r="I409" s="93" t="str">
        <x:f>IF(B409="","",MAX(0,F409-H409))</x:f>
      </x:c>
      <x:c r="J409" s="46"/>
      <x:c r="K409" s="100" t="str">
        <x:f>IF(B409="","",IF(G409="TL",1,IF(G409="USD",KURLAR!$C$9,IF(G409="EUR",KURLAR!$C$10,0))))</x:f>
      </x:c>
      <x:c r="L409" s="68" t="str">
        <x:f>IF(B409="","",I409*K409)</x:f>
      </x:c>
      <x:c r="M409" s="46"/>
      <x:c r="N409" s="52" t="str">
        <x:f>IF(B409="","",IF(OR(M409="Ödendi",M409="İptal"),"Hayır","Evet"))</x:f>
      </x:c>
    </x:row>
    <x:row r="410">
      <x:c r="B410" s="46"/>
      <x:c r="C410" s="46"/>
      <x:c r="D410" s="112"/>
      <x:c r="E410" s="112"/>
      <x:c r="F410" s="92"/>
      <x:c r="G410" s="92"/>
      <x:c r="H410" s="92"/>
      <x:c r="I410" s="93" t="str">
        <x:f>IF(B410="","",MAX(0,F410-H410))</x:f>
      </x:c>
      <x:c r="J410" s="46"/>
      <x:c r="K410" s="100" t="str">
        <x:f>IF(B410="","",IF(G410="TL",1,IF(G410="USD",KURLAR!$C$9,IF(G410="EUR",KURLAR!$C$10,0))))</x:f>
      </x:c>
      <x:c r="L410" s="68" t="str">
        <x:f>IF(B410="","",I410*K410)</x:f>
      </x:c>
      <x:c r="M410" s="46"/>
      <x:c r="N410" s="52" t="str">
        <x:f>IF(B410="","",IF(OR(M410="Ödendi",M410="İptal"),"Hayır","Evet"))</x:f>
      </x:c>
    </x:row>
    <x:row r="411">
      <x:c r="B411" s="46"/>
      <x:c r="C411" s="46"/>
      <x:c r="D411" s="112"/>
      <x:c r="E411" s="112"/>
      <x:c r="F411" s="92"/>
      <x:c r="G411" s="92"/>
      <x:c r="H411" s="92"/>
      <x:c r="I411" s="93" t="str">
        <x:f>IF(B411="","",MAX(0,F411-H411))</x:f>
      </x:c>
      <x:c r="J411" s="46"/>
      <x:c r="K411" s="100" t="str">
        <x:f>IF(B411="","",IF(G411="TL",1,IF(G411="USD",KURLAR!$C$9,IF(G411="EUR",KURLAR!$C$10,0))))</x:f>
      </x:c>
      <x:c r="L411" s="68" t="str">
        <x:f>IF(B411="","",I411*K411)</x:f>
      </x:c>
      <x:c r="M411" s="46"/>
      <x:c r="N411" s="52" t="str">
        <x:f>IF(B411="","",IF(OR(M411="Ödendi",M411="İptal"),"Hayır","Evet"))</x:f>
      </x:c>
    </x:row>
    <x:row r="412">
      <x:c r="B412" s="46"/>
      <x:c r="C412" s="46"/>
      <x:c r="D412" s="112"/>
      <x:c r="E412" s="112"/>
      <x:c r="F412" s="92"/>
      <x:c r="G412" s="92"/>
      <x:c r="H412" s="92"/>
      <x:c r="I412" s="93" t="str">
        <x:f>IF(B412="","",MAX(0,F412-H412))</x:f>
      </x:c>
      <x:c r="J412" s="46"/>
      <x:c r="K412" s="100" t="str">
        <x:f>IF(B412="","",IF(G412="TL",1,IF(G412="USD",KURLAR!$C$9,IF(G412="EUR",KURLAR!$C$10,0))))</x:f>
      </x:c>
      <x:c r="L412" s="68" t="str">
        <x:f>IF(B412="","",I412*K412)</x:f>
      </x:c>
      <x:c r="M412" s="46"/>
      <x:c r="N412" s="52" t="str">
        <x:f>IF(B412="","",IF(OR(M412="Ödendi",M412="İptal"),"Hayır","Evet"))</x:f>
      </x:c>
    </x:row>
    <x:row r="413">
      <x:c r="B413" s="46"/>
      <x:c r="C413" s="46"/>
      <x:c r="D413" s="112"/>
      <x:c r="E413" s="112"/>
      <x:c r="F413" s="92"/>
      <x:c r="G413" s="92"/>
      <x:c r="H413" s="92"/>
      <x:c r="I413" s="93" t="str">
        <x:f>IF(B413="","",MAX(0,F413-H413))</x:f>
      </x:c>
      <x:c r="J413" s="46"/>
      <x:c r="K413" s="100" t="str">
        <x:f>IF(B413="","",IF(G413="TL",1,IF(G413="USD",KURLAR!$C$9,IF(G413="EUR",KURLAR!$C$10,0))))</x:f>
      </x:c>
      <x:c r="L413" s="68" t="str">
        <x:f>IF(B413="","",I413*K413)</x:f>
      </x:c>
      <x:c r="M413" s="46"/>
      <x:c r="N413" s="52" t="str">
        <x:f>IF(B413="","",IF(OR(M413="Ödendi",M413="İptal"),"Hayır","Evet"))</x:f>
      </x:c>
    </x:row>
    <x:row r="414">
      <x:c r="B414" s="46"/>
      <x:c r="C414" s="46"/>
      <x:c r="D414" s="112"/>
      <x:c r="E414" s="112"/>
      <x:c r="F414" s="92"/>
      <x:c r="G414" s="92"/>
      <x:c r="H414" s="92"/>
      <x:c r="I414" s="93" t="str">
        <x:f>IF(B414="","",MAX(0,F414-H414))</x:f>
      </x:c>
      <x:c r="J414" s="46"/>
      <x:c r="K414" s="100" t="str">
        <x:f>IF(B414="","",IF(G414="TL",1,IF(G414="USD",KURLAR!$C$9,IF(G414="EUR",KURLAR!$C$10,0))))</x:f>
      </x:c>
      <x:c r="L414" s="68" t="str">
        <x:f>IF(B414="","",I414*K414)</x:f>
      </x:c>
      <x:c r="M414" s="46"/>
      <x:c r="N414" s="52" t="str">
        <x:f>IF(B414="","",IF(OR(M414="Ödendi",M414="İptal"),"Hayır","Evet"))</x:f>
      </x:c>
    </x:row>
    <x:row r="415">
      <x:c r="B415" s="46"/>
      <x:c r="C415" s="46"/>
      <x:c r="D415" s="112"/>
      <x:c r="E415" s="112"/>
      <x:c r="F415" s="92"/>
      <x:c r="G415" s="92"/>
      <x:c r="H415" s="92"/>
      <x:c r="I415" s="93" t="str">
        <x:f>IF(B415="","",MAX(0,F415-H415))</x:f>
      </x:c>
      <x:c r="J415" s="46"/>
      <x:c r="K415" s="100" t="str">
        <x:f>IF(B415="","",IF(G415="TL",1,IF(G415="USD",KURLAR!$C$9,IF(G415="EUR",KURLAR!$C$10,0))))</x:f>
      </x:c>
      <x:c r="L415" s="68" t="str">
        <x:f>IF(B415="","",I415*K415)</x:f>
      </x:c>
      <x:c r="M415" s="46"/>
      <x:c r="N415" s="52" t="str">
        <x:f>IF(B415="","",IF(OR(M415="Ödendi",M415="İptal"),"Hayır","Evet"))</x:f>
      </x:c>
    </x:row>
    <x:row r="416">
      <x:c r="B416" s="46"/>
      <x:c r="C416" s="46"/>
      <x:c r="D416" s="112"/>
      <x:c r="E416" s="112"/>
      <x:c r="F416" s="92"/>
      <x:c r="G416" s="92"/>
      <x:c r="H416" s="92"/>
      <x:c r="I416" s="93" t="str">
        <x:f>IF(B416="","",MAX(0,F416-H416))</x:f>
      </x:c>
      <x:c r="J416" s="46"/>
      <x:c r="K416" s="100" t="str">
        <x:f>IF(B416="","",IF(G416="TL",1,IF(G416="USD",KURLAR!$C$9,IF(G416="EUR",KURLAR!$C$10,0))))</x:f>
      </x:c>
      <x:c r="L416" s="68" t="str">
        <x:f>IF(B416="","",I416*K416)</x:f>
      </x:c>
      <x:c r="M416" s="46"/>
      <x:c r="N416" s="52" t="str">
        <x:f>IF(B416="","",IF(OR(M416="Ödendi",M416="İptal"),"Hayır","Evet"))</x:f>
      </x:c>
    </x:row>
    <x:row r="417">
      <x:c r="B417" s="46"/>
      <x:c r="C417" s="46"/>
      <x:c r="D417" s="112"/>
      <x:c r="E417" s="112"/>
      <x:c r="F417" s="92"/>
      <x:c r="G417" s="92"/>
      <x:c r="H417" s="92"/>
      <x:c r="I417" s="93" t="str">
        <x:f>IF(B417="","",MAX(0,F417-H417))</x:f>
      </x:c>
      <x:c r="J417" s="46"/>
      <x:c r="K417" s="100" t="str">
        <x:f>IF(B417="","",IF(G417="TL",1,IF(G417="USD",KURLAR!$C$9,IF(G417="EUR",KURLAR!$C$10,0))))</x:f>
      </x:c>
      <x:c r="L417" s="68" t="str">
        <x:f>IF(B417="","",I417*K417)</x:f>
      </x:c>
      <x:c r="M417" s="46"/>
      <x:c r="N417" s="52" t="str">
        <x:f>IF(B417="","",IF(OR(M417="Ödendi",M417="İptal"),"Hayır","Evet"))</x:f>
      </x:c>
    </x:row>
    <x:row r="418">
      <x:c r="B418" s="46"/>
      <x:c r="C418" s="46"/>
      <x:c r="D418" s="112"/>
      <x:c r="E418" s="112"/>
      <x:c r="F418" s="92"/>
      <x:c r="G418" s="92"/>
      <x:c r="H418" s="92"/>
      <x:c r="I418" s="93" t="str">
        <x:f>IF(B418="","",MAX(0,F418-H418))</x:f>
      </x:c>
      <x:c r="J418" s="46"/>
      <x:c r="K418" s="100" t="str">
        <x:f>IF(B418="","",IF(G418="TL",1,IF(G418="USD",KURLAR!$C$9,IF(G418="EUR",KURLAR!$C$10,0))))</x:f>
      </x:c>
      <x:c r="L418" s="68" t="str">
        <x:f>IF(B418="","",I418*K418)</x:f>
      </x:c>
      <x:c r="M418" s="46"/>
      <x:c r="N418" s="52" t="str">
        <x:f>IF(B418="","",IF(OR(M418="Ödendi",M418="İptal"),"Hayır","Evet"))</x:f>
      </x:c>
    </x:row>
    <x:row r="419">
      <x:c r="B419" s="46"/>
      <x:c r="C419" s="46"/>
      <x:c r="D419" s="112"/>
      <x:c r="E419" s="112"/>
      <x:c r="F419" s="92"/>
      <x:c r="G419" s="92"/>
      <x:c r="H419" s="92"/>
      <x:c r="I419" s="93" t="str">
        <x:f>IF(B419="","",MAX(0,F419-H419))</x:f>
      </x:c>
      <x:c r="J419" s="46"/>
      <x:c r="K419" s="100" t="str">
        <x:f>IF(B419="","",IF(G419="TL",1,IF(G419="USD",KURLAR!$C$9,IF(G419="EUR",KURLAR!$C$10,0))))</x:f>
      </x:c>
      <x:c r="L419" s="68" t="str">
        <x:f>IF(B419="","",I419*K419)</x:f>
      </x:c>
      <x:c r="M419" s="46"/>
      <x:c r="N419" s="52" t="str">
        <x:f>IF(B419="","",IF(OR(M419="Ödendi",M419="İptal"),"Hayır","Evet"))</x:f>
      </x:c>
    </x:row>
    <x:row r="420">
      <x:c r="B420" s="46"/>
      <x:c r="C420" s="46"/>
      <x:c r="D420" s="112"/>
      <x:c r="E420" s="112"/>
      <x:c r="F420" s="92"/>
      <x:c r="G420" s="92"/>
      <x:c r="H420" s="92"/>
      <x:c r="I420" s="93" t="str">
        <x:f>IF(B420="","",MAX(0,F420-H420))</x:f>
      </x:c>
      <x:c r="J420" s="46"/>
      <x:c r="K420" s="100" t="str">
        <x:f>IF(B420="","",IF(G420="TL",1,IF(G420="USD",KURLAR!$C$9,IF(G420="EUR",KURLAR!$C$10,0))))</x:f>
      </x:c>
      <x:c r="L420" s="68" t="str">
        <x:f>IF(B420="","",I420*K420)</x:f>
      </x:c>
      <x:c r="M420" s="46"/>
      <x:c r="N420" s="52" t="str">
        <x:f>IF(B420="","",IF(OR(M420="Ödendi",M420="İptal"),"Hayır","Evet"))</x:f>
      </x:c>
    </x:row>
    <x:row r="421">
      <x:c r="B421" s="46"/>
      <x:c r="C421" s="46"/>
      <x:c r="D421" s="112"/>
      <x:c r="E421" s="112"/>
      <x:c r="F421" s="92"/>
      <x:c r="G421" s="92"/>
      <x:c r="H421" s="92"/>
      <x:c r="I421" s="93" t="str">
        <x:f>IF(B421="","",MAX(0,F421-H421))</x:f>
      </x:c>
      <x:c r="J421" s="46"/>
      <x:c r="K421" s="100" t="str">
        <x:f>IF(B421="","",IF(G421="TL",1,IF(G421="USD",KURLAR!$C$9,IF(G421="EUR",KURLAR!$C$10,0))))</x:f>
      </x:c>
      <x:c r="L421" s="68" t="str">
        <x:f>IF(B421="","",I421*K421)</x:f>
      </x:c>
      <x:c r="M421" s="46"/>
      <x:c r="N421" s="52" t="str">
        <x:f>IF(B421="","",IF(OR(M421="Ödendi",M421="İptal"),"Hayır","Evet"))</x:f>
      </x:c>
    </x:row>
    <x:row r="422">
      <x:c r="B422" s="46"/>
      <x:c r="C422" s="46"/>
      <x:c r="D422" s="112"/>
      <x:c r="E422" s="112"/>
      <x:c r="F422" s="92"/>
      <x:c r="G422" s="92"/>
      <x:c r="H422" s="92"/>
      <x:c r="I422" s="93" t="str">
        <x:f>IF(B422="","",MAX(0,F422-H422))</x:f>
      </x:c>
      <x:c r="J422" s="46"/>
      <x:c r="K422" s="100" t="str">
        <x:f>IF(B422="","",IF(G422="TL",1,IF(G422="USD",KURLAR!$C$9,IF(G422="EUR",KURLAR!$C$10,0))))</x:f>
      </x:c>
      <x:c r="L422" s="68" t="str">
        <x:f>IF(B422="","",I422*K422)</x:f>
      </x:c>
      <x:c r="M422" s="46"/>
      <x:c r="N422" s="52" t="str">
        <x:f>IF(B422="","",IF(OR(M422="Ödendi",M422="İptal"),"Hayır","Evet"))</x:f>
      </x:c>
    </x:row>
    <x:row r="423">
      <x:c r="B423" s="46"/>
      <x:c r="C423" s="46"/>
      <x:c r="D423" s="112"/>
      <x:c r="E423" s="112"/>
      <x:c r="F423" s="92"/>
      <x:c r="G423" s="92"/>
      <x:c r="H423" s="92"/>
      <x:c r="I423" s="93" t="str">
        <x:f>IF(B423="","",MAX(0,F423-H423))</x:f>
      </x:c>
      <x:c r="J423" s="46"/>
      <x:c r="K423" s="100" t="str">
        <x:f>IF(B423="","",IF(G423="TL",1,IF(G423="USD",KURLAR!$C$9,IF(G423="EUR",KURLAR!$C$10,0))))</x:f>
      </x:c>
      <x:c r="L423" s="68" t="str">
        <x:f>IF(B423="","",I423*K423)</x:f>
      </x:c>
      <x:c r="M423" s="46"/>
      <x:c r="N423" s="52" t="str">
        <x:f>IF(B423="","",IF(OR(M423="Ödendi",M423="İptal"),"Hayır","Evet"))</x:f>
      </x:c>
    </x:row>
    <x:row r="424">
      <x:c r="B424" s="46"/>
      <x:c r="C424" s="46"/>
      <x:c r="D424" s="112"/>
      <x:c r="E424" s="112"/>
      <x:c r="F424" s="92"/>
      <x:c r="G424" s="92"/>
      <x:c r="H424" s="92"/>
      <x:c r="I424" s="93" t="str">
        <x:f>IF(B424="","",MAX(0,F424-H424))</x:f>
      </x:c>
      <x:c r="J424" s="46"/>
      <x:c r="K424" s="100" t="str">
        <x:f>IF(B424="","",IF(G424="TL",1,IF(G424="USD",KURLAR!$C$9,IF(G424="EUR",KURLAR!$C$10,0))))</x:f>
      </x:c>
      <x:c r="L424" s="68" t="str">
        <x:f>IF(B424="","",I424*K424)</x:f>
      </x:c>
      <x:c r="M424" s="46"/>
      <x:c r="N424" s="52" t="str">
        <x:f>IF(B424="","",IF(OR(M424="Ödendi",M424="İptal"),"Hayır","Evet"))</x:f>
      </x:c>
    </x:row>
    <x:row r="425">
      <x:c r="B425" s="46"/>
      <x:c r="C425" s="46"/>
      <x:c r="D425" s="112"/>
      <x:c r="E425" s="112"/>
      <x:c r="F425" s="92"/>
      <x:c r="G425" s="92"/>
      <x:c r="H425" s="92"/>
      <x:c r="I425" s="93" t="str">
        <x:f>IF(B425="","",MAX(0,F425-H425))</x:f>
      </x:c>
      <x:c r="J425" s="46"/>
      <x:c r="K425" s="100" t="str">
        <x:f>IF(B425="","",IF(G425="TL",1,IF(G425="USD",KURLAR!$C$9,IF(G425="EUR",KURLAR!$C$10,0))))</x:f>
      </x:c>
      <x:c r="L425" s="68" t="str">
        <x:f>IF(B425="","",I425*K425)</x:f>
      </x:c>
      <x:c r="M425" s="46"/>
      <x:c r="N425" s="52" t="str">
        <x:f>IF(B425="","",IF(OR(M425="Ödendi",M425="İptal"),"Hayır","Evet"))</x:f>
      </x:c>
    </x:row>
    <x:row r="426">
      <x:c r="B426" s="46"/>
      <x:c r="C426" s="46"/>
      <x:c r="D426" s="112"/>
      <x:c r="E426" s="112"/>
      <x:c r="F426" s="92"/>
      <x:c r="G426" s="92"/>
      <x:c r="H426" s="92"/>
      <x:c r="I426" s="93" t="str">
        <x:f>IF(B426="","",MAX(0,F426-H426))</x:f>
      </x:c>
      <x:c r="J426" s="46"/>
      <x:c r="K426" s="100" t="str">
        <x:f>IF(B426="","",IF(G426="TL",1,IF(G426="USD",KURLAR!$C$9,IF(G426="EUR",KURLAR!$C$10,0))))</x:f>
      </x:c>
      <x:c r="L426" s="68" t="str">
        <x:f>IF(B426="","",I426*K426)</x:f>
      </x:c>
      <x:c r="M426" s="46"/>
      <x:c r="N426" s="52" t="str">
        <x:f>IF(B426="","",IF(OR(M426="Ödendi",M426="İptal"),"Hayır","Evet"))</x:f>
      </x:c>
    </x:row>
    <x:row r="427">
      <x:c r="B427" s="46"/>
      <x:c r="C427" s="46"/>
      <x:c r="D427" s="112"/>
      <x:c r="E427" s="112"/>
      <x:c r="F427" s="92"/>
      <x:c r="G427" s="92"/>
      <x:c r="H427" s="92"/>
      <x:c r="I427" s="93" t="str">
        <x:f>IF(B427="","",MAX(0,F427-H427))</x:f>
      </x:c>
      <x:c r="J427" s="46"/>
      <x:c r="K427" s="100" t="str">
        <x:f>IF(B427="","",IF(G427="TL",1,IF(G427="USD",KURLAR!$C$9,IF(G427="EUR",KURLAR!$C$10,0))))</x:f>
      </x:c>
      <x:c r="L427" s="68" t="str">
        <x:f>IF(B427="","",I427*K427)</x:f>
      </x:c>
      <x:c r="M427" s="46"/>
      <x:c r="N427" s="52" t="str">
        <x:f>IF(B427="","",IF(OR(M427="Ödendi",M427="İptal"),"Hayır","Evet"))</x:f>
      </x:c>
    </x:row>
    <x:row r="428">
      <x:c r="B428" s="46"/>
      <x:c r="C428" s="46"/>
      <x:c r="D428" s="112"/>
      <x:c r="E428" s="112"/>
      <x:c r="F428" s="92"/>
      <x:c r="G428" s="92"/>
      <x:c r="H428" s="92"/>
      <x:c r="I428" s="93" t="str">
        <x:f>IF(B428="","",MAX(0,F428-H428))</x:f>
      </x:c>
      <x:c r="J428" s="46"/>
      <x:c r="K428" s="100" t="str">
        <x:f>IF(B428="","",IF(G428="TL",1,IF(G428="USD",KURLAR!$C$9,IF(G428="EUR",KURLAR!$C$10,0))))</x:f>
      </x:c>
      <x:c r="L428" s="68" t="str">
        <x:f>IF(B428="","",I428*K428)</x:f>
      </x:c>
      <x:c r="M428" s="46"/>
      <x:c r="N428" s="52" t="str">
        <x:f>IF(B428="","",IF(OR(M428="Ödendi",M428="İptal"),"Hayır","Evet"))</x:f>
      </x:c>
    </x:row>
    <x:row r="429">
      <x:c r="B429" s="46"/>
      <x:c r="C429" s="46"/>
      <x:c r="D429" s="112"/>
      <x:c r="E429" s="112"/>
      <x:c r="F429" s="92"/>
      <x:c r="G429" s="92"/>
      <x:c r="H429" s="92"/>
      <x:c r="I429" s="93" t="str">
        <x:f>IF(B429="","",MAX(0,F429-H429))</x:f>
      </x:c>
      <x:c r="J429" s="46"/>
      <x:c r="K429" s="100" t="str">
        <x:f>IF(B429="","",IF(G429="TL",1,IF(G429="USD",KURLAR!$C$9,IF(G429="EUR",KURLAR!$C$10,0))))</x:f>
      </x:c>
      <x:c r="L429" s="68" t="str">
        <x:f>IF(B429="","",I429*K429)</x:f>
      </x:c>
      <x:c r="M429" s="46"/>
      <x:c r="N429" s="52" t="str">
        <x:f>IF(B429="","",IF(OR(M429="Ödendi",M429="İptal"),"Hayır","Evet"))</x:f>
      </x:c>
    </x:row>
    <x:row r="430">
      <x:c r="B430" s="46"/>
      <x:c r="C430" s="46"/>
      <x:c r="D430" s="112"/>
      <x:c r="E430" s="112"/>
      <x:c r="F430" s="92"/>
      <x:c r="G430" s="92"/>
      <x:c r="H430" s="92"/>
      <x:c r="I430" s="93" t="str">
        <x:f>IF(B430="","",MAX(0,F430-H430))</x:f>
      </x:c>
      <x:c r="J430" s="46"/>
      <x:c r="K430" s="100" t="str">
        <x:f>IF(B430="","",IF(G430="TL",1,IF(G430="USD",KURLAR!$C$9,IF(G430="EUR",KURLAR!$C$10,0))))</x:f>
      </x:c>
      <x:c r="L430" s="68" t="str">
        <x:f>IF(B430="","",I430*K430)</x:f>
      </x:c>
      <x:c r="M430" s="46"/>
      <x:c r="N430" s="52" t="str">
        <x:f>IF(B430="","",IF(OR(M430="Ödendi",M430="İptal"),"Hayır","Evet"))</x:f>
      </x:c>
    </x:row>
    <x:row r="431">
      <x:c r="B431" s="46"/>
      <x:c r="C431" s="46"/>
      <x:c r="D431" s="112"/>
      <x:c r="E431" s="112"/>
      <x:c r="F431" s="92"/>
      <x:c r="G431" s="92"/>
      <x:c r="H431" s="92"/>
      <x:c r="I431" s="93" t="str">
        <x:f>IF(B431="","",MAX(0,F431-H431))</x:f>
      </x:c>
      <x:c r="J431" s="46"/>
      <x:c r="K431" s="100" t="str">
        <x:f>IF(B431="","",IF(G431="TL",1,IF(G431="USD",KURLAR!$C$9,IF(G431="EUR",KURLAR!$C$10,0))))</x:f>
      </x:c>
      <x:c r="L431" s="68" t="str">
        <x:f>IF(B431="","",I431*K431)</x:f>
      </x:c>
      <x:c r="M431" s="46"/>
      <x:c r="N431" s="52" t="str">
        <x:f>IF(B431="","",IF(OR(M431="Ödendi",M431="İptal"),"Hayır","Evet"))</x:f>
      </x:c>
    </x:row>
    <x:row r="432">
      <x:c r="B432" s="46"/>
      <x:c r="C432" s="46"/>
      <x:c r="D432" s="112"/>
      <x:c r="E432" s="112"/>
      <x:c r="F432" s="92"/>
      <x:c r="G432" s="92"/>
      <x:c r="H432" s="92"/>
      <x:c r="I432" s="93" t="str">
        <x:f>IF(B432="","",MAX(0,F432-H432))</x:f>
      </x:c>
      <x:c r="J432" s="46"/>
      <x:c r="K432" s="100" t="str">
        <x:f>IF(B432="","",IF(G432="TL",1,IF(G432="USD",KURLAR!$C$9,IF(G432="EUR",KURLAR!$C$10,0))))</x:f>
      </x:c>
      <x:c r="L432" s="68" t="str">
        <x:f>IF(B432="","",I432*K432)</x:f>
      </x:c>
      <x:c r="M432" s="46"/>
      <x:c r="N432" s="52" t="str">
        <x:f>IF(B432="","",IF(OR(M432="Ödendi",M432="İptal"),"Hayır","Evet"))</x:f>
      </x:c>
    </x:row>
    <x:row r="433">
      <x:c r="B433" s="46"/>
      <x:c r="C433" s="46"/>
      <x:c r="D433" s="112"/>
      <x:c r="E433" s="112"/>
      <x:c r="F433" s="92"/>
      <x:c r="G433" s="92"/>
      <x:c r="H433" s="92"/>
      <x:c r="I433" s="93" t="str">
        <x:f>IF(B433="","",MAX(0,F433-H433))</x:f>
      </x:c>
      <x:c r="J433" s="46"/>
      <x:c r="K433" s="100" t="str">
        <x:f>IF(B433="","",IF(G433="TL",1,IF(G433="USD",KURLAR!$C$9,IF(G433="EUR",KURLAR!$C$10,0))))</x:f>
      </x:c>
      <x:c r="L433" s="68" t="str">
        <x:f>IF(B433="","",I433*K433)</x:f>
      </x:c>
      <x:c r="M433" s="46"/>
      <x:c r="N433" s="52" t="str">
        <x:f>IF(B433="","",IF(OR(M433="Ödendi",M433="İptal"),"Hayır","Evet"))</x:f>
      </x:c>
    </x:row>
    <x:row r="434">
      <x:c r="B434" s="46"/>
      <x:c r="C434" s="46"/>
      <x:c r="D434" s="112"/>
      <x:c r="E434" s="112"/>
      <x:c r="F434" s="92"/>
      <x:c r="G434" s="92"/>
      <x:c r="H434" s="92"/>
      <x:c r="I434" s="93" t="str">
        <x:f>IF(B434="","",MAX(0,F434-H434))</x:f>
      </x:c>
      <x:c r="J434" s="46"/>
      <x:c r="K434" s="100" t="str">
        <x:f>IF(B434="","",IF(G434="TL",1,IF(G434="USD",KURLAR!$C$9,IF(G434="EUR",KURLAR!$C$10,0))))</x:f>
      </x:c>
      <x:c r="L434" s="68" t="str">
        <x:f>IF(B434="","",I434*K434)</x:f>
      </x:c>
      <x:c r="M434" s="46"/>
      <x:c r="N434" s="52" t="str">
        <x:f>IF(B434="","",IF(OR(M434="Ödendi",M434="İptal"),"Hayır","Evet"))</x:f>
      </x:c>
    </x:row>
    <x:row r="435">
      <x:c r="B435" s="46"/>
      <x:c r="C435" s="46"/>
      <x:c r="D435" s="112"/>
      <x:c r="E435" s="112"/>
      <x:c r="F435" s="92"/>
      <x:c r="G435" s="92"/>
      <x:c r="H435" s="92"/>
      <x:c r="I435" s="93" t="str">
        <x:f>IF(B435="","",MAX(0,F435-H435))</x:f>
      </x:c>
      <x:c r="J435" s="46"/>
      <x:c r="K435" s="100" t="str">
        <x:f>IF(B435="","",IF(G435="TL",1,IF(G435="USD",KURLAR!$C$9,IF(G435="EUR",KURLAR!$C$10,0))))</x:f>
      </x:c>
      <x:c r="L435" s="68" t="str">
        <x:f>IF(B435="","",I435*K435)</x:f>
      </x:c>
      <x:c r="M435" s="46"/>
      <x:c r="N435" s="52" t="str">
        <x:f>IF(B435="","",IF(OR(M435="Ödendi",M435="İptal"),"Hayır","Evet"))</x:f>
      </x:c>
    </x:row>
    <x:row r="436">
      <x:c r="B436" s="46"/>
      <x:c r="C436" s="46"/>
      <x:c r="D436" s="112"/>
      <x:c r="E436" s="112"/>
      <x:c r="F436" s="92"/>
      <x:c r="G436" s="92"/>
      <x:c r="H436" s="92"/>
      <x:c r="I436" s="93" t="str">
        <x:f>IF(B436="","",MAX(0,F436-H436))</x:f>
      </x:c>
      <x:c r="J436" s="46"/>
      <x:c r="K436" s="100" t="str">
        <x:f>IF(B436="","",IF(G436="TL",1,IF(G436="USD",KURLAR!$C$9,IF(G436="EUR",KURLAR!$C$10,0))))</x:f>
      </x:c>
      <x:c r="L436" s="68" t="str">
        <x:f>IF(B436="","",I436*K436)</x:f>
      </x:c>
      <x:c r="M436" s="46"/>
      <x:c r="N436" s="52" t="str">
        <x:f>IF(B436="","",IF(OR(M436="Ödendi",M436="İptal"),"Hayır","Evet"))</x:f>
      </x:c>
    </x:row>
    <x:row r="437">
      <x:c r="B437" s="46"/>
      <x:c r="C437" s="46"/>
      <x:c r="D437" s="112"/>
      <x:c r="E437" s="112"/>
      <x:c r="F437" s="92"/>
      <x:c r="G437" s="92"/>
      <x:c r="H437" s="92"/>
      <x:c r="I437" s="93" t="str">
        <x:f>IF(B437="","",MAX(0,F437-H437))</x:f>
      </x:c>
      <x:c r="J437" s="46"/>
      <x:c r="K437" s="100" t="str">
        <x:f>IF(B437="","",IF(G437="TL",1,IF(G437="USD",KURLAR!$C$9,IF(G437="EUR",KURLAR!$C$10,0))))</x:f>
      </x:c>
      <x:c r="L437" s="68" t="str">
        <x:f>IF(B437="","",I437*K437)</x:f>
      </x:c>
      <x:c r="M437" s="46"/>
      <x:c r="N437" s="52" t="str">
        <x:f>IF(B437="","",IF(OR(M437="Ödendi",M437="İptal"),"Hayır","Evet"))</x:f>
      </x:c>
    </x:row>
    <x:row r="438">
      <x:c r="B438" s="46"/>
      <x:c r="C438" s="46"/>
      <x:c r="D438" s="112"/>
      <x:c r="E438" s="112"/>
      <x:c r="F438" s="92"/>
      <x:c r="G438" s="92"/>
      <x:c r="H438" s="92"/>
      <x:c r="I438" s="93" t="str">
        <x:f>IF(B438="","",MAX(0,F438-H438))</x:f>
      </x:c>
      <x:c r="J438" s="46"/>
      <x:c r="K438" s="100" t="str">
        <x:f>IF(B438="","",IF(G438="TL",1,IF(G438="USD",KURLAR!$C$9,IF(G438="EUR",KURLAR!$C$10,0))))</x:f>
      </x:c>
      <x:c r="L438" s="68" t="str">
        <x:f>IF(B438="","",I438*K438)</x:f>
      </x:c>
      <x:c r="M438" s="46"/>
      <x:c r="N438" s="52" t="str">
        <x:f>IF(B438="","",IF(OR(M438="Ödendi",M438="İptal"),"Hayır","Evet"))</x:f>
      </x:c>
    </x:row>
    <x:row r="439">
      <x:c r="B439" s="46"/>
      <x:c r="C439" s="46"/>
      <x:c r="D439" s="112"/>
      <x:c r="E439" s="112"/>
      <x:c r="F439" s="92"/>
      <x:c r="G439" s="92"/>
      <x:c r="H439" s="92"/>
      <x:c r="I439" s="93" t="str">
        <x:f>IF(B439="","",MAX(0,F439-H439))</x:f>
      </x:c>
      <x:c r="J439" s="46"/>
      <x:c r="K439" s="100" t="str">
        <x:f>IF(B439="","",IF(G439="TL",1,IF(G439="USD",KURLAR!$C$9,IF(G439="EUR",KURLAR!$C$10,0))))</x:f>
      </x:c>
      <x:c r="L439" s="68" t="str">
        <x:f>IF(B439="","",I439*K439)</x:f>
      </x:c>
      <x:c r="M439" s="46"/>
      <x:c r="N439" s="52" t="str">
        <x:f>IF(B439="","",IF(OR(M439="Ödendi",M439="İptal"),"Hayır","Evet"))</x:f>
      </x:c>
    </x:row>
    <x:row r="440">
      <x:c r="B440" s="46"/>
      <x:c r="C440" s="46"/>
      <x:c r="D440" s="112"/>
      <x:c r="E440" s="112"/>
      <x:c r="F440" s="92"/>
      <x:c r="G440" s="92"/>
      <x:c r="H440" s="92"/>
      <x:c r="I440" s="93" t="str">
        <x:f>IF(B440="","",MAX(0,F440-H440))</x:f>
      </x:c>
      <x:c r="J440" s="46"/>
      <x:c r="K440" s="100" t="str">
        <x:f>IF(B440="","",IF(G440="TL",1,IF(G440="USD",KURLAR!$C$9,IF(G440="EUR",KURLAR!$C$10,0))))</x:f>
      </x:c>
      <x:c r="L440" s="68" t="str">
        <x:f>IF(B440="","",I440*K440)</x:f>
      </x:c>
      <x:c r="M440" s="46"/>
      <x:c r="N440" s="52" t="str">
        <x:f>IF(B440="","",IF(OR(M440="Ödendi",M440="İptal"),"Hayır","Evet"))</x:f>
      </x:c>
    </x:row>
    <x:row r="441">
      <x:c r="B441" s="46"/>
      <x:c r="C441" s="46"/>
      <x:c r="D441" s="112"/>
      <x:c r="E441" s="112"/>
      <x:c r="F441" s="92"/>
      <x:c r="G441" s="92"/>
      <x:c r="H441" s="92"/>
      <x:c r="I441" s="93" t="str">
        <x:f>IF(B441="","",MAX(0,F441-H441))</x:f>
      </x:c>
      <x:c r="J441" s="46"/>
      <x:c r="K441" s="100" t="str">
        <x:f>IF(B441="","",IF(G441="TL",1,IF(G441="USD",KURLAR!$C$9,IF(G441="EUR",KURLAR!$C$10,0))))</x:f>
      </x:c>
      <x:c r="L441" s="68" t="str">
        <x:f>IF(B441="","",I441*K441)</x:f>
      </x:c>
      <x:c r="M441" s="46"/>
      <x:c r="N441" s="52" t="str">
        <x:f>IF(B441="","",IF(OR(M441="Ödendi",M441="İptal"),"Hayır","Evet"))</x:f>
      </x:c>
    </x:row>
    <x:row r="442">
      <x:c r="B442" s="46"/>
      <x:c r="C442" s="46"/>
      <x:c r="D442" s="112"/>
      <x:c r="E442" s="112"/>
      <x:c r="F442" s="92"/>
      <x:c r="G442" s="92"/>
      <x:c r="H442" s="92"/>
      <x:c r="I442" s="93" t="str">
        <x:f>IF(B442="","",MAX(0,F442-H442))</x:f>
      </x:c>
      <x:c r="J442" s="46"/>
      <x:c r="K442" s="100" t="str">
        <x:f>IF(B442="","",IF(G442="TL",1,IF(G442="USD",KURLAR!$C$9,IF(G442="EUR",KURLAR!$C$10,0))))</x:f>
      </x:c>
      <x:c r="L442" s="68" t="str">
        <x:f>IF(B442="","",I442*K442)</x:f>
      </x:c>
      <x:c r="M442" s="46"/>
      <x:c r="N442" s="52" t="str">
        <x:f>IF(B442="","",IF(OR(M442="Ödendi",M442="İptal"),"Hayır","Evet"))</x:f>
      </x:c>
    </x:row>
    <x:row r="443">
      <x:c r="B443" s="46"/>
      <x:c r="C443" s="46"/>
      <x:c r="D443" s="112"/>
      <x:c r="E443" s="112"/>
      <x:c r="F443" s="92"/>
      <x:c r="G443" s="92"/>
      <x:c r="H443" s="92"/>
      <x:c r="I443" s="93" t="str">
        <x:f>IF(B443="","",MAX(0,F443-H443))</x:f>
      </x:c>
      <x:c r="J443" s="46"/>
      <x:c r="K443" s="100" t="str">
        <x:f>IF(B443="","",IF(G443="TL",1,IF(G443="USD",KURLAR!$C$9,IF(G443="EUR",KURLAR!$C$10,0))))</x:f>
      </x:c>
      <x:c r="L443" s="68" t="str">
        <x:f>IF(B443="","",I443*K443)</x:f>
      </x:c>
      <x:c r="M443" s="46"/>
      <x:c r="N443" s="52" t="str">
        <x:f>IF(B443="","",IF(OR(M443="Ödendi",M443="İptal"),"Hayır","Evet"))</x:f>
      </x:c>
    </x:row>
    <x:row r="444">
      <x:c r="B444" s="46"/>
      <x:c r="C444" s="46"/>
      <x:c r="D444" s="112"/>
      <x:c r="E444" s="112"/>
      <x:c r="F444" s="92"/>
      <x:c r="G444" s="92"/>
      <x:c r="H444" s="92"/>
      <x:c r="I444" s="93" t="str">
        <x:f>IF(B444="","",MAX(0,F444-H444))</x:f>
      </x:c>
      <x:c r="J444" s="46"/>
      <x:c r="K444" s="100" t="str">
        <x:f>IF(B444="","",IF(G444="TL",1,IF(G444="USD",KURLAR!$C$9,IF(G444="EUR",KURLAR!$C$10,0))))</x:f>
      </x:c>
      <x:c r="L444" s="68" t="str">
        <x:f>IF(B444="","",I444*K444)</x:f>
      </x:c>
      <x:c r="M444" s="46"/>
      <x:c r="N444" s="52" t="str">
        <x:f>IF(B444="","",IF(OR(M444="Ödendi",M444="İptal"),"Hayır","Evet"))</x:f>
      </x:c>
    </x:row>
    <x:row r="445">
      <x:c r="B445" s="46"/>
      <x:c r="C445" s="46"/>
      <x:c r="D445" s="112"/>
      <x:c r="E445" s="112"/>
      <x:c r="F445" s="92"/>
      <x:c r="G445" s="92"/>
      <x:c r="H445" s="92"/>
      <x:c r="I445" s="93" t="str">
        <x:f>IF(B445="","",MAX(0,F445-H445))</x:f>
      </x:c>
      <x:c r="J445" s="46"/>
      <x:c r="K445" s="100" t="str">
        <x:f>IF(B445="","",IF(G445="TL",1,IF(G445="USD",KURLAR!$C$9,IF(G445="EUR",KURLAR!$C$10,0))))</x:f>
      </x:c>
      <x:c r="L445" s="68" t="str">
        <x:f>IF(B445="","",I445*K445)</x:f>
      </x:c>
      <x:c r="M445" s="46"/>
      <x:c r="N445" s="52" t="str">
        <x:f>IF(B445="","",IF(OR(M445="Ödendi",M445="İptal"),"Hayır","Evet"))</x:f>
      </x:c>
    </x:row>
    <x:row r="446">
      <x:c r="B446" s="46"/>
      <x:c r="C446" s="46"/>
      <x:c r="D446" s="112"/>
      <x:c r="E446" s="112"/>
      <x:c r="F446" s="92"/>
      <x:c r="G446" s="92"/>
      <x:c r="H446" s="92"/>
      <x:c r="I446" s="93" t="str">
        <x:f>IF(B446="","",MAX(0,F446-H446))</x:f>
      </x:c>
      <x:c r="J446" s="46"/>
      <x:c r="K446" s="100" t="str">
        <x:f>IF(B446="","",IF(G446="TL",1,IF(G446="USD",KURLAR!$C$9,IF(G446="EUR",KURLAR!$C$10,0))))</x:f>
      </x:c>
      <x:c r="L446" s="68" t="str">
        <x:f>IF(B446="","",I446*K446)</x:f>
      </x:c>
      <x:c r="M446" s="46"/>
      <x:c r="N446" s="52" t="str">
        <x:f>IF(B446="","",IF(OR(M446="Ödendi",M446="İptal"),"Hayır","Evet"))</x:f>
      </x:c>
    </x:row>
    <x:row r="447">
      <x:c r="B447" s="46"/>
      <x:c r="C447" s="46"/>
      <x:c r="D447" s="112"/>
      <x:c r="E447" s="112"/>
      <x:c r="F447" s="92"/>
      <x:c r="G447" s="92"/>
      <x:c r="H447" s="92"/>
      <x:c r="I447" s="93" t="str">
        <x:f>IF(B447="","",MAX(0,F447-H447))</x:f>
      </x:c>
      <x:c r="J447" s="46"/>
      <x:c r="K447" s="100" t="str">
        <x:f>IF(B447="","",IF(G447="TL",1,IF(G447="USD",KURLAR!$C$9,IF(G447="EUR",KURLAR!$C$10,0))))</x:f>
      </x:c>
      <x:c r="L447" s="68" t="str">
        <x:f>IF(B447="","",I447*K447)</x:f>
      </x:c>
      <x:c r="M447" s="46"/>
      <x:c r="N447" s="52" t="str">
        <x:f>IF(B447="","",IF(OR(M447="Ödendi",M447="İptal"),"Hayır","Evet"))</x:f>
      </x:c>
    </x:row>
    <x:row r="448">
      <x:c r="B448" s="46"/>
      <x:c r="C448" s="46"/>
      <x:c r="D448" s="112"/>
      <x:c r="E448" s="112"/>
      <x:c r="F448" s="92"/>
      <x:c r="G448" s="92"/>
      <x:c r="H448" s="92"/>
      <x:c r="I448" s="93" t="str">
        <x:f>IF(B448="","",MAX(0,F448-H448))</x:f>
      </x:c>
      <x:c r="J448" s="46"/>
      <x:c r="K448" s="100" t="str">
        <x:f>IF(B448="","",IF(G448="TL",1,IF(G448="USD",KURLAR!$C$9,IF(G448="EUR",KURLAR!$C$10,0))))</x:f>
      </x:c>
      <x:c r="L448" s="68" t="str">
        <x:f>IF(B448="","",I448*K448)</x:f>
      </x:c>
      <x:c r="M448" s="46"/>
      <x:c r="N448" s="52" t="str">
        <x:f>IF(B448="","",IF(OR(M448="Ödendi",M448="İptal"),"Hayır","Evet"))</x:f>
      </x:c>
    </x:row>
    <x:row r="449">
      <x:c r="B449" s="46"/>
      <x:c r="C449" s="46"/>
      <x:c r="D449" s="112"/>
      <x:c r="E449" s="112"/>
      <x:c r="F449" s="92"/>
      <x:c r="G449" s="92"/>
      <x:c r="H449" s="92"/>
      <x:c r="I449" s="93" t="str">
        <x:f>IF(B449="","",MAX(0,F449-H449))</x:f>
      </x:c>
      <x:c r="J449" s="46"/>
      <x:c r="K449" s="100" t="str">
        <x:f>IF(B449="","",IF(G449="TL",1,IF(G449="USD",KURLAR!$C$9,IF(G449="EUR",KURLAR!$C$10,0))))</x:f>
      </x:c>
      <x:c r="L449" s="68" t="str">
        <x:f>IF(B449="","",I449*K449)</x:f>
      </x:c>
      <x:c r="M449" s="46"/>
      <x:c r="N449" s="52" t="str">
        <x:f>IF(B449="","",IF(OR(M449="Ödendi",M449="İptal"),"Hayır","Evet"))</x:f>
      </x:c>
    </x:row>
    <x:row r="450">
      <x:c r="B450" s="46"/>
      <x:c r="C450" s="46"/>
      <x:c r="D450" s="112"/>
      <x:c r="E450" s="112"/>
      <x:c r="F450" s="92"/>
      <x:c r="G450" s="92"/>
      <x:c r="H450" s="92"/>
      <x:c r="I450" s="93" t="str">
        <x:f>IF(B450="","",MAX(0,F450-H450))</x:f>
      </x:c>
      <x:c r="J450" s="46"/>
      <x:c r="K450" s="100" t="str">
        <x:f>IF(B450="","",IF(G450="TL",1,IF(G450="USD",KURLAR!$C$9,IF(G450="EUR",KURLAR!$C$10,0))))</x:f>
      </x:c>
      <x:c r="L450" s="68" t="str">
        <x:f>IF(B450="","",I450*K450)</x:f>
      </x:c>
      <x:c r="M450" s="46"/>
      <x:c r="N450" s="52" t="str">
        <x:f>IF(B450="","",IF(OR(M450="Ödendi",M450="İptal"),"Hayır","Evet"))</x:f>
      </x:c>
    </x:row>
    <x:row r="451">
      <x:c r="B451" s="46"/>
      <x:c r="C451" s="46"/>
      <x:c r="D451" s="112"/>
      <x:c r="E451" s="112"/>
      <x:c r="F451" s="92"/>
      <x:c r="G451" s="92"/>
      <x:c r="H451" s="92"/>
      <x:c r="I451" s="93" t="str">
        <x:f>IF(B451="","",MAX(0,F451-H451))</x:f>
      </x:c>
      <x:c r="J451" s="46"/>
      <x:c r="K451" s="100" t="str">
        <x:f>IF(B451="","",IF(G451="TL",1,IF(G451="USD",KURLAR!$C$9,IF(G451="EUR",KURLAR!$C$10,0))))</x:f>
      </x:c>
      <x:c r="L451" s="68" t="str">
        <x:f>IF(B451="","",I451*K451)</x:f>
      </x:c>
      <x:c r="M451" s="46"/>
      <x:c r="N451" s="52" t="str">
        <x:f>IF(B451="","",IF(OR(M451="Ödendi",M451="İptal"),"Hayır","Evet"))</x:f>
      </x:c>
    </x:row>
    <x:row r="452">
      <x:c r="B452" s="46"/>
      <x:c r="C452" s="46"/>
      <x:c r="D452" s="112"/>
      <x:c r="E452" s="112"/>
      <x:c r="F452" s="92"/>
      <x:c r="G452" s="92"/>
      <x:c r="H452" s="92"/>
      <x:c r="I452" s="93" t="str">
        <x:f>IF(B452="","",MAX(0,F452-H452))</x:f>
      </x:c>
      <x:c r="J452" s="46"/>
      <x:c r="K452" s="100" t="str">
        <x:f>IF(B452="","",IF(G452="TL",1,IF(G452="USD",KURLAR!$C$9,IF(G452="EUR",KURLAR!$C$10,0))))</x:f>
      </x:c>
      <x:c r="L452" s="68" t="str">
        <x:f>IF(B452="","",I452*K452)</x:f>
      </x:c>
      <x:c r="M452" s="46"/>
      <x:c r="N452" s="52" t="str">
        <x:f>IF(B452="","",IF(OR(M452="Ödendi",M452="İptal"),"Hayır","Evet"))</x:f>
      </x:c>
    </x:row>
    <x:row r="453">
      <x:c r="B453" s="46"/>
      <x:c r="C453" s="46"/>
      <x:c r="D453" s="112"/>
      <x:c r="E453" s="112"/>
      <x:c r="F453" s="92"/>
      <x:c r="G453" s="92"/>
      <x:c r="H453" s="92"/>
      <x:c r="I453" s="93" t="str">
        <x:f>IF(B453="","",MAX(0,F453-H453))</x:f>
      </x:c>
      <x:c r="J453" s="46"/>
      <x:c r="K453" s="100" t="str">
        <x:f>IF(B453="","",IF(G453="TL",1,IF(G453="USD",KURLAR!$C$9,IF(G453="EUR",KURLAR!$C$10,0))))</x:f>
      </x:c>
      <x:c r="L453" s="68" t="str">
        <x:f>IF(B453="","",I453*K453)</x:f>
      </x:c>
      <x:c r="M453" s="46"/>
      <x:c r="N453" s="52" t="str">
        <x:f>IF(B453="","",IF(OR(M453="Ödendi",M453="İptal"),"Hayır","Evet"))</x:f>
      </x:c>
    </x:row>
    <x:row r="454">
      <x:c r="B454" s="46"/>
      <x:c r="C454" s="46"/>
      <x:c r="D454" s="112"/>
      <x:c r="E454" s="112"/>
      <x:c r="F454" s="92"/>
      <x:c r="G454" s="92"/>
      <x:c r="H454" s="92"/>
      <x:c r="I454" s="93" t="str">
        <x:f>IF(B454="","",MAX(0,F454-H454))</x:f>
      </x:c>
      <x:c r="J454" s="46"/>
      <x:c r="K454" s="100" t="str">
        <x:f>IF(B454="","",IF(G454="TL",1,IF(G454="USD",KURLAR!$C$9,IF(G454="EUR",KURLAR!$C$10,0))))</x:f>
      </x:c>
      <x:c r="L454" s="68" t="str">
        <x:f>IF(B454="","",I454*K454)</x:f>
      </x:c>
      <x:c r="M454" s="46"/>
      <x:c r="N454" s="52" t="str">
        <x:f>IF(B454="","",IF(OR(M454="Ödendi",M454="İptal"),"Hayır","Evet"))</x:f>
      </x:c>
    </x:row>
    <x:row r="455">
      <x:c r="B455" s="46"/>
      <x:c r="C455" s="46"/>
      <x:c r="D455" s="112"/>
      <x:c r="E455" s="112"/>
      <x:c r="F455" s="92"/>
      <x:c r="G455" s="92"/>
      <x:c r="H455" s="92"/>
      <x:c r="I455" s="93" t="str">
        <x:f>IF(B455="","",MAX(0,F455-H455))</x:f>
      </x:c>
      <x:c r="J455" s="46"/>
      <x:c r="K455" s="100" t="str">
        <x:f>IF(B455="","",IF(G455="TL",1,IF(G455="USD",KURLAR!$C$9,IF(G455="EUR",KURLAR!$C$10,0))))</x:f>
      </x:c>
      <x:c r="L455" s="68" t="str">
        <x:f>IF(B455="","",I455*K455)</x:f>
      </x:c>
      <x:c r="M455" s="46"/>
      <x:c r="N455" s="52" t="str">
        <x:f>IF(B455="","",IF(OR(M455="Ödendi",M455="İptal"),"Hayır","Evet"))</x:f>
      </x:c>
    </x:row>
    <x:row r="456">
      <x:c r="B456" s="46"/>
      <x:c r="C456" s="46"/>
      <x:c r="D456" s="112"/>
      <x:c r="E456" s="112"/>
      <x:c r="F456" s="92"/>
      <x:c r="G456" s="92"/>
      <x:c r="H456" s="92"/>
      <x:c r="I456" s="93" t="str">
        <x:f>IF(B456="","",MAX(0,F456-H456))</x:f>
      </x:c>
      <x:c r="J456" s="46"/>
      <x:c r="K456" s="100" t="str">
        <x:f>IF(B456="","",IF(G456="TL",1,IF(G456="USD",KURLAR!$C$9,IF(G456="EUR",KURLAR!$C$10,0))))</x:f>
      </x:c>
      <x:c r="L456" s="68" t="str">
        <x:f>IF(B456="","",I456*K456)</x:f>
      </x:c>
      <x:c r="M456" s="46"/>
      <x:c r="N456" s="52" t="str">
        <x:f>IF(B456="","",IF(OR(M456="Ödendi",M456="İptal"),"Hayır","Evet"))</x:f>
      </x:c>
    </x:row>
    <x:row r="457">
      <x:c r="B457" s="46"/>
      <x:c r="C457" s="46"/>
      <x:c r="D457" s="112"/>
      <x:c r="E457" s="112"/>
      <x:c r="F457" s="92"/>
      <x:c r="G457" s="92"/>
      <x:c r="H457" s="92"/>
      <x:c r="I457" s="93" t="str">
        <x:f>IF(B457="","",MAX(0,F457-H457))</x:f>
      </x:c>
      <x:c r="J457" s="46"/>
      <x:c r="K457" s="100" t="str">
        <x:f>IF(B457="","",IF(G457="TL",1,IF(G457="USD",KURLAR!$C$9,IF(G457="EUR",KURLAR!$C$10,0))))</x:f>
      </x:c>
      <x:c r="L457" s="68" t="str">
        <x:f>IF(B457="","",I457*K457)</x:f>
      </x:c>
      <x:c r="M457" s="46"/>
      <x:c r="N457" s="52" t="str">
        <x:f>IF(B457="","",IF(OR(M457="Ödendi",M457="İptal"),"Hayır","Evet"))</x:f>
      </x:c>
    </x:row>
    <x:row r="458">
      <x:c r="B458" s="46"/>
      <x:c r="C458" s="46"/>
      <x:c r="D458" s="112"/>
      <x:c r="E458" s="112"/>
      <x:c r="F458" s="92"/>
      <x:c r="G458" s="92"/>
      <x:c r="H458" s="92"/>
      <x:c r="I458" s="93" t="str">
        <x:f>IF(B458="","",MAX(0,F458-H458))</x:f>
      </x:c>
      <x:c r="J458" s="46"/>
      <x:c r="K458" s="100" t="str">
        <x:f>IF(B458="","",IF(G458="TL",1,IF(G458="USD",KURLAR!$C$9,IF(G458="EUR",KURLAR!$C$10,0))))</x:f>
      </x:c>
      <x:c r="L458" s="68" t="str">
        <x:f>IF(B458="","",I458*K458)</x:f>
      </x:c>
      <x:c r="M458" s="46"/>
      <x:c r="N458" s="52" t="str">
        <x:f>IF(B458="","",IF(OR(M458="Ödendi",M458="İptal"),"Hayır","Evet"))</x:f>
      </x:c>
    </x:row>
    <x:row r="459">
      <x:c r="B459" s="46"/>
      <x:c r="C459" s="46"/>
      <x:c r="D459" s="112"/>
      <x:c r="E459" s="112"/>
      <x:c r="F459" s="92"/>
      <x:c r="G459" s="92"/>
      <x:c r="H459" s="92"/>
      <x:c r="I459" s="93" t="str">
        <x:f>IF(B459="","",MAX(0,F459-H459))</x:f>
      </x:c>
      <x:c r="J459" s="46"/>
      <x:c r="K459" s="100" t="str">
        <x:f>IF(B459="","",IF(G459="TL",1,IF(G459="USD",KURLAR!$C$9,IF(G459="EUR",KURLAR!$C$10,0))))</x:f>
      </x:c>
      <x:c r="L459" s="68" t="str">
        <x:f>IF(B459="","",I459*K459)</x:f>
      </x:c>
      <x:c r="M459" s="46"/>
      <x:c r="N459" s="52" t="str">
        <x:f>IF(B459="","",IF(OR(M459="Ödendi",M459="İptal"),"Hayır","Evet"))</x:f>
      </x:c>
    </x:row>
    <x:row r="460">
      <x:c r="B460" s="46"/>
      <x:c r="C460" s="46"/>
      <x:c r="D460" s="112"/>
      <x:c r="E460" s="112"/>
      <x:c r="F460" s="92"/>
      <x:c r="G460" s="92"/>
      <x:c r="H460" s="92"/>
      <x:c r="I460" s="93" t="str">
        <x:f>IF(B460="","",MAX(0,F460-H460))</x:f>
      </x:c>
      <x:c r="J460" s="46"/>
      <x:c r="K460" s="100" t="str">
        <x:f>IF(B460="","",IF(G460="TL",1,IF(G460="USD",KURLAR!$C$9,IF(G460="EUR",KURLAR!$C$10,0))))</x:f>
      </x:c>
      <x:c r="L460" s="68" t="str">
        <x:f>IF(B460="","",I460*K460)</x:f>
      </x:c>
      <x:c r="M460" s="46"/>
      <x:c r="N460" s="52" t="str">
        <x:f>IF(B460="","",IF(OR(M460="Ödendi",M460="İptal"),"Hayır","Evet"))</x:f>
      </x:c>
    </x:row>
    <x:row r="461">
      <x:c r="B461" s="46"/>
      <x:c r="C461" s="46"/>
      <x:c r="D461" s="112"/>
      <x:c r="E461" s="112"/>
      <x:c r="F461" s="92"/>
      <x:c r="G461" s="92"/>
      <x:c r="H461" s="92"/>
      <x:c r="I461" s="93" t="str">
        <x:f>IF(B461="","",MAX(0,F461-H461))</x:f>
      </x:c>
      <x:c r="J461" s="46"/>
      <x:c r="K461" s="100" t="str">
        <x:f>IF(B461="","",IF(G461="TL",1,IF(G461="USD",KURLAR!$C$9,IF(G461="EUR",KURLAR!$C$10,0))))</x:f>
      </x:c>
      <x:c r="L461" s="68" t="str">
        <x:f>IF(B461="","",I461*K461)</x:f>
      </x:c>
      <x:c r="M461" s="46"/>
      <x:c r="N461" s="52" t="str">
        <x:f>IF(B461="","",IF(OR(M461="Ödendi",M461="İptal"),"Hayır","Evet"))</x:f>
      </x:c>
    </x:row>
    <x:row r="462">
      <x:c r="B462" s="46"/>
      <x:c r="C462" s="46"/>
      <x:c r="D462" s="112"/>
      <x:c r="E462" s="112"/>
      <x:c r="F462" s="92"/>
      <x:c r="G462" s="92"/>
      <x:c r="H462" s="92"/>
      <x:c r="I462" s="93" t="str">
        <x:f>IF(B462="","",MAX(0,F462-H462))</x:f>
      </x:c>
      <x:c r="J462" s="46"/>
      <x:c r="K462" s="100" t="str">
        <x:f>IF(B462="","",IF(G462="TL",1,IF(G462="USD",KURLAR!$C$9,IF(G462="EUR",KURLAR!$C$10,0))))</x:f>
      </x:c>
      <x:c r="L462" s="68" t="str">
        <x:f>IF(B462="","",I462*K462)</x:f>
      </x:c>
      <x:c r="M462" s="46"/>
      <x:c r="N462" s="52" t="str">
        <x:f>IF(B462="","",IF(OR(M462="Ödendi",M462="İptal"),"Hayır","Evet"))</x:f>
      </x:c>
    </x:row>
    <x:row r="463">
      <x:c r="B463" s="46"/>
      <x:c r="C463" s="46"/>
      <x:c r="D463" s="112"/>
      <x:c r="E463" s="112"/>
      <x:c r="F463" s="92"/>
      <x:c r="G463" s="92"/>
      <x:c r="H463" s="92"/>
      <x:c r="I463" s="93" t="str">
        <x:f>IF(B463="","",MAX(0,F463-H463))</x:f>
      </x:c>
      <x:c r="J463" s="46"/>
      <x:c r="K463" s="100" t="str">
        <x:f>IF(B463="","",IF(G463="TL",1,IF(G463="USD",KURLAR!$C$9,IF(G463="EUR",KURLAR!$C$10,0))))</x:f>
      </x:c>
      <x:c r="L463" s="68" t="str">
        <x:f>IF(B463="","",I463*K463)</x:f>
      </x:c>
      <x:c r="M463" s="46"/>
      <x:c r="N463" s="52" t="str">
        <x:f>IF(B463="","",IF(OR(M463="Ödendi",M463="İptal"),"Hayır","Evet"))</x:f>
      </x:c>
    </x:row>
    <x:row r="464">
      <x:c r="B464" s="46"/>
      <x:c r="C464" s="46"/>
      <x:c r="D464" s="112"/>
      <x:c r="E464" s="112"/>
      <x:c r="F464" s="92"/>
      <x:c r="G464" s="92"/>
      <x:c r="H464" s="92"/>
      <x:c r="I464" s="93" t="str">
        <x:f>IF(B464="","",MAX(0,F464-H464))</x:f>
      </x:c>
      <x:c r="J464" s="46"/>
      <x:c r="K464" s="100" t="str">
        <x:f>IF(B464="","",IF(G464="TL",1,IF(G464="USD",KURLAR!$C$9,IF(G464="EUR",KURLAR!$C$10,0))))</x:f>
      </x:c>
      <x:c r="L464" s="68" t="str">
        <x:f>IF(B464="","",I464*K464)</x:f>
      </x:c>
      <x:c r="M464" s="46"/>
      <x:c r="N464" s="52" t="str">
        <x:f>IF(B464="","",IF(OR(M464="Ödendi",M464="İptal"),"Hayır","Evet"))</x:f>
      </x:c>
    </x:row>
    <x:row r="465">
      <x:c r="B465" s="46"/>
      <x:c r="C465" s="46"/>
      <x:c r="D465" s="112"/>
      <x:c r="E465" s="112"/>
      <x:c r="F465" s="92"/>
      <x:c r="G465" s="92"/>
      <x:c r="H465" s="92"/>
      <x:c r="I465" s="93" t="str">
        <x:f>IF(B465="","",MAX(0,F465-H465))</x:f>
      </x:c>
      <x:c r="J465" s="46"/>
      <x:c r="K465" s="100" t="str">
        <x:f>IF(B465="","",IF(G465="TL",1,IF(G465="USD",KURLAR!$C$9,IF(G465="EUR",KURLAR!$C$10,0))))</x:f>
      </x:c>
      <x:c r="L465" s="68" t="str">
        <x:f>IF(B465="","",I465*K465)</x:f>
      </x:c>
      <x:c r="M465" s="46"/>
      <x:c r="N465" s="52" t="str">
        <x:f>IF(B465="","",IF(OR(M465="Ödendi",M465="İptal"),"Hayır","Evet"))</x:f>
      </x:c>
    </x:row>
    <x:row r="466">
      <x:c r="B466" s="46"/>
      <x:c r="C466" s="46"/>
      <x:c r="D466" s="112"/>
      <x:c r="E466" s="112"/>
      <x:c r="F466" s="92"/>
      <x:c r="G466" s="92"/>
      <x:c r="H466" s="92"/>
      <x:c r="I466" s="93" t="str">
        <x:f>IF(B466="","",MAX(0,F466-H466))</x:f>
      </x:c>
      <x:c r="J466" s="46"/>
      <x:c r="K466" s="100" t="str">
        <x:f>IF(B466="","",IF(G466="TL",1,IF(G466="USD",KURLAR!$C$9,IF(G466="EUR",KURLAR!$C$10,0))))</x:f>
      </x:c>
      <x:c r="L466" s="68" t="str">
        <x:f>IF(B466="","",I466*K466)</x:f>
      </x:c>
      <x:c r="M466" s="46"/>
      <x:c r="N466" s="52" t="str">
        <x:f>IF(B466="","",IF(OR(M466="Ödendi",M466="İptal"),"Hayır","Evet"))</x:f>
      </x:c>
    </x:row>
    <x:row r="467">
      <x:c r="B467" s="46"/>
      <x:c r="C467" s="46"/>
      <x:c r="D467" s="112"/>
      <x:c r="E467" s="112"/>
      <x:c r="F467" s="92"/>
      <x:c r="G467" s="92"/>
      <x:c r="H467" s="92"/>
      <x:c r="I467" s="93" t="str">
        <x:f>IF(B467="","",MAX(0,F467-H467))</x:f>
      </x:c>
      <x:c r="J467" s="46"/>
      <x:c r="K467" s="100" t="str">
        <x:f>IF(B467="","",IF(G467="TL",1,IF(G467="USD",KURLAR!$C$9,IF(G467="EUR",KURLAR!$C$10,0))))</x:f>
      </x:c>
      <x:c r="L467" s="68" t="str">
        <x:f>IF(B467="","",I467*K467)</x:f>
      </x:c>
      <x:c r="M467" s="46"/>
      <x:c r="N467" s="52" t="str">
        <x:f>IF(B467="","",IF(OR(M467="Ödendi",M467="İptal"),"Hayır","Evet"))</x:f>
      </x:c>
    </x:row>
    <x:row r="468">
      <x:c r="B468" s="46"/>
      <x:c r="C468" s="46"/>
      <x:c r="D468" s="112"/>
      <x:c r="E468" s="112"/>
      <x:c r="F468" s="92"/>
      <x:c r="G468" s="92"/>
      <x:c r="H468" s="92"/>
      <x:c r="I468" s="93" t="str">
        <x:f>IF(B468="","",MAX(0,F468-H468))</x:f>
      </x:c>
      <x:c r="J468" s="46"/>
      <x:c r="K468" s="100" t="str">
        <x:f>IF(B468="","",IF(G468="TL",1,IF(G468="USD",KURLAR!$C$9,IF(G468="EUR",KURLAR!$C$10,0))))</x:f>
      </x:c>
      <x:c r="L468" s="68" t="str">
        <x:f>IF(B468="","",I468*K468)</x:f>
      </x:c>
      <x:c r="M468" s="46"/>
      <x:c r="N468" s="52" t="str">
        <x:f>IF(B468="","",IF(OR(M468="Ödendi",M468="İptal"),"Hayır","Evet"))</x:f>
      </x:c>
    </x:row>
    <x:row r="469">
      <x:c r="B469" s="46"/>
      <x:c r="C469" s="46"/>
      <x:c r="D469" s="112"/>
      <x:c r="E469" s="112"/>
      <x:c r="F469" s="92"/>
      <x:c r="G469" s="92"/>
      <x:c r="H469" s="92"/>
      <x:c r="I469" s="93" t="str">
        <x:f>IF(B469="","",MAX(0,F469-H469))</x:f>
      </x:c>
      <x:c r="J469" s="46"/>
      <x:c r="K469" s="100" t="str">
        <x:f>IF(B469="","",IF(G469="TL",1,IF(G469="USD",KURLAR!$C$9,IF(G469="EUR",KURLAR!$C$10,0))))</x:f>
      </x:c>
      <x:c r="L469" s="68" t="str">
        <x:f>IF(B469="","",I469*K469)</x:f>
      </x:c>
      <x:c r="M469" s="46"/>
      <x:c r="N469" s="52" t="str">
        <x:f>IF(B469="","",IF(OR(M469="Ödendi",M469="İptal"),"Hayır","Evet"))</x:f>
      </x:c>
    </x:row>
    <x:row r="470">
      <x:c r="B470" s="46"/>
      <x:c r="C470" s="46"/>
      <x:c r="D470" s="112"/>
      <x:c r="E470" s="112"/>
      <x:c r="F470" s="92"/>
      <x:c r="G470" s="92"/>
      <x:c r="H470" s="92"/>
      <x:c r="I470" s="93" t="str">
        <x:f>IF(B470="","",MAX(0,F470-H470))</x:f>
      </x:c>
      <x:c r="J470" s="46"/>
      <x:c r="K470" s="100" t="str">
        <x:f>IF(B470="","",IF(G470="TL",1,IF(G470="USD",KURLAR!$C$9,IF(G470="EUR",KURLAR!$C$10,0))))</x:f>
      </x:c>
      <x:c r="L470" s="68" t="str">
        <x:f>IF(B470="","",I470*K470)</x:f>
      </x:c>
      <x:c r="M470" s="46"/>
      <x:c r="N470" s="52" t="str">
        <x:f>IF(B470="","",IF(OR(M470="Ödendi",M470="İptal"),"Hayır","Evet"))</x:f>
      </x:c>
    </x:row>
    <x:row r="471">
      <x:c r="B471" s="46"/>
      <x:c r="C471" s="46"/>
      <x:c r="D471" s="112"/>
      <x:c r="E471" s="112"/>
      <x:c r="F471" s="92"/>
      <x:c r="G471" s="92"/>
      <x:c r="H471" s="92"/>
      <x:c r="I471" s="93" t="str">
        <x:f>IF(B471="","",MAX(0,F471-H471))</x:f>
      </x:c>
      <x:c r="J471" s="46"/>
      <x:c r="K471" s="100" t="str">
        <x:f>IF(B471="","",IF(G471="TL",1,IF(G471="USD",KURLAR!$C$9,IF(G471="EUR",KURLAR!$C$10,0))))</x:f>
      </x:c>
      <x:c r="L471" s="68" t="str">
        <x:f>IF(B471="","",I471*K471)</x:f>
      </x:c>
      <x:c r="M471" s="46"/>
      <x:c r="N471" s="52" t="str">
        <x:f>IF(B471="","",IF(OR(M471="Ödendi",M471="İptal"),"Hayır","Evet"))</x:f>
      </x:c>
    </x:row>
    <x:row r="472">
      <x:c r="B472" s="46"/>
      <x:c r="C472" s="46"/>
      <x:c r="D472" s="112"/>
      <x:c r="E472" s="112"/>
      <x:c r="F472" s="92"/>
      <x:c r="G472" s="92"/>
      <x:c r="H472" s="92"/>
      <x:c r="I472" s="93" t="str">
        <x:f>IF(B472="","",MAX(0,F472-H472))</x:f>
      </x:c>
      <x:c r="J472" s="46"/>
      <x:c r="K472" s="100" t="str">
        <x:f>IF(B472="","",IF(G472="TL",1,IF(G472="USD",KURLAR!$C$9,IF(G472="EUR",KURLAR!$C$10,0))))</x:f>
      </x:c>
      <x:c r="L472" s="68" t="str">
        <x:f>IF(B472="","",I472*K472)</x:f>
      </x:c>
      <x:c r="M472" s="46"/>
      <x:c r="N472" s="52" t="str">
        <x:f>IF(B472="","",IF(OR(M472="Ödendi",M472="İptal"),"Hayır","Evet"))</x:f>
      </x:c>
    </x:row>
    <x:row r="473">
      <x:c r="B473" s="46"/>
      <x:c r="C473" s="46"/>
      <x:c r="D473" s="112"/>
      <x:c r="E473" s="112"/>
      <x:c r="F473" s="92"/>
      <x:c r="G473" s="92"/>
      <x:c r="H473" s="92"/>
      <x:c r="I473" s="93" t="str">
        <x:f>IF(B473="","",MAX(0,F473-H473))</x:f>
      </x:c>
      <x:c r="J473" s="46"/>
      <x:c r="K473" s="100" t="str">
        <x:f>IF(B473="","",IF(G473="TL",1,IF(G473="USD",KURLAR!$C$9,IF(G473="EUR",KURLAR!$C$10,0))))</x:f>
      </x:c>
      <x:c r="L473" s="68" t="str">
        <x:f>IF(B473="","",I473*K473)</x:f>
      </x:c>
      <x:c r="M473" s="46"/>
      <x:c r="N473" s="52" t="str">
        <x:f>IF(B473="","",IF(OR(M473="Ödendi",M473="İptal"),"Hayır","Evet"))</x:f>
      </x:c>
    </x:row>
    <x:row r="474">
      <x:c r="B474" s="46"/>
      <x:c r="C474" s="46"/>
      <x:c r="D474" s="112"/>
      <x:c r="E474" s="112"/>
      <x:c r="F474" s="92"/>
      <x:c r="G474" s="92"/>
      <x:c r="H474" s="92"/>
      <x:c r="I474" s="93" t="str">
        <x:f>IF(B474="","",MAX(0,F474-H474))</x:f>
      </x:c>
      <x:c r="J474" s="46"/>
      <x:c r="K474" s="100" t="str">
        <x:f>IF(B474="","",IF(G474="TL",1,IF(G474="USD",KURLAR!$C$9,IF(G474="EUR",KURLAR!$C$10,0))))</x:f>
      </x:c>
      <x:c r="L474" s="68" t="str">
        <x:f>IF(B474="","",I474*K474)</x:f>
      </x:c>
      <x:c r="M474" s="46"/>
      <x:c r="N474" s="52" t="str">
        <x:f>IF(B474="","",IF(OR(M474="Ödendi",M474="İptal"),"Hayır","Evet"))</x:f>
      </x:c>
    </x:row>
    <x:row r="475">
      <x:c r="B475" s="46"/>
      <x:c r="C475" s="46"/>
      <x:c r="D475" s="112"/>
      <x:c r="E475" s="112"/>
      <x:c r="F475" s="92"/>
      <x:c r="G475" s="92"/>
      <x:c r="H475" s="92"/>
      <x:c r="I475" s="93" t="str">
        <x:f>IF(B475="","",MAX(0,F475-H475))</x:f>
      </x:c>
      <x:c r="J475" s="46"/>
      <x:c r="K475" s="100" t="str">
        <x:f>IF(B475="","",IF(G475="TL",1,IF(G475="USD",KURLAR!$C$9,IF(G475="EUR",KURLAR!$C$10,0))))</x:f>
      </x:c>
      <x:c r="L475" s="68" t="str">
        <x:f>IF(B475="","",I475*K475)</x:f>
      </x:c>
      <x:c r="M475" s="46"/>
      <x:c r="N475" s="52" t="str">
        <x:f>IF(B475="","",IF(OR(M475="Ödendi",M475="İptal"),"Hayır","Evet"))</x:f>
      </x:c>
    </x:row>
    <x:row r="476">
      <x:c r="B476" s="46"/>
      <x:c r="C476" s="46"/>
      <x:c r="D476" s="112"/>
      <x:c r="E476" s="112"/>
      <x:c r="F476" s="92"/>
      <x:c r="G476" s="92"/>
      <x:c r="H476" s="92"/>
      <x:c r="I476" s="93" t="str">
        <x:f>IF(B476="","",MAX(0,F476-H476))</x:f>
      </x:c>
      <x:c r="J476" s="46"/>
      <x:c r="K476" s="100" t="str">
        <x:f>IF(B476="","",IF(G476="TL",1,IF(G476="USD",KURLAR!$C$9,IF(G476="EUR",KURLAR!$C$10,0))))</x:f>
      </x:c>
      <x:c r="L476" s="68" t="str">
        <x:f>IF(B476="","",I476*K476)</x:f>
      </x:c>
      <x:c r="M476" s="46"/>
      <x:c r="N476" s="52" t="str">
        <x:f>IF(B476="","",IF(OR(M476="Ödendi",M476="İptal"),"Hayır","Evet"))</x:f>
      </x:c>
    </x:row>
    <x:row r="477">
      <x:c r="B477" s="46"/>
      <x:c r="C477" s="46"/>
      <x:c r="D477" s="112"/>
      <x:c r="E477" s="112"/>
      <x:c r="F477" s="92"/>
      <x:c r="G477" s="92"/>
      <x:c r="H477" s="92"/>
      <x:c r="I477" s="93" t="str">
        <x:f>IF(B477="","",MAX(0,F477-H477))</x:f>
      </x:c>
      <x:c r="J477" s="46"/>
      <x:c r="K477" s="100" t="str">
        <x:f>IF(B477="","",IF(G477="TL",1,IF(G477="USD",KURLAR!$C$9,IF(G477="EUR",KURLAR!$C$10,0))))</x:f>
      </x:c>
      <x:c r="L477" s="68" t="str">
        <x:f>IF(B477="","",I477*K477)</x:f>
      </x:c>
      <x:c r="M477" s="46"/>
      <x:c r="N477" s="52" t="str">
        <x:f>IF(B477="","",IF(OR(M477="Ödendi",M477="İptal"),"Hayır","Evet"))</x:f>
      </x:c>
    </x:row>
    <x:row r="478">
      <x:c r="B478" s="46"/>
      <x:c r="C478" s="46"/>
      <x:c r="D478" s="112"/>
      <x:c r="E478" s="112"/>
      <x:c r="F478" s="92"/>
      <x:c r="G478" s="92"/>
      <x:c r="H478" s="92"/>
      <x:c r="I478" s="93" t="str">
        <x:f>IF(B478="","",MAX(0,F478-H478))</x:f>
      </x:c>
      <x:c r="J478" s="46"/>
      <x:c r="K478" s="100" t="str">
        <x:f>IF(B478="","",IF(G478="TL",1,IF(G478="USD",KURLAR!$C$9,IF(G478="EUR",KURLAR!$C$10,0))))</x:f>
      </x:c>
      <x:c r="L478" s="68" t="str">
        <x:f>IF(B478="","",I478*K478)</x:f>
      </x:c>
      <x:c r="M478" s="46"/>
      <x:c r="N478" s="52" t="str">
        <x:f>IF(B478="","",IF(OR(M478="Ödendi",M478="İptal"),"Hayır","Evet"))</x:f>
      </x:c>
    </x:row>
    <x:row r="479">
      <x:c r="B479" s="46"/>
      <x:c r="C479" s="46"/>
      <x:c r="D479" s="112"/>
      <x:c r="E479" s="112"/>
      <x:c r="F479" s="92"/>
      <x:c r="G479" s="92"/>
      <x:c r="H479" s="92"/>
      <x:c r="I479" s="93" t="str">
        <x:f>IF(B479="","",MAX(0,F479-H479))</x:f>
      </x:c>
      <x:c r="J479" s="46"/>
      <x:c r="K479" s="100" t="str">
        <x:f>IF(B479="","",IF(G479="TL",1,IF(G479="USD",KURLAR!$C$9,IF(G479="EUR",KURLAR!$C$10,0))))</x:f>
      </x:c>
      <x:c r="L479" s="68" t="str">
        <x:f>IF(B479="","",I479*K479)</x:f>
      </x:c>
      <x:c r="M479" s="46"/>
      <x:c r="N479" s="52" t="str">
        <x:f>IF(B479="","",IF(OR(M479="Ödendi",M479="İptal"),"Hayır","Evet"))</x:f>
      </x:c>
    </x:row>
    <x:row r="480">
      <x:c r="B480" s="46"/>
      <x:c r="C480" s="46"/>
      <x:c r="D480" s="112"/>
      <x:c r="E480" s="112"/>
      <x:c r="F480" s="92"/>
      <x:c r="G480" s="92"/>
      <x:c r="H480" s="92"/>
      <x:c r="I480" s="93" t="str">
        <x:f>IF(B480="","",MAX(0,F480-H480))</x:f>
      </x:c>
      <x:c r="J480" s="46"/>
      <x:c r="K480" s="100" t="str">
        <x:f>IF(B480="","",IF(G480="TL",1,IF(G480="USD",KURLAR!$C$9,IF(G480="EUR",KURLAR!$C$10,0))))</x:f>
      </x:c>
      <x:c r="L480" s="68" t="str">
        <x:f>IF(B480="","",I480*K480)</x:f>
      </x:c>
      <x:c r="M480" s="46"/>
      <x:c r="N480" s="52" t="str">
        <x:f>IF(B480="","",IF(OR(M480="Ödendi",M480="İptal"),"Hayır","Evet"))</x:f>
      </x:c>
    </x:row>
    <x:row r="481">
      <x:c r="B481" s="46"/>
      <x:c r="C481" s="46"/>
      <x:c r="D481" s="112"/>
      <x:c r="E481" s="112"/>
      <x:c r="F481" s="92"/>
      <x:c r="G481" s="92"/>
      <x:c r="H481" s="92"/>
      <x:c r="I481" s="93" t="str">
        <x:f>IF(B481="","",MAX(0,F481-H481))</x:f>
      </x:c>
      <x:c r="J481" s="46"/>
      <x:c r="K481" s="100" t="str">
        <x:f>IF(B481="","",IF(G481="TL",1,IF(G481="USD",KURLAR!$C$9,IF(G481="EUR",KURLAR!$C$10,0))))</x:f>
      </x:c>
      <x:c r="L481" s="68" t="str">
        <x:f>IF(B481="","",I481*K481)</x:f>
      </x:c>
      <x:c r="M481" s="46"/>
      <x:c r="N481" s="52" t="str">
        <x:f>IF(B481="","",IF(OR(M481="Ödendi",M481="İptal"),"Hayır","Evet"))</x:f>
      </x:c>
    </x:row>
    <x:row r="482">
      <x:c r="B482" s="46"/>
      <x:c r="C482" s="46"/>
      <x:c r="D482" s="112"/>
      <x:c r="E482" s="112"/>
      <x:c r="F482" s="92"/>
      <x:c r="G482" s="92"/>
      <x:c r="H482" s="92"/>
      <x:c r="I482" s="93" t="str">
        <x:f>IF(B482="","",MAX(0,F482-H482))</x:f>
      </x:c>
      <x:c r="J482" s="46"/>
      <x:c r="K482" s="100" t="str">
        <x:f>IF(B482="","",IF(G482="TL",1,IF(G482="USD",KURLAR!$C$9,IF(G482="EUR",KURLAR!$C$10,0))))</x:f>
      </x:c>
      <x:c r="L482" s="68" t="str">
        <x:f>IF(B482="","",I482*K482)</x:f>
      </x:c>
      <x:c r="M482" s="46"/>
      <x:c r="N482" s="52" t="str">
        <x:f>IF(B482="","",IF(OR(M482="Ödendi",M482="İptal"),"Hayır","Evet"))</x:f>
      </x:c>
    </x:row>
    <x:row r="483">
      <x:c r="B483" s="46"/>
      <x:c r="C483" s="46"/>
      <x:c r="D483" s="112"/>
      <x:c r="E483" s="112"/>
      <x:c r="F483" s="92"/>
      <x:c r="G483" s="92"/>
      <x:c r="H483" s="92"/>
      <x:c r="I483" s="93" t="str">
        <x:f>IF(B483="","",MAX(0,F483-H483))</x:f>
      </x:c>
      <x:c r="J483" s="46"/>
      <x:c r="K483" s="100" t="str">
        <x:f>IF(B483="","",IF(G483="TL",1,IF(G483="USD",KURLAR!$C$9,IF(G483="EUR",KURLAR!$C$10,0))))</x:f>
      </x:c>
      <x:c r="L483" s="68" t="str">
        <x:f>IF(B483="","",I483*K483)</x:f>
      </x:c>
      <x:c r="M483" s="46"/>
      <x:c r="N483" s="52" t="str">
        <x:f>IF(B483="","",IF(OR(M483="Ödendi",M483="İptal"),"Hayır","Evet"))</x:f>
      </x:c>
    </x:row>
    <x:row r="484">
      <x:c r="B484" s="46"/>
      <x:c r="C484" s="46"/>
      <x:c r="D484" s="112"/>
      <x:c r="E484" s="112"/>
      <x:c r="F484" s="92"/>
      <x:c r="G484" s="92"/>
      <x:c r="H484" s="92"/>
      <x:c r="I484" s="93" t="str">
        <x:f>IF(B484="","",MAX(0,F484-H484))</x:f>
      </x:c>
      <x:c r="J484" s="46"/>
      <x:c r="K484" s="100" t="str">
        <x:f>IF(B484="","",IF(G484="TL",1,IF(G484="USD",KURLAR!$C$9,IF(G484="EUR",KURLAR!$C$10,0))))</x:f>
      </x:c>
      <x:c r="L484" s="68" t="str">
        <x:f>IF(B484="","",I484*K484)</x:f>
      </x:c>
      <x:c r="M484" s="46"/>
      <x:c r="N484" s="52" t="str">
        <x:f>IF(B484="","",IF(OR(M484="Ödendi",M484="İptal"),"Hayır","Evet"))</x:f>
      </x:c>
    </x:row>
    <x:row r="485">
      <x:c r="B485" s="46"/>
      <x:c r="C485" s="46"/>
      <x:c r="D485" s="112"/>
      <x:c r="E485" s="112"/>
      <x:c r="F485" s="92"/>
      <x:c r="G485" s="92"/>
      <x:c r="H485" s="92"/>
      <x:c r="I485" s="93" t="str">
        <x:f>IF(B485="","",MAX(0,F485-H485))</x:f>
      </x:c>
      <x:c r="J485" s="46"/>
      <x:c r="K485" s="100" t="str">
        <x:f>IF(B485="","",IF(G485="TL",1,IF(G485="USD",KURLAR!$C$9,IF(G485="EUR",KURLAR!$C$10,0))))</x:f>
      </x:c>
      <x:c r="L485" s="68" t="str">
        <x:f>IF(B485="","",I485*K485)</x:f>
      </x:c>
      <x:c r="M485" s="46"/>
      <x:c r="N485" s="52" t="str">
        <x:f>IF(B485="","",IF(OR(M485="Ödendi",M485="İptal"),"Hayır","Evet"))</x:f>
      </x:c>
    </x:row>
    <x:row r="486">
      <x:c r="B486" s="46"/>
      <x:c r="C486" s="46"/>
      <x:c r="D486" s="112"/>
      <x:c r="E486" s="112"/>
      <x:c r="F486" s="92"/>
      <x:c r="G486" s="92"/>
      <x:c r="H486" s="92"/>
      <x:c r="I486" s="93" t="str">
        <x:f>IF(B486="","",MAX(0,F486-H486))</x:f>
      </x:c>
      <x:c r="J486" s="46"/>
      <x:c r="K486" s="100" t="str">
        <x:f>IF(B486="","",IF(G486="TL",1,IF(G486="USD",KURLAR!$C$9,IF(G486="EUR",KURLAR!$C$10,0))))</x:f>
      </x:c>
      <x:c r="L486" s="68" t="str">
        <x:f>IF(B486="","",I486*K486)</x:f>
      </x:c>
      <x:c r="M486" s="46"/>
      <x:c r="N486" s="52" t="str">
        <x:f>IF(B486="","",IF(OR(M486="Ödendi",M486="İptal"),"Hayır","Evet"))</x:f>
      </x:c>
    </x:row>
    <x:row r="487">
      <x:c r="B487" s="46"/>
      <x:c r="C487" s="46"/>
      <x:c r="D487" s="112"/>
      <x:c r="E487" s="112"/>
      <x:c r="F487" s="92"/>
      <x:c r="G487" s="92"/>
      <x:c r="H487" s="92"/>
      <x:c r="I487" s="93" t="str">
        <x:f>IF(B487="","",MAX(0,F487-H487))</x:f>
      </x:c>
      <x:c r="J487" s="46"/>
      <x:c r="K487" s="100" t="str">
        <x:f>IF(B487="","",IF(G487="TL",1,IF(G487="USD",KURLAR!$C$9,IF(G487="EUR",KURLAR!$C$10,0))))</x:f>
      </x:c>
      <x:c r="L487" s="68" t="str">
        <x:f>IF(B487="","",I487*K487)</x:f>
      </x:c>
      <x:c r="M487" s="46"/>
      <x:c r="N487" s="52" t="str">
        <x:f>IF(B487="","",IF(OR(M487="Ödendi",M487="İptal"),"Hayır","Evet"))</x:f>
      </x:c>
    </x:row>
    <x:row r="488">
      <x:c r="B488" s="46"/>
      <x:c r="C488" s="46"/>
      <x:c r="D488" s="112"/>
      <x:c r="E488" s="112"/>
      <x:c r="F488" s="92"/>
      <x:c r="G488" s="92"/>
      <x:c r="H488" s="92"/>
      <x:c r="I488" s="93" t="str">
        <x:f>IF(B488="","",MAX(0,F488-H488))</x:f>
      </x:c>
      <x:c r="J488" s="46"/>
      <x:c r="K488" s="100" t="str">
        <x:f>IF(B488="","",IF(G488="TL",1,IF(G488="USD",KURLAR!$C$9,IF(G488="EUR",KURLAR!$C$10,0))))</x:f>
      </x:c>
      <x:c r="L488" s="68" t="str">
        <x:f>IF(B488="","",I488*K488)</x:f>
      </x:c>
      <x:c r="M488" s="46"/>
      <x:c r="N488" s="52" t="str">
        <x:f>IF(B488="","",IF(OR(M488="Ödendi",M488="İptal"),"Hayır","Evet"))</x:f>
      </x:c>
    </x:row>
    <x:row r="489">
      <x:c r="B489" s="46"/>
      <x:c r="C489" s="46"/>
      <x:c r="D489" s="112"/>
      <x:c r="E489" s="112"/>
      <x:c r="F489" s="92"/>
      <x:c r="G489" s="92"/>
      <x:c r="H489" s="92"/>
      <x:c r="I489" s="93" t="str">
        <x:f>IF(B489="","",MAX(0,F489-H489))</x:f>
      </x:c>
      <x:c r="J489" s="46"/>
      <x:c r="K489" s="100" t="str">
        <x:f>IF(B489="","",IF(G489="TL",1,IF(G489="USD",KURLAR!$C$9,IF(G489="EUR",KURLAR!$C$10,0))))</x:f>
      </x:c>
      <x:c r="L489" s="68" t="str">
        <x:f>IF(B489="","",I489*K489)</x:f>
      </x:c>
      <x:c r="M489" s="46"/>
      <x:c r="N489" s="52" t="str">
        <x:f>IF(B489="","",IF(OR(M489="Ödendi",M489="İptal"),"Hayır","Evet"))</x:f>
      </x:c>
    </x:row>
    <x:row r="490">
      <x:c r="B490" s="46"/>
      <x:c r="C490" s="46"/>
      <x:c r="D490" s="112"/>
      <x:c r="E490" s="112"/>
      <x:c r="F490" s="92"/>
      <x:c r="G490" s="92"/>
      <x:c r="H490" s="92"/>
      <x:c r="I490" s="93" t="str">
        <x:f>IF(B490="","",MAX(0,F490-H490))</x:f>
      </x:c>
      <x:c r="J490" s="46"/>
      <x:c r="K490" s="100" t="str">
        <x:f>IF(B490="","",IF(G490="TL",1,IF(G490="USD",KURLAR!$C$9,IF(G490="EUR",KURLAR!$C$10,0))))</x:f>
      </x:c>
      <x:c r="L490" s="68" t="str">
        <x:f>IF(B490="","",I490*K490)</x:f>
      </x:c>
      <x:c r="M490" s="46"/>
      <x:c r="N490" s="52" t="str">
        <x:f>IF(B490="","",IF(OR(M490="Ödendi",M490="İptal"),"Hayır","Evet"))</x:f>
      </x:c>
    </x:row>
    <x:row r="491">
      <x:c r="B491" s="46"/>
      <x:c r="C491" s="46"/>
      <x:c r="D491" s="112"/>
      <x:c r="E491" s="112"/>
      <x:c r="F491" s="92"/>
      <x:c r="G491" s="92"/>
      <x:c r="H491" s="92"/>
      <x:c r="I491" s="93" t="str">
        <x:f>IF(B491="","",MAX(0,F491-H491))</x:f>
      </x:c>
      <x:c r="J491" s="46"/>
      <x:c r="K491" s="100" t="str">
        <x:f>IF(B491="","",IF(G491="TL",1,IF(G491="USD",KURLAR!$C$9,IF(G491="EUR",KURLAR!$C$10,0))))</x:f>
      </x:c>
      <x:c r="L491" s="68" t="str">
        <x:f>IF(B491="","",I491*K491)</x:f>
      </x:c>
      <x:c r="M491" s="46"/>
      <x:c r="N491" s="52" t="str">
        <x:f>IF(B491="","",IF(OR(M491="Ödendi",M491="İptal"),"Hayır","Evet"))</x:f>
      </x:c>
    </x:row>
    <x:row r="492">
      <x:c r="B492" s="46"/>
      <x:c r="C492" s="46"/>
      <x:c r="D492" s="112"/>
      <x:c r="E492" s="112"/>
      <x:c r="F492" s="92"/>
      <x:c r="G492" s="92"/>
      <x:c r="H492" s="92"/>
      <x:c r="I492" s="93" t="str">
        <x:f>IF(B492="","",MAX(0,F492-H492))</x:f>
      </x:c>
      <x:c r="J492" s="46"/>
      <x:c r="K492" s="100" t="str">
        <x:f>IF(B492="","",IF(G492="TL",1,IF(G492="USD",KURLAR!$C$9,IF(G492="EUR",KURLAR!$C$10,0))))</x:f>
      </x:c>
      <x:c r="L492" s="68" t="str">
        <x:f>IF(B492="","",I492*K492)</x:f>
      </x:c>
      <x:c r="M492" s="46"/>
      <x:c r="N492" s="52" t="str">
        <x:f>IF(B492="","",IF(OR(M492="Ödendi",M492="İptal"),"Hayır","Evet"))</x:f>
      </x:c>
    </x:row>
    <x:row r="493">
      <x:c r="B493" s="46"/>
      <x:c r="C493" s="46"/>
      <x:c r="D493" s="112"/>
      <x:c r="E493" s="112"/>
      <x:c r="F493" s="92"/>
      <x:c r="G493" s="92"/>
      <x:c r="H493" s="92"/>
      <x:c r="I493" s="93" t="str">
        <x:f>IF(B493="","",MAX(0,F493-H493))</x:f>
      </x:c>
      <x:c r="J493" s="46"/>
      <x:c r="K493" s="100" t="str">
        <x:f>IF(B493="","",IF(G493="TL",1,IF(G493="USD",KURLAR!$C$9,IF(G493="EUR",KURLAR!$C$10,0))))</x:f>
      </x:c>
      <x:c r="L493" s="68" t="str">
        <x:f>IF(B493="","",I493*K493)</x:f>
      </x:c>
      <x:c r="M493" s="46"/>
      <x:c r="N493" s="52" t="str">
        <x:f>IF(B493="","",IF(OR(M493="Ödendi",M493="İptal"),"Hayır","Evet"))</x:f>
      </x:c>
    </x:row>
    <x:row r="494">
      <x:c r="B494" s="46"/>
      <x:c r="C494" s="46"/>
      <x:c r="D494" s="112"/>
      <x:c r="E494" s="112"/>
      <x:c r="F494" s="92"/>
      <x:c r="G494" s="92"/>
      <x:c r="H494" s="92"/>
      <x:c r="I494" s="93" t="str">
        <x:f>IF(B494="","",MAX(0,F494-H494))</x:f>
      </x:c>
      <x:c r="J494" s="46"/>
      <x:c r="K494" s="100" t="str">
        <x:f>IF(B494="","",IF(G494="TL",1,IF(G494="USD",KURLAR!$C$9,IF(G494="EUR",KURLAR!$C$10,0))))</x:f>
      </x:c>
      <x:c r="L494" s="68" t="str">
        <x:f>IF(B494="","",I494*K494)</x:f>
      </x:c>
      <x:c r="M494" s="46"/>
      <x:c r="N494" s="52" t="str">
        <x:f>IF(B494="","",IF(OR(M494="Ödendi",M494="İptal"),"Hayır","Evet"))</x:f>
      </x:c>
    </x:row>
    <x:row r="495">
      <x:c r="B495" s="46"/>
      <x:c r="C495" s="46"/>
      <x:c r="D495" s="112"/>
      <x:c r="E495" s="112"/>
      <x:c r="F495" s="92"/>
      <x:c r="G495" s="92"/>
      <x:c r="H495" s="92"/>
      <x:c r="I495" s="93" t="str">
        <x:f>IF(B495="","",MAX(0,F495-H495))</x:f>
      </x:c>
      <x:c r="J495" s="46"/>
      <x:c r="K495" s="100" t="str">
        <x:f>IF(B495="","",IF(G495="TL",1,IF(G495="USD",KURLAR!$C$9,IF(G495="EUR",KURLAR!$C$10,0))))</x:f>
      </x:c>
      <x:c r="L495" s="68" t="str">
        <x:f>IF(B495="","",I495*K495)</x:f>
      </x:c>
      <x:c r="M495" s="46"/>
      <x:c r="N495" s="52" t="str">
        <x:f>IF(B495="","",IF(OR(M495="Ödendi",M495="İptal"),"Hayır","Evet"))</x:f>
      </x:c>
    </x:row>
    <x:row r="496">
      <x:c r="B496" s="46"/>
      <x:c r="C496" s="46"/>
      <x:c r="D496" s="112"/>
      <x:c r="E496" s="112"/>
      <x:c r="F496" s="92"/>
      <x:c r="G496" s="92"/>
      <x:c r="H496" s="92"/>
      <x:c r="I496" s="93" t="str">
        <x:f>IF(B496="","",MAX(0,F496-H496))</x:f>
      </x:c>
      <x:c r="J496" s="46"/>
      <x:c r="K496" s="100" t="str">
        <x:f>IF(B496="","",IF(G496="TL",1,IF(G496="USD",KURLAR!$C$9,IF(G496="EUR",KURLAR!$C$10,0))))</x:f>
      </x:c>
      <x:c r="L496" s="68" t="str">
        <x:f>IF(B496="","",I496*K496)</x:f>
      </x:c>
      <x:c r="M496" s="46"/>
      <x:c r="N496" s="52" t="str">
        <x:f>IF(B496="","",IF(OR(M496="Ödendi",M496="İptal"),"Hayır","Evet"))</x:f>
      </x:c>
    </x:row>
    <x:row r="497">
      <x:c r="B497" s="46"/>
      <x:c r="C497" s="46"/>
      <x:c r="D497" s="112"/>
      <x:c r="E497" s="112"/>
      <x:c r="F497" s="92"/>
      <x:c r="G497" s="92"/>
      <x:c r="H497" s="92"/>
      <x:c r="I497" s="93" t="str">
        <x:f>IF(B497="","",MAX(0,F497-H497))</x:f>
      </x:c>
      <x:c r="J497" s="46"/>
      <x:c r="K497" s="100" t="str">
        <x:f>IF(B497="","",IF(G497="TL",1,IF(G497="USD",KURLAR!$C$9,IF(G497="EUR",KURLAR!$C$10,0))))</x:f>
      </x:c>
      <x:c r="L497" s="68" t="str">
        <x:f>IF(B497="","",I497*K497)</x:f>
      </x:c>
      <x:c r="M497" s="46"/>
      <x:c r="N497" s="52" t="str">
        <x:f>IF(B497="","",IF(OR(M497="Ödendi",M497="İptal"),"Hayır","Evet"))</x:f>
      </x:c>
    </x:row>
    <x:row r="498">
      <x:c r="B498" s="46"/>
      <x:c r="C498" s="46"/>
      <x:c r="D498" s="112"/>
      <x:c r="E498" s="112"/>
      <x:c r="F498" s="92"/>
      <x:c r="G498" s="92"/>
      <x:c r="H498" s="92"/>
      <x:c r="I498" s="93" t="str">
        <x:f>IF(B498="","",MAX(0,F498-H498))</x:f>
      </x:c>
      <x:c r="J498" s="46"/>
      <x:c r="K498" s="100" t="str">
        <x:f>IF(B498="","",IF(G498="TL",1,IF(G498="USD",KURLAR!$C$9,IF(G498="EUR",KURLAR!$C$10,0))))</x:f>
      </x:c>
      <x:c r="L498" s="68" t="str">
        <x:f>IF(B498="","",I498*K498)</x:f>
      </x:c>
      <x:c r="M498" s="46"/>
      <x:c r="N498" s="52" t="str">
        <x:f>IF(B498="","",IF(OR(M498="Ödendi",M498="İptal"),"Hayır","Evet"))</x:f>
      </x:c>
    </x:row>
    <x:row r="499">
      <x:c r="B499" s="46"/>
      <x:c r="C499" s="46"/>
      <x:c r="D499" s="112"/>
      <x:c r="E499" s="112"/>
      <x:c r="F499" s="92"/>
      <x:c r="G499" s="92"/>
      <x:c r="H499" s="92"/>
      <x:c r="I499" s="93" t="str">
        <x:f>IF(B499="","",MAX(0,F499-H499))</x:f>
      </x:c>
      <x:c r="J499" s="46"/>
      <x:c r="K499" s="100" t="str">
        <x:f>IF(B499="","",IF(G499="TL",1,IF(G499="USD",KURLAR!$C$9,IF(G499="EUR",KURLAR!$C$10,0))))</x:f>
      </x:c>
      <x:c r="L499" s="68" t="str">
        <x:f>IF(B499="","",I499*K499)</x:f>
      </x:c>
      <x:c r="M499" s="46"/>
      <x:c r="N499" s="52" t="str">
        <x:f>IF(B499="","",IF(OR(M499="Ödendi",M499="İptal"),"Hayır","Evet"))</x:f>
      </x:c>
    </x:row>
    <x:row r="500">
      <x:c r="B500" s="46"/>
      <x:c r="C500" s="46"/>
      <x:c r="D500" s="112"/>
      <x:c r="E500" s="112"/>
      <x:c r="F500" s="92"/>
      <x:c r="G500" s="92"/>
      <x:c r="H500" s="92"/>
      <x:c r="I500" s="93" t="str">
        <x:f>IF(B500="","",MAX(0,F500-H500))</x:f>
      </x:c>
      <x:c r="J500" s="46"/>
      <x:c r="K500" s="100" t="str">
        <x:f>IF(B500="","",IF(G500="TL",1,IF(G500="USD",KURLAR!$C$9,IF(G500="EUR",KURLAR!$C$10,0))))</x:f>
      </x:c>
      <x:c r="L500" s="68" t="str">
        <x:f>IF(B500="","",I500*K500)</x:f>
      </x:c>
      <x:c r="M500" s="46"/>
      <x:c r="N500" s="52" t="str">
        <x:f>IF(B500="","",IF(OR(M500="Ödendi",M500="İptal"),"Hayır","Evet"))</x:f>
      </x:c>
    </x:row>
    <x:row r="501">
      <x:c r="B501" s="46"/>
      <x:c r="C501" s="46"/>
      <x:c r="D501" s="112"/>
      <x:c r="E501" s="112"/>
      <x:c r="F501" s="92"/>
      <x:c r="G501" s="92"/>
      <x:c r="H501" s="92"/>
      <x:c r="I501" s="93" t="str">
        <x:f>IF(B501="","",MAX(0,F501-H501))</x:f>
      </x:c>
      <x:c r="J501" s="46"/>
      <x:c r="K501" s="100" t="str">
        <x:f>IF(B501="","",IF(G501="TL",1,IF(G501="USD",KURLAR!$C$9,IF(G501="EUR",KURLAR!$C$10,0))))</x:f>
      </x:c>
      <x:c r="L501" s="68" t="str">
        <x:f>IF(B501="","",I501*K501)</x:f>
      </x:c>
      <x:c r="M501" s="46"/>
      <x:c r="N501" s="52" t="str">
        <x:f>IF(B501="","",IF(OR(M501="Ödendi",M501="İptal"),"Hayır","Evet"))</x:f>
      </x:c>
    </x:row>
    <x:row r="502">
      <x:c r="B502" s="46"/>
      <x:c r="C502" s="46"/>
      <x:c r="D502" s="112"/>
      <x:c r="E502" s="112"/>
      <x:c r="F502" s="92"/>
      <x:c r="G502" s="92"/>
      <x:c r="H502" s="92"/>
      <x:c r="I502" s="93" t="str">
        <x:f>IF(B502="","",MAX(0,F502-H502))</x:f>
      </x:c>
      <x:c r="J502" s="46"/>
      <x:c r="K502" s="100" t="str">
        <x:f>IF(B502="","",IF(G502="TL",1,IF(G502="USD",KURLAR!$C$9,IF(G502="EUR",KURLAR!$C$10,0))))</x:f>
      </x:c>
      <x:c r="L502" s="68" t="str">
        <x:f>IF(B502="","",I502*K502)</x:f>
      </x:c>
      <x:c r="M502" s="46"/>
      <x:c r="N502" s="52" t="str">
        <x:f>IF(B502="","",IF(OR(M502="Ödendi",M502="İptal"),"Hayır","Evet"))</x:f>
      </x:c>
    </x:row>
    <x:row r="503">
      <x:c r="B503" s="46"/>
      <x:c r="C503" s="46"/>
      <x:c r="D503" s="112"/>
      <x:c r="E503" s="112"/>
      <x:c r="F503" s="92"/>
      <x:c r="G503" s="92"/>
      <x:c r="H503" s="92"/>
      <x:c r="I503" s="93" t="str">
        <x:f>IF(B503="","",MAX(0,F503-H503))</x:f>
      </x:c>
      <x:c r="J503" s="46"/>
      <x:c r="K503" s="100" t="str">
        <x:f>IF(B503="","",IF(G503="TL",1,IF(G503="USD",KURLAR!$C$9,IF(G503="EUR",KURLAR!$C$10,0))))</x:f>
      </x:c>
      <x:c r="L503" s="68" t="str">
        <x:f>IF(B503="","",I503*K503)</x:f>
      </x:c>
      <x:c r="M503" s="46"/>
      <x:c r="N503" s="52" t="str">
        <x:f>IF(B503="","",IF(OR(M503="Ödendi",M503="İptal"),"Hayır","Evet"))</x:f>
      </x:c>
    </x:row>
    <x:row r="504">
      <x:c r="B504" s="46"/>
      <x:c r="C504" s="46"/>
      <x:c r="D504" s="112"/>
      <x:c r="E504" s="112"/>
      <x:c r="F504" s="92"/>
      <x:c r="G504" s="92"/>
      <x:c r="H504" s="92"/>
      <x:c r="I504" s="93" t="str">
        <x:f>IF(B504="","",MAX(0,F504-H504))</x:f>
      </x:c>
      <x:c r="J504" s="46"/>
      <x:c r="K504" s="100" t="str">
        <x:f>IF(B504="","",IF(G504="TL",1,IF(G504="USD",KURLAR!$C$9,IF(G504="EUR",KURLAR!$C$10,0))))</x:f>
      </x:c>
      <x:c r="L504" s="68" t="str">
        <x:f>IF(B504="","",I504*K504)</x:f>
      </x:c>
      <x:c r="M504" s="46"/>
      <x:c r="N504" s="52" t="str">
        <x:f>IF(B504="","",IF(OR(M504="Ödendi",M504="İptal"),"Hayır","Evet"))</x:f>
      </x:c>
    </x:row>
    <x:row r="505">
      <x:c r="B505" s="46"/>
      <x:c r="C505" s="46"/>
      <x:c r="D505" s="112"/>
      <x:c r="E505" s="112"/>
      <x:c r="F505" s="92"/>
      <x:c r="G505" s="92"/>
      <x:c r="H505" s="92"/>
      <x:c r="I505" s="93" t="str">
        <x:f>IF(B505="","",MAX(0,F505-H505))</x:f>
      </x:c>
      <x:c r="J505" s="46"/>
      <x:c r="K505" s="100" t="str">
        <x:f>IF(B505="","",IF(G505="TL",1,IF(G505="USD",KURLAR!$C$9,IF(G505="EUR",KURLAR!$C$10,0))))</x:f>
      </x:c>
      <x:c r="L505" s="68" t="str">
        <x:f>IF(B505="","",I505*K505)</x:f>
      </x:c>
      <x:c r="M505" s="46"/>
      <x:c r="N505" s="52" t="str">
        <x:f>IF(B505="","",IF(OR(M505="Ödendi",M505="İptal"),"Hayır","Evet"))</x:f>
      </x:c>
    </x:row>
    <x:row r="506">
      <x:c r="B506" s="46"/>
      <x:c r="C506" s="46"/>
      <x:c r="D506" s="112"/>
      <x:c r="E506" s="112"/>
      <x:c r="F506" s="92"/>
      <x:c r="G506" s="92"/>
      <x:c r="H506" s="92"/>
      <x:c r="I506" s="93" t="str">
        <x:f>IF(B506="","",MAX(0,F506-H506))</x:f>
      </x:c>
      <x:c r="J506" s="46"/>
      <x:c r="K506" s="100" t="str">
        <x:f>IF(B506="","",IF(G506="TL",1,IF(G506="USD",KURLAR!$C$9,IF(G506="EUR",KURLAR!$C$10,0))))</x:f>
      </x:c>
      <x:c r="L506" s="68" t="str">
        <x:f>IF(B506="","",I506*K506)</x:f>
      </x:c>
      <x:c r="M506" s="46"/>
      <x:c r="N506" s="52" t="str">
        <x:f>IF(B506="","",IF(OR(M506="Ödendi",M506="İptal"),"Hayır","Evet"))</x:f>
      </x:c>
    </x:row>
    <x:row r="507">
      <x:c r="B507" s="46"/>
      <x:c r="C507" s="46"/>
      <x:c r="D507" s="112"/>
      <x:c r="E507" s="112"/>
      <x:c r="F507" s="92"/>
      <x:c r="G507" s="92"/>
      <x:c r="H507" s="92"/>
      <x:c r="I507" s="93" t="str">
        <x:f>IF(B507="","",MAX(0,F507-H507))</x:f>
      </x:c>
      <x:c r="J507" s="46"/>
      <x:c r="K507" s="100" t="str">
        <x:f>IF(B507="","",IF(G507="TL",1,IF(G507="USD",KURLAR!$C$9,IF(G507="EUR",KURLAR!$C$10,0))))</x:f>
      </x:c>
      <x:c r="L507" s="68" t="str">
        <x:f>IF(B507="","",I507*K507)</x:f>
      </x:c>
      <x:c r="M507" s="46"/>
      <x:c r="N507" s="52" t="str">
        <x:f>IF(B507="","",IF(OR(M507="Ödendi",M507="İptal"),"Hayır","Evet"))</x:f>
      </x:c>
    </x:row>
    <x:row r="508">
      <x:c r="B508" s="46"/>
      <x:c r="C508" s="46"/>
      <x:c r="D508" s="112"/>
      <x:c r="E508" s="112"/>
      <x:c r="F508" s="92"/>
      <x:c r="G508" s="92"/>
      <x:c r="H508" s="92"/>
      <x:c r="I508" s="93" t="str">
        <x:f>IF(B508="","",MAX(0,F508-H508))</x:f>
      </x:c>
      <x:c r="J508" s="46"/>
      <x:c r="K508" s="100" t="str">
        <x:f>IF(B508="","",IF(G508="TL",1,IF(G508="USD",KURLAR!$C$9,IF(G508="EUR",KURLAR!$C$10,0))))</x:f>
      </x:c>
      <x:c r="L508" s="68" t="str">
        <x:f>IF(B508="","",I508*K508)</x:f>
      </x:c>
      <x:c r="M508" s="46"/>
      <x:c r="N508" s="52" t="str">
        <x:f>IF(B508="","",IF(OR(M508="Ödendi",M508="İptal"),"Hayır","Evet"))</x:f>
      </x:c>
    </x:row>
    <x:row r="509">
      <x:c r="B509" s="46"/>
      <x:c r="C509" s="46"/>
      <x:c r="D509" s="112"/>
      <x:c r="E509" s="112"/>
      <x:c r="F509" s="92"/>
      <x:c r="G509" s="92"/>
      <x:c r="H509" s="92"/>
      <x:c r="I509" s="93" t="str">
        <x:f>IF(B509="","",MAX(0,F509-H509))</x:f>
      </x:c>
      <x:c r="J509" s="46"/>
      <x:c r="K509" s="100" t="str">
        <x:f>IF(B509="","",IF(G509="TL",1,IF(G509="USD",KURLAR!$C$9,IF(G509="EUR",KURLAR!$C$10,0))))</x:f>
      </x:c>
      <x:c r="L509" s="68" t="str">
        <x:f>IF(B509="","",I509*K509)</x:f>
      </x:c>
      <x:c r="M509" s="46"/>
      <x:c r="N509" s="52" t="str">
        <x:f>IF(B509="","",IF(OR(M509="Ödendi",M509="İptal"),"Hayır","Evet"))</x:f>
      </x:c>
    </x:row>
    <x:row r="510">
      <x:c r="B510" s="46"/>
      <x:c r="C510" s="46"/>
      <x:c r="D510" s="112"/>
      <x:c r="E510" s="112"/>
      <x:c r="F510" s="92"/>
      <x:c r="G510" s="92"/>
      <x:c r="H510" s="92"/>
      <x:c r="I510" s="93" t="str">
        <x:f>IF(B510="","",MAX(0,F510-H510))</x:f>
      </x:c>
      <x:c r="J510" s="46"/>
      <x:c r="K510" s="100" t="str">
        <x:f>IF(B510="","",IF(G510="TL",1,IF(G510="USD",KURLAR!$C$9,IF(G510="EUR",KURLAR!$C$10,0))))</x:f>
      </x:c>
      <x:c r="L510" s="68" t="str">
        <x:f>IF(B510="","",I510*K510)</x:f>
      </x:c>
      <x:c r="M510" s="46"/>
      <x:c r="N510" s="52" t="str">
        <x:f>IF(B510="","",IF(OR(M510="Ödendi",M510="İptal"),"Hayır","Evet"))</x:f>
      </x:c>
    </x:row>
    <x:row r="511">
      <x:c r="B511" s="46"/>
      <x:c r="C511" s="46"/>
      <x:c r="D511" s="112"/>
      <x:c r="E511" s="112"/>
      <x:c r="F511" s="92"/>
      <x:c r="G511" s="92"/>
      <x:c r="H511" s="92"/>
      <x:c r="I511" s="93" t="str">
        <x:f>IF(B511="","",MAX(0,F511-H511))</x:f>
      </x:c>
      <x:c r="J511" s="46"/>
      <x:c r="K511" s="100" t="str">
        <x:f>IF(B511="","",IF(G511="TL",1,IF(G511="USD",KURLAR!$C$9,IF(G511="EUR",KURLAR!$C$10,0))))</x:f>
      </x:c>
      <x:c r="L511" s="68" t="str">
        <x:f>IF(B511="","",I511*K511)</x:f>
      </x:c>
      <x:c r="M511" s="46"/>
      <x:c r="N511" s="52" t="str">
        <x:f>IF(B511="","",IF(OR(M511="Ödendi",M511="İptal"),"Hayır","Evet"))</x:f>
      </x:c>
    </x:row>
    <x:row r="512">
      <x:c r="B512" s="46"/>
      <x:c r="C512" s="46"/>
      <x:c r="D512" s="112"/>
      <x:c r="E512" s="112"/>
      <x:c r="F512" s="92"/>
      <x:c r="G512" s="92"/>
      <x:c r="H512" s="92"/>
      <x:c r="I512" s="93" t="str">
        <x:f>IF(B512="","",MAX(0,F512-H512))</x:f>
      </x:c>
      <x:c r="J512" s="46"/>
      <x:c r="K512" s="100" t="str">
        <x:f>IF(B512="","",IF(G512="TL",1,IF(G512="USD",KURLAR!$C$9,IF(G512="EUR",KURLAR!$C$10,0))))</x:f>
      </x:c>
      <x:c r="L512" s="68" t="str">
        <x:f>IF(B512="","",I512*K512)</x:f>
      </x:c>
      <x:c r="M512" s="46"/>
      <x:c r="N512" s="52" t="str">
        <x:f>IF(B512="","",IF(OR(M512="Ödendi",M512="İptal"),"Hayır","Evet"))</x:f>
      </x:c>
    </x:row>
    <x:row r="513">
      <x:c r="B513" s="46"/>
      <x:c r="C513" s="46"/>
      <x:c r="D513" s="112"/>
      <x:c r="E513" s="112"/>
      <x:c r="F513" s="92"/>
      <x:c r="G513" s="92"/>
      <x:c r="H513" s="92"/>
      <x:c r="I513" s="93" t="str">
        <x:f>IF(B513="","",MAX(0,F513-H513))</x:f>
      </x:c>
      <x:c r="J513" s="46"/>
      <x:c r="K513" s="100" t="str">
        <x:f>IF(B513="","",IF(G513="TL",1,IF(G513="USD",KURLAR!$C$9,IF(G513="EUR",KURLAR!$C$10,0))))</x:f>
      </x:c>
      <x:c r="L513" s="68" t="str">
        <x:f>IF(B513="","",I513*K513)</x:f>
      </x:c>
      <x:c r="M513" s="46"/>
      <x:c r="N513" s="52" t="str">
        <x:f>IF(B513="","",IF(OR(M513="Ödendi",M513="İptal"),"Hayır","Evet"))</x:f>
      </x:c>
    </x:row>
    <x:row r="514">
      <x:c r="B514" s="46"/>
      <x:c r="C514" s="46"/>
      <x:c r="D514" s="112"/>
      <x:c r="E514" s="112"/>
      <x:c r="F514" s="92"/>
      <x:c r="G514" s="92"/>
      <x:c r="H514" s="92"/>
      <x:c r="I514" s="93" t="str">
        <x:f>IF(B514="","",MAX(0,F514-H514))</x:f>
      </x:c>
      <x:c r="J514" s="46"/>
      <x:c r="K514" s="100" t="str">
        <x:f>IF(B514="","",IF(G514="TL",1,IF(G514="USD",KURLAR!$C$9,IF(G514="EUR",KURLAR!$C$10,0))))</x:f>
      </x:c>
      <x:c r="L514" s="68" t="str">
        <x:f>IF(B514="","",I514*K514)</x:f>
      </x:c>
      <x:c r="M514" s="46"/>
      <x:c r="N514" s="52" t="str">
        <x:f>IF(B514="","",IF(OR(M514="Ödendi",M514="İptal"),"Hayır","Evet"))</x:f>
      </x:c>
    </x:row>
    <x:row r="515">
      <x:c r="B515" s="46"/>
      <x:c r="C515" s="46"/>
      <x:c r="D515" s="112"/>
      <x:c r="E515" s="112"/>
      <x:c r="F515" s="92"/>
      <x:c r="G515" s="92"/>
      <x:c r="H515" s="92"/>
      <x:c r="I515" s="93" t="str">
        <x:f>IF(B515="","",MAX(0,F515-H515))</x:f>
      </x:c>
      <x:c r="J515" s="46"/>
      <x:c r="K515" s="100" t="str">
        <x:f>IF(B515="","",IF(G515="TL",1,IF(G515="USD",KURLAR!$C$9,IF(G515="EUR",KURLAR!$C$10,0))))</x:f>
      </x:c>
      <x:c r="L515" s="68" t="str">
        <x:f>IF(B515="","",I515*K515)</x:f>
      </x:c>
      <x:c r="M515" s="46"/>
      <x:c r="N515" s="52" t="str">
        <x:f>IF(B515="","",IF(OR(M515="Ödendi",M515="İptal"),"Hayır","Evet"))</x:f>
      </x:c>
    </x:row>
    <x:row r="516">
      <x:c r="B516" s="46"/>
      <x:c r="C516" s="46"/>
      <x:c r="D516" s="112"/>
      <x:c r="E516" s="112"/>
      <x:c r="F516" s="92"/>
      <x:c r="G516" s="92"/>
      <x:c r="H516" s="92"/>
      <x:c r="I516" s="93" t="str">
        <x:f>IF(B516="","",MAX(0,F516-H516))</x:f>
      </x:c>
      <x:c r="J516" s="46"/>
      <x:c r="K516" s="100" t="str">
        <x:f>IF(B516="","",IF(G516="TL",1,IF(G516="USD",KURLAR!$C$9,IF(G516="EUR",KURLAR!$C$10,0))))</x:f>
      </x:c>
      <x:c r="L516" s="68" t="str">
        <x:f>IF(B516="","",I516*K516)</x:f>
      </x:c>
      <x:c r="M516" s="46"/>
      <x:c r="N516" s="52" t="str">
        <x:f>IF(B516="","",IF(OR(M516="Ödendi",M516="İptal"),"Hayır","Evet"))</x:f>
      </x:c>
    </x:row>
    <x:row r="517">
      <x:c r="B517" s="46"/>
      <x:c r="C517" s="46"/>
      <x:c r="D517" s="112"/>
      <x:c r="E517" s="112"/>
      <x:c r="F517" s="92"/>
      <x:c r="G517" s="92"/>
      <x:c r="H517" s="92"/>
      <x:c r="I517" s="93" t="str">
        <x:f>IF(B517="","",MAX(0,F517-H517))</x:f>
      </x:c>
      <x:c r="J517" s="46"/>
      <x:c r="K517" s="100" t="str">
        <x:f>IF(B517="","",IF(G517="TL",1,IF(G517="USD",KURLAR!$C$9,IF(G517="EUR",KURLAR!$C$10,0))))</x:f>
      </x:c>
      <x:c r="L517" s="68" t="str">
        <x:f>IF(B517="","",I517*K517)</x:f>
      </x:c>
      <x:c r="M517" s="46"/>
      <x:c r="N517" s="52" t="str">
        <x:f>IF(B517="","",IF(OR(M517="Ödendi",M517="İptal"),"Hayır","Evet"))</x:f>
      </x:c>
    </x:row>
    <x:row r="518">
      <x:c r="B518" s="46"/>
      <x:c r="C518" s="46"/>
      <x:c r="D518" s="112"/>
      <x:c r="E518" s="112"/>
      <x:c r="F518" s="92"/>
      <x:c r="G518" s="92"/>
      <x:c r="H518" s="92"/>
      <x:c r="I518" s="93" t="str">
        <x:f>IF(B518="","",MAX(0,F518-H518))</x:f>
      </x:c>
      <x:c r="J518" s="46"/>
      <x:c r="K518" s="100" t="str">
        <x:f>IF(B518="","",IF(G518="TL",1,IF(G518="USD",KURLAR!$C$9,IF(G518="EUR",KURLAR!$C$10,0))))</x:f>
      </x:c>
      <x:c r="L518" s="68" t="str">
        <x:f>IF(B518="","",I518*K518)</x:f>
      </x:c>
      <x:c r="M518" s="46"/>
      <x:c r="N518" s="52" t="str">
        <x:f>IF(B518="","",IF(OR(M518="Ödendi",M518="İptal"),"Hayır","Evet"))</x:f>
      </x:c>
    </x:row>
    <x:row r="519">
      <x:c r="B519" s="46"/>
      <x:c r="C519" s="46"/>
      <x:c r="D519" s="112"/>
      <x:c r="E519" s="112"/>
      <x:c r="F519" s="92"/>
      <x:c r="G519" s="92"/>
      <x:c r="H519" s="92"/>
      <x:c r="I519" s="93" t="str">
        <x:f>IF(B519="","",MAX(0,F519-H519))</x:f>
      </x:c>
      <x:c r="J519" s="46"/>
      <x:c r="K519" s="100" t="str">
        <x:f>IF(B519="","",IF(G519="TL",1,IF(G519="USD",KURLAR!$C$9,IF(G519="EUR",KURLAR!$C$10,0))))</x:f>
      </x:c>
      <x:c r="L519" s="68" t="str">
        <x:f>IF(B519="","",I519*K519)</x:f>
      </x:c>
      <x:c r="M519" s="46"/>
      <x:c r="N519" s="52" t="str">
        <x:f>IF(B519="","",IF(OR(M519="Ödendi",M519="İptal"),"Hayır","Evet"))</x:f>
      </x:c>
    </x:row>
    <x:row r="520">
      <x:c r="B520" s="46"/>
      <x:c r="C520" s="46"/>
      <x:c r="D520" s="112"/>
      <x:c r="E520" s="112"/>
      <x:c r="F520" s="92"/>
      <x:c r="G520" s="92"/>
      <x:c r="H520" s="92"/>
      <x:c r="I520" s="93" t="str">
        <x:f>IF(B520="","",MAX(0,F520-H520))</x:f>
      </x:c>
      <x:c r="J520" s="46"/>
      <x:c r="K520" s="100" t="str">
        <x:f>IF(B520="","",IF(G520="TL",1,IF(G520="USD",KURLAR!$C$9,IF(G520="EUR",KURLAR!$C$10,0))))</x:f>
      </x:c>
      <x:c r="L520" s="68" t="str">
        <x:f>IF(B520="","",I520*K520)</x:f>
      </x:c>
      <x:c r="M520" s="46"/>
      <x:c r="N520" s="52" t="str">
        <x:f>IF(B520="","",IF(OR(M520="Ödendi",M520="İptal"),"Hayır","Evet"))</x:f>
      </x:c>
    </x:row>
    <x:row r="521">
      <x:c r="B521" s="46"/>
      <x:c r="C521" s="46"/>
      <x:c r="D521" s="112"/>
      <x:c r="E521" s="112"/>
      <x:c r="F521" s="92"/>
      <x:c r="G521" s="92"/>
      <x:c r="H521" s="92"/>
      <x:c r="I521" s="93" t="str">
        <x:f>IF(B521="","",MAX(0,F521-H521))</x:f>
      </x:c>
      <x:c r="J521" s="46"/>
      <x:c r="K521" s="100" t="str">
        <x:f>IF(B521="","",IF(G521="TL",1,IF(G521="USD",KURLAR!$C$9,IF(G521="EUR",KURLAR!$C$10,0))))</x:f>
      </x:c>
      <x:c r="L521" s="68" t="str">
        <x:f>IF(B521="","",I521*K521)</x:f>
      </x:c>
      <x:c r="M521" s="46"/>
      <x:c r="N521" s="52" t="str">
        <x:f>IF(B521="","",IF(OR(M521="Ödendi",M521="İptal"),"Hayır","Evet"))</x:f>
      </x:c>
    </x:row>
    <x:row r="522">
      <x:c r="B522" s="46"/>
      <x:c r="C522" s="46"/>
      <x:c r="D522" s="112"/>
      <x:c r="E522" s="112"/>
      <x:c r="F522" s="92"/>
      <x:c r="G522" s="92"/>
      <x:c r="H522" s="92"/>
      <x:c r="I522" s="93" t="str">
        <x:f>IF(B522="","",MAX(0,F522-H522))</x:f>
      </x:c>
      <x:c r="J522" s="46"/>
      <x:c r="K522" s="100" t="str">
        <x:f>IF(B522="","",IF(G522="TL",1,IF(G522="USD",KURLAR!$C$9,IF(G522="EUR",KURLAR!$C$10,0))))</x:f>
      </x:c>
      <x:c r="L522" s="68" t="str">
        <x:f>IF(B522="","",I522*K522)</x:f>
      </x:c>
      <x:c r="M522" s="46"/>
      <x:c r="N522" s="52" t="str">
        <x:f>IF(B522="","",IF(OR(M522="Ödendi",M522="İptal"),"Hayır","Evet"))</x:f>
      </x:c>
    </x:row>
    <x:row r="523">
      <x:c r="B523" s="46"/>
      <x:c r="C523" s="46"/>
      <x:c r="D523" s="112"/>
      <x:c r="E523" s="112"/>
      <x:c r="F523" s="92"/>
      <x:c r="G523" s="92"/>
      <x:c r="H523" s="92"/>
      <x:c r="I523" s="93" t="str">
        <x:f>IF(B523="","",MAX(0,F523-H523))</x:f>
      </x:c>
      <x:c r="J523" s="46"/>
      <x:c r="K523" s="100" t="str">
        <x:f>IF(B523="","",IF(G523="TL",1,IF(G523="USD",KURLAR!$C$9,IF(G523="EUR",KURLAR!$C$10,0))))</x:f>
      </x:c>
      <x:c r="L523" s="68" t="str">
        <x:f>IF(B523="","",I523*K523)</x:f>
      </x:c>
      <x:c r="M523" s="46"/>
      <x:c r="N523" s="52" t="str">
        <x:f>IF(B523="","",IF(OR(M523="Ödendi",M523="İptal"),"Hayır","Evet"))</x:f>
      </x:c>
    </x:row>
    <x:row r="524">
      <x:c r="B524" s="46"/>
      <x:c r="C524" s="46"/>
      <x:c r="D524" s="112"/>
      <x:c r="E524" s="112"/>
      <x:c r="F524" s="92"/>
      <x:c r="G524" s="92"/>
      <x:c r="H524" s="92"/>
      <x:c r="I524" s="93" t="str">
        <x:f>IF(B524="","",MAX(0,F524-H524))</x:f>
      </x:c>
      <x:c r="J524" s="46"/>
      <x:c r="K524" s="100" t="str">
        <x:f>IF(B524="","",IF(G524="TL",1,IF(G524="USD",KURLAR!$C$9,IF(G524="EUR",KURLAR!$C$10,0))))</x:f>
      </x:c>
      <x:c r="L524" s="68" t="str">
        <x:f>IF(B524="","",I524*K524)</x:f>
      </x:c>
      <x:c r="M524" s="46"/>
      <x:c r="N524" s="52" t="str">
        <x:f>IF(B524="","",IF(OR(M524="Ödendi",M524="İptal"),"Hayır","Evet"))</x:f>
      </x:c>
    </x:row>
    <x:row r="525">
      <x:c r="B525" s="46"/>
      <x:c r="C525" s="46"/>
      <x:c r="D525" s="112"/>
      <x:c r="E525" s="112"/>
      <x:c r="F525" s="92"/>
      <x:c r="G525" s="92"/>
      <x:c r="H525" s="92"/>
      <x:c r="I525" s="93" t="str">
        <x:f>IF(B525="","",MAX(0,F525-H525))</x:f>
      </x:c>
      <x:c r="J525" s="46"/>
      <x:c r="K525" s="100" t="str">
        <x:f>IF(B525="","",IF(G525="TL",1,IF(G525="USD",KURLAR!$C$9,IF(G525="EUR",KURLAR!$C$10,0))))</x:f>
      </x:c>
      <x:c r="L525" s="68" t="str">
        <x:f>IF(B525="","",I525*K525)</x:f>
      </x:c>
      <x:c r="M525" s="46"/>
      <x:c r="N525" s="52" t="str">
        <x:f>IF(B525="","",IF(OR(M525="Ödendi",M525="İptal"),"Hayır","Evet"))</x:f>
      </x:c>
    </x:row>
    <x:row r="526">
      <x:c r="B526" s="46"/>
      <x:c r="C526" s="46"/>
      <x:c r="D526" s="112"/>
      <x:c r="E526" s="112"/>
      <x:c r="F526" s="92"/>
      <x:c r="G526" s="92"/>
      <x:c r="H526" s="92"/>
      <x:c r="I526" s="93" t="str">
        <x:f>IF(B526="","",MAX(0,F526-H526))</x:f>
      </x:c>
      <x:c r="J526" s="46"/>
      <x:c r="K526" s="100" t="str">
        <x:f>IF(B526="","",IF(G526="TL",1,IF(G526="USD",KURLAR!$C$9,IF(G526="EUR",KURLAR!$C$10,0))))</x:f>
      </x:c>
      <x:c r="L526" s="68" t="str">
        <x:f>IF(B526="","",I526*K526)</x:f>
      </x:c>
      <x:c r="M526" s="46"/>
      <x:c r="N526" s="52" t="str">
        <x:f>IF(B526="","",IF(OR(M526="Ödendi",M526="İptal"),"Hayır","Evet"))</x:f>
      </x:c>
    </x:row>
    <x:row r="527">
      <x:c r="B527" s="46"/>
      <x:c r="C527" s="46"/>
      <x:c r="D527" s="112"/>
      <x:c r="E527" s="112"/>
      <x:c r="F527" s="92"/>
      <x:c r="G527" s="92"/>
      <x:c r="H527" s="92"/>
      <x:c r="I527" s="93" t="str">
        <x:f>IF(B527="","",MAX(0,F527-H527))</x:f>
      </x:c>
      <x:c r="J527" s="46"/>
      <x:c r="K527" s="100" t="str">
        <x:f>IF(B527="","",IF(G527="TL",1,IF(G527="USD",KURLAR!$C$9,IF(G527="EUR",KURLAR!$C$10,0))))</x:f>
      </x:c>
      <x:c r="L527" s="68" t="str">
        <x:f>IF(B527="","",I527*K527)</x:f>
      </x:c>
      <x:c r="M527" s="46"/>
      <x:c r="N527" s="52" t="str">
        <x:f>IF(B527="","",IF(OR(M527="Ödendi",M527="İptal"),"Hayır","Evet"))</x:f>
      </x:c>
    </x:row>
    <x:row r="528">
      <x:c r="B528" s="46"/>
      <x:c r="C528" s="46"/>
      <x:c r="D528" s="112"/>
      <x:c r="E528" s="112"/>
      <x:c r="F528" s="92"/>
      <x:c r="G528" s="92"/>
      <x:c r="H528" s="92"/>
      <x:c r="I528" s="93" t="str">
        <x:f>IF(B528="","",MAX(0,F528-H528))</x:f>
      </x:c>
      <x:c r="J528" s="46"/>
      <x:c r="K528" s="100" t="str">
        <x:f>IF(B528="","",IF(G528="TL",1,IF(G528="USD",KURLAR!$C$9,IF(G528="EUR",KURLAR!$C$10,0))))</x:f>
      </x:c>
      <x:c r="L528" s="68" t="str">
        <x:f>IF(B528="","",I528*K528)</x:f>
      </x:c>
      <x:c r="M528" s="46"/>
      <x:c r="N528" s="52" t="str">
        <x:f>IF(B528="","",IF(OR(M528="Ödendi",M528="İptal"),"Hayır","Evet"))</x:f>
      </x:c>
    </x:row>
    <x:row r="529">
      <x:c r="B529" s="46"/>
      <x:c r="C529" s="46"/>
      <x:c r="D529" s="112"/>
      <x:c r="E529" s="112"/>
      <x:c r="F529" s="92"/>
      <x:c r="G529" s="92"/>
      <x:c r="H529" s="92"/>
      <x:c r="I529" s="93" t="str">
        <x:f>IF(B529="","",MAX(0,F529-H529))</x:f>
      </x:c>
      <x:c r="J529" s="46"/>
      <x:c r="K529" s="100" t="str">
        <x:f>IF(B529="","",IF(G529="TL",1,IF(G529="USD",KURLAR!$C$9,IF(G529="EUR",KURLAR!$C$10,0))))</x:f>
      </x:c>
      <x:c r="L529" s="68" t="str">
        <x:f>IF(B529="","",I529*K529)</x:f>
      </x:c>
      <x:c r="M529" s="46"/>
      <x:c r="N529" s="52" t="str">
        <x:f>IF(B529="","",IF(OR(M529="Ödendi",M529="İptal"),"Hayır","Evet"))</x:f>
      </x:c>
    </x:row>
    <x:row r="530">
      <x:c r="B530" s="46"/>
      <x:c r="C530" s="46"/>
      <x:c r="D530" s="112"/>
      <x:c r="E530" s="112"/>
      <x:c r="F530" s="92"/>
      <x:c r="G530" s="92"/>
      <x:c r="H530" s="92"/>
      <x:c r="I530" s="93" t="str">
        <x:f>IF(B530="","",MAX(0,F530-H530))</x:f>
      </x:c>
      <x:c r="J530" s="46"/>
      <x:c r="K530" s="100" t="str">
        <x:f>IF(B530="","",IF(G530="TL",1,IF(G530="USD",KURLAR!$C$9,IF(G530="EUR",KURLAR!$C$10,0))))</x:f>
      </x:c>
      <x:c r="L530" s="68" t="str">
        <x:f>IF(B530="","",I530*K530)</x:f>
      </x:c>
      <x:c r="M530" s="46"/>
      <x:c r="N530" s="52" t="str">
        <x:f>IF(B530="","",IF(OR(M530="Ödendi",M530="İptal"),"Hayır","Evet"))</x:f>
      </x:c>
    </x:row>
    <x:row r="531">
      <x:c r="B531" s="46"/>
      <x:c r="C531" s="46"/>
      <x:c r="D531" s="112"/>
      <x:c r="E531" s="112"/>
      <x:c r="F531" s="92"/>
      <x:c r="G531" s="92"/>
      <x:c r="H531" s="92"/>
      <x:c r="I531" s="93" t="str">
        <x:f>IF(B531="","",MAX(0,F531-H531))</x:f>
      </x:c>
      <x:c r="J531" s="46"/>
      <x:c r="K531" s="100" t="str">
        <x:f>IF(B531="","",IF(G531="TL",1,IF(G531="USD",KURLAR!$C$9,IF(G531="EUR",KURLAR!$C$10,0))))</x:f>
      </x:c>
      <x:c r="L531" s="68" t="str">
        <x:f>IF(B531="","",I531*K531)</x:f>
      </x:c>
      <x:c r="M531" s="46"/>
      <x:c r="N531" s="52" t="str">
        <x:f>IF(B531="","",IF(OR(M531="Ödendi",M531="İptal"),"Hayır","Evet"))</x:f>
      </x:c>
    </x:row>
    <x:row r="532">
      <x:c r="B532" s="46"/>
      <x:c r="C532" s="46"/>
      <x:c r="D532" s="112"/>
      <x:c r="E532" s="112"/>
      <x:c r="F532" s="92"/>
      <x:c r="G532" s="92"/>
      <x:c r="H532" s="92"/>
      <x:c r="I532" s="93" t="str">
        <x:f>IF(B532="","",MAX(0,F532-H532))</x:f>
      </x:c>
      <x:c r="J532" s="46"/>
      <x:c r="K532" s="100" t="str">
        <x:f>IF(B532="","",IF(G532="TL",1,IF(G532="USD",KURLAR!$C$9,IF(G532="EUR",KURLAR!$C$10,0))))</x:f>
      </x:c>
      <x:c r="L532" s="68" t="str">
        <x:f>IF(B532="","",I532*K532)</x:f>
      </x:c>
      <x:c r="M532" s="46"/>
      <x:c r="N532" s="52" t="str">
        <x:f>IF(B532="","",IF(OR(M532="Ödendi",M532="İptal"),"Hayır","Evet"))</x:f>
      </x:c>
    </x:row>
    <x:row r="533">
      <x:c r="B533" s="46"/>
      <x:c r="C533" s="46"/>
      <x:c r="D533" s="112"/>
      <x:c r="E533" s="112"/>
      <x:c r="F533" s="92"/>
      <x:c r="G533" s="92"/>
      <x:c r="H533" s="92"/>
      <x:c r="I533" s="93" t="str">
        <x:f>IF(B533="","",MAX(0,F533-H533))</x:f>
      </x:c>
      <x:c r="J533" s="46"/>
      <x:c r="K533" s="100" t="str">
        <x:f>IF(B533="","",IF(G533="TL",1,IF(G533="USD",KURLAR!$C$9,IF(G533="EUR",KURLAR!$C$10,0))))</x:f>
      </x:c>
      <x:c r="L533" s="68" t="str">
        <x:f>IF(B533="","",I533*K533)</x:f>
      </x:c>
      <x:c r="M533" s="46"/>
      <x:c r="N533" s="52" t="str">
        <x:f>IF(B533="","",IF(OR(M533="Ödendi",M533="İptal"),"Hayır","Evet"))</x:f>
      </x:c>
    </x:row>
    <x:row r="534">
      <x:c r="B534" s="46"/>
      <x:c r="C534" s="46"/>
      <x:c r="D534" s="112"/>
      <x:c r="E534" s="112"/>
      <x:c r="F534" s="92"/>
      <x:c r="G534" s="92"/>
      <x:c r="H534" s="92"/>
      <x:c r="I534" s="93" t="str">
        <x:f>IF(B534="","",MAX(0,F534-H534))</x:f>
      </x:c>
      <x:c r="J534" s="46"/>
      <x:c r="K534" s="100" t="str">
        <x:f>IF(B534="","",IF(G534="TL",1,IF(G534="USD",KURLAR!$C$9,IF(G534="EUR",KURLAR!$C$10,0))))</x:f>
      </x:c>
      <x:c r="L534" s="68" t="str">
        <x:f>IF(B534="","",I534*K534)</x:f>
      </x:c>
      <x:c r="M534" s="46"/>
      <x:c r="N534" s="52" t="str">
        <x:f>IF(B534="","",IF(OR(M534="Ödendi",M534="İptal"),"Hayır","Evet"))</x:f>
      </x:c>
    </x:row>
    <x:row r="535">
      <x:c r="B535" s="46"/>
      <x:c r="C535" s="46"/>
      <x:c r="D535" s="112"/>
      <x:c r="E535" s="112"/>
      <x:c r="F535" s="92"/>
      <x:c r="G535" s="92"/>
      <x:c r="H535" s="92"/>
      <x:c r="I535" s="93" t="str">
        <x:f>IF(B535="","",MAX(0,F535-H535))</x:f>
      </x:c>
      <x:c r="J535" s="46"/>
      <x:c r="K535" s="100" t="str">
        <x:f>IF(B535="","",IF(G535="TL",1,IF(G535="USD",KURLAR!$C$9,IF(G535="EUR",KURLAR!$C$10,0))))</x:f>
      </x:c>
      <x:c r="L535" s="68" t="str">
        <x:f>IF(B535="","",I535*K535)</x:f>
      </x:c>
      <x:c r="M535" s="46"/>
      <x:c r="N535" s="52" t="str">
        <x:f>IF(B535="","",IF(OR(M535="Ödendi",M535="İptal"),"Hayır","Evet"))</x:f>
      </x:c>
    </x:row>
    <x:row r="536">
      <x:c r="B536" s="46"/>
      <x:c r="C536" s="46"/>
      <x:c r="D536" s="112"/>
      <x:c r="E536" s="112"/>
      <x:c r="F536" s="92"/>
      <x:c r="G536" s="92"/>
      <x:c r="H536" s="92"/>
      <x:c r="I536" s="93" t="str">
        <x:f>IF(B536="","",MAX(0,F536-H536))</x:f>
      </x:c>
      <x:c r="J536" s="46"/>
      <x:c r="K536" s="100" t="str">
        <x:f>IF(B536="","",IF(G536="TL",1,IF(G536="USD",KURLAR!$C$9,IF(G536="EUR",KURLAR!$C$10,0))))</x:f>
      </x:c>
      <x:c r="L536" s="68" t="str">
        <x:f>IF(B536="","",I536*K536)</x:f>
      </x:c>
      <x:c r="M536" s="46"/>
      <x:c r="N536" s="52" t="str">
        <x:f>IF(B536="","",IF(OR(M536="Ödendi",M536="İptal"),"Hayır","Evet"))</x:f>
      </x:c>
    </x:row>
    <x:row r="537">
      <x:c r="B537" s="46"/>
      <x:c r="C537" s="46"/>
      <x:c r="D537" s="112"/>
      <x:c r="E537" s="112"/>
      <x:c r="F537" s="92"/>
      <x:c r="G537" s="92"/>
      <x:c r="H537" s="92"/>
      <x:c r="I537" s="93" t="str">
        <x:f>IF(B537="","",MAX(0,F537-H537))</x:f>
      </x:c>
      <x:c r="J537" s="46"/>
      <x:c r="K537" s="100" t="str">
        <x:f>IF(B537="","",IF(G537="TL",1,IF(G537="USD",KURLAR!$C$9,IF(G537="EUR",KURLAR!$C$10,0))))</x:f>
      </x:c>
      <x:c r="L537" s="68" t="str">
        <x:f>IF(B537="","",I537*K537)</x:f>
      </x:c>
      <x:c r="M537" s="46"/>
      <x:c r="N537" s="52" t="str">
        <x:f>IF(B537="","",IF(OR(M537="Ödendi",M537="İptal"),"Hayır","Evet"))</x:f>
      </x:c>
    </x:row>
    <x:row r="538">
      <x:c r="B538" s="46"/>
      <x:c r="C538" s="46"/>
      <x:c r="D538" s="112"/>
      <x:c r="E538" s="112"/>
      <x:c r="F538" s="92"/>
      <x:c r="G538" s="92"/>
      <x:c r="H538" s="92"/>
      <x:c r="I538" s="93" t="str">
        <x:f>IF(B538="","",MAX(0,F538-H538))</x:f>
      </x:c>
      <x:c r="J538" s="46"/>
      <x:c r="K538" s="100" t="str">
        <x:f>IF(B538="","",IF(G538="TL",1,IF(G538="USD",KURLAR!$C$9,IF(G538="EUR",KURLAR!$C$10,0))))</x:f>
      </x:c>
      <x:c r="L538" s="68" t="str">
        <x:f>IF(B538="","",I538*K538)</x:f>
      </x:c>
      <x:c r="M538" s="46"/>
      <x:c r="N538" s="52" t="str">
        <x:f>IF(B538="","",IF(OR(M538="Ödendi",M538="İptal"),"Hayır","Evet"))</x:f>
      </x:c>
    </x:row>
    <x:row r="539">
      <x:c r="B539" s="46"/>
      <x:c r="C539" s="46"/>
      <x:c r="D539" s="112"/>
      <x:c r="E539" s="112"/>
      <x:c r="F539" s="92"/>
      <x:c r="G539" s="92"/>
      <x:c r="H539" s="92"/>
      <x:c r="I539" s="93" t="str">
        <x:f>IF(B539="","",MAX(0,F539-H539))</x:f>
      </x:c>
      <x:c r="J539" s="46"/>
      <x:c r="K539" s="100" t="str">
        <x:f>IF(B539="","",IF(G539="TL",1,IF(G539="USD",KURLAR!$C$9,IF(G539="EUR",KURLAR!$C$10,0))))</x:f>
      </x:c>
      <x:c r="L539" s="68" t="str">
        <x:f>IF(B539="","",I539*K539)</x:f>
      </x:c>
      <x:c r="M539" s="46"/>
      <x:c r="N539" s="52" t="str">
        <x:f>IF(B539="","",IF(OR(M539="Ödendi",M539="İptal"),"Hayır","Evet"))</x:f>
      </x:c>
    </x:row>
    <x:row r="540">
      <x:c r="B540" s="46"/>
      <x:c r="C540" s="46"/>
      <x:c r="D540" s="112"/>
      <x:c r="E540" s="112"/>
      <x:c r="F540" s="92"/>
      <x:c r="G540" s="92"/>
      <x:c r="H540" s="92"/>
      <x:c r="I540" s="93" t="str">
        <x:f>IF(B540="","",MAX(0,F540-H540))</x:f>
      </x:c>
      <x:c r="J540" s="46"/>
      <x:c r="K540" s="100" t="str">
        <x:f>IF(B540="","",IF(G540="TL",1,IF(G540="USD",KURLAR!$C$9,IF(G540="EUR",KURLAR!$C$10,0))))</x:f>
      </x:c>
      <x:c r="L540" s="68" t="str">
        <x:f>IF(B540="","",I540*K540)</x:f>
      </x:c>
      <x:c r="M540" s="46"/>
      <x:c r="N540" s="52" t="str">
        <x:f>IF(B540="","",IF(OR(M540="Ödendi",M540="İptal"),"Hayır","Evet"))</x:f>
      </x:c>
    </x:row>
    <x:row r="541">
      <x:c r="B541" s="46"/>
      <x:c r="C541" s="46"/>
      <x:c r="D541" s="112"/>
      <x:c r="E541" s="112"/>
      <x:c r="F541" s="92"/>
      <x:c r="G541" s="92"/>
      <x:c r="H541" s="92"/>
      <x:c r="I541" s="93" t="str">
        <x:f>IF(B541="","",MAX(0,F541-H541))</x:f>
      </x:c>
      <x:c r="J541" s="46"/>
      <x:c r="K541" s="100" t="str">
        <x:f>IF(B541="","",IF(G541="TL",1,IF(G541="USD",KURLAR!$C$9,IF(G541="EUR",KURLAR!$C$10,0))))</x:f>
      </x:c>
      <x:c r="L541" s="68" t="str">
        <x:f>IF(B541="","",I541*K541)</x:f>
      </x:c>
      <x:c r="M541" s="46"/>
      <x:c r="N541" s="52" t="str">
        <x:f>IF(B541="","",IF(OR(M541="Ödendi",M541="İptal"),"Hayır","Evet"))</x:f>
      </x:c>
    </x:row>
    <x:row r="542">
      <x:c r="B542" s="46"/>
      <x:c r="C542" s="46"/>
      <x:c r="D542" s="112"/>
      <x:c r="E542" s="112"/>
      <x:c r="F542" s="92"/>
      <x:c r="G542" s="92"/>
      <x:c r="H542" s="92"/>
      <x:c r="I542" s="93" t="str">
        <x:f>IF(B542="","",MAX(0,F542-H542))</x:f>
      </x:c>
      <x:c r="J542" s="46"/>
      <x:c r="K542" s="100" t="str">
        <x:f>IF(B542="","",IF(G542="TL",1,IF(G542="USD",KURLAR!$C$9,IF(G542="EUR",KURLAR!$C$10,0))))</x:f>
      </x:c>
      <x:c r="L542" s="68" t="str">
        <x:f>IF(B542="","",I542*K542)</x:f>
      </x:c>
      <x:c r="M542" s="46"/>
      <x:c r="N542" s="52" t="str">
        <x:f>IF(B542="","",IF(OR(M542="Ödendi",M542="İptal"),"Hayır","Evet"))</x:f>
      </x:c>
    </x:row>
    <x:row r="543">
      <x:c r="B543" s="46"/>
      <x:c r="C543" s="46"/>
      <x:c r="D543" s="112"/>
      <x:c r="E543" s="112"/>
      <x:c r="F543" s="92"/>
      <x:c r="G543" s="92"/>
      <x:c r="H543" s="92"/>
      <x:c r="I543" s="93" t="str">
        <x:f>IF(B543="","",MAX(0,F543-H543))</x:f>
      </x:c>
      <x:c r="J543" s="46"/>
      <x:c r="K543" s="100" t="str">
        <x:f>IF(B543="","",IF(G543="TL",1,IF(G543="USD",KURLAR!$C$9,IF(G543="EUR",KURLAR!$C$10,0))))</x:f>
      </x:c>
      <x:c r="L543" s="68" t="str">
        <x:f>IF(B543="","",I543*K543)</x:f>
      </x:c>
      <x:c r="M543" s="46"/>
      <x:c r="N543" s="52" t="str">
        <x:f>IF(B543="","",IF(OR(M543="Ödendi",M543="İptal"),"Hayır","Evet"))</x:f>
      </x:c>
    </x:row>
    <x:row r="544">
      <x:c r="B544" s="46"/>
      <x:c r="C544" s="46"/>
      <x:c r="D544" s="112"/>
      <x:c r="E544" s="112"/>
      <x:c r="F544" s="92"/>
      <x:c r="G544" s="92"/>
      <x:c r="H544" s="92"/>
      <x:c r="I544" s="93" t="str">
        <x:f>IF(B544="","",MAX(0,F544-H544))</x:f>
      </x:c>
      <x:c r="J544" s="46"/>
      <x:c r="K544" s="100" t="str">
        <x:f>IF(B544="","",IF(G544="TL",1,IF(G544="USD",KURLAR!$C$9,IF(G544="EUR",KURLAR!$C$10,0))))</x:f>
      </x:c>
      <x:c r="L544" s="68" t="str">
        <x:f>IF(B544="","",I544*K544)</x:f>
      </x:c>
      <x:c r="M544" s="46"/>
      <x:c r="N544" s="52" t="str">
        <x:f>IF(B544="","",IF(OR(M544="Ödendi",M544="İptal"),"Hayır","Evet"))</x:f>
      </x:c>
    </x:row>
    <x:row r="545">
      <x:c r="B545" s="46"/>
      <x:c r="C545" s="46"/>
      <x:c r="D545" s="112"/>
      <x:c r="E545" s="112"/>
      <x:c r="F545" s="92"/>
      <x:c r="G545" s="92"/>
      <x:c r="H545" s="92"/>
      <x:c r="I545" s="93" t="str">
        <x:f>IF(B545="","",MAX(0,F545-H545))</x:f>
      </x:c>
      <x:c r="J545" s="46"/>
      <x:c r="K545" s="100" t="str">
        <x:f>IF(B545="","",IF(G545="TL",1,IF(G545="USD",KURLAR!$C$9,IF(G545="EUR",KURLAR!$C$10,0))))</x:f>
      </x:c>
      <x:c r="L545" s="68" t="str">
        <x:f>IF(B545="","",I545*K545)</x:f>
      </x:c>
      <x:c r="M545" s="46"/>
      <x:c r="N545" s="52" t="str">
        <x:f>IF(B545="","",IF(OR(M545="Ödendi",M545="İptal"),"Hayır","Evet"))</x:f>
      </x:c>
    </x:row>
    <x:row r="546">
      <x:c r="B546" s="46"/>
      <x:c r="C546" s="46"/>
      <x:c r="D546" s="112"/>
      <x:c r="E546" s="112"/>
      <x:c r="F546" s="92"/>
      <x:c r="G546" s="92"/>
      <x:c r="H546" s="92"/>
      <x:c r="I546" s="93" t="str">
        <x:f>IF(B546="","",MAX(0,F546-H546))</x:f>
      </x:c>
      <x:c r="J546" s="46"/>
      <x:c r="K546" s="100" t="str">
        <x:f>IF(B546="","",IF(G546="TL",1,IF(G546="USD",KURLAR!$C$9,IF(G546="EUR",KURLAR!$C$10,0))))</x:f>
      </x:c>
      <x:c r="L546" s="68" t="str">
        <x:f>IF(B546="","",I546*K546)</x:f>
      </x:c>
      <x:c r="M546" s="46"/>
      <x:c r="N546" s="52" t="str">
        <x:f>IF(B546="","",IF(OR(M546="Ödendi",M546="İptal"),"Hayır","Evet"))</x:f>
      </x:c>
    </x:row>
    <x:row r="547">
      <x:c r="B547" s="46"/>
      <x:c r="C547" s="46"/>
      <x:c r="D547" s="112"/>
      <x:c r="E547" s="112"/>
      <x:c r="F547" s="92"/>
      <x:c r="G547" s="92"/>
      <x:c r="H547" s="92"/>
      <x:c r="I547" s="93" t="str">
        <x:f>IF(B547="","",MAX(0,F547-H547))</x:f>
      </x:c>
      <x:c r="J547" s="46"/>
      <x:c r="K547" s="100" t="str">
        <x:f>IF(B547="","",IF(G547="TL",1,IF(G547="USD",KURLAR!$C$9,IF(G547="EUR",KURLAR!$C$10,0))))</x:f>
      </x:c>
      <x:c r="L547" s="68" t="str">
        <x:f>IF(B547="","",I547*K547)</x:f>
      </x:c>
      <x:c r="M547" s="46"/>
      <x:c r="N547" s="52" t="str">
        <x:f>IF(B547="","",IF(OR(M547="Ödendi",M547="İptal"),"Hayır","Evet"))</x:f>
      </x:c>
    </x:row>
    <x:row r="548">
      <x:c r="B548" s="46"/>
      <x:c r="C548" s="46"/>
      <x:c r="D548" s="112"/>
      <x:c r="E548" s="112"/>
      <x:c r="F548" s="92"/>
      <x:c r="G548" s="92"/>
      <x:c r="H548" s="92"/>
      <x:c r="I548" s="93" t="str">
        <x:f>IF(B548="","",MAX(0,F548-H548))</x:f>
      </x:c>
      <x:c r="J548" s="46"/>
      <x:c r="K548" s="100" t="str">
        <x:f>IF(B548="","",IF(G548="TL",1,IF(G548="USD",KURLAR!$C$9,IF(G548="EUR",KURLAR!$C$10,0))))</x:f>
      </x:c>
      <x:c r="L548" s="68" t="str">
        <x:f>IF(B548="","",I548*K548)</x:f>
      </x:c>
      <x:c r="M548" s="46"/>
      <x:c r="N548" s="52" t="str">
        <x:f>IF(B548="","",IF(OR(M548="Ödendi",M548="İptal"),"Hayır","Evet"))</x:f>
      </x:c>
    </x:row>
    <x:row r="549">
      <x:c r="B549" s="46"/>
      <x:c r="C549" s="46"/>
      <x:c r="D549" s="112"/>
      <x:c r="E549" s="112"/>
      <x:c r="F549" s="92"/>
      <x:c r="G549" s="92"/>
      <x:c r="H549" s="92"/>
      <x:c r="I549" s="93" t="str">
        <x:f>IF(B549="","",MAX(0,F549-H549))</x:f>
      </x:c>
      <x:c r="J549" s="46"/>
      <x:c r="K549" s="100" t="str">
        <x:f>IF(B549="","",IF(G549="TL",1,IF(G549="USD",KURLAR!$C$9,IF(G549="EUR",KURLAR!$C$10,0))))</x:f>
      </x:c>
      <x:c r="L549" s="68" t="str">
        <x:f>IF(B549="","",I549*K549)</x:f>
      </x:c>
      <x:c r="M549" s="46"/>
      <x:c r="N549" s="52" t="str">
        <x:f>IF(B549="","",IF(OR(M549="Ödendi",M549="İptal"),"Hayır","Evet"))</x:f>
      </x:c>
    </x:row>
    <x:row r="550">
      <x:c r="B550" s="46"/>
      <x:c r="C550" s="46"/>
      <x:c r="D550" s="112"/>
      <x:c r="E550" s="112"/>
      <x:c r="F550" s="92"/>
      <x:c r="G550" s="92"/>
      <x:c r="H550" s="92"/>
      <x:c r="I550" s="93" t="str">
        <x:f>IF(B550="","",MAX(0,F550-H550))</x:f>
      </x:c>
      <x:c r="J550" s="46"/>
      <x:c r="K550" s="100" t="str">
        <x:f>IF(B550="","",IF(G550="TL",1,IF(G550="USD",KURLAR!$C$9,IF(G550="EUR",KURLAR!$C$10,0))))</x:f>
      </x:c>
      <x:c r="L550" s="68" t="str">
        <x:f>IF(B550="","",I550*K550)</x:f>
      </x:c>
      <x:c r="M550" s="46"/>
      <x:c r="N550" s="52" t="str">
        <x:f>IF(B550="","",IF(OR(M550="Ödendi",M550="İptal"),"Hayır","Evet"))</x:f>
      </x:c>
    </x:row>
    <x:row r="551">
      <x:c r="B551" s="46"/>
      <x:c r="C551" s="46"/>
      <x:c r="D551" s="112"/>
      <x:c r="E551" s="112"/>
      <x:c r="F551" s="92"/>
      <x:c r="G551" s="92"/>
      <x:c r="H551" s="92"/>
      <x:c r="I551" s="93" t="str">
        <x:f>IF(B551="","",MAX(0,F551-H551))</x:f>
      </x:c>
      <x:c r="J551" s="46"/>
      <x:c r="K551" s="100" t="str">
        <x:f>IF(B551="","",IF(G551="TL",1,IF(G551="USD",KURLAR!$C$9,IF(G551="EUR",KURLAR!$C$10,0))))</x:f>
      </x:c>
      <x:c r="L551" s="68" t="str">
        <x:f>IF(B551="","",I551*K551)</x:f>
      </x:c>
      <x:c r="M551" s="46"/>
      <x:c r="N551" s="52" t="str">
        <x:f>IF(B551="","",IF(OR(M551="Ödendi",M551="İptal"),"Hayır","Evet"))</x:f>
      </x:c>
    </x:row>
    <x:row r="552">
      <x:c r="B552" s="46"/>
      <x:c r="C552" s="46"/>
      <x:c r="D552" s="112"/>
      <x:c r="E552" s="112"/>
      <x:c r="F552" s="92"/>
      <x:c r="G552" s="92"/>
      <x:c r="H552" s="92"/>
      <x:c r="I552" s="93" t="str">
        <x:f>IF(B552="","",MAX(0,F552-H552))</x:f>
      </x:c>
      <x:c r="J552" s="46"/>
      <x:c r="K552" s="100" t="str">
        <x:f>IF(B552="","",IF(G552="TL",1,IF(G552="USD",KURLAR!$C$9,IF(G552="EUR",KURLAR!$C$10,0))))</x:f>
      </x:c>
      <x:c r="L552" s="68" t="str">
        <x:f>IF(B552="","",I552*K552)</x:f>
      </x:c>
      <x:c r="M552" s="46"/>
      <x:c r="N552" s="52" t="str">
        <x:f>IF(B552="","",IF(OR(M552="Ödendi",M552="İptal"),"Hayır","Evet"))</x:f>
      </x:c>
    </x:row>
    <x:row r="553">
      <x:c r="B553" s="46"/>
      <x:c r="C553" s="46"/>
      <x:c r="D553" s="112"/>
      <x:c r="E553" s="112"/>
      <x:c r="F553" s="92"/>
      <x:c r="G553" s="92"/>
      <x:c r="H553" s="92"/>
      <x:c r="I553" s="93" t="str">
        <x:f>IF(B553="","",MAX(0,F553-H553))</x:f>
      </x:c>
      <x:c r="J553" s="46"/>
      <x:c r="K553" s="100" t="str">
        <x:f>IF(B553="","",IF(G553="TL",1,IF(G553="USD",KURLAR!$C$9,IF(G553="EUR",KURLAR!$C$10,0))))</x:f>
      </x:c>
      <x:c r="L553" s="68" t="str">
        <x:f>IF(B553="","",I553*K553)</x:f>
      </x:c>
      <x:c r="M553" s="46"/>
      <x:c r="N553" s="52" t="str">
        <x:f>IF(B553="","",IF(OR(M553="Ödendi",M553="İptal"),"Hayır","Evet"))</x:f>
      </x:c>
    </x:row>
    <x:row r="554">
      <x:c r="B554" s="46"/>
      <x:c r="C554" s="46"/>
      <x:c r="D554" s="112"/>
      <x:c r="E554" s="112"/>
      <x:c r="F554" s="92"/>
      <x:c r="G554" s="92"/>
      <x:c r="H554" s="92"/>
      <x:c r="I554" s="93" t="str">
        <x:f>IF(B554="","",MAX(0,F554-H554))</x:f>
      </x:c>
      <x:c r="J554" s="46"/>
      <x:c r="K554" s="100" t="str">
        <x:f>IF(B554="","",IF(G554="TL",1,IF(G554="USD",KURLAR!$C$9,IF(G554="EUR",KURLAR!$C$10,0))))</x:f>
      </x:c>
      <x:c r="L554" s="68" t="str">
        <x:f>IF(B554="","",I554*K554)</x:f>
      </x:c>
      <x:c r="M554" s="46"/>
      <x:c r="N554" s="52" t="str">
        <x:f>IF(B554="","",IF(OR(M554="Ödendi",M554="İptal"),"Hayır","Evet"))</x:f>
      </x:c>
    </x:row>
    <x:row r="555">
      <x:c r="B555" s="46"/>
      <x:c r="C555" s="46"/>
      <x:c r="D555" s="112"/>
      <x:c r="E555" s="112"/>
      <x:c r="F555" s="92"/>
      <x:c r="G555" s="92"/>
      <x:c r="H555" s="92"/>
      <x:c r="I555" s="93" t="str">
        <x:f>IF(B555="","",MAX(0,F555-H555))</x:f>
      </x:c>
      <x:c r="J555" s="46"/>
      <x:c r="K555" s="100" t="str">
        <x:f>IF(B555="","",IF(G555="TL",1,IF(G555="USD",KURLAR!$C$9,IF(G555="EUR",KURLAR!$C$10,0))))</x:f>
      </x:c>
      <x:c r="L555" s="68" t="str">
        <x:f>IF(B555="","",I555*K555)</x:f>
      </x:c>
      <x:c r="M555" s="46"/>
      <x:c r="N555" s="52" t="str">
        <x:f>IF(B555="","",IF(OR(M555="Ödendi",M555="İptal"),"Hayır","Evet"))</x:f>
      </x:c>
    </x:row>
    <x:row r="556">
      <x:c r="B556" s="46"/>
      <x:c r="C556" s="46"/>
      <x:c r="D556" s="112"/>
      <x:c r="E556" s="112"/>
      <x:c r="F556" s="92"/>
      <x:c r="G556" s="92"/>
      <x:c r="H556" s="92"/>
      <x:c r="I556" s="93" t="str">
        <x:f>IF(B556="","",MAX(0,F556-H556))</x:f>
      </x:c>
      <x:c r="J556" s="46"/>
      <x:c r="K556" s="100" t="str">
        <x:f>IF(B556="","",IF(G556="TL",1,IF(G556="USD",KURLAR!$C$9,IF(G556="EUR",KURLAR!$C$10,0))))</x:f>
      </x:c>
      <x:c r="L556" s="68" t="str">
        <x:f>IF(B556="","",I556*K556)</x:f>
      </x:c>
      <x:c r="M556" s="46"/>
      <x:c r="N556" s="52" t="str">
        <x:f>IF(B556="","",IF(OR(M556="Ödendi",M556="İptal"),"Hayır","Evet"))</x:f>
      </x:c>
    </x:row>
    <x:row r="557">
      <x:c r="B557" s="46"/>
      <x:c r="C557" s="46"/>
      <x:c r="D557" s="112"/>
      <x:c r="E557" s="112"/>
      <x:c r="F557" s="92"/>
      <x:c r="G557" s="92"/>
      <x:c r="H557" s="92"/>
      <x:c r="I557" s="93" t="str">
        <x:f>IF(B557="","",MAX(0,F557-H557))</x:f>
      </x:c>
      <x:c r="J557" s="46"/>
      <x:c r="K557" s="100" t="str">
        <x:f>IF(B557="","",IF(G557="TL",1,IF(G557="USD",KURLAR!$C$9,IF(G557="EUR",KURLAR!$C$10,0))))</x:f>
      </x:c>
      <x:c r="L557" s="68" t="str">
        <x:f>IF(B557="","",I557*K557)</x:f>
      </x:c>
      <x:c r="M557" s="46"/>
      <x:c r="N557" s="52" t="str">
        <x:f>IF(B557="","",IF(OR(M557="Ödendi",M557="İptal"),"Hayır","Evet"))</x:f>
      </x:c>
    </x:row>
    <x:row r="558">
      <x:c r="B558" s="46"/>
      <x:c r="C558" s="46"/>
      <x:c r="D558" s="112"/>
      <x:c r="E558" s="112"/>
      <x:c r="F558" s="92"/>
      <x:c r="G558" s="92"/>
      <x:c r="H558" s="92"/>
      <x:c r="I558" s="93" t="str">
        <x:f>IF(B558="","",MAX(0,F558-H558))</x:f>
      </x:c>
      <x:c r="J558" s="46"/>
      <x:c r="K558" s="100" t="str">
        <x:f>IF(B558="","",IF(G558="TL",1,IF(G558="USD",KURLAR!$C$9,IF(G558="EUR",KURLAR!$C$10,0))))</x:f>
      </x:c>
      <x:c r="L558" s="68" t="str">
        <x:f>IF(B558="","",I558*K558)</x:f>
      </x:c>
      <x:c r="M558" s="46"/>
      <x:c r="N558" s="52" t="str">
        <x:f>IF(B558="","",IF(OR(M558="Ödendi",M558="İptal"),"Hayır","Evet"))</x:f>
      </x:c>
    </x:row>
    <x:row r="559">
      <x:c r="B559" s="46"/>
      <x:c r="C559" s="46"/>
      <x:c r="D559" s="112"/>
      <x:c r="E559" s="112"/>
      <x:c r="F559" s="92"/>
      <x:c r="G559" s="92"/>
      <x:c r="H559" s="92"/>
      <x:c r="I559" s="93" t="str">
        <x:f>IF(B559="","",MAX(0,F559-H559))</x:f>
      </x:c>
      <x:c r="J559" s="46"/>
      <x:c r="K559" s="100" t="str">
        <x:f>IF(B559="","",IF(G559="TL",1,IF(G559="USD",KURLAR!$C$9,IF(G559="EUR",KURLAR!$C$10,0))))</x:f>
      </x:c>
      <x:c r="L559" s="68" t="str">
        <x:f>IF(B559="","",I559*K559)</x:f>
      </x:c>
      <x:c r="M559" s="46"/>
      <x:c r="N559" s="52" t="str">
        <x:f>IF(B559="","",IF(OR(M559="Ödendi",M559="İptal"),"Hayır","Evet"))</x:f>
      </x:c>
    </x:row>
    <x:row r="560">
      <x:c r="B560" s="46"/>
      <x:c r="C560" s="46"/>
      <x:c r="D560" s="112"/>
      <x:c r="E560" s="112"/>
      <x:c r="F560" s="92"/>
      <x:c r="G560" s="92"/>
      <x:c r="H560" s="92"/>
      <x:c r="I560" s="93" t="str">
        <x:f>IF(B560="","",MAX(0,F560-H560))</x:f>
      </x:c>
      <x:c r="J560" s="46"/>
      <x:c r="K560" s="100" t="str">
        <x:f>IF(B560="","",IF(G560="TL",1,IF(G560="USD",KURLAR!$C$9,IF(G560="EUR",KURLAR!$C$10,0))))</x:f>
      </x:c>
      <x:c r="L560" s="68" t="str">
        <x:f>IF(B560="","",I560*K560)</x:f>
      </x:c>
      <x:c r="M560" s="46"/>
      <x:c r="N560" s="52" t="str">
        <x:f>IF(B560="","",IF(OR(M560="Ödendi",M560="İptal"),"Hayır","Evet"))</x:f>
      </x:c>
    </x:row>
    <x:row r="561">
      <x:c r="B561" s="46"/>
      <x:c r="C561" s="46"/>
      <x:c r="D561" s="112"/>
      <x:c r="E561" s="112"/>
      <x:c r="F561" s="92"/>
      <x:c r="G561" s="92"/>
      <x:c r="H561" s="92"/>
      <x:c r="I561" s="93" t="str">
        <x:f>IF(B561="","",MAX(0,F561-H561))</x:f>
      </x:c>
      <x:c r="J561" s="46"/>
      <x:c r="K561" s="100" t="str">
        <x:f>IF(B561="","",IF(G561="TL",1,IF(G561="USD",KURLAR!$C$9,IF(G561="EUR",KURLAR!$C$10,0))))</x:f>
      </x:c>
      <x:c r="L561" s="68" t="str">
        <x:f>IF(B561="","",I561*K561)</x:f>
      </x:c>
      <x:c r="M561" s="46"/>
      <x:c r="N561" s="52" t="str">
        <x:f>IF(B561="","",IF(OR(M561="Ödendi",M561="İptal"),"Hayır","Evet"))</x:f>
      </x:c>
    </x:row>
    <x:row r="562">
      <x:c r="B562" s="46"/>
      <x:c r="C562" s="46"/>
      <x:c r="D562" s="112"/>
      <x:c r="E562" s="112"/>
      <x:c r="F562" s="92"/>
      <x:c r="G562" s="92"/>
      <x:c r="H562" s="92"/>
      <x:c r="I562" s="93" t="str">
        <x:f>IF(B562="","",MAX(0,F562-H562))</x:f>
      </x:c>
      <x:c r="J562" s="46"/>
      <x:c r="K562" s="100" t="str">
        <x:f>IF(B562="","",IF(G562="TL",1,IF(G562="USD",KURLAR!$C$9,IF(G562="EUR",KURLAR!$C$10,0))))</x:f>
      </x:c>
      <x:c r="L562" s="68" t="str">
        <x:f>IF(B562="","",I562*K562)</x:f>
      </x:c>
      <x:c r="M562" s="46"/>
      <x:c r="N562" s="52" t="str">
        <x:f>IF(B562="","",IF(OR(M562="Ödendi",M562="İptal"),"Hayır","Evet"))</x:f>
      </x:c>
    </x:row>
    <x:row r="563">
      <x:c r="B563" s="46"/>
      <x:c r="C563" s="46"/>
      <x:c r="D563" s="112"/>
      <x:c r="E563" s="112"/>
      <x:c r="F563" s="92"/>
      <x:c r="G563" s="92"/>
      <x:c r="H563" s="92"/>
      <x:c r="I563" s="93" t="str">
        <x:f>IF(B563="","",MAX(0,F563-H563))</x:f>
      </x:c>
      <x:c r="J563" s="46"/>
      <x:c r="K563" s="100" t="str">
        <x:f>IF(B563="","",IF(G563="TL",1,IF(G563="USD",KURLAR!$C$9,IF(G563="EUR",KURLAR!$C$10,0))))</x:f>
      </x:c>
      <x:c r="L563" s="68" t="str">
        <x:f>IF(B563="","",I563*K563)</x:f>
      </x:c>
      <x:c r="M563" s="46"/>
      <x:c r="N563" s="52" t="str">
        <x:f>IF(B563="","",IF(OR(M563="Ödendi",M563="İptal"),"Hayır","Evet"))</x:f>
      </x:c>
    </x:row>
    <x:row r="564">
      <x:c r="B564" s="46"/>
      <x:c r="C564" s="46"/>
      <x:c r="D564" s="112"/>
      <x:c r="E564" s="112"/>
      <x:c r="F564" s="92"/>
      <x:c r="G564" s="92"/>
      <x:c r="H564" s="92"/>
      <x:c r="I564" s="93" t="str">
        <x:f>IF(B564="","",MAX(0,F564-H564))</x:f>
      </x:c>
      <x:c r="J564" s="46"/>
      <x:c r="K564" s="100" t="str">
        <x:f>IF(B564="","",IF(G564="TL",1,IF(G564="USD",KURLAR!$C$9,IF(G564="EUR",KURLAR!$C$10,0))))</x:f>
      </x:c>
      <x:c r="L564" s="68" t="str">
        <x:f>IF(B564="","",I564*K564)</x:f>
      </x:c>
      <x:c r="M564" s="46"/>
      <x:c r="N564" s="52" t="str">
        <x:f>IF(B564="","",IF(OR(M564="Ödendi",M564="İptal"),"Hayır","Evet"))</x:f>
      </x:c>
    </x:row>
    <x:row r="565">
      <x:c r="B565" s="46"/>
      <x:c r="C565" s="46"/>
      <x:c r="D565" s="112"/>
      <x:c r="E565" s="112"/>
      <x:c r="F565" s="92"/>
      <x:c r="G565" s="92"/>
      <x:c r="H565" s="92"/>
      <x:c r="I565" s="93" t="str">
        <x:f>IF(B565="","",MAX(0,F565-H565))</x:f>
      </x:c>
      <x:c r="J565" s="46"/>
      <x:c r="K565" s="100" t="str">
        <x:f>IF(B565="","",IF(G565="TL",1,IF(G565="USD",KURLAR!$C$9,IF(G565="EUR",KURLAR!$C$10,0))))</x:f>
      </x:c>
      <x:c r="L565" s="68" t="str">
        <x:f>IF(B565="","",I565*K565)</x:f>
      </x:c>
      <x:c r="M565" s="46"/>
      <x:c r="N565" s="52" t="str">
        <x:f>IF(B565="","",IF(OR(M565="Ödendi",M565="İptal"),"Hayır","Evet"))</x:f>
      </x:c>
    </x:row>
    <x:row r="566">
      <x:c r="B566" s="46"/>
      <x:c r="C566" s="46"/>
      <x:c r="D566" s="112"/>
      <x:c r="E566" s="112"/>
      <x:c r="F566" s="92"/>
      <x:c r="G566" s="92"/>
      <x:c r="H566" s="92"/>
      <x:c r="I566" s="93" t="str">
        <x:f>IF(B566="","",MAX(0,F566-H566))</x:f>
      </x:c>
      <x:c r="J566" s="46"/>
      <x:c r="K566" s="100" t="str">
        <x:f>IF(B566="","",IF(G566="TL",1,IF(G566="USD",KURLAR!$C$9,IF(G566="EUR",KURLAR!$C$10,0))))</x:f>
      </x:c>
      <x:c r="L566" s="68" t="str">
        <x:f>IF(B566="","",I566*K566)</x:f>
      </x:c>
      <x:c r="M566" s="46"/>
      <x:c r="N566" s="52" t="str">
        <x:f>IF(B566="","",IF(OR(M566="Ödendi",M566="İptal"),"Hayır","Evet"))</x:f>
      </x:c>
    </x:row>
    <x:row r="567">
      <x:c r="B567" s="46"/>
      <x:c r="C567" s="46"/>
      <x:c r="D567" s="112"/>
      <x:c r="E567" s="112"/>
      <x:c r="F567" s="92"/>
      <x:c r="G567" s="92"/>
      <x:c r="H567" s="92"/>
      <x:c r="I567" s="93" t="str">
        <x:f>IF(B567="","",MAX(0,F567-H567))</x:f>
      </x:c>
      <x:c r="J567" s="46"/>
      <x:c r="K567" s="100" t="str">
        <x:f>IF(B567="","",IF(G567="TL",1,IF(G567="USD",KURLAR!$C$9,IF(G567="EUR",KURLAR!$C$10,0))))</x:f>
      </x:c>
      <x:c r="L567" s="68" t="str">
        <x:f>IF(B567="","",I567*K567)</x:f>
      </x:c>
      <x:c r="M567" s="46"/>
      <x:c r="N567" s="52" t="str">
        <x:f>IF(B567="","",IF(OR(M567="Ödendi",M567="İptal"),"Hayır","Evet"))</x:f>
      </x:c>
    </x:row>
    <x:row r="568">
      <x:c r="B568" s="46"/>
      <x:c r="C568" s="46"/>
      <x:c r="D568" s="112"/>
      <x:c r="E568" s="112"/>
      <x:c r="F568" s="92"/>
      <x:c r="G568" s="92"/>
      <x:c r="H568" s="92"/>
      <x:c r="I568" s="93" t="str">
        <x:f>IF(B568="","",MAX(0,F568-H568))</x:f>
      </x:c>
      <x:c r="J568" s="46"/>
      <x:c r="K568" s="100" t="str">
        <x:f>IF(B568="","",IF(G568="TL",1,IF(G568="USD",KURLAR!$C$9,IF(G568="EUR",KURLAR!$C$10,0))))</x:f>
      </x:c>
      <x:c r="L568" s="68" t="str">
        <x:f>IF(B568="","",I568*K568)</x:f>
      </x:c>
      <x:c r="M568" s="46"/>
      <x:c r="N568" s="52" t="str">
        <x:f>IF(B568="","",IF(OR(M568="Ödendi",M568="İptal"),"Hayır","Evet"))</x:f>
      </x:c>
    </x:row>
    <x:row r="569">
      <x:c r="B569" s="46"/>
      <x:c r="C569" s="46"/>
      <x:c r="D569" s="112"/>
      <x:c r="E569" s="112"/>
      <x:c r="F569" s="92"/>
      <x:c r="G569" s="92"/>
      <x:c r="H569" s="92"/>
      <x:c r="I569" s="93" t="str">
        <x:f>IF(B569="","",MAX(0,F569-H569))</x:f>
      </x:c>
      <x:c r="J569" s="46"/>
      <x:c r="K569" s="100" t="str">
        <x:f>IF(B569="","",IF(G569="TL",1,IF(G569="USD",KURLAR!$C$9,IF(G569="EUR",KURLAR!$C$10,0))))</x:f>
      </x:c>
      <x:c r="L569" s="68" t="str">
        <x:f>IF(B569="","",I569*K569)</x:f>
      </x:c>
      <x:c r="M569" s="46"/>
      <x:c r="N569" s="52" t="str">
        <x:f>IF(B569="","",IF(OR(M569="Ödendi",M569="İptal"),"Hayır","Evet"))</x:f>
      </x:c>
    </x:row>
    <x:row r="570">
      <x:c r="B570" s="46"/>
      <x:c r="C570" s="46"/>
      <x:c r="D570" s="112"/>
      <x:c r="E570" s="112"/>
      <x:c r="F570" s="92"/>
      <x:c r="G570" s="92"/>
      <x:c r="H570" s="92"/>
      <x:c r="I570" s="93" t="str">
        <x:f>IF(B570="","",MAX(0,F570-H570))</x:f>
      </x:c>
      <x:c r="J570" s="46"/>
      <x:c r="K570" s="100" t="str">
        <x:f>IF(B570="","",IF(G570="TL",1,IF(G570="USD",KURLAR!$C$9,IF(G570="EUR",KURLAR!$C$10,0))))</x:f>
      </x:c>
      <x:c r="L570" s="68" t="str">
        <x:f>IF(B570="","",I570*K570)</x:f>
      </x:c>
      <x:c r="M570" s="46"/>
      <x:c r="N570" s="52" t="str">
        <x:f>IF(B570="","",IF(OR(M570="Ödendi",M570="İptal"),"Hayır","Evet"))</x:f>
      </x:c>
    </x:row>
    <x:row r="571">
      <x:c r="B571" s="46"/>
      <x:c r="C571" s="46"/>
      <x:c r="D571" s="112"/>
      <x:c r="E571" s="112"/>
      <x:c r="F571" s="92"/>
      <x:c r="G571" s="92"/>
      <x:c r="H571" s="92"/>
      <x:c r="I571" s="93" t="str">
        <x:f>IF(B571="","",MAX(0,F571-H571))</x:f>
      </x:c>
      <x:c r="J571" s="46"/>
      <x:c r="K571" s="100" t="str">
        <x:f>IF(B571="","",IF(G571="TL",1,IF(G571="USD",KURLAR!$C$9,IF(G571="EUR",KURLAR!$C$10,0))))</x:f>
      </x:c>
      <x:c r="L571" s="68" t="str">
        <x:f>IF(B571="","",I571*K571)</x:f>
      </x:c>
      <x:c r="M571" s="46"/>
      <x:c r="N571" s="52" t="str">
        <x:f>IF(B571="","",IF(OR(M571="Ödendi",M571="İptal"),"Hayır","Evet"))</x:f>
      </x:c>
    </x:row>
    <x:row r="572">
      <x:c r="B572" s="46"/>
      <x:c r="C572" s="46"/>
      <x:c r="D572" s="112"/>
      <x:c r="E572" s="112"/>
      <x:c r="F572" s="92"/>
      <x:c r="G572" s="92"/>
      <x:c r="H572" s="92"/>
      <x:c r="I572" s="93" t="str">
        <x:f>IF(B572="","",MAX(0,F572-H572))</x:f>
      </x:c>
      <x:c r="J572" s="46"/>
      <x:c r="K572" s="100" t="str">
        <x:f>IF(B572="","",IF(G572="TL",1,IF(G572="USD",KURLAR!$C$9,IF(G572="EUR",KURLAR!$C$10,0))))</x:f>
      </x:c>
      <x:c r="L572" s="68" t="str">
        <x:f>IF(B572="","",I572*K572)</x:f>
      </x:c>
      <x:c r="M572" s="46"/>
      <x:c r="N572" s="52" t="str">
        <x:f>IF(B572="","",IF(OR(M572="Ödendi",M572="İptal"),"Hayır","Evet"))</x:f>
      </x:c>
    </x:row>
    <x:row r="573">
      <x:c r="B573" s="46"/>
      <x:c r="C573" s="46"/>
      <x:c r="D573" s="112"/>
      <x:c r="E573" s="112"/>
      <x:c r="F573" s="92"/>
      <x:c r="G573" s="92"/>
      <x:c r="H573" s="92"/>
      <x:c r="I573" s="93" t="str">
        <x:f>IF(B573="","",MAX(0,F573-H573))</x:f>
      </x:c>
      <x:c r="J573" s="46"/>
      <x:c r="K573" s="100" t="str">
        <x:f>IF(B573="","",IF(G573="TL",1,IF(G573="USD",KURLAR!$C$9,IF(G573="EUR",KURLAR!$C$10,0))))</x:f>
      </x:c>
      <x:c r="L573" s="68" t="str">
        <x:f>IF(B573="","",I573*K573)</x:f>
      </x:c>
      <x:c r="M573" s="46"/>
      <x:c r="N573" s="52" t="str">
        <x:f>IF(B573="","",IF(OR(M573="Ödendi",M573="İptal"),"Hayır","Evet"))</x:f>
      </x:c>
    </x:row>
    <x:row r="574">
      <x:c r="B574" s="46"/>
      <x:c r="C574" s="46"/>
      <x:c r="D574" s="112"/>
      <x:c r="E574" s="112"/>
      <x:c r="F574" s="92"/>
      <x:c r="G574" s="92"/>
      <x:c r="H574" s="92"/>
      <x:c r="I574" s="93" t="str">
        <x:f>IF(B574="","",MAX(0,F574-H574))</x:f>
      </x:c>
      <x:c r="J574" s="46"/>
      <x:c r="K574" s="100" t="str">
        <x:f>IF(B574="","",IF(G574="TL",1,IF(G574="USD",KURLAR!$C$9,IF(G574="EUR",KURLAR!$C$10,0))))</x:f>
      </x:c>
      <x:c r="L574" s="68" t="str">
        <x:f>IF(B574="","",I574*K574)</x:f>
      </x:c>
      <x:c r="M574" s="46"/>
      <x:c r="N574" s="52" t="str">
        <x:f>IF(B574="","",IF(OR(M574="Ödendi",M574="İptal"),"Hayır","Evet"))</x:f>
      </x:c>
    </x:row>
    <x:row r="575">
      <x:c r="B575" s="46"/>
      <x:c r="C575" s="46"/>
      <x:c r="D575" s="112"/>
      <x:c r="E575" s="112"/>
      <x:c r="F575" s="92"/>
      <x:c r="G575" s="92"/>
      <x:c r="H575" s="92"/>
      <x:c r="I575" s="93" t="str">
        <x:f>IF(B575="","",MAX(0,F575-H575))</x:f>
      </x:c>
      <x:c r="J575" s="46"/>
      <x:c r="K575" s="100" t="str">
        <x:f>IF(B575="","",IF(G575="TL",1,IF(G575="USD",KURLAR!$C$9,IF(G575="EUR",KURLAR!$C$10,0))))</x:f>
      </x:c>
      <x:c r="L575" s="68" t="str">
        <x:f>IF(B575="","",I575*K575)</x:f>
      </x:c>
      <x:c r="M575" s="46"/>
      <x:c r="N575" s="52" t="str">
        <x:f>IF(B575="","",IF(OR(M575="Ödendi",M575="İptal"),"Hayır","Evet"))</x:f>
      </x:c>
    </x:row>
    <x:row r="576">
      <x:c r="B576" s="46"/>
      <x:c r="C576" s="46"/>
      <x:c r="D576" s="112"/>
      <x:c r="E576" s="112"/>
      <x:c r="F576" s="92"/>
      <x:c r="G576" s="92"/>
      <x:c r="H576" s="92"/>
      <x:c r="I576" s="93" t="str">
        <x:f>IF(B576="","",MAX(0,F576-H576))</x:f>
      </x:c>
      <x:c r="J576" s="46"/>
      <x:c r="K576" s="100" t="str">
        <x:f>IF(B576="","",IF(G576="TL",1,IF(G576="USD",KURLAR!$C$9,IF(G576="EUR",KURLAR!$C$10,0))))</x:f>
      </x:c>
      <x:c r="L576" s="68" t="str">
        <x:f>IF(B576="","",I576*K576)</x:f>
      </x:c>
      <x:c r="M576" s="46"/>
      <x:c r="N576" s="52" t="str">
        <x:f>IF(B576="","",IF(OR(M576="Ödendi",M576="İptal"),"Hayır","Evet"))</x:f>
      </x:c>
    </x:row>
    <x:row r="577">
      <x:c r="B577" s="46"/>
      <x:c r="C577" s="46"/>
      <x:c r="D577" s="112"/>
      <x:c r="E577" s="112"/>
      <x:c r="F577" s="92"/>
      <x:c r="G577" s="92"/>
      <x:c r="H577" s="92"/>
      <x:c r="I577" s="93" t="str">
        <x:f>IF(B577="","",MAX(0,F577-H577))</x:f>
      </x:c>
      <x:c r="J577" s="46"/>
      <x:c r="K577" s="100" t="str">
        <x:f>IF(B577="","",IF(G577="TL",1,IF(G577="USD",KURLAR!$C$9,IF(G577="EUR",KURLAR!$C$10,0))))</x:f>
      </x:c>
      <x:c r="L577" s="68" t="str">
        <x:f>IF(B577="","",I577*K577)</x:f>
      </x:c>
      <x:c r="M577" s="46"/>
      <x:c r="N577" s="52" t="str">
        <x:f>IF(B577="","",IF(OR(M577="Ödendi",M577="İptal"),"Hayır","Evet"))</x:f>
      </x:c>
    </x:row>
    <x:row r="578">
      <x:c r="B578" s="46"/>
      <x:c r="C578" s="46"/>
      <x:c r="D578" s="112"/>
      <x:c r="E578" s="112"/>
      <x:c r="F578" s="92"/>
      <x:c r="G578" s="92"/>
      <x:c r="H578" s="92"/>
      <x:c r="I578" s="93" t="str">
        <x:f>IF(B578="","",MAX(0,F578-H578))</x:f>
      </x:c>
      <x:c r="J578" s="46"/>
      <x:c r="K578" s="100" t="str">
        <x:f>IF(B578="","",IF(G578="TL",1,IF(G578="USD",KURLAR!$C$9,IF(G578="EUR",KURLAR!$C$10,0))))</x:f>
      </x:c>
      <x:c r="L578" s="68" t="str">
        <x:f>IF(B578="","",I578*K578)</x:f>
      </x:c>
      <x:c r="M578" s="46"/>
      <x:c r="N578" s="52" t="str">
        <x:f>IF(B578="","",IF(OR(M578="Ödendi",M578="İptal"),"Hayır","Evet"))</x:f>
      </x:c>
    </x:row>
    <x:row r="579">
      <x:c r="B579" s="46"/>
      <x:c r="C579" s="46"/>
      <x:c r="D579" s="112"/>
      <x:c r="E579" s="112"/>
      <x:c r="F579" s="92"/>
      <x:c r="G579" s="92"/>
      <x:c r="H579" s="92"/>
      <x:c r="I579" s="93" t="str">
        <x:f>IF(B579="","",MAX(0,F579-H579))</x:f>
      </x:c>
      <x:c r="J579" s="46"/>
      <x:c r="K579" s="100" t="str">
        <x:f>IF(B579="","",IF(G579="TL",1,IF(G579="USD",KURLAR!$C$9,IF(G579="EUR",KURLAR!$C$10,0))))</x:f>
      </x:c>
      <x:c r="L579" s="68" t="str">
        <x:f>IF(B579="","",I579*K579)</x:f>
      </x:c>
      <x:c r="M579" s="46"/>
      <x:c r="N579" s="52" t="str">
        <x:f>IF(B579="","",IF(OR(M579="Ödendi",M579="İptal"),"Hayır","Evet"))</x:f>
      </x:c>
    </x:row>
    <x:row r="580">
      <x:c r="B580" s="46"/>
      <x:c r="C580" s="46"/>
      <x:c r="D580" s="112"/>
      <x:c r="E580" s="112"/>
      <x:c r="F580" s="92"/>
      <x:c r="G580" s="92"/>
      <x:c r="H580" s="92"/>
      <x:c r="I580" s="93" t="str">
        <x:f>IF(B580="","",MAX(0,F580-H580))</x:f>
      </x:c>
      <x:c r="J580" s="46"/>
      <x:c r="K580" s="100" t="str">
        <x:f>IF(B580="","",IF(G580="TL",1,IF(G580="USD",KURLAR!$C$9,IF(G580="EUR",KURLAR!$C$10,0))))</x:f>
      </x:c>
      <x:c r="L580" s="68" t="str">
        <x:f>IF(B580="","",I580*K580)</x:f>
      </x:c>
      <x:c r="M580" s="46"/>
      <x:c r="N580" s="52" t="str">
        <x:f>IF(B580="","",IF(OR(M580="Ödendi",M580="İptal"),"Hayır","Evet"))</x:f>
      </x:c>
    </x:row>
    <x:row r="581">
      <x:c r="B581" s="46"/>
      <x:c r="C581" s="46"/>
      <x:c r="D581" s="112"/>
      <x:c r="E581" s="112"/>
      <x:c r="F581" s="92"/>
      <x:c r="G581" s="92"/>
      <x:c r="H581" s="92"/>
      <x:c r="I581" s="93" t="str">
        <x:f>IF(B581="","",MAX(0,F581-H581))</x:f>
      </x:c>
      <x:c r="J581" s="46"/>
      <x:c r="K581" s="100" t="str">
        <x:f>IF(B581="","",IF(G581="TL",1,IF(G581="USD",KURLAR!$C$9,IF(G581="EUR",KURLAR!$C$10,0))))</x:f>
      </x:c>
      <x:c r="L581" s="68" t="str">
        <x:f>IF(B581="","",I581*K581)</x:f>
      </x:c>
      <x:c r="M581" s="46"/>
      <x:c r="N581" s="52" t="str">
        <x:f>IF(B581="","",IF(OR(M581="Ödendi",M581="İptal"),"Hayır","Evet"))</x:f>
      </x:c>
    </x:row>
    <x:row r="582">
      <x:c r="B582" s="46"/>
      <x:c r="C582" s="46"/>
      <x:c r="D582" s="112"/>
      <x:c r="E582" s="112"/>
      <x:c r="F582" s="92"/>
      <x:c r="G582" s="92"/>
      <x:c r="H582" s="92"/>
      <x:c r="I582" s="93" t="str">
        <x:f>IF(B582="","",MAX(0,F582-H582))</x:f>
      </x:c>
      <x:c r="J582" s="46"/>
      <x:c r="K582" s="100" t="str">
        <x:f>IF(B582="","",IF(G582="TL",1,IF(G582="USD",KURLAR!$C$9,IF(G582="EUR",KURLAR!$C$10,0))))</x:f>
      </x:c>
      <x:c r="L582" s="68" t="str">
        <x:f>IF(B582="","",I582*K582)</x:f>
      </x:c>
      <x:c r="M582" s="46"/>
      <x:c r="N582" s="52" t="str">
        <x:f>IF(B582="","",IF(OR(M582="Ödendi",M582="İptal"),"Hayır","Evet"))</x:f>
      </x:c>
    </x:row>
    <x:row r="583">
      <x:c r="B583" s="46"/>
      <x:c r="C583" s="46"/>
      <x:c r="D583" s="112"/>
      <x:c r="E583" s="112"/>
      <x:c r="F583" s="92"/>
      <x:c r="G583" s="92"/>
      <x:c r="H583" s="92"/>
      <x:c r="I583" s="93" t="str">
        <x:f>IF(B583="","",MAX(0,F583-H583))</x:f>
      </x:c>
      <x:c r="J583" s="46"/>
      <x:c r="K583" s="100" t="str">
        <x:f>IF(B583="","",IF(G583="TL",1,IF(G583="USD",KURLAR!$C$9,IF(G583="EUR",KURLAR!$C$10,0))))</x:f>
      </x:c>
      <x:c r="L583" s="68" t="str">
        <x:f>IF(B583="","",I583*K583)</x:f>
      </x:c>
      <x:c r="M583" s="46"/>
      <x:c r="N583" s="52" t="str">
        <x:f>IF(B583="","",IF(OR(M583="Ödendi",M583="İptal"),"Hayır","Evet"))</x:f>
      </x:c>
    </x:row>
    <x:row r="584">
      <x:c r="B584" s="46"/>
      <x:c r="C584" s="46"/>
      <x:c r="D584" s="112"/>
      <x:c r="E584" s="112"/>
      <x:c r="F584" s="92"/>
      <x:c r="G584" s="92"/>
      <x:c r="H584" s="92"/>
      <x:c r="I584" s="93" t="str">
        <x:f>IF(B584="","",MAX(0,F584-H584))</x:f>
      </x:c>
      <x:c r="J584" s="46"/>
      <x:c r="K584" s="100" t="str">
        <x:f>IF(B584="","",IF(G584="TL",1,IF(G584="USD",KURLAR!$C$9,IF(G584="EUR",KURLAR!$C$10,0))))</x:f>
      </x:c>
      <x:c r="L584" s="68" t="str">
        <x:f>IF(B584="","",I584*K584)</x:f>
      </x:c>
      <x:c r="M584" s="46"/>
      <x:c r="N584" s="52" t="str">
        <x:f>IF(B584="","",IF(OR(M584="Ödendi",M584="İptal"),"Hayır","Evet"))</x:f>
      </x:c>
    </x:row>
    <x:row r="585">
      <x:c r="B585" s="46"/>
      <x:c r="C585" s="46"/>
      <x:c r="D585" s="112"/>
      <x:c r="E585" s="112"/>
      <x:c r="F585" s="92"/>
      <x:c r="G585" s="92"/>
      <x:c r="H585" s="92"/>
      <x:c r="I585" s="93" t="str">
        <x:f>IF(B585="","",MAX(0,F585-H585))</x:f>
      </x:c>
      <x:c r="J585" s="46"/>
      <x:c r="K585" s="100" t="str">
        <x:f>IF(B585="","",IF(G585="TL",1,IF(G585="USD",KURLAR!$C$9,IF(G585="EUR",KURLAR!$C$10,0))))</x:f>
      </x:c>
      <x:c r="L585" s="68" t="str">
        <x:f>IF(B585="","",I585*K585)</x:f>
      </x:c>
      <x:c r="M585" s="46"/>
      <x:c r="N585" s="52" t="str">
        <x:f>IF(B585="","",IF(OR(M585="Ödendi",M585="İptal"),"Hayır","Evet"))</x:f>
      </x:c>
    </x:row>
    <x:row r="586">
      <x:c r="B586" s="46"/>
      <x:c r="C586" s="46"/>
      <x:c r="D586" s="112"/>
      <x:c r="E586" s="112"/>
      <x:c r="F586" s="92"/>
      <x:c r="G586" s="92"/>
      <x:c r="H586" s="92"/>
      <x:c r="I586" s="93" t="str">
        <x:f>IF(B586="","",MAX(0,F586-H586))</x:f>
      </x:c>
      <x:c r="J586" s="46"/>
      <x:c r="K586" s="100" t="str">
        <x:f>IF(B586="","",IF(G586="TL",1,IF(G586="USD",KURLAR!$C$9,IF(G586="EUR",KURLAR!$C$10,0))))</x:f>
      </x:c>
      <x:c r="L586" s="68" t="str">
        <x:f>IF(B586="","",I586*K586)</x:f>
      </x:c>
      <x:c r="M586" s="46"/>
      <x:c r="N586" s="52" t="str">
        <x:f>IF(B586="","",IF(OR(M586="Ödendi",M586="İptal"),"Hayır","Evet"))</x:f>
      </x:c>
    </x:row>
    <x:row r="587">
      <x:c r="B587" s="46"/>
      <x:c r="C587" s="46"/>
      <x:c r="D587" s="112"/>
      <x:c r="E587" s="112"/>
      <x:c r="F587" s="92"/>
      <x:c r="G587" s="92"/>
      <x:c r="H587" s="92"/>
      <x:c r="I587" s="93" t="str">
        <x:f>IF(B587="","",MAX(0,F587-H587))</x:f>
      </x:c>
      <x:c r="J587" s="46"/>
      <x:c r="K587" s="100" t="str">
        <x:f>IF(B587="","",IF(G587="TL",1,IF(G587="USD",KURLAR!$C$9,IF(G587="EUR",KURLAR!$C$10,0))))</x:f>
      </x:c>
      <x:c r="L587" s="68" t="str">
        <x:f>IF(B587="","",I587*K587)</x:f>
      </x:c>
      <x:c r="M587" s="46"/>
      <x:c r="N587" s="52" t="str">
        <x:f>IF(B587="","",IF(OR(M587="Ödendi",M587="İptal"),"Hayır","Evet"))</x:f>
      </x:c>
    </x:row>
    <x:row r="588">
      <x:c r="B588" s="46"/>
      <x:c r="C588" s="46"/>
      <x:c r="D588" s="112"/>
      <x:c r="E588" s="112"/>
      <x:c r="F588" s="92"/>
      <x:c r="G588" s="92"/>
      <x:c r="H588" s="92"/>
      <x:c r="I588" s="93" t="str">
        <x:f>IF(B588="","",MAX(0,F588-H588))</x:f>
      </x:c>
      <x:c r="J588" s="46"/>
      <x:c r="K588" s="100" t="str">
        <x:f>IF(B588="","",IF(G588="TL",1,IF(G588="USD",KURLAR!$C$9,IF(G588="EUR",KURLAR!$C$10,0))))</x:f>
      </x:c>
      <x:c r="L588" s="68" t="str">
        <x:f>IF(B588="","",I588*K588)</x:f>
      </x:c>
      <x:c r="M588" s="46"/>
      <x:c r="N588" s="52" t="str">
        <x:f>IF(B588="","",IF(OR(M588="Ödendi",M588="İptal"),"Hayır","Evet"))</x:f>
      </x:c>
    </x:row>
    <x:row r="589">
      <x:c r="B589" s="46"/>
      <x:c r="C589" s="46"/>
      <x:c r="D589" s="112"/>
      <x:c r="E589" s="112"/>
      <x:c r="F589" s="92"/>
      <x:c r="G589" s="92"/>
      <x:c r="H589" s="92"/>
      <x:c r="I589" s="93" t="str">
        <x:f>IF(B589="","",MAX(0,F589-H589))</x:f>
      </x:c>
      <x:c r="J589" s="46"/>
      <x:c r="K589" s="100" t="str">
        <x:f>IF(B589="","",IF(G589="TL",1,IF(G589="USD",KURLAR!$C$9,IF(G589="EUR",KURLAR!$C$10,0))))</x:f>
      </x:c>
      <x:c r="L589" s="68" t="str">
        <x:f>IF(B589="","",I589*K589)</x:f>
      </x:c>
      <x:c r="M589" s="46"/>
      <x:c r="N589" s="52" t="str">
        <x:f>IF(B589="","",IF(OR(M589="Ödendi",M589="İptal"),"Hayır","Evet"))</x:f>
      </x:c>
    </x:row>
    <x:row r="590">
      <x:c r="B590" s="46"/>
      <x:c r="C590" s="46"/>
      <x:c r="D590" s="112"/>
      <x:c r="E590" s="112"/>
      <x:c r="F590" s="92"/>
      <x:c r="G590" s="92"/>
      <x:c r="H590" s="92"/>
      <x:c r="I590" s="93" t="str">
        <x:f>IF(B590="","",MAX(0,F590-H590))</x:f>
      </x:c>
      <x:c r="J590" s="46"/>
      <x:c r="K590" s="100" t="str">
        <x:f>IF(B590="","",IF(G590="TL",1,IF(G590="USD",KURLAR!$C$9,IF(G590="EUR",KURLAR!$C$10,0))))</x:f>
      </x:c>
      <x:c r="L590" s="68" t="str">
        <x:f>IF(B590="","",I590*K590)</x:f>
      </x:c>
      <x:c r="M590" s="46"/>
      <x:c r="N590" s="52" t="str">
        <x:f>IF(B590="","",IF(OR(M590="Ödendi",M590="İptal"),"Hayır","Evet"))</x:f>
      </x:c>
    </x:row>
    <x:row r="591">
      <x:c r="B591" s="46"/>
      <x:c r="C591" s="46"/>
      <x:c r="D591" s="112"/>
      <x:c r="E591" s="112"/>
      <x:c r="F591" s="92"/>
      <x:c r="G591" s="92"/>
      <x:c r="H591" s="92"/>
      <x:c r="I591" s="93" t="str">
        <x:f>IF(B591="","",MAX(0,F591-H591))</x:f>
      </x:c>
      <x:c r="J591" s="46"/>
      <x:c r="K591" s="100" t="str">
        <x:f>IF(B591="","",IF(G591="TL",1,IF(G591="USD",KURLAR!$C$9,IF(G591="EUR",KURLAR!$C$10,0))))</x:f>
      </x:c>
      <x:c r="L591" s="68" t="str">
        <x:f>IF(B591="","",I591*K591)</x:f>
      </x:c>
      <x:c r="M591" s="46"/>
      <x:c r="N591" s="52" t="str">
        <x:f>IF(B591="","",IF(OR(M591="Ödendi",M591="İptal"),"Hayır","Evet"))</x:f>
      </x:c>
    </x:row>
    <x:row r="592">
      <x:c r="B592" s="46"/>
      <x:c r="C592" s="46"/>
      <x:c r="D592" s="112"/>
      <x:c r="E592" s="112"/>
      <x:c r="F592" s="92"/>
      <x:c r="G592" s="92"/>
      <x:c r="H592" s="92"/>
      <x:c r="I592" s="93" t="str">
        <x:f>IF(B592="","",MAX(0,F592-H592))</x:f>
      </x:c>
      <x:c r="J592" s="46"/>
      <x:c r="K592" s="100" t="str">
        <x:f>IF(B592="","",IF(G592="TL",1,IF(G592="USD",KURLAR!$C$9,IF(G592="EUR",KURLAR!$C$10,0))))</x:f>
      </x:c>
      <x:c r="L592" s="68" t="str">
        <x:f>IF(B592="","",I592*K592)</x:f>
      </x:c>
      <x:c r="M592" s="46"/>
      <x:c r="N592" s="52" t="str">
        <x:f>IF(B592="","",IF(OR(M592="Ödendi",M592="İptal"),"Hayır","Evet"))</x:f>
      </x:c>
    </x:row>
    <x:row r="593">
      <x:c r="B593" s="46"/>
      <x:c r="C593" s="46"/>
      <x:c r="D593" s="112"/>
      <x:c r="E593" s="112"/>
      <x:c r="F593" s="92"/>
      <x:c r="G593" s="92"/>
      <x:c r="H593" s="92"/>
      <x:c r="I593" s="93" t="str">
        <x:f>IF(B593="","",MAX(0,F593-H593))</x:f>
      </x:c>
      <x:c r="J593" s="46"/>
      <x:c r="K593" s="100" t="str">
        <x:f>IF(B593="","",IF(G593="TL",1,IF(G593="USD",KURLAR!$C$9,IF(G593="EUR",KURLAR!$C$10,0))))</x:f>
      </x:c>
      <x:c r="L593" s="68" t="str">
        <x:f>IF(B593="","",I593*K593)</x:f>
      </x:c>
      <x:c r="M593" s="46"/>
      <x:c r="N593" s="52" t="str">
        <x:f>IF(B593="","",IF(OR(M593="Ödendi",M593="İptal"),"Hayır","Evet"))</x:f>
      </x:c>
    </x:row>
    <x:row r="594">
      <x:c r="B594" s="46"/>
      <x:c r="C594" s="46"/>
      <x:c r="D594" s="112"/>
      <x:c r="E594" s="112"/>
      <x:c r="F594" s="92"/>
      <x:c r="G594" s="92"/>
      <x:c r="H594" s="92"/>
      <x:c r="I594" s="93" t="str">
        <x:f>IF(B594="","",MAX(0,F594-H594))</x:f>
      </x:c>
      <x:c r="J594" s="46"/>
      <x:c r="K594" s="100" t="str">
        <x:f>IF(B594="","",IF(G594="TL",1,IF(G594="USD",KURLAR!$C$9,IF(G594="EUR",KURLAR!$C$10,0))))</x:f>
      </x:c>
      <x:c r="L594" s="68" t="str">
        <x:f>IF(B594="","",I594*K594)</x:f>
      </x:c>
      <x:c r="M594" s="46"/>
      <x:c r="N594" s="52" t="str">
        <x:f>IF(B594="","",IF(OR(M594="Ödendi",M594="İptal"),"Hayır","Evet"))</x:f>
      </x:c>
    </x:row>
    <x:row r="595">
      <x:c r="B595" s="46"/>
      <x:c r="C595" s="46"/>
      <x:c r="D595" s="112"/>
      <x:c r="E595" s="112"/>
      <x:c r="F595" s="92"/>
      <x:c r="G595" s="92"/>
      <x:c r="H595" s="92"/>
      <x:c r="I595" s="93" t="str">
        <x:f>IF(B595="","",MAX(0,F595-H595))</x:f>
      </x:c>
      <x:c r="J595" s="46"/>
      <x:c r="K595" s="100" t="str">
        <x:f>IF(B595="","",IF(G595="TL",1,IF(G595="USD",KURLAR!$C$9,IF(G595="EUR",KURLAR!$C$10,0))))</x:f>
      </x:c>
      <x:c r="L595" s="68" t="str">
        <x:f>IF(B595="","",I595*K595)</x:f>
      </x:c>
      <x:c r="M595" s="46"/>
      <x:c r="N595" s="52" t="str">
        <x:f>IF(B595="","",IF(OR(M595="Ödendi",M595="İptal"),"Hayır","Evet"))</x:f>
      </x:c>
    </x:row>
    <x:row r="596">
      <x:c r="B596" s="46"/>
      <x:c r="C596" s="46"/>
      <x:c r="D596" s="112"/>
      <x:c r="E596" s="112"/>
      <x:c r="F596" s="92"/>
      <x:c r="G596" s="92"/>
      <x:c r="H596" s="92"/>
      <x:c r="I596" s="93" t="str">
        <x:f>IF(B596="","",MAX(0,F596-H596))</x:f>
      </x:c>
      <x:c r="J596" s="46"/>
      <x:c r="K596" s="100" t="str">
        <x:f>IF(B596="","",IF(G596="TL",1,IF(G596="USD",KURLAR!$C$9,IF(G596="EUR",KURLAR!$C$10,0))))</x:f>
      </x:c>
      <x:c r="L596" s="68" t="str">
        <x:f>IF(B596="","",I596*K596)</x:f>
      </x:c>
      <x:c r="M596" s="46"/>
      <x:c r="N596" s="52" t="str">
        <x:f>IF(B596="","",IF(OR(M596="Ödendi",M596="İptal"),"Hayır","Evet"))</x:f>
      </x:c>
    </x:row>
    <x:row r="597">
      <x:c r="B597" s="46"/>
      <x:c r="C597" s="46"/>
      <x:c r="D597" s="112"/>
      <x:c r="E597" s="112"/>
      <x:c r="F597" s="92"/>
      <x:c r="G597" s="92"/>
      <x:c r="H597" s="92"/>
      <x:c r="I597" s="93" t="str">
        <x:f>IF(B597="","",MAX(0,F597-H597))</x:f>
      </x:c>
      <x:c r="J597" s="46"/>
      <x:c r="K597" s="100" t="str">
        <x:f>IF(B597="","",IF(G597="TL",1,IF(G597="USD",KURLAR!$C$9,IF(G597="EUR",KURLAR!$C$10,0))))</x:f>
      </x:c>
      <x:c r="L597" s="68" t="str">
        <x:f>IF(B597="","",I597*K597)</x:f>
      </x:c>
      <x:c r="M597" s="46"/>
      <x:c r="N597" s="52" t="str">
        <x:f>IF(B597="","",IF(OR(M597="Ödendi",M597="İptal"),"Hayır","Evet"))</x:f>
      </x:c>
    </x:row>
    <x:row r="598">
      <x:c r="B598" s="46"/>
      <x:c r="C598" s="46"/>
      <x:c r="D598" s="112"/>
      <x:c r="E598" s="112"/>
      <x:c r="F598" s="92"/>
      <x:c r="G598" s="92"/>
      <x:c r="H598" s="92"/>
      <x:c r="I598" s="93" t="str">
        <x:f>IF(B598="","",MAX(0,F598-H598))</x:f>
      </x:c>
      <x:c r="J598" s="46"/>
      <x:c r="K598" s="100" t="str">
        <x:f>IF(B598="","",IF(G598="TL",1,IF(G598="USD",KURLAR!$C$9,IF(G598="EUR",KURLAR!$C$10,0))))</x:f>
      </x:c>
      <x:c r="L598" s="68" t="str">
        <x:f>IF(B598="","",I598*K598)</x:f>
      </x:c>
      <x:c r="M598" s="46"/>
      <x:c r="N598" s="52" t="str">
        <x:f>IF(B598="","",IF(OR(M598="Ödendi",M598="İptal"),"Hayır","Evet"))</x:f>
      </x:c>
    </x:row>
    <x:row r="599">
      <x:c r="B599" s="46"/>
      <x:c r="C599" s="46"/>
      <x:c r="D599" s="112"/>
      <x:c r="E599" s="112"/>
      <x:c r="F599" s="92"/>
      <x:c r="G599" s="92"/>
      <x:c r="H599" s="92"/>
      <x:c r="I599" s="93" t="str">
        <x:f>IF(B599="","",MAX(0,F599-H599))</x:f>
      </x:c>
      <x:c r="J599" s="46"/>
      <x:c r="K599" s="100" t="str">
        <x:f>IF(B599="","",IF(G599="TL",1,IF(G599="USD",KURLAR!$C$9,IF(G599="EUR",KURLAR!$C$10,0))))</x:f>
      </x:c>
      <x:c r="L599" s="68" t="str">
        <x:f>IF(B599="","",I599*K599)</x:f>
      </x:c>
      <x:c r="M599" s="46"/>
      <x:c r="N599" s="52" t="str">
        <x:f>IF(B599="","",IF(OR(M599="Ödendi",M599="İptal"),"Hayır","Evet"))</x:f>
      </x:c>
    </x:row>
    <x:row r="600">
      <x:c r="B600" s="46"/>
      <x:c r="C600" s="46"/>
      <x:c r="D600" s="112"/>
      <x:c r="E600" s="112"/>
      <x:c r="F600" s="92"/>
      <x:c r="G600" s="92"/>
      <x:c r="H600" s="92"/>
      <x:c r="I600" s="93" t="str">
        <x:f>IF(B600="","",MAX(0,F600-H600))</x:f>
      </x:c>
      <x:c r="J600" s="46"/>
      <x:c r="K600" s="100" t="str">
        <x:f>IF(B600="","",IF(G600="TL",1,IF(G600="USD",KURLAR!$C$9,IF(G600="EUR",KURLAR!$C$10,0))))</x:f>
      </x:c>
      <x:c r="L600" s="68" t="str">
        <x:f>IF(B600="","",I600*K600)</x:f>
      </x:c>
      <x:c r="M600" s="46"/>
      <x:c r="N600" s="52" t="str">
        <x:f>IF(B600="","",IF(OR(M600="Ödendi",M600="İptal"),"Hayır","Evet"))</x:f>
      </x:c>
    </x:row>
    <x:row r="601">
      <x:c r="B601" s="46"/>
      <x:c r="C601" s="46"/>
      <x:c r="D601" s="112"/>
      <x:c r="E601" s="112"/>
      <x:c r="F601" s="92"/>
      <x:c r="G601" s="92"/>
      <x:c r="H601" s="92"/>
      <x:c r="I601" s="93" t="str">
        <x:f>IF(B601="","",MAX(0,F601-H601))</x:f>
      </x:c>
      <x:c r="J601" s="46"/>
      <x:c r="K601" s="100" t="str">
        <x:f>IF(B601="","",IF(G601="TL",1,IF(G601="USD",KURLAR!$C$9,IF(G601="EUR",KURLAR!$C$10,0))))</x:f>
      </x:c>
      <x:c r="L601" s="68" t="str">
        <x:f>IF(B601="","",I601*K601)</x:f>
      </x:c>
      <x:c r="M601" s="46"/>
      <x:c r="N601" s="52" t="str">
        <x:f>IF(B601="","",IF(OR(M601="Ödendi",M601="İptal"),"Hayır","Evet"))</x:f>
      </x:c>
    </x:row>
    <x:row r="602">
      <x:c r="B602" s="46"/>
      <x:c r="C602" s="46"/>
      <x:c r="D602" s="112"/>
      <x:c r="E602" s="112"/>
      <x:c r="F602" s="92"/>
      <x:c r="G602" s="92"/>
      <x:c r="H602" s="92"/>
      <x:c r="I602" s="93" t="str">
        <x:f>IF(B602="","",MAX(0,F602-H602))</x:f>
      </x:c>
      <x:c r="J602" s="46"/>
      <x:c r="K602" s="100" t="str">
        <x:f>IF(B602="","",IF(G602="TL",1,IF(G602="USD",KURLAR!$C$9,IF(G602="EUR",KURLAR!$C$10,0))))</x:f>
      </x:c>
      <x:c r="L602" s="68" t="str">
        <x:f>IF(B602="","",I602*K602)</x:f>
      </x:c>
      <x:c r="M602" s="46"/>
      <x:c r="N602" s="52" t="str">
        <x:f>IF(B602="","",IF(OR(M602="Ödendi",M602="İptal"),"Hayır","Evet"))</x:f>
      </x:c>
    </x:row>
    <x:row r="603">
      <x:c r="B603" s="46"/>
      <x:c r="C603" s="46"/>
      <x:c r="D603" s="112"/>
      <x:c r="E603" s="112"/>
      <x:c r="F603" s="92"/>
      <x:c r="G603" s="92"/>
      <x:c r="H603" s="92"/>
      <x:c r="I603" s="93" t="str">
        <x:f>IF(B603="","",MAX(0,F603-H603))</x:f>
      </x:c>
      <x:c r="J603" s="46"/>
      <x:c r="K603" s="100" t="str">
        <x:f>IF(B603="","",IF(G603="TL",1,IF(G603="USD",KURLAR!$C$9,IF(G603="EUR",KURLAR!$C$10,0))))</x:f>
      </x:c>
      <x:c r="L603" s="68" t="str">
        <x:f>IF(B603="","",I603*K603)</x:f>
      </x:c>
      <x:c r="M603" s="46"/>
      <x:c r="N603" s="52" t="str">
        <x:f>IF(B603="","",IF(OR(M603="Ödendi",M603="İptal"),"Hayır","Evet"))</x:f>
      </x:c>
    </x:row>
    <x:row r="604">
      <x:c r="B604" s="46"/>
      <x:c r="C604" s="46"/>
      <x:c r="D604" s="112"/>
      <x:c r="E604" s="112"/>
      <x:c r="F604" s="92"/>
      <x:c r="G604" s="92"/>
      <x:c r="H604" s="92"/>
      <x:c r="I604" s="93" t="str">
        <x:f>IF(B604="","",MAX(0,F604-H604))</x:f>
      </x:c>
      <x:c r="J604" s="46"/>
      <x:c r="K604" s="100" t="str">
        <x:f>IF(B604="","",IF(G604="TL",1,IF(G604="USD",KURLAR!$C$9,IF(G604="EUR",KURLAR!$C$10,0))))</x:f>
      </x:c>
      <x:c r="L604" s="68" t="str">
        <x:f>IF(B604="","",I604*K604)</x:f>
      </x:c>
      <x:c r="M604" s="46"/>
      <x:c r="N604" s="52" t="str">
        <x:f>IF(B604="","",IF(OR(M604="Ödendi",M604="İptal"),"Hayır","Evet"))</x:f>
      </x:c>
    </x:row>
    <x:row r="605">
      <x:c r="B605" s="46"/>
      <x:c r="C605" s="46"/>
      <x:c r="D605" s="112"/>
      <x:c r="E605" s="112"/>
      <x:c r="F605" s="92"/>
      <x:c r="G605" s="92"/>
      <x:c r="H605" s="92"/>
      <x:c r="I605" s="93" t="str">
        <x:f>IF(B605="","",MAX(0,F605-H605))</x:f>
      </x:c>
      <x:c r="J605" s="46"/>
      <x:c r="K605" s="100" t="str">
        <x:f>IF(B605="","",IF(G605="TL",1,IF(G605="USD",KURLAR!$C$9,IF(G605="EUR",KURLAR!$C$10,0))))</x:f>
      </x:c>
      <x:c r="L605" s="68" t="str">
        <x:f>IF(B605="","",I605*K605)</x:f>
      </x:c>
      <x:c r="M605" s="46"/>
      <x:c r="N605" s="52" t="str">
        <x:f>IF(B605="","",IF(OR(M605="Ödendi",M605="İptal"),"Hayır","Evet"))</x:f>
      </x:c>
    </x:row>
    <x:row r="606">
      <x:c r="B606" s="46"/>
      <x:c r="C606" s="46"/>
      <x:c r="D606" s="112"/>
      <x:c r="E606" s="112"/>
      <x:c r="F606" s="92"/>
      <x:c r="G606" s="92"/>
      <x:c r="H606" s="92"/>
      <x:c r="I606" s="93" t="str">
        <x:f>IF(B606="","",MAX(0,F606-H606))</x:f>
      </x:c>
      <x:c r="J606" s="46"/>
      <x:c r="K606" s="100" t="str">
        <x:f>IF(B606="","",IF(G606="TL",1,IF(G606="USD",KURLAR!$C$9,IF(G606="EUR",KURLAR!$C$10,0))))</x:f>
      </x:c>
      <x:c r="L606" s="68" t="str">
        <x:f>IF(B606="","",I606*K606)</x:f>
      </x:c>
      <x:c r="M606" s="46"/>
      <x:c r="N606" s="52" t="str">
        <x:f>IF(B606="","",IF(OR(M606="Ödendi",M606="İptal"),"Hayır","Evet"))</x:f>
      </x:c>
    </x:row>
    <x:row r="607">
      <x:c r="B607" s="46"/>
      <x:c r="C607" s="46"/>
      <x:c r="D607" s="112"/>
      <x:c r="E607" s="112"/>
      <x:c r="F607" s="92"/>
      <x:c r="G607" s="92"/>
      <x:c r="H607" s="92"/>
      <x:c r="I607" s="93" t="str">
        <x:f>IF(B607="","",MAX(0,F607-H607))</x:f>
      </x:c>
      <x:c r="J607" s="46"/>
      <x:c r="K607" s="100" t="str">
        <x:f>IF(B607="","",IF(G607="TL",1,IF(G607="USD",KURLAR!$C$9,IF(G607="EUR",KURLAR!$C$10,0))))</x:f>
      </x:c>
      <x:c r="L607" s="68" t="str">
        <x:f>IF(B607="","",I607*K607)</x:f>
      </x:c>
      <x:c r="M607" s="46"/>
      <x:c r="N607" s="52" t="str">
        <x:f>IF(B607="","",IF(OR(M607="Ödendi",M607="İptal"),"Hayır","Evet"))</x:f>
      </x:c>
    </x:row>
    <x:row r="608">
      <x:c r="B608" s="46"/>
      <x:c r="C608" s="46"/>
      <x:c r="D608" s="112"/>
      <x:c r="E608" s="112"/>
      <x:c r="F608" s="92"/>
      <x:c r="G608" s="92"/>
      <x:c r="H608" s="92"/>
      <x:c r="I608" s="93" t="str">
        <x:f>IF(B608="","",MAX(0,F608-H608))</x:f>
      </x:c>
      <x:c r="J608" s="46"/>
      <x:c r="K608" s="100" t="str">
        <x:f>IF(B608="","",IF(G608="TL",1,IF(G608="USD",KURLAR!$C$9,IF(G608="EUR",KURLAR!$C$10,0))))</x:f>
      </x:c>
      <x:c r="L608" s="68" t="str">
        <x:f>IF(B608="","",I608*K608)</x:f>
      </x:c>
      <x:c r="M608" s="46"/>
      <x:c r="N608" s="52" t="str">
        <x:f>IF(B608="","",IF(OR(M608="Ödendi",M608="İptal"),"Hayır","Evet"))</x:f>
      </x:c>
    </x:row>
    <x:row r="609">
      <x:c r="B609" s="46"/>
      <x:c r="C609" s="46"/>
      <x:c r="D609" s="112"/>
      <x:c r="E609" s="112"/>
      <x:c r="F609" s="92"/>
      <x:c r="G609" s="92"/>
      <x:c r="H609" s="92"/>
      <x:c r="I609" s="93" t="str">
        <x:f>IF(B609="","",MAX(0,F609-H609))</x:f>
      </x:c>
      <x:c r="J609" s="46"/>
      <x:c r="K609" s="100" t="str">
        <x:f>IF(B609="","",IF(G609="TL",1,IF(G609="USD",KURLAR!$C$9,IF(G609="EUR",KURLAR!$C$10,0))))</x:f>
      </x:c>
      <x:c r="L609" s="68" t="str">
        <x:f>IF(B609="","",I609*K609)</x:f>
      </x:c>
      <x:c r="M609" s="46"/>
      <x:c r="N609" s="52" t="str">
        <x:f>IF(B609="","",IF(OR(M609="Ödendi",M609="İptal"),"Hayır","Evet"))</x:f>
      </x:c>
    </x:row>
    <x:row r="610">
      <x:c r="B610" s="46"/>
      <x:c r="C610" s="46"/>
      <x:c r="D610" s="112"/>
      <x:c r="E610" s="112"/>
      <x:c r="F610" s="92"/>
      <x:c r="G610" s="92"/>
      <x:c r="H610" s="92"/>
      <x:c r="I610" s="93" t="str">
        <x:f>IF(B610="","",MAX(0,F610-H610))</x:f>
      </x:c>
      <x:c r="J610" s="46"/>
      <x:c r="K610" s="100" t="str">
        <x:f>IF(B610="","",IF(G610="TL",1,IF(G610="USD",KURLAR!$C$9,IF(G610="EUR",KURLAR!$C$10,0))))</x:f>
      </x:c>
      <x:c r="L610" s="68" t="str">
        <x:f>IF(B610="","",I610*K610)</x:f>
      </x:c>
      <x:c r="M610" s="46"/>
      <x:c r="N610" s="52" t="str">
        <x:f>IF(B610="","",IF(OR(M610="Ödendi",M610="İptal"),"Hayır","Evet"))</x:f>
      </x:c>
    </x:row>
    <x:row r="611">
      <x:c r="B611" s="46"/>
      <x:c r="C611" s="46"/>
      <x:c r="D611" s="112"/>
      <x:c r="E611" s="112"/>
      <x:c r="F611" s="92"/>
      <x:c r="G611" s="92"/>
      <x:c r="H611" s="92"/>
      <x:c r="I611" s="93" t="str">
        <x:f>IF(B611="","",MAX(0,F611-H611))</x:f>
      </x:c>
      <x:c r="J611" s="46"/>
      <x:c r="K611" s="100" t="str">
        <x:f>IF(B611="","",IF(G611="TL",1,IF(G611="USD",KURLAR!$C$9,IF(G611="EUR",KURLAR!$C$10,0))))</x:f>
      </x:c>
      <x:c r="L611" s="68" t="str">
        <x:f>IF(B611="","",I611*K611)</x:f>
      </x:c>
      <x:c r="M611" s="46"/>
      <x:c r="N611" s="52" t="str">
        <x:f>IF(B611="","",IF(OR(M611="Ödendi",M611="İptal"),"Hayır","Evet"))</x:f>
      </x:c>
    </x:row>
    <x:row r="612">
      <x:c r="B612" s="46"/>
      <x:c r="C612" s="46"/>
      <x:c r="D612" s="112"/>
      <x:c r="E612" s="112"/>
      <x:c r="F612" s="92"/>
      <x:c r="G612" s="92"/>
      <x:c r="H612" s="92"/>
      <x:c r="I612" s="93" t="str">
        <x:f>IF(B612="","",MAX(0,F612-H612))</x:f>
      </x:c>
      <x:c r="J612" s="46"/>
      <x:c r="K612" s="100" t="str">
        <x:f>IF(B612="","",IF(G612="TL",1,IF(G612="USD",KURLAR!$C$9,IF(G612="EUR",KURLAR!$C$10,0))))</x:f>
      </x:c>
      <x:c r="L612" s="68" t="str">
        <x:f>IF(B612="","",I612*K612)</x:f>
      </x:c>
      <x:c r="M612" s="46"/>
      <x:c r="N612" s="52" t="str">
        <x:f>IF(B612="","",IF(OR(M612="Ödendi",M612="İptal"),"Hayır","Evet"))</x:f>
      </x:c>
    </x:row>
    <x:row r="613">
      <x:c r="B613" s="46"/>
      <x:c r="C613" s="46"/>
      <x:c r="D613" s="112"/>
      <x:c r="E613" s="112"/>
      <x:c r="F613" s="92"/>
      <x:c r="G613" s="92"/>
      <x:c r="H613" s="92"/>
      <x:c r="I613" s="93" t="str">
        <x:f>IF(B613="","",MAX(0,F613-H613))</x:f>
      </x:c>
      <x:c r="J613" s="46"/>
      <x:c r="K613" s="100" t="str">
        <x:f>IF(B613="","",IF(G613="TL",1,IF(G613="USD",KURLAR!$C$9,IF(G613="EUR",KURLAR!$C$10,0))))</x:f>
      </x:c>
      <x:c r="L613" s="68" t="str">
        <x:f>IF(B613="","",I613*K613)</x:f>
      </x:c>
      <x:c r="M613" s="46"/>
      <x:c r="N613" s="52" t="str">
        <x:f>IF(B613="","",IF(OR(M613="Ödendi",M613="İptal"),"Hayır","Evet"))</x:f>
      </x:c>
    </x:row>
    <x:row r="614">
      <x:c r="B614" s="46"/>
      <x:c r="C614" s="46"/>
      <x:c r="D614" s="112"/>
      <x:c r="E614" s="112"/>
      <x:c r="F614" s="92"/>
      <x:c r="G614" s="92"/>
      <x:c r="H614" s="92"/>
      <x:c r="I614" s="93" t="str">
        <x:f>IF(B614="","",MAX(0,F614-H614))</x:f>
      </x:c>
      <x:c r="J614" s="46"/>
      <x:c r="K614" s="100" t="str">
        <x:f>IF(B614="","",IF(G614="TL",1,IF(G614="USD",KURLAR!$C$9,IF(G614="EUR",KURLAR!$C$10,0))))</x:f>
      </x:c>
      <x:c r="L614" s="68" t="str">
        <x:f>IF(B614="","",I614*K614)</x:f>
      </x:c>
      <x:c r="M614" s="46"/>
      <x:c r="N614" s="52" t="str">
        <x:f>IF(B614="","",IF(OR(M614="Ödendi",M614="İptal"),"Hayır","Evet"))</x:f>
      </x:c>
    </x:row>
    <x:row r="615">
      <x:c r="B615" s="46"/>
      <x:c r="C615" s="46"/>
      <x:c r="D615" s="112"/>
      <x:c r="E615" s="112"/>
      <x:c r="F615" s="92"/>
      <x:c r="G615" s="92"/>
      <x:c r="H615" s="92"/>
      <x:c r="I615" s="93" t="str">
        <x:f>IF(B615="","",MAX(0,F615-H615))</x:f>
      </x:c>
      <x:c r="J615" s="46"/>
      <x:c r="K615" s="100" t="str">
        <x:f>IF(B615="","",IF(G615="TL",1,IF(G615="USD",KURLAR!$C$9,IF(G615="EUR",KURLAR!$C$10,0))))</x:f>
      </x:c>
      <x:c r="L615" s="68" t="str">
        <x:f>IF(B615="","",I615*K615)</x:f>
      </x:c>
      <x:c r="M615" s="46"/>
      <x:c r="N615" s="52" t="str">
        <x:f>IF(B615="","",IF(OR(M615="Ödendi",M615="İptal"),"Hayır","Evet"))</x:f>
      </x:c>
    </x:row>
    <x:row r="616">
      <x:c r="B616" s="46"/>
      <x:c r="C616" s="46"/>
      <x:c r="D616" s="112"/>
      <x:c r="E616" s="112"/>
      <x:c r="F616" s="92"/>
      <x:c r="G616" s="92"/>
      <x:c r="H616" s="92"/>
      <x:c r="I616" s="93" t="str">
        <x:f>IF(B616="","",MAX(0,F616-H616))</x:f>
      </x:c>
      <x:c r="J616" s="46"/>
      <x:c r="K616" s="100" t="str">
        <x:f>IF(B616="","",IF(G616="TL",1,IF(G616="USD",KURLAR!$C$9,IF(G616="EUR",KURLAR!$C$10,0))))</x:f>
      </x:c>
      <x:c r="L616" s="68" t="str">
        <x:f>IF(B616="","",I616*K616)</x:f>
      </x:c>
      <x:c r="M616" s="46"/>
      <x:c r="N616" s="52" t="str">
        <x:f>IF(B616="","",IF(OR(M616="Ödendi",M616="İptal"),"Hayır","Evet"))</x:f>
      </x:c>
    </x:row>
    <x:row r="617">
      <x:c r="B617" s="46"/>
      <x:c r="C617" s="46"/>
      <x:c r="D617" s="112"/>
      <x:c r="E617" s="112"/>
      <x:c r="F617" s="92"/>
      <x:c r="G617" s="92"/>
      <x:c r="H617" s="92"/>
      <x:c r="I617" s="93" t="str">
        <x:f>IF(B617="","",MAX(0,F617-H617))</x:f>
      </x:c>
      <x:c r="J617" s="46"/>
      <x:c r="K617" s="100" t="str">
        <x:f>IF(B617="","",IF(G617="TL",1,IF(G617="USD",KURLAR!$C$9,IF(G617="EUR",KURLAR!$C$10,0))))</x:f>
      </x:c>
      <x:c r="L617" s="68" t="str">
        <x:f>IF(B617="","",I617*K617)</x:f>
      </x:c>
      <x:c r="M617" s="46"/>
      <x:c r="N617" s="52" t="str">
        <x:f>IF(B617="","",IF(OR(M617="Ödendi",M617="İptal"),"Hayır","Evet"))</x:f>
      </x:c>
    </x:row>
    <x:row r="618">
      <x:c r="B618" s="46"/>
      <x:c r="C618" s="46"/>
      <x:c r="D618" s="112"/>
      <x:c r="E618" s="112"/>
      <x:c r="F618" s="92"/>
      <x:c r="G618" s="92"/>
      <x:c r="H618" s="92"/>
      <x:c r="I618" s="93" t="str">
        <x:f>IF(B618="","",MAX(0,F618-H618))</x:f>
      </x:c>
      <x:c r="J618" s="46"/>
      <x:c r="K618" s="100" t="str">
        <x:f>IF(B618="","",IF(G618="TL",1,IF(G618="USD",KURLAR!$C$9,IF(G618="EUR",KURLAR!$C$10,0))))</x:f>
      </x:c>
      <x:c r="L618" s="68" t="str">
        <x:f>IF(B618="","",I618*K618)</x:f>
      </x:c>
      <x:c r="M618" s="46"/>
      <x:c r="N618" s="52" t="str">
        <x:f>IF(B618="","",IF(OR(M618="Ödendi",M618="İptal"),"Hayır","Evet"))</x:f>
      </x:c>
    </x:row>
    <x:row r="619">
      <x:c r="B619" s="46"/>
      <x:c r="C619" s="46"/>
      <x:c r="D619" s="112"/>
      <x:c r="E619" s="112"/>
      <x:c r="F619" s="92"/>
      <x:c r="G619" s="92"/>
      <x:c r="H619" s="92"/>
      <x:c r="I619" s="93" t="str">
        <x:f>IF(B619="","",MAX(0,F619-H619))</x:f>
      </x:c>
      <x:c r="J619" s="46"/>
      <x:c r="K619" s="100" t="str">
        <x:f>IF(B619="","",IF(G619="TL",1,IF(G619="USD",KURLAR!$C$9,IF(G619="EUR",KURLAR!$C$10,0))))</x:f>
      </x:c>
      <x:c r="L619" s="68" t="str">
        <x:f>IF(B619="","",I619*K619)</x:f>
      </x:c>
      <x:c r="M619" s="46"/>
      <x:c r="N619" s="52" t="str">
        <x:f>IF(B619="","",IF(OR(M619="Ödendi",M619="İptal"),"Hayır","Evet"))</x:f>
      </x:c>
    </x:row>
    <x:row r="620">
      <x:c r="B620" s="46"/>
      <x:c r="C620" s="46"/>
      <x:c r="D620" s="112"/>
      <x:c r="E620" s="112"/>
      <x:c r="F620" s="92"/>
      <x:c r="G620" s="92"/>
      <x:c r="H620" s="92"/>
      <x:c r="I620" s="93" t="str">
        <x:f>IF(B620="","",MAX(0,F620-H620))</x:f>
      </x:c>
      <x:c r="J620" s="46"/>
      <x:c r="K620" s="100" t="str">
        <x:f>IF(B620="","",IF(G620="TL",1,IF(G620="USD",KURLAR!$C$9,IF(G620="EUR",KURLAR!$C$10,0))))</x:f>
      </x:c>
      <x:c r="L620" s="68" t="str">
        <x:f>IF(B620="","",I620*K620)</x:f>
      </x:c>
      <x:c r="M620" s="46"/>
      <x:c r="N620" s="52" t="str">
        <x:f>IF(B620="","",IF(OR(M620="Ödendi",M620="İptal"),"Hayır","Evet"))</x:f>
      </x:c>
    </x:row>
    <x:row r="621">
      <x:c r="B621" s="46"/>
      <x:c r="C621" s="46"/>
      <x:c r="D621" s="112"/>
      <x:c r="E621" s="112"/>
      <x:c r="F621" s="92"/>
      <x:c r="G621" s="92"/>
      <x:c r="H621" s="92"/>
      <x:c r="I621" s="93" t="str">
        <x:f>IF(B621="","",MAX(0,F621-H621))</x:f>
      </x:c>
      <x:c r="J621" s="46"/>
      <x:c r="K621" s="100" t="str">
        <x:f>IF(B621="","",IF(G621="TL",1,IF(G621="USD",KURLAR!$C$9,IF(G621="EUR",KURLAR!$C$10,0))))</x:f>
      </x:c>
      <x:c r="L621" s="68" t="str">
        <x:f>IF(B621="","",I621*K621)</x:f>
      </x:c>
      <x:c r="M621" s="46"/>
      <x:c r="N621" s="52" t="str">
        <x:f>IF(B621="","",IF(OR(M621="Ödendi",M621="İptal"),"Hayır","Evet"))</x:f>
      </x:c>
    </x:row>
    <x:row r="622">
      <x:c r="B622" s="46"/>
      <x:c r="C622" s="46"/>
      <x:c r="D622" s="112"/>
      <x:c r="E622" s="112"/>
      <x:c r="F622" s="92"/>
      <x:c r="G622" s="92"/>
      <x:c r="H622" s="92"/>
      <x:c r="I622" s="93" t="str">
        <x:f>IF(B622="","",MAX(0,F622-H622))</x:f>
      </x:c>
      <x:c r="J622" s="46"/>
      <x:c r="K622" s="100" t="str">
        <x:f>IF(B622="","",IF(G622="TL",1,IF(G622="USD",KURLAR!$C$9,IF(G622="EUR",KURLAR!$C$10,0))))</x:f>
      </x:c>
      <x:c r="L622" s="68" t="str">
        <x:f>IF(B622="","",I622*K622)</x:f>
      </x:c>
      <x:c r="M622" s="46"/>
      <x:c r="N622" s="52" t="str">
        <x:f>IF(B622="","",IF(OR(M622="Ödendi",M622="İptal"),"Hayır","Evet"))</x:f>
      </x:c>
    </x:row>
    <x:row r="623">
      <x:c r="B623" s="46"/>
      <x:c r="C623" s="46"/>
      <x:c r="D623" s="112"/>
      <x:c r="E623" s="112"/>
      <x:c r="F623" s="92"/>
      <x:c r="G623" s="92"/>
      <x:c r="H623" s="92"/>
      <x:c r="I623" s="93" t="str">
        <x:f>IF(B623="","",MAX(0,F623-H623))</x:f>
      </x:c>
      <x:c r="J623" s="46"/>
      <x:c r="K623" s="100" t="str">
        <x:f>IF(B623="","",IF(G623="TL",1,IF(G623="USD",KURLAR!$C$9,IF(G623="EUR",KURLAR!$C$10,0))))</x:f>
      </x:c>
      <x:c r="L623" s="68" t="str">
        <x:f>IF(B623="","",I623*K623)</x:f>
      </x:c>
      <x:c r="M623" s="46"/>
      <x:c r="N623" s="52" t="str">
        <x:f>IF(B623="","",IF(OR(M623="Ödendi",M623="İptal"),"Hayır","Evet"))</x:f>
      </x:c>
    </x:row>
    <x:row r="624">
      <x:c r="B624" s="46"/>
      <x:c r="C624" s="46"/>
      <x:c r="D624" s="112"/>
      <x:c r="E624" s="112"/>
      <x:c r="F624" s="92"/>
      <x:c r="G624" s="92"/>
      <x:c r="H624" s="92"/>
      <x:c r="I624" s="93" t="str">
        <x:f>IF(B624="","",MAX(0,F624-H624))</x:f>
      </x:c>
      <x:c r="J624" s="46"/>
      <x:c r="K624" s="100" t="str">
        <x:f>IF(B624="","",IF(G624="TL",1,IF(G624="USD",KURLAR!$C$9,IF(G624="EUR",KURLAR!$C$10,0))))</x:f>
      </x:c>
      <x:c r="L624" s="68" t="str">
        <x:f>IF(B624="","",I624*K624)</x:f>
      </x:c>
      <x:c r="M624" s="46"/>
      <x:c r="N624" s="52" t="str">
        <x:f>IF(B624="","",IF(OR(M624="Ödendi",M624="İptal"),"Hayır","Evet"))</x:f>
      </x:c>
    </x:row>
    <x:row r="625">
      <x:c r="B625" s="46"/>
      <x:c r="C625" s="46"/>
      <x:c r="D625" s="112"/>
      <x:c r="E625" s="112"/>
      <x:c r="F625" s="92"/>
      <x:c r="G625" s="92"/>
      <x:c r="H625" s="92"/>
      <x:c r="I625" s="93" t="str">
        <x:f>IF(B625="","",MAX(0,F625-H625))</x:f>
      </x:c>
      <x:c r="J625" s="46"/>
      <x:c r="K625" s="100" t="str">
        <x:f>IF(B625="","",IF(G625="TL",1,IF(G625="USD",KURLAR!$C$9,IF(G625="EUR",KURLAR!$C$10,0))))</x:f>
      </x:c>
      <x:c r="L625" s="68" t="str">
        <x:f>IF(B625="","",I625*K625)</x:f>
      </x:c>
      <x:c r="M625" s="46"/>
      <x:c r="N625" s="52" t="str">
        <x:f>IF(B625="","",IF(OR(M625="Ödendi",M625="İptal"),"Hayır","Evet"))</x:f>
      </x:c>
    </x:row>
    <x:row r="626">
      <x:c r="B626" s="46"/>
      <x:c r="C626" s="46"/>
      <x:c r="D626" s="112"/>
      <x:c r="E626" s="112"/>
      <x:c r="F626" s="92"/>
      <x:c r="G626" s="92"/>
      <x:c r="H626" s="92"/>
      <x:c r="I626" s="93" t="str">
        <x:f>IF(B626="","",MAX(0,F626-H626))</x:f>
      </x:c>
      <x:c r="J626" s="46"/>
      <x:c r="K626" s="100" t="str">
        <x:f>IF(B626="","",IF(G626="TL",1,IF(G626="USD",KURLAR!$C$9,IF(G626="EUR",KURLAR!$C$10,0))))</x:f>
      </x:c>
      <x:c r="L626" s="68" t="str">
        <x:f>IF(B626="","",I626*K626)</x:f>
      </x:c>
      <x:c r="M626" s="46"/>
      <x:c r="N626" s="52" t="str">
        <x:f>IF(B626="","",IF(OR(M626="Ödendi",M626="İptal"),"Hayır","Evet"))</x:f>
      </x:c>
    </x:row>
    <x:row r="627">
      <x:c r="B627" s="46"/>
      <x:c r="C627" s="46"/>
      <x:c r="D627" s="112"/>
      <x:c r="E627" s="112"/>
      <x:c r="F627" s="92"/>
      <x:c r="G627" s="92"/>
      <x:c r="H627" s="92"/>
      <x:c r="I627" s="93" t="str">
        <x:f>IF(B627="","",MAX(0,F627-H627))</x:f>
      </x:c>
      <x:c r="J627" s="46"/>
      <x:c r="K627" s="100" t="str">
        <x:f>IF(B627="","",IF(G627="TL",1,IF(G627="USD",KURLAR!$C$9,IF(G627="EUR",KURLAR!$C$10,0))))</x:f>
      </x:c>
      <x:c r="L627" s="68" t="str">
        <x:f>IF(B627="","",I627*K627)</x:f>
      </x:c>
      <x:c r="M627" s="46"/>
      <x:c r="N627" s="52" t="str">
        <x:f>IF(B627="","",IF(OR(M627="Ödendi",M627="İptal"),"Hayır","Evet"))</x:f>
      </x:c>
    </x:row>
    <x:row r="628">
      <x:c r="B628" s="46"/>
      <x:c r="C628" s="46"/>
      <x:c r="D628" s="112"/>
      <x:c r="E628" s="112"/>
      <x:c r="F628" s="92"/>
      <x:c r="G628" s="92"/>
      <x:c r="H628" s="92"/>
      <x:c r="I628" s="93" t="str">
        <x:f>IF(B628="","",MAX(0,F628-H628))</x:f>
      </x:c>
      <x:c r="J628" s="46"/>
      <x:c r="K628" s="100" t="str">
        <x:f>IF(B628="","",IF(G628="TL",1,IF(G628="USD",KURLAR!$C$9,IF(G628="EUR",KURLAR!$C$10,0))))</x:f>
      </x:c>
      <x:c r="L628" s="68" t="str">
        <x:f>IF(B628="","",I628*K628)</x:f>
      </x:c>
      <x:c r="M628" s="46"/>
      <x:c r="N628" s="52" t="str">
        <x:f>IF(B628="","",IF(OR(M628="Ödendi",M628="İptal"),"Hayır","Evet"))</x:f>
      </x:c>
    </x:row>
    <x:row r="629">
      <x:c r="B629" s="46"/>
      <x:c r="C629" s="46"/>
      <x:c r="D629" s="112"/>
      <x:c r="E629" s="112"/>
      <x:c r="F629" s="92"/>
      <x:c r="G629" s="92"/>
      <x:c r="H629" s="92"/>
      <x:c r="I629" s="93" t="str">
        <x:f>IF(B629="","",MAX(0,F629-H629))</x:f>
      </x:c>
      <x:c r="J629" s="46"/>
      <x:c r="K629" s="100" t="str">
        <x:f>IF(B629="","",IF(G629="TL",1,IF(G629="USD",KURLAR!$C$9,IF(G629="EUR",KURLAR!$C$10,0))))</x:f>
      </x:c>
      <x:c r="L629" s="68" t="str">
        <x:f>IF(B629="","",I629*K629)</x:f>
      </x:c>
      <x:c r="M629" s="46"/>
      <x:c r="N629" s="52" t="str">
        <x:f>IF(B629="","",IF(OR(M629="Ödendi",M629="İptal"),"Hayır","Evet"))</x:f>
      </x:c>
    </x:row>
    <x:row r="630">
      <x:c r="B630" s="46"/>
      <x:c r="C630" s="46"/>
      <x:c r="D630" s="112"/>
      <x:c r="E630" s="112"/>
      <x:c r="F630" s="92"/>
      <x:c r="G630" s="92"/>
      <x:c r="H630" s="92"/>
      <x:c r="I630" s="93" t="str">
        <x:f>IF(B630="","",MAX(0,F630-H630))</x:f>
      </x:c>
      <x:c r="J630" s="46"/>
      <x:c r="K630" s="100" t="str">
        <x:f>IF(B630="","",IF(G630="TL",1,IF(G630="USD",KURLAR!$C$9,IF(G630="EUR",KURLAR!$C$10,0))))</x:f>
      </x:c>
      <x:c r="L630" s="68" t="str">
        <x:f>IF(B630="","",I630*K630)</x:f>
      </x:c>
      <x:c r="M630" s="46"/>
      <x:c r="N630" s="52" t="str">
        <x:f>IF(B630="","",IF(OR(M630="Ödendi",M630="İptal"),"Hayır","Evet"))</x:f>
      </x:c>
    </x:row>
    <x:row r="631">
      <x:c r="B631" s="46"/>
      <x:c r="C631" s="46"/>
      <x:c r="D631" s="112"/>
      <x:c r="E631" s="112"/>
      <x:c r="F631" s="92"/>
      <x:c r="G631" s="92"/>
      <x:c r="H631" s="92"/>
      <x:c r="I631" s="93" t="str">
        <x:f>IF(B631="","",MAX(0,F631-H631))</x:f>
      </x:c>
      <x:c r="J631" s="46"/>
      <x:c r="K631" s="100" t="str">
        <x:f>IF(B631="","",IF(G631="TL",1,IF(G631="USD",KURLAR!$C$9,IF(G631="EUR",KURLAR!$C$10,0))))</x:f>
      </x:c>
      <x:c r="L631" s="68" t="str">
        <x:f>IF(B631="","",I631*K631)</x:f>
      </x:c>
      <x:c r="M631" s="46"/>
      <x:c r="N631" s="52" t="str">
        <x:f>IF(B631="","",IF(OR(M631="Ödendi",M631="İptal"),"Hayır","Evet"))</x:f>
      </x:c>
    </x:row>
    <x:row r="632">
      <x:c r="B632" s="46"/>
      <x:c r="C632" s="46"/>
      <x:c r="D632" s="112"/>
      <x:c r="E632" s="112"/>
      <x:c r="F632" s="92"/>
      <x:c r="G632" s="92"/>
      <x:c r="H632" s="92"/>
      <x:c r="I632" s="93" t="str">
        <x:f>IF(B632="","",MAX(0,F632-H632))</x:f>
      </x:c>
      <x:c r="J632" s="46"/>
      <x:c r="K632" s="100" t="str">
        <x:f>IF(B632="","",IF(G632="TL",1,IF(G632="USD",KURLAR!$C$9,IF(G632="EUR",KURLAR!$C$10,0))))</x:f>
      </x:c>
      <x:c r="L632" s="68" t="str">
        <x:f>IF(B632="","",I632*K632)</x:f>
      </x:c>
      <x:c r="M632" s="46"/>
      <x:c r="N632" s="52" t="str">
        <x:f>IF(B632="","",IF(OR(M632="Ödendi",M632="İptal"),"Hayır","Evet"))</x:f>
      </x:c>
    </x:row>
    <x:row r="633">
      <x:c r="B633" s="46"/>
      <x:c r="C633" s="46"/>
      <x:c r="D633" s="112"/>
      <x:c r="E633" s="112"/>
      <x:c r="F633" s="92"/>
      <x:c r="G633" s="92"/>
      <x:c r="H633" s="92"/>
      <x:c r="I633" s="93" t="str">
        <x:f>IF(B633="","",MAX(0,F633-H633))</x:f>
      </x:c>
      <x:c r="J633" s="46"/>
      <x:c r="K633" s="100" t="str">
        <x:f>IF(B633="","",IF(G633="TL",1,IF(G633="USD",KURLAR!$C$9,IF(G633="EUR",KURLAR!$C$10,0))))</x:f>
      </x:c>
      <x:c r="L633" s="68" t="str">
        <x:f>IF(B633="","",I633*K633)</x:f>
      </x:c>
      <x:c r="M633" s="46"/>
      <x:c r="N633" s="52" t="str">
        <x:f>IF(B633="","",IF(OR(M633="Ödendi",M633="İptal"),"Hayır","Evet"))</x:f>
      </x:c>
    </x:row>
    <x:row r="634">
      <x:c r="B634" s="46"/>
      <x:c r="C634" s="46"/>
      <x:c r="D634" s="112"/>
      <x:c r="E634" s="112"/>
      <x:c r="F634" s="92"/>
      <x:c r="G634" s="92"/>
      <x:c r="H634" s="92"/>
      <x:c r="I634" s="93" t="str">
        <x:f>IF(B634="","",MAX(0,F634-H634))</x:f>
      </x:c>
      <x:c r="J634" s="46"/>
      <x:c r="K634" s="100" t="str">
        <x:f>IF(B634="","",IF(G634="TL",1,IF(G634="USD",KURLAR!$C$9,IF(G634="EUR",KURLAR!$C$10,0))))</x:f>
      </x:c>
      <x:c r="L634" s="68" t="str">
        <x:f>IF(B634="","",I634*K634)</x:f>
      </x:c>
      <x:c r="M634" s="46"/>
      <x:c r="N634" s="52" t="str">
        <x:f>IF(B634="","",IF(OR(M634="Ödendi",M634="İptal"),"Hayır","Evet"))</x:f>
      </x:c>
    </x:row>
    <x:row r="635">
      <x:c r="B635" s="46"/>
      <x:c r="C635" s="46"/>
      <x:c r="D635" s="112"/>
      <x:c r="E635" s="112"/>
      <x:c r="F635" s="92"/>
      <x:c r="G635" s="92"/>
      <x:c r="H635" s="92"/>
      <x:c r="I635" s="93" t="str">
        <x:f>IF(B635="","",MAX(0,F635-H635))</x:f>
      </x:c>
      <x:c r="J635" s="46"/>
      <x:c r="K635" s="100" t="str">
        <x:f>IF(B635="","",IF(G635="TL",1,IF(G635="USD",KURLAR!$C$9,IF(G635="EUR",KURLAR!$C$10,0))))</x:f>
      </x:c>
      <x:c r="L635" s="68" t="str">
        <x:f>IF(B635="","",I635*K635)</x:f>
      </x:c>
      <x:c r="M635" s="46"/>
      <x:c r="N635" s="52" t="str">
        <x:f>IF(B635="","",IF(OR(M635="Ödendi",M635="İptal"),"Hayır","Evet"))</x:f>
      </x:c>
    </x:row>
    <x:row r="636">
      <x:c r="B636" s="46"/>
      <x:c r="C636" s="46"/>
      <x:c r="D636" s="112"/>
      <x:c r="E636" s="112"/>
      <x:c r="F636" s="92"/>
      <x:c r="G636" s="92"/>
      <x:c r="H636" s="92"/>
      <x:c r="I636" s="93" t="str">
        <x:f>IF(B636="","",MAX(0,F636-H636))</x:f>
      </x:c>
      <x:c r="J636" s="46"/>
      <x:c r="K636" s="100" t="str">
        <x:f>IF(B636="","",IF(G636="TL",1,IF(G636="USD",KURLAR!$C$9,IF(G636="EUR",KURLAR!$C$10,0))))</x:f>
      </x:c>
      <x:c r="L636" s="68" t="str">
        <x:f>IF(B636="","",I636*K636)</x:f>
      </x:c>
      <x:c r="M636" s="46"/>
      <x:c r="N636" s="52" t="str">
        <x:f>IF(B636="","",IF(OR(M636="Ödendi",M636="İptal"),"Hayır","Evet"))</x:f>
      </x:c>
    </x:row>
    <x:row r="637">
      <x:c r="B637" s="46"/>
      <x:c r="C637" s="46"/>
      <x:c r="D637" s="112"/>
      <x:c r="E637" s="112"/>
      <x:c r="F637" s="92"/>
      <x:c r="G637" s="92"/>
      <x:c r="H637" s="92"/>
      <x:c r="I637" s="93" t="str">
        <x:f>IF(B637="","",MAX(0,F637-H637))</x:f>
      </x:c>
      <x:c r="J637" s="46"/>
      <x:c r="K637" s="100" t="str">
        <x:f>IF(B637="","",IF(G637="TL",1,IF(G637="USD",KURLAR!$C$9,IF(G637="EUR",KURLAR!$C$10,0))))</x:f>
      </x:c>
      <x:c r="L637" s="68" t="str">
        <x:f>IF(B637="","",I637*K637)</x:f>
      </x:c>
      <x:c r="M637" s="46"/>
      <x:c r="N637" s="52" t="str">
        <x:f>IF(B637="","",IF(OR(M637="Ödendi",M637="İptal"),"Hayır","Evet"))</x:f>
      </x:c>
    </x:row>
    <x:row r="638">
      <x:c r="B638" s="46"/>
      <x:c r="C638" s="46"/>
      <x:c r="D638" s="112"/>
      <x:c r="E638" s="112"/>
      <x:c r="F638" s="92"/>
      <x:c r="G638" s="92"/>
      <x:c r="H638" s="92"/>
      <x:c r="I638" s="93" t="str">
        <x:f>IF(B638="","",MAX(0,F638-H638))</x:f>
      </x:c>
      <x:c r="J638" s="46"/>
      <x:c r="K638" s="100" t="str">
        <x:f>IF(B638="","",IF(G638="TL",1,IF(G638="USD",KURLAR!$C$9,IF(G638="EUR",KURLAR!$C$10,0))))</x:f>
      </x:c>
      <x:c r="L638" s="68" t="str">
        <x:f>IF(B638="","",I638*K638)</x:f>
      </x:c>
      <x:c r="M638" s="46"/>
      <x:c r="N638" s="52" t="str">
        <x:f>IF(B638="","",IF(OR(M638="Ödendi",M638="İptal"),"Hayır","Evet"))</x:f>
      </x:c>
    </x:row>
    <x:row r="639">
      <x:c r="B639" s="46"/>
      <x:c r="C639" s="46"/>
      <x:c r="D639" s="112"/>
      <x:c r="E639" s="112"/>
      <x:c r="F639" s="92"/>
      <x:c r="G639" s="92"/>
      <x:c r="H639" s="92"/>
      <x:c r="I639" s="93" t="str">
        <x:f>IF(B639="","",MAX(0,F639-H639))</x:f>
      </x:c>
      <x:c r="J639" s="46"/>
      <x:c r="K639" s="100" t="str">
        <x:f>IF(B639="","",IF(G639="TL",1,IF(G639="USD",KURLAR!$C$9,IF(G639="EUR",KURLAR!$C$10,0))))</x:f>
      </x:c>
      <x:c r="L639" s="68" t="str">
        <x:f>IF(B639="","",I639*K639)</x:f>
      </x:c>
      <x:c r="M639" s="46"/>
      <x:c r="N639" s="52" t="str">
        <x:f>IF(B639="","",IF(OR(M639="Ödendi",M639="İptal"),"Hayır","Evet"))</x:f>
      </x:c>
    </x:row>
    <x:row r="640">
      <x:c r="B640" s="46"/>
      <x:c r="C640" s="46"/>
      <x:c r="D640" s="112"/>
      <x:c r="E640" s="112"/>
      <x:c r="F640" s="92"/>
      <x:c r="G640" s="92"/>
      <x:c r="H640" s="92"/>
      <x:c r="I640" s="93" t="str">
        <x:f>IF(B640="","",MAX(0,F640-H640))</x:f>
      </x:c>
      <x:c r="J640" s="46"/>
      <x:c r="K640" s="100" t="str">
        <x:f>IF(B640="","",IF(G640="TL",1,IF(G640="USD",KURLAR!$C$9,IF(G640="EUR",KURLAR!$C$10,0))))</x:f>
      </x:c>
      <x:c r="L640" s="68" t="str">
        <x:f>IF(B640="","",I640*K640)</x:f>
      </x:c>
      <x:c r="M640" s="46"/>
      <x:c r="N640" s="52" t="str">
        <x:f>IF(B640="","",IF(OR(M640="Ödendi",M640="İptal"),"Hayır","Evet"))</x:f>
      </x:c>
    </x:row>
    <x:row r="641">
      <x:c r="B641" s="46"/>
      <x:c r="C641" s="46"/>
      <x:c r="D641" s="112"/>
      <x:c r="E641" s="112"/>
      <x:c r="F641" s="92"/>
      <x:c r="G641" s="92"/>
      <x:c r="H641" s="92"/>
      <x:c r="I641" s="93" t="str">
        <x:f>IF(B641="","",MAX(0,F641-H641))</x:f>
      </x:c>
      <x:c r="J641" s="46"/>
      <x:c r="K641" s="100" t="str">
        <x:f>IF(B641="","",IF(G641="TL",1,IF(G641="USD",KURLAR!$C$9,IF(G641="EUR",KURLAR!$C$10,0))))</x:f>
      </x:c>
      <x:c r="L641" s="68" t="str">
        <x:f>IF(B641="","",I641*K641)</x:f>
      </x:c>
      <x:c r="M641" s="46"/>
      <x:c r="N641" s="52" t="str">
        <x:f>IF(B641="","",IF(OR(M641="Ödendi",M641="İptal"),"Hayır","Evet"))</x:f>
      </x:c>
    </x:row>
    <x:row r="642">
      <x:c r="B642" s="46"/>
      <x:c r="C642" s="46"/>
      <x:c r="D642" s="112"/>
      <x:c r="E642" s="112"/>
      <x:c r="F642" s="92"/>
      <x:c r="G642" s="92"/>
      <x:c r="H642" s="92"/>
      <x:c r="I642" s="93" t="str">
        <x:f>IF(B642="","",MAX(0,F642-H642))</x:f>
      </x:c>
      <x:c r="J642" s="46"/>
      <x:c r="K642" s="100" t="str">
        <x:f>IF(B642="","",IF(G642="TL",1,IF(G642="USD",KURLAR!$C$9,IF(G642="EUR",KURLAR!$C$10,0))))</x:f>
      </x:c>
      <x:c r="L642" s="68" t="str">
        <x:f>IF(B642="","",I642*K642)</x:f>
      </x:c>
      <x:c r="M642" s="46"/>
      <x:c r="N642" s="52" t="str">
        <x:f>IF(B642="","",IF(OR(M642="Ödendi",M642="İptal"),"Hayır","Evet"))</x:f>
      </x:c>
    </x:row>
    <x:row r="643">
      <x:c r="B643" s="46"/>
      <x:c r="C643" s="46"/>
      <x:c r="D643" s="112"/>
      <x:c r="E643" s="112"/>
      <x:c r="F643" s="92"/>
      <x:c r="G643" s="92"/>
      <x:c r="H643" s="92"/>
      <x:c r="I643" s="93" t="str">
        <x:f>IF(B643="","",MAX(0,F643-H643))</x:f>
      </x:c>
      <x:c r="J643" s="46"/>
      <x:c r="K643" s="100" t="str">
        <x:f>IF(B643="","",IF(G643="TL",1,IF(G643="USD",KURLAR!$C$9,IF(G643="EUR",KURLAR!$C$10,0))))</x:f>
      </x:c>
      <x:c r="L643" s="68" t="str">
        <x:f>IF(B643="","",I643*K643)</x:f>
      </x:c>
      <x:c r="M643" s="46"/>
      <x:c r="N643" s="52" t="str">
        <x:f>IF(B643="","",IF(OR(M643="Ödendi",M643="İptal"),"Hayır","Evet"))</x:f>
      </x:c>
    </x:row>
    <x:row r="644">
      <x:c r="B644" s="46"/>
      <x:c r="C644" s="46"/>
      <x:c r="D644" s="112"/>
      <x:c r="E644" s="112"/>
      <x:c r="F644" s="92"/>
      <x:c r="G644" s="92"/>
      <x:c r="H644" s="92"/>
      <x:c r="I644" s="93" t="str">
        <x:f>IF(B644="","",MAX(0,F644-H644))</x:f>
      </x:c>
      <x:c r="J644" s="46"/>
      <x:c r="K644" s="100" t="str">
        <x:f>IF(B644="","",IF(G644="TL",1,IF(G644="USD",KURLAR!$C$9,IF(G644="EUR",KURLAR!$C$10,0))))</x:f>
      </x:c>
      <x:c r="L644" s="68" t="str">
        <x:f>IF(B644="","",I644*K644)</x:f>
      </x:c>
      <x:c r="M644" s="46"/>
      <x:c r="N644" s="52" t="str">
        <x:f>IF(B644="","",IF(OR(M644="Ödendi",M644="İptal"),"Hayır","Evet"))</x:f>
      </x:c>
    </x:row>
    <x:row r="645">
      <x:c r="B645" s="46"/>
      <x:c r="C645" s="46"/>
      <x:c r="D645" s="112"/>
      <x:c r="E645" s="112"/>
      <x:c r="F645" s="92"/>
      <x:c r="G645" s="92"/>
      <x:c r="H645" s="92"/>
      <x:c r="I645" s="93" t="str">
        <x:f>IF(B645="","",MAX(0,F645-H645))</x:f>
      </x:c>
      <x:c r="J645" s="46"/>
      <x:c r="K645" s="100" t="str">
        <x:f>IF(B645="","",IF(G645="TL",1,IF(G645="USD",KURLAR!$C$9,IF(G645="EUR",KURLAR!$C$10,0))))</x:f>
      </x:c>
      <x:c r="L645" s="68" t="str">
        <x:f>IF(B645="","",I645*K645)</x:f>
      </x:c>
      <x:c r="M645" s="46"/>
      <x:c r="N645" s="52" t="str">
        <x:f>IF(B645="","",IF(OR(M645="Ödendi",M645="İptal"),"Hayır","Evet"))</x:f>
      </x:c>
    </x:row>
    <x:row r="646">
      <x:c r="B646" s="46"/>
      <x:c r="C646" s="46"/>
      <x:c r="D646" s="112"/>
      <x:c r="E646" s="112"/>
      <x:c r="F646" s="92"/>
      <x:c r="G646" s="92"/>
      <x:c r="H646" s="92"/>
      <x:c r="I646" s="93" t="str">
        <x:f>IF(B646="","",MAX(0,F646-H646))</x:f>
      </x:c>
      <x:c r="J646" s="46"/>
      <x:c r="K646" s="100" t="str">
        <x:f>IF(B646="","",IF(G646="TL",1,IF(G646="USD",KURLAR!$C$9,IF(G646="EUR",KURLAR!$C$10,0))))</x:f>
      </x:c>
      <x:c r="L646" s="68" t="str">
        <x:f>IF(B646="","",I646*K646)</x:f>
      </x:c>
      <x:c r="M646" s="46"/>
      <x:c r="N646" s="52" t="str">
        <x:f>IF(B646="","",IF(OR(M646="Ödendi",M646="İptal"),"Hayır","Evet"))</x:f>
      </x:c>
    </x:row>
    <x:row r="647">
      <x:c r="B647" s="46"/>
      <x:c r="C647" s="46"/>
      <x:c r="D647" s="112"/>
      <x:c r="E647" s="112"/>
      <x:c r="F647" s="92"/>
      <x:c r="G647" s="92"/>
      <x:c r="H647" s="92"/>
      <x:c r="I647" s="93" t="str">
        <x:f>IF(B647="","",MAX(0,F647-H647))</x:f>
      </x:c>
      <x:c r="J647" s="46"/>
      <x:c r="K647" s="100" t="str">
        <x:f>IF(B647="","",IF(G647="TL",1,IF(G647="USD",KURLAR!$C$9,IF(G647="EUR",KURLAR!$C$10,0))))</x:f>
      </x:c>
      <x:c r="L647" s="68" t="str">
        <x:f>IF(B647="","",I647*K647)</x:f>
      </x:c>
      <x:c r="M647" s="46"/>
      <x:c r="N647" s="52" t="str">
        <x:f>IF(B647="","",IF(OR(M647="Ödendi",M647="İptal"),"Hayır","Evet"))</x:f>
      </x:c>
    </x:row>
    <x:row r="648">
      <x:c r="B648" s="46"/>
      <x:c r="C648" s="46"/>
      <x:c r="D648" s="112"/>
      <x:c r="E648" s="112"/>
      <x:c r="F648" s="92"/>
      <x:c r="G648" s="92"/>
      <x:c r="H648" s="92"/>
      <x:c r="I648" s="93" t="str">
        <x:f>IF(B648="","",MAX(0,F648-H648))</x:f>
      </x:c>
      <x:c r="J648" s="46"/>
      <x:c r="K648" s="100" t="str">
        <x:f>IF(B648="","",IF(G648="TL",1,IF(G648="USD",KURLAR!$C$9,IF(G648="EUR",KURLAR!$C$10,0))))</x:f>
      </x:c>
      <x:c r="L648" s="68" t="str">
        <x:f>IF(B648="","",I648*K648)</x:f>
      </x:c>
      <x:c r="M648" s="46"/>
      <x:c r="N648" s="52" t="str">
        <x:f>IF(B648="","",IF(OR(M648="Ödendi",M648="İptal"),"Hayır","Evet"))</x:f>
      </x:c>
    </x:row>
    <x:row r="649">
      <x:c r="B649" s="46"/>
      <x:c r="C649" s="46"/>
      <x:c r="D649" s="112"/>
      <x:c r="E649" s="112"/>
      <x:c r="F649" s="92"/>
      <x:c r="G649" s="92"/>
      <x:c r="H649" s="92"/>
      <x:c r="I649" s="93" t="str">
        <x:f>IF(B649="","",MAX(0,F649-H649))</x:f>
      </x:c>
      <x:c r="J649" s="46"/>
      <x:c r="K649" s="100" t="str">
        <x:f>IF(B649="","",IF(G649="TL",1,IF(G649="USD",KURLAR!$C$9,IF(G649="EUR",KURLAR!$C$10,0))))</x:f>
      </x:c>
      <x:c r="L649" s="68" t="str">
        <x:f>IF(B649="","",I649*K649)</x:f>
      </x:c>
      <x:c r="M649" s="46"/>
      <x:c r="N649" s="52" t="str">
        <x:f>IF(B649="","",IF(OR(M649="Ödendi",M649="İptal"),"Hayır","Evet"))</x:f>
      </x:c>
    </x:row>
    <x:row r="650">
      <x:c r="B650" s="46"/>
      <x:c r="C650" s="46"/>
      <x:c r="D650" s="112"/>
      <x:c r="E650" s="112"/>
      <x:c r="F650" s="92"/>
      <x:c r="G650" s="92"/>
      <x:c r="H650" s="92"/>
      <x:c r="I650" s="93" t="str">
        <x:f>IF(B650="","",MAX(0,F650-H650))</x:f>
      </x:c>
      <x:c r="J650" s="46"/>
      <x:c r="K650" s="100" t="str">
        <x:f>IF(B650="","",IF(G650="TL",1,IF(G650="USD",KURLAR!$C$9,IF(G650="EUR",KURLAR!$C$10,0))))</x:f>
      </x:c>
      <x:c r="L650" s="68" t="str">
        <x:f>IF(B650="","",I650*K650)</x:f>
      </x:c>
      <x:c r="M650" s="46"/>
      <x:c r="N650" s="52" t="str">
        <x:f>IF(B650="","",IF(OR(M650="Ödendi",M650="İptal"),"Hayır","Evet"))</x:f>
      </x:c>
    </x:row>
    <x:row r="651">
      <x:c r="B651" s="46"/>
      <x:c r="C651" s="46"/>
      <x:c r="D651" s="112"/>
      <x:c r="E651" s="112"/>
      <x:c r="F651" s="92"/>
      <x:c r="G651" s="92"/>
      <x:c r="H651" s="92"/>
      <x:c r="I651" s="93" t="str">
        <x:f>IF(B651="","",MAX(0,F651-H651))</x:f>
      </x:c>
      <x:c r="J651" s="46"/>
      <x:c r="K651" s="100" t="str">
        <x:f>IF(B651="","",IF(G651="TL",1,IF(G651="USD",KURLAR!$C$9,IF(G651="EUR",KURLAR!$C$10,0))))</x:f>
      </x:c>
      <x:c r="L651" s="68" t="str">
        <x:f>IF(B651="","",I651*K651)</x:f>
      </x:c>
      <x:c r="M651" s="46"/>
      <x:c r="N651" s="52" t="str">
        <x:f>IF(B651="","",IF(OR(M651="Ödendi",M651="İptal"),"Hayır","Evet"))</x:f>
      </x:c>
    </x:row>
    <x:row r="652">
      <x:c r="B652" s="46"/>
      <x:c r="C652" s="46"/>
      <x:c r="D652" s="112"/>
      <x:c r="E652" s="112"/>
      <x:c r="F652" s="92"/>
      <x:c r="G652" s="92"/>
      <x:c r="H652" s="92"/>
      <x:c r="I652" s="93" t="str">
        <x:f>IF(B652="","",MAX(0,F652-H652))</x:f>
      </x:c>
      <x:c r="J652" s="46"/>
      <x:c r="K652" s="100" t="str">
        <x:f>IF(B652="","",IF(G652="TL",1,IF(G652="USD",KURLAR!$C$9,IF(G652="EUR",KURLAR!$C$10,0))))</x:f>
      </x:c>
      <x:c r="L652" s="68" t="str">
        <x:f>IF(B652="","",I652*K652)</x:f>
      </x:c>
      <x:c r="M652" s="46"/>
      <x:c r="N652" s="52" t="str">
        <x:f>IF(B652="","",IF(OR(M652="Ödendi",M652="İptal"),"Hayır","Evet"))</x:f>
      </x:c>
    </x:row>
    <x:row r="653">
      <x:c r="B653" s="46"/>
      <x:c r="C653" s="46"/>
      <x:c r="D653" s="112"/>
      <x:c r="E653" s="112"/>
      <x:c r="F653" s="92"/>
      <x:c r="G653" s="92"/>
      <x:c r="H653" s="92"/>
      <x:c r="I653" s="93" t="str">
        <x:f>IF(B653="","",MAX(0,F653-H653))</x:f>
      </x:c>
      <x:c r="J653" s="46"/>
      <x:c r="K653" s="100" t="str">
        <x:f>IF(B653="","",IF(G653="TL",1,IF(G653="USD",KURLAR!$C$9,IF(G653="EUR",KURLAR!$C$10,0))))</x:f>
      </x:c>
      <x:c r="L653" s="68" t="str">
        <x:f>IF(B653="","",I653*K653)</x:f>
      </x:c>
      <x:c r="M653" s="46"/>
      <x:c r="N653" s="52" t="str">
        <x:f>IF(B653="","",IF(OR(M653="Ödendi",M653="İptal"),"Hayır","Evet"))</x:f>
      </x:c>
    </x:row>
    <x:row r="654">
      <x:c r="B654" s="46"/>
      <x:c r="C654" s="46"/>
      <x:c r="D654" s="112"/>
      <x:c r="E654" s="112"/>
      <x:c r="F654" s="92"/>
      <x:c r="G654" s="92"/>
      <x:c r="H654" s="92"/>
      <x:c r="I654" s="93" t="str">
        <x:f>IF(B654="","",MAX(0,F654-H654))</x:f>
      </x:c>
      <x:c r="J654" s="46"/>
      <x:c r="K654" s="100" t="str">
        <x:f>IF(B654="","",IF(G654="TL",1,IF(G654="USD",KURLAR!$C$9,IF(G654="EUR",KURLAR!$C$10,0))))</x:f>
      </x:c>
      <x:c r="L654" s="68" t="str">
        <x:f>IF(B654="","",I654*K654)</x:f>
      </x:c>
      <x:c r="M654" s="46"/>
      <x:c r="N654" s="52" t="str">
        <x:f>IF(B654="","",IF(OR(M654="Ödendi",M654="İptal"),"Hayır","Evet"))</x:f>
      </x:c>
    </x:row>
    <x:row r="655">
      <x:c r="B655" s="46"/>
      <x:c r="C655" s="46"/>
      <x:c r="D655" s="112"/>
      <x:c r="E655" s="112"/>
      <x:c r="F655" s="92"/>
      <x:c r="G655" s="92"/>
      <x:c r="H655" s="92"/>
      <x:c r="I655" s="93" t="str">
        <x:f>IF(B655="","",MAX(0,F655-H655))</x:f>
      </x:c>
      <x:c r="J655" s="46"/>
      <x:c r="K655" s="100" t="str">
        <x:f>IF(B655="","",IF(G655="TL",1,IF(G655="USD",KURLAR!$C$9,IF(G655="EUR",KURLAR!$C$10,0))))</x:f>
      </x:c>
      <x:c r="L655" s="68" t="str">
        <x:f>IF(B655="","",I655*K655)</x:f>
      </x:c>
      <x:c r="M655" s="46"/>
      <x:c r="N655" s="52" t="str">
        <x:f>IF(B655="","",IF(OR(M655="Ödendi",M655="İptal"),"Hayır","Evet"))</x:f>
      </x:c>
    </x:row>
    <x:row r="656">
      <x:c r="B656" s="46"/>
      <x:c r="C656" s="46"/>
      <x:c r="D656" s="112"/>
      <x:c r="E656" s="112"/>
      <x:c r="F656" s="92"/>
      <x:c r="G656" s="92"/>
      <x:c r="H656" s="92"/>
      <x:c r="I656" s="93" t="str">
        <x:f>IF(B656="","",MAX(0,F656-H656))</x:f>
      </x:c>
      <x:c r="J656" s="46"/>
      <x:c r="K656" s="100" t="str">
        <x:f>IF(B656="","",IF(G656="TL",1,IF(G656="USD",KURLAR!$C$9,IF(G656="EUR",KURLAR!$C$10,0))))</x:f>
      </x:c>
      <x:c r="L656" s="68" t="str">
        <x:f>IF(B656="","",I656*K656)</x:f>
      </x:c>
      <x:c r="M656" s="46"/>
      <x:c r="N656" s="52" t="str">
        <x:f>IF(B656="","",IF(OR(M656="Ödendi",M656="İptal"),"Hayır","Evet"))</x:f>
      </x:c>
    </x:row>
    <x:row r="657">
      <x:c r="B657" s="46"/>
      <x:c r="C657" s="46"/>
      <x:c r="D657" s="112"/>
      <x:c r="E657" s="112"/>
      <x:c r="F657" s="92"/>
      <x:c r="G657" s="92"/>
      <x:c r="H657" s="92"/>
      <x:c r="I657" s="93" t="str">
        <x:f>IF(B657="","",MAX(0,F657-H657))</x:f>
      </x:c>
      <x:c r="J657" s="46"/>
      <x:c r="K657" s="100" t="str">
        <x:f>IF(B657="","",IF(G657="TL",1,IF(G657="USD",KURLAR!$C$9,IF(G657="EUR",KURLAR!$C$10,0))))</x:f>
      </x:c>
      <x:c r="L657" s="68" t="str">
        <x:f>IF(B657="","",I657*K657)</x:f>
      </x:c>
      <x:c r="M657" s="46"/>
      <x:c r="N657" s="52" t="str">
        <x:f>IF(B657="","",IF(OR(M657="Ödendi",M657="İptal"),"Hayır","Evet"))</x:f>
      </x:c>
    </x:row>
    <x:row r="658">
      <x:c r="B658" s="46"/>
      <x:c r="C658" s="46"/>
      <x:c r="D658" s="112"/>
      <x:c r="E658" s="112"/>
      <x:c r="F658" s="92"/>
      <x:c r="G658" s="92"/>
      <x:c r="H658" s="92"/>
      <x:c r="I658" s="93" t="str">
        <x:f>IF(B658="","",MAX(0,F658-H658))</x:f>
      </x:c>
      <x:c r="J658" s="46"/>
      <x:c r="K658" s="100" t="str">
        <x:f>IF(B658="","",IF(G658="TL",1,IF(G658="USD",KURLAR!$C$9,IF(G658="EUR",KURLAR!$C$10,0))))</x:f>
      </x:c>
      <x:c r="L658" s="68" t="str">
        <x:f>IF(B658="","",I658*K658)</x:f>
      </x:c>
      <x:c r="M658" s="46"/>
      <x:c r="N658" s="52" t="str">
        <x:f>IF(B658="","",IF(OR(M658="Ödendi",M658="İptal"),"Hayır","Evet"))</x:f>
      </x:c>
    </x:row>
    <x:row r="659">
      <x:c r="B659" s="46"/>
      <x:c r="C659" s="46"/>
      <x:c r="D659" s="112"/>
      <x:c r="E659" s="112"/>
      <x:c r="F659" s="92"/>
      <x:c r="G659" s="92"/>
      <x:c r="H659" s="92"/>
      <x:c r="I659" s="93" t="str">
        <x:f>IF(B659="","",MAX(0,F659-H659))</x:f>
      </x:c>
      <x:c r="J659" s="46"/>
      <x:c r="K659" s="100" t="str">
        <x:f>IF(B659="","",IF(G659="TL",1,IF(G659="USD",KURLAR!$C$9,IF(G659="EUR",KURLAR!$C$10,0))))</x:f>
      </x:c>
      <x:c r="L659" s="68" t="str">
        <x:f>IF(B659="","",I659*K659)</x:f>
      </x:c>
      <x:c r="M659" s="46"/>
      <x:c r="N659" s="52" t="str">
        <x:f>IF(B659="","",IF(OR(M659="Ödendi",M659="İptal"),"Hayır","Evet"))</x:f>
      </x:c>
    </x:row>
    <x:row r="660">
      <x:c r="B660" s="46"/>
      <x:c r="C660" s="46"/>
      <x:c r="D660" s="112"/>
      <x:c r="E660" s="112"/>
      <x:c r="F660" s="92"/>
      <x:c r="G660" s="92"/>
      <x:c r="H660" s="92"/>
      <x:c r="I660" s="93" t="str">
        <x:f>IF(B660="","",MAX(0,F660-H660))</x:f>
      </x:c>
      <x:c r="J660" s="46"/>
      <x:c r="K660" s="100" t="str">
        <x:f>IF(B660="","",IF(G660="TL",1,IF(G660="USD",KURLAR!$C$9,IF(G660="EUR",KURLAR!$C$10,0))))</x:f>
      </x:c>
      <x:c r="L660" s="68" t="str">
        <x:f>IF(B660="","",I660*K660)</x:f>
      </x:c>
      <x:c r="M660" s="46"/>
      <x:c r="N660" s="52" t="str">
        <x:f>IF(B660="","",IF(OR(M660="Ödendi",M660="İptal"),"Hayır","Evet"))</x:f>
      </x:c>
    </x:row>
    <x:row r="661">
      <x:c r="B661" s="46"/>
      <x:c r="C661" s="46"/>
      <x:c r="D661" s="112"/>
      <x:c r="E661" s="112"/>
      <x:c r="F661" s="92"/>
      <x:c r="G661" s="92"/>
      <x:c r="H661" s="92"/>
      <x:c r="I661" s="93" t="str">
        <x:f>IF(B661="","",MAX(0,F661-H661))</x:f>
      </x:c>
      <x:c r="J661" s="46"/>
      <x:c r="K661" s="100" t="str">
        <x:f>IF(B661="","",IF(G661="TL",1,IF(G661="USD",KURLAR!$C$9,IF(G661="EUR",KURLAR!$C$10,0))))</x:f>
      </x:c>
      <x:c r="L661" s="68" t="str">
        <x:f>IF(B661="","",I661*K661)</x:f>
      </x:c>
      <x:c r="M661" s="46"/>
      <x:c r="N661" s="52" t="str">
        <x:f>IF(B661="","",IF(OR(M661="Ödendi",M661="İptal"),"Hayır","Evet"))</x:f>
      </x:c>
    </x:row>
    <x:row r="662">
      <x:c r="B662" s="46"/>
      <x:c r="C662" s="46"/>
      <x:c r="D662" s="112"/>
      <x:c r="E662" s="112"/>
      <x:c r="F662" s="92"/>
      <x:c r="G662" s="92"/>
      <x:c r="H662" s="92"/>
      <x:c r="I662" s="93" t="str">
        <x:f>IF(B662="","",MAX(0,F662-H662))</x:f>
      </x:c>
      <x:c r="J662" s="46"/>
      <x:c r="K662" s="100" t="str">
        <x:f>IF(B662="","",IF(G662="TL",1,IF(G662="USD",KURLAR!$C$9,IF(G662="EUR",KURLAR!$C$10,0))))</x:f>
      </x:c>
      <x:c r="L662" s="68" t="str">
        <x:f>IF(B662="","",I662*K662)</x:f>
      </x:c>
      <x:c r="M662" s="46"/>
      <x:c r="N662" s="52" t="str">
        <x:f>IF(B662="","",IF(OR(M662="Ödendi",M662="İptal"),"Hayır","Evet"))</x:f>
      </x:c>
    </x:row>
    <x:row r="663">
      <x:c r="B663" s="46"/>
      <x:c r="C663" s="46"/>
      <x:c r="D663" s="112"/>
      <x:c r="E663" s="112"/>
      <x:c r="F663" s="92"/>
      <x:c r="G663" s="92"/>
      <x:c r="H663" s="92"/>
      <x:c r="I663" s="93" t="str">
        <x:f>IF(B663="","",MAX(0,F663-H663))</x:f>
      </x:c>
      <x:c r="J663" s="46"/>
      <x:c r="K663" s="100" t="str">
        <x:f>IF(B663="","",IF(G663="TL",1,IF(G663="USD",KURLAR!$C$9,IF(G663="EUR",KURLAR!$C$10,0))))</x:f>
      </x:c>
      <x:c r="L663" s="68" t="str">
        <x:f>IF(B663="","",I663*K663)</x:f>
      </x:c>
      <x:c r="M663" s="46"/>
      <x:c r="N663" s="52" t="str">
        <x:f>IF(B663="","",IF(OR(M663="Ödendi",M663="İptal"),"Hayır","Evet"))</x:f>
      </x:c>
    </x:row>
    <x:row r="664">
      <x:c r="B664" s="46"/>
      <x:c r="C664" s="46"/>
      <x:c r="D664" s="112"/>
      <x:c r="E664" s="112"/>
      <x:c r="F664" s="92"/>
      <x:c r="G664" s="92"/>
      <x:c r="H664" s="92"/>
      <x:c r="I664" s="93" t="str">
        <x:f>IF(B664="","",MAX(0,F664-H664))</x:f>
      </x:c>
      <x:c r="J664" s="46"/>
      <x:c r="K664" s="100" t="str">
        <x:f>IF(B664="","",IF(G664="TL",1,IF(G664="USD",KURLAR!$C$9,IF(G664="EUR",KURLAR!$C$10,0))))</x:f>
      </x:c>
      <x:c r="L664" s="68" t="str">
        <x:f>IF(B664="","",I664*K664)</x:f>
      </x:c>
      <x:c r="M664" s="46"/>
      <x:c r="N664" s="52" t="str">
        <x:f>IF(B664="","",IF(OR(M664="Ödendi",M664="İptal"),"Hayır","Evet"))</x:f>
      </x:c>
    </x:row>
    <x:row r="665">
      <x:c r="B665" s="46"/>
      <x:c r="C665" s="46"/>
      <x:c r="D665" s="112"/>
      <x:c r="E665" s="112"/>
      <x:c r="F665" s="92"/>
      <x:c r="G665" s="92"/>
      <x:c r="H665" s="92"/>
      <x:c r="I665" s="93" t="str">
        <x:f>IF(B665="","",MAX(0,F665-H665))</x:f>
      </x:c>
      <x:c r="J665" s="46"/>
      <x:c r="K665" s="100" t="str">
        <x:f>IF(B665="","",IF(G665="TL",1,IF(G665="USD",KURLAR!$C$9,IF(G665="EUR",KURLAR!$C$10,0))))</x:f>
      </x:c>
      <x:c r="L665" s="68" t="str">
        <x:f>IF(B665="","",I665*K665)</x:f>
      </x:c>
      <x:c r="M665" s="46"/>
      <x:c r="N665" s="52" t="str">
        <x:f>IF(B665="","",IF(OR(M665="Ödendi",M665="İptal"),"Hayır","Evet"))</x:f>
      </x:c>
    </x:row>
    <x:row r="666">
      <x:c r="B666" s="46"/>
      <x:c r="C666" s="46"/>
      <x:c r="D666" s="112"/>
      <x:c r="E666" s="112"/>
      <x:c r="F666" s="92"/>
      <x:c r="G666" s="92"/>
      <x:c r="H666" s="92"/>
      <x:c r="I666" s="93" t="str">
        <x:f>IF(B666="","",MAX(0,F666-H666))</x:f>
      </x:c>
      <x:c r="J666" s="46"/>
      <x:c r="K666" s="100" t="str">
        <x:f>IF(B666="","",IF(G666="TL",1,IF(G666="USD",KURLAR!$C$9,IF(G666="EUR",KURLAR!$C$10,0))))</x:f>
      </x:c>
      <x:c r="L666" s="68" t="str">
        <x:f>IF(B666="","",I666*K666)</x:f>
      </x:c>
      <x:c r="M666" s="46"/>
      <x:c r="N666" s="52" t="str">
        <x:f>IF(B666="","",IF(OR(M666="Ödendi",M666="İptal"),"Hayır","Evet"))</x:f>
      </x:c>
    </x:row>
    <x:row r="667">
      <x:c r="B667" s="46"/>
      <x:c r="C667" s="46"/>
      <x:c r="D667" s="112"/>
      <x:c r="E667" s="112"/>
      <x:c r="F667" s="92"/>
      <x:c r="G667" s="92"/>
      <x:c r="H667" s="92"/>
      <x:c r="I667" s="93" t="str">
        <x:f>IF(B667="","",MAX(0,F667-H667))</x:f>
      </x:c>
      <x:c r="J667" s="46"/>
      <x:c r="K667" s="100" t="str">
        <x:f>IF(B667="","",IF(G667="TL",1,IF(G667="USD",KURLAR!$C$9,IF(G667="EUR",KURLAR!$C$10,0))))</x:f>
      </x:c>
      <x:c r="L667" s="68" t="str">
        <x:f>IF(B667="","",I667*K667)</x:f>
      </x:c>
      <x:c r="M667" s="46"/>
      <x:c r="N667" s="52" t="str">
        <x:f>IF(B667="","",IF(OR(M667="Ödendi",M667="İptal"),"Hayır","Evet"))</x:f>
      </x:c>
    </x:row>
    <x:row r="668">
      <x:c r="B668" s="46"/>
      <x:c r="C668" s="46"/>
      <x:c r="D668" s="112"/>
      <x:c r="E668" s="112"/>
      <x:c r="F668" s="92"/>
      <x:c r="G668" s="92"/>
      <x:c r="H668" s="92"/>
      <x:c r="I668" s="93" t="str">
        <x:f>IF(B668="","",MAX(0,F668-H668))</x:f>
      </x:c>
      <x:c r="J668" s="46"/>
      <x:c r="K668" s="100" t="str">
        <x:f>IF(B668="","",IF(G668="TL",1,IF(G668="USD",KURLAR!$C$9,IF(G668="EUR",KURLAR!$C$10,0))))</x:f>
      </x:c>
      <x:c r="L668" s="68" t="str">
        <x:f>IF(B668="","",I668*K668)</x:f>
      </x:c>
      <x:c r="M668" s="46"/>
      <x:c r="N668" s="52" t="str">
        <x:f>IF(B668="","",IF(OR(M668="Ödendi",M668="İptal"),"Hayır","Evet"))</x:f>
      </x:c>
    </x:row>
    <x:row r="669">
      <x:c r="B669" s="46"/>
      <x:c r="C669" s="46"/>
      <x:c r="D669" s="112"/>
      <x:c r="E669" s="112"/>
      <x:c r="F669" s="92"/>
      <x:c r="G669" s="92"/>
      <x:c r="H669" s="92"/>
      <x:c r="I669" s="93" t="str">
        <x:f>IF(B669="","",MAX(0,F669-H669))</x:f>
      </x:c>
      <x:c r="J669" s="46"/>
      <x:c r="K669" s="100" t="str">
        <x:f>IF(B669="","",IF(G669="TL",1,IF(G669="USD",KURLAR!$C$9,IF(G669="EUR",KURLAR!$C$10,0))))</x:f>
      </x:c>
      <x:c r="L669" s="68" t="str">
        <x:f>IF(B669="","",I669*K669)</x:f>
      </x:c>
      <x:c r="M669" s="46"/>
      <x:c r="N669" s="52" t="str">
        <x:f>IF(B669="","",IF(OR(M669="Ödendi",M669="İptal"),"Hayır","Evet"))</x:f>
      </x:c>
    </x:row>
    <x:row r="670">
      <x:c r="B670" s="46"/>
      <x:c r="C670" s="46"/>
      <x:c r="D670" s="112"/>
      <x:c r="E670" s="112"/>
      <x:c r="F670" s="92"/>
      <x:c r="G670" s="92"/>
      <x:c r="H670" s="92"/>
      <x:c r="I670" s="93" t="str">
        <x:f>IF(B670="","",MAX(0,F670-H670))</x:f>
      </x:c>
      <x:c r="J670" s="46"/>
      <x:c r="K670" s="100" t="str">
        <x:f>IF(B670="","",IF(G670="TL",1,IF(G670="USD",KURLAR!$C$9,IF(G670="EUR",KURLAR!$C$10,0))))</x:f>
      </x:c>
      <x:c r="L670" s="68" t="str">
        <x:f>IF(B670="","",I670*K670)</x:f>
      </x:c>
      <x:c r="M670" s="46"/>
      <x:c r="N670" s="52" t="str">
        <x:f>IF(B670="","",IF(OR(M670="Ödendi",M670="İptal"),"Hayır","Evet"))</x:f>
      </x:c>
    </x:row>
    <x:row r="671">
      <x:c r="B671" s="46"/>
      <x:c r="C671" s="46"/>
      <x:c r="D671" s="112"/>
      <x:c r="E671" s="112"/>
      <x:c r="F671" s="92"/>
      <x:c r="G671" s="92"/>
      <x:c r="H671" s="92"/>
      <x:c r="I671" s="93" t="str">
        <x:f>IF(B671="","",MAX(0,F671-H671))</x:f>
      </x:c>
      <x:c r="J671" s="46"/>
      <x:c r="K671" s="100" t="str">
        <x:f>IF(B671="","",IF(G671="TL",1,IF(G671="USD",KURLAR!$C$9,IF(G671="EUR",KURLAR!$C$10,0))))</x:f>
      </x:c>
      <x:c r="L671" s="68" t="str">
        <x:f>IF(B671="","",I671*K671)</x:f>
      </x:c>
      <x:c r="M671" s="46"/>
      <x:c r="N671" s="52" t="str">
        <x:f>IF(B671="","",IF(OR(M671="Ödendi",M671="İptal"),"Hayır","Evet"))</x:f>
      </x:c>
    </x:row>
    <x:row r="672">
      <x:c r="B672" s="46"/>
      <x:c r="C672" s="46"/>
      <x:c r="D672" s="112"/>
      <x:c r="E672" s="112"/>
      <x:c r="F672" s="92"/>
      <x:c r="G672" s="92"/>
      <x:c r="H672" s="92"/>
      <x:c r="I672" s="93" t="str">
        <x:f>IF(B672="","",MAX(0,F672-H672))</x:f>
      </x:c>
      <x:c r="J672" s="46"/>
      <x:c r="K672" s="100" t="str">
        <x:f>IF(B672="","",IF(G672="TL",1,IF(G672="USD",KURLAR!$C$9,IF(G672="EUR",KURLAR!$C$10,0))))</x:f>
      </x:c>
      <x:c r="L672" s="68" t="str">
        <x:f>IF(B672="","",I672*K672)</x:f>
      </x:c>
      <x:c r="M672" s="46"/>
      <x:c r="N672" s="52" t="str">
        <x:f>IF(B672="","",IF(OR(M672="Ödendi",M672="İptal"),"Hayır","Evet"))</x:f>
      </x:c>
    </x:row>
    <x:row r="673">
      <x:c r="B673" s="46"/>
      <x:c r="C673" s="46"/>
      <x:c r="D673" s="112"/>
      <x:c r="E673" s="112"/>
      <x:c r="F673" s="92"/>
      <x:c r="G673" s="92"/>
      <x:c r="H673" s="92"/>
      <x:c r="I673" s="93" t="str">
        <x:f>IF(B673="","",MAX(0,F673-H673))</x:f>
      </x:c>
      <x:c r="J673" s="46"/>
      <x:c r="K673" s="100" t="str">
        <x:f>IF(B673="","",IF(G673="TL",1,IF(G673="USD",KURLAR!$C$9,IF(G673="EUR",KURLAR!$C$10,0))))</x:f>
      </x:c>
      <x:c r="L673" s="68" t="str">
        <x:f>IF(B673="","",I673*K673)</x:f>
      </x:c>
      <x:c r="M673" s="46"/>
      <x:c r="N673" s="52" t="str">
        <x:f>IF(B673="","",IF(OR(M673="Ödendi",M673="İptal"),"Hayır","Evet"))</x:f>
      </x:c>
    </x:row>
    <x:row r="674">
      <x:c r="B674" s="46"/>
      <x:c r="C674" s="46"/>
      <x:c r="D674" s="112"/>
      <x:c r="E674" s="112"/>
      <x:c r="F674" s="92"/>
      <x:c r="G674" s="92"/>
      <x:c r="H674" s="92"/>
      <x:c r="I674" s="93" t="str">
        <x:f>IF(B674="","",MAX(0,F674-H674))</x:f>
      </x:c>
      <x:c r="J674" s="46"/>
      <x:c r="K674" s="100" t="str">
        <x:f>IF(B674="","",IF(G674="TL",1,IF(G674="USD",KURLAR!$C$9,IF(G674="EUR",KURLAR!$C$10,0))))</x:f>
      </x:c>
      <x:c r="L674" s="68" t="str">
        <x:f>IF(B674="","",I674*K674)</x:f>
      </x:c>
      <x:c r="M674" s="46"/>
      <x:c r="N674" s="52" t="str">
        <x:f>IF(B674="","",IF(OR(M674="Ödendi",M674="İptal"),"Hayır","Evet"))</x:f>
      </x:c>
    </x:row>
    <x:row r="675">
      <x:c r="B675" s="46"/>
      <x:c r="C675" s="46"/>
      <x:c r="D675" s="112"/>
      <x:c r="E675" s="112"/>
      <x:c r="F675" s="92"/>
      <x:c r="G675" s="92"/>
      <x:c r="H675" s="92"/>
      <x:c r="I675" s="93" t="str">
        <x:f>IF(B675="","",MAX(0,F675-H675))</x:f>
      </x:c>
      <x:c r="J675" s="46"/>
      <x:c r="K675" s="100" t="str">
        <x:f>IF(B675="","",IF(G675="TL",1,IF(G675="USD",KURLAR!$C$9,IF(G675="EUR",KURLAR!$C$10,0))))</x:f>
      </x:c>
      <x:c r="L675" s="68" t="str">
        <x:f>IF(B675="","",I675*K675)</x:f>
      </x:c>
      <x:c r="M675" s="46"/>
      <x:c r="N675" s="52" t="str">
        <x:f>IF(B675="","",IF(OR(M675="Ödendi",M675="İptal"),"Hayır","Evet"))</x:f>
      </x:c>
    </x:row>
    <x:row r="676">
      <x:c r="B676" s="46"/>
      <x:c r="C676" s="46"/>
      <x:c r="D676" s="112"/>
      <x:c r="E676" s="112"/>
      <x:c r="F676" s="92"/>
      <x:c r="G676" s="92"/>
      <x:c r="H676" s="92"/>
      <x:c r="I676" s="93" t="str">
        <x:f>IF(B676="","",MAX(0,F676-H676))</x:f>
      </x:c>
      <x:c r="J676" s="46"/>
      <x:c r="K676" s="100" t="str">
        <x:f>IF(B676="","",IF(G676="TL",1,IF(G676="USD",KURLAR!$C$9,IF(G676="EUR",KURLAR!$C$10,0))))</x:f>
      </x:c>
      <x:c r="L676" s="68" t="str">
        <x:f>IF(B676="","",I676*K676)</x:f>
      </x:c>
      <x:c r="M676" s="46"/>
      <x:c r="N676" s="52" t="str">
        <x:f>IF(B676="","",IF(OR(M676="Ödendi",M676="İptal"),"Hayır","Evet"))</x:f>
      </x:c>
    </x:row>
    <x:row r="677">
      <x:c r="B677" s="46"/>
      <x:c r="C677" s="46"/>
      <x:c r="D677" s="112"/>
      <x:c r="E677" s="112"/>
      <x:c r="F677" s="92"/>
      <x:c r="G677" s="92"/>
      <x:c r="H677" s="92"/>
      <x:c r="I677" s="93" t="str">
        <x:f>IF(B677="","",MAX(0,F677-H677))</x:f>
      </x:c>
      <x:c r="J677" s="46"/>
      <x:c r="K677" s="100" t="str">
        <x:f>IF(B677="","",IF(G677="TL",1,IF(G677="USD",KURLAR!$C$9,IF(G677="EUR",KURLAR!$C$10,0))))</x:f>
      </x:c>
      <x:c r="L677" s="68" t="str">
        <x:f>IF(B677="","",I677*K677)</x:f>
      </x:c>
      <x:c r="M677" s="46"/>
      <x:c r="N677" s="52" t="str">
        <x:f>IF(B677="","",IF(OR(M677="Ödendi",M677="İptal"),"Hayır","Evet"))</x:f>
      </x:c>
    </x:row>
    <x:row r="678">
      <x:c r="B678" s="46"/>
      <x:c r="C678" s="46"/>
      <x:c r="D678" s="112"/>
      <x:c r="E678" s="112"/>
      <x:c r="F678" s="92"/>
      <x:c r="G678" s="92"/>
      <x:c r="H678" s="92"/>
      <x:c r="I678" s="93" t="str">
        <x:f>IF(B678="","",MAX(0,F678-H678))</x:f>
      </x:c>
      <x:c r="J678" s="46"/>
      <x:c r="K678" s="100" t="str">
        <x:f>IF(B678="","",IF(G678="TL",1,IF(G678="USD",KURLAR!$C$9,IF(G678="EUR",KURLAR!$C$10,0))))</x:f>
      </x:c>
      <x:c r="L678" s="68" t="str">
        <x:f>IF(B678="","",I678*K678)</x:f>
      </x:c>
      <x:c r="M678" s="46"/>
      <x:c r="N678" s="52" t="str">
        <x:f>IF(B678="","",IF(OR(M678="Ödendi",M678="İptal"),"Hayır","Evet"))</x:f>
      </x:c>
    </x:row>
    <x:row r="679">
      <x:c r="B679" s="46"/>
      <x:c r="C679" s="46"/>
      <x:c r="D679" s="112"/>
      <x:c r="E679" s="112"/>
      <x:c r="F679" s="92"/>
      <x:c r="G679" s="92"/>
      <x:c r="H679" s="92"/>
      <x:c r="I679" s="93" t="str">
        <x:f>IF(B679="","",MAX(0,F679-H679))</x:f>
      </x:c>
      <x:c r="J679" s="46"/>
      <x:c r="K679" s="100" t="str">
        <x:f>IF(B679="","",IF(G679="TL",1,IF(G679="USD",KURLAR!$C$9,IF(G679="EUR",KURLAR!$C$10,0))))</x:f>
      </x:c>
      <x:c r="L679" s="68" t="str">
        <x:f>IF(B679="","",I679*K679)</x:f>
      </x:c>
      <x:c r="M679" s="46"/>
      <x:c r="N679" s="52" t="str">
        <x:f>IF(B679="","",IF(OR(M679="Ödendi",M679="İptal"),"Hayır","Evet"))</x:f>
      </x:c>
    </x:row>
    <x:row r="680">
      <x:c r="B680" s="46"/>
      <x:c r="C680" s="46"/>
      <x:c r="D680" s="112"/>
      <x:c r="E680" s="112"/>
      <x:c r="F680" s="92"/>
      <x:c r="G680" s="92"/>
      <x:c r="H680" s="92"/>
      <x:c r="I680" s="93" t="str">
        <x:f>IF(B680="","",MAX(0,F680-H680))</x:f>
      </x:c>
      <x:c r="J680" s="46"/>
      <x:c r="K680" s="100" t="str">
        <x:f>IF(B680="","",IF(G680="TL",1,IF(G680="USD",KURLAR!$C$9,IF(G680="EUR",KURLAR!$C$10,0))))</x:f>
      </x:c>
      <x:c r="L680" s="68" t="str">
        <x:f>IF(B680="","",I680*K680)</x:f>
      </x:c>
      <x:c r="M680" s="46"/>
      <x:c r="N680" s="52" t="str">
        <x:f>IF(B680="","",IF(OR(M680="Ödendi",M680="İptal"),"Hayır","Evet"))</x:f>
      </x:c>
    </x:row>
    <x:row r="681">
      <x:c r="B681" s="46"/>
      <x:c r="C681" s="46"/>
      <x:c r="D681" s="112"/>
      <x:c r="E681" s="112"/>
      <x:c r="F681" s="92"/>
      <x:c r="G681" s="92"/>
      <x:c r="H681" s="92"/>
      <x:c r="I681" s="93" t="str">
        <x:f>IF(B681="","",MAX(0,F681-H681))</x:f>
      </x:c>
      <x:c r="J681" s="46"/>
      <x:c r="K681" s="100" t="str">
        <x:f>IF(B681="","",IF(G681="TL",1,IF(G681="USD",KURLAR!$C$9,IF(G681="EUR",KURLAR!$C$10,0))))</x:f>
      </x:c>
      <x:c r="L681" s="68" t="str">
        <x:f>IF(B681="","",I681*K681)</x:f>
      </x:c>
      <x:c r="M681" s="46"/>
      <x:c r="N681" s="52" t="str">
        <x:f>IF(B681="","",IF(OR(M681="Ödendi",M681="İptal"),"Hayır","Evet"))</x:f>
      </x:c>
    </x:row>
    <x:row r="682">
      <x:c r="B682" s="46"/>
      <x:c r="C682" s="46"/>
      <x:c r="D682" s="112"/>
      <x:c r="E682" s="112"/>
      <x:c r="F682" s="92"/>
      <x:c r="G682" s="92"/>
      <x:c r="H682" s="92"/>
      <x:c r="I682" s="93" t="str">
        <x:f>IF(B682="","",MAX(0,F682-H682))</x:f>
      </x:c>
      <x:c r="J682" s="46"/>
      <x:c r="K682" s="100" t="str">
        <x:f>IF(B682="","",IF(G682="TL",1,IF(G682="USD",KURLAR!$C$9,IF(G682="EUR",KURLAR!$C$10,0))))</x:f>
      </x:c>
      <x:c r="L682" s="68" t="str">
        <x:f>IF(B682="","",I682*K682)</x:f>
      </x:c>
      <x:c r="M682" s="46"/>
      <x:c r="N682" s="52" t="str">
        <x:f>IF(B682="","",IF(OR(M682="Ödendi",M682="İptal"),"Hayır","Evet"))</x:f>
      </x:c>
    </x:row>
    <x:row r="683">
      <x:c r="B683" s="46"/>
      <x:c r="C683" s="46"/>
      <x:c r="D683" s="112"/>
      <x:c r="E683" s="112"/>
      <x:c r="F683" s="92"/>
      <x:c r="G683" s="92"/>
      <x:c r="H683" s="92"/>
      <x:c r="I683" s="93" t="str">
        <x:f>IF(B683="","",MAX(0,F683-H683))</x:f>
      </x:c>
      <x:c r="J683" s="46"/>
      <x:c r="K683" s="100" t="str">
        <x:f>IF(B683="","",IF(G683="TL",1,IF(G683="USD",KURLAR!$C$9,IF(G683="EUR",KURLAR!$C$10,0))))</x:f>
      </x:c>
      <x:c r="L683" s="68" t="str">
        <x:f>IF(B683="","",I683*K683)</x:f>
      </x:c>
      <x:c r="M683" s="46"/>
      <x:c r="N683" s="52" t="str">
        <x:f>IF(B683="","",IF(OR(M683="Ödendi",M683="İptal"),"Hayır","Evet"))</x:f>
      </x:c>
    </x:row>
    <x:row r="684">
      <x:c r="B684" s="46"/>
      <x:c r="C684" s="46"/>
      <x:c r="D684" s="112"/>
      <x:c r="E684" s="112"/>
      <x:c r="F684" s="92"/>
      <x:c r="G684" s="92"/>
      <x:c r="H684" s="92"/>
      <x:c r="I684" s="93" t="str">
        <x:f>IF(B684="","",MAX(0,F684-H684))</x:f>
      </x:c>
      <x:c r="J684" s="46"/>
      <x:c r="K684" s="100" t="str">
        <x:f>IF(B684="","",IF(G684="TL",1,IF(G684="USD",KURLAR!$C$9,IF(G684="EUR",KURLAR!$C$10,0))))</x:f>
      </x:c>
      <x:c r="L684" s="68" t="str">
        <x:f>IF(B684="","",I684*K684)</x:f>
      </x:c>
      <x:c r="M684" s="46"/>
      <x:c r="N684" s="52" t="str">
        <x:f>IF(B684="","",IF(OR(M684="Ödendi",M684="İptal"),"Hayır","Evet"))</x:f>
      </x:c>
    </x:row>
    <x:row r="685">
      <x:c r="B685" s="46"/>
      <x:c r="C685" s="46"/>
      <x:c r="D685" s="112"/>
      <x:c r="E685" s="112"/>
      <x:c r="F685" s="92"/>
      <x:c r="G685" s="92"/>
      <x:c r="H685" s="92"/>
      <x:c r="I685" s="93" t="str">
        <x:f>IF(B685="","",MAX(0,F685-H685))</x:f>
      </x:c>
      <x:c r="J685" s="46"/>
      <x:c r="K685" s="100" t="str">
        <x:f>IF(B685="","",IF(G685="TL",1,IF(G685="USD",KURLAR!$C$9,IF(G685="EUR",KURLAR!$C$10,0))))</x:f>
      </x:c>
      <x:c r="L685" s="68" t="str">
        <x:f>IF(B685="","",I685*K685)</x:f>
      </x:c>
      <x:c r="M685" s="46"/>
      <x:c r="N685" s="52" t="str">
        <x:f>IF(B685="","",IF(OR(M685="Ödendi",M685="İptal"),"Hayır","Evet"))</x:f>
      </x:c>
    </x:row>
    <x:row r="686">
      <x:c r="B686" s="46"/>
      <x:c r="C686" s="46"/>
      <x:c r="D686" s="112"/>
      <x:c r="E686" s="112"/>
      <x:c r="F686" s="92"/>
      <x:c r="G686" s="92"/>
      <x:c r="H686" s="92"/>
      <x:c r="I686" s="93" t="str">
        <x:f>IF(B686="","",MAX(0,F686-H686))</x:f>
      </x:c>
      <x:c r="J686" s="46"/>
      <x:c r="K686" s="100" t="str">
        <x:f>IF(B686="","",IF(G686="TL",1,IF(G686="USD",KURLAR!$C$9,IF(G686="EUR",KURLAR!$C$10,0))))</x:f>
      </x:c>
      <x:c r="L686" s="68" t="str">
        <x:f>IF(B686="","",I686*K686)</x:f>
      </x:c>
      <x:c r="M686" s="46"/>
      <x:c r="N686" s="52" t="str">
        <x:f>IF(B686="","",IF(OR(M686="Ödendi",M686="İptal"),"Hayır","Evet"))</x:f>
      </x:c>
    </x:row>
    <x:row r="687">
      <x:c r="B687" s="46"/>
      <x:c r="C687" s="46"/>
      <x:c r="D687" s="112"/>
      <x:c r="E687" s="112"/>
      <x:c r="F687" s="92"/>
      <x:c r="G687" s="92"/>
      <x:c r="H687" s="92"/>
      <x:c r="I687" s="93" t="str">
        <x:f>IF(B687="","",MAX(0,F687-H687))</x:f>
      </x:c>
      <x:c r="J687" s="46"/>
      <x:c r="K687" s="100" t="str">
        <x:f>IF(B687="","",IF(G687="TL",1,IF(G687="USD",KURLAR!$C$9,IF(G687="EUR",KURLAR!$C$10,0))))</x:f>
      </x:c>
      <x:c r="L687" s="68" t="str">
        <x:f>IF(B687="","",I687*K687)</x:f>
      </x:c>
      <x:c r="M687" s="46"/>
      <x:c r="N687" s="52" t="str">
        <x:f>IF(B687="","",IF(OR(M687="Ödendi",M687="İptal"),"Hayır","Evet"))</x:f>
      </x:c>
    </x:row>
    <x:row r="688">
      <x:c r="B688" s="46"/>
      <x:c r="C688" s="46"/>
      <x:c r="D688" s="112"/>
      <x:c r="E688" s="112"/>
      <x:c r="F688" s="92"/>
      <x:c r="G688" s="92"/>
      <x:c r="H688" s="92"/>
      <x:c r="I688" s="93" t="str">
        <x:f>IF(B688="","",MAX(0,F688-H688))</x:f>
      </x:c>
      <x:c r="J688" s="46"/>
      <x:c r="K688" s="100" t="str">
        <x:f>IF(B688="","",IF(G688="TL",1,IF(G688="USD",KURLAR!$C$9,IF(G688="EUR",KURLAR!$C$10,0))))</x:f>
      </x:c>
      <x:c r="L688" s="68" t="str">
        <x:f>IF(B688="","",I688*K688)</x:f>
      </x:c>
      <x:c r="M688" s="46"/>
      <x:c r="N688" s="52" t="str">
        <x:f>IF(B688="","",IF(OR(M688="Ödendi",M688="İptal"),"Hayır","Evet"))</x:f>
      </x:c>
    </x:row>
    <x:row r="689">
      <x:c r="B689" s="46"/>
      <x:c r="C689" s="46"/>
      <x:c r="D689" s="112"/>
      <x:c r="E689" s="112"/>
      <x:c r="F689" s="92"/>
      <x:c r="G689" s="92"/>
      <x:c r="H689" s="92"/>
      <x:c r="I689" s="93" t="str">
        <x:f>IF(B689="","",MAX(0,F689-H689))</x:f>
      </x:c>
      <x:c r="J689" s="46"/>
      <x:c r="K689" s="100" t="str">
        <x:f>IF(B689="","",IF(G689="TL",1,IF(G689="USD",KURLAR!$C$9,IF(G689="EUR",KURLAR!$C$10,0))))</x:f>
      </x:c>
      <x:c r="L689" s="68" t="str">
        <x:f>IF(B689="","",I689*K689)</x:f>
      </x:c>
      <x:c r="M689" s="46"/>
      <x:c r="N689" s="52" t="str">
        <x:f>IF(B689="","",IF(OR(M689="Ödendi",M689="İptal"),"Hayır","Evet"))</x:f>
      </x:c>
    </x:row>
    <x:row r="690">
      <x:c r="B690" s="46"/>
      <x:c r="C690" s="46"/>
      <x:c r="D690" s="112"/>
      <x:c r="E690" s="112"/>
      <x:c r="F690" s="92"/>
      <x:c r="G690" s="92"/>
      <x:c r="H690" s="92"/>
      <x:c r="I690" s="93" t="str">
        <x:f>IF(B690="","",MAX(0,F690-H690))</x:f>
      </x:c>
      <x:c r="J690" s="46"/>
      <x:c r="K690" s="100" t="str">
        <x:f>IF(B690="","",IF(G690="TL",1,IF(G690="USD",KURLAR!$C$9,IF(G690="EUR",KURLAR!$C$10,0))))</x:f>
      </x:c>
      <x:c r="L690" s="68" t="str">
        <x:f>IF(B690="","",I690*K690)</x:f>
      </x:c>
      <x:c r="M690" s="46"/>
      <x:c r="N690" s="52" t="str">
        <x:f>IF(B690="","",IF(OR(M690="Ödendi",M690="İptal"),"Hayır","Evet"))</x:f>
      </x:c>
    </x:row>
    <x:row r="691">
      <x:c r="B691" s="46"/>
      <x:c r="C691" s="46"/>
      <x:c r="D691" s="112"/>
      <x:c r="E691" s="112"/>
      <x:c r="F691" s="92"/>
      <x:c r="G691" s="92"/>
      <x:c r="H691" s="92"/>
      <x:c r="I691" s="93" t="str">
        <x:f>IF(B691="","",MAX(0,F691-H691))</x:f>
      </x:c>
      <x:c r="J691" s="46"/>
      <x:c r="K691" s="100" t="str">
        <x:f>IF(B691="","",IF(G691="TL",1,IF(G691="USD",KURLAR!$C$9,IF(G691="EUR",KURLAR!$C$10,0))))</x:f>
      </x:c>
      <x:c r="L691" s="68" t="str">
        <x:f>IF(B691="","",I691*K691)</x:f>
      </x:c>
      <x:c r="M691" s="46"/>
      <x:c r="N691" s="52" t="str">
        <x:f>IF(B691="","",IF(OR(M691="Ödendi",M691="İptal"),"Hayır","Evet"))</x:f>
      </x:c>
    </x:row>
    <x:row r="692">
      <x:c r="B692" s="46"/>
      <x:c r="C692" s="46"/>
      <x:c r="D692" s="112"/>
      <x:c r="E692" s="112"/>
      <x:c r="F692" s="92"/>
      <x:c r="G692" s="92"/>
      <x:c r="H692" s="92"/>
      <x:c r="I692" s="93" t="str">
        <x:f>IF(B692="","",MAX(0,F692-H692))</x:f>
      </x:c>
      <x:c r="J692" s="46"/>
      <x:c r="K692" s="100" t="str">
        <x:f>IF(B692="","",IF(G692="TL",1,IF(G692="USD",KURLAR!$C$9,IF(G692="EUR",KURLAR!$C$10,0))))</x:f>
      </x:c>
      <x:c r="L692" s="68" t="str">
        <x:f>IF(B692="","",I692*K692)</x:f>
      </x:c>
      <x:c r="M692" s="46"/>
      <x:c r="N692" s="52" t="str">
        <x:f>IF(B692="","",IF(OR(M692="Ödendi",M692="İptal"),"Hayır","Evet"))</x:f>
      </x:c>
    </x:row>
    <x:row r="693">
      <x:c r="B693" s="46"/>
      <x:c r="C693" s="46"/>
      <x:c r="D693" s="112"/>
      <x:c r="E693" s="112"/>
      <x:c r="F693" s="92"/>
      <x:c r="G693" s="92"/>
      <x:c r="H693" s="92"/>
      <x:c r="I693" s="93" t="str">
        <x:f>IF(B693="","",MAX(0,F693-H693))</x:f>
      </x:c>
      <x:c r="J693" s="46"/>
      <x:c r="K693" s="100" t="str">
        <x:f>IF(B693="","",IF(G693="TL",1,IF(G693="USD",KURLAR!$C$9,IF(G693="EUR",KURLAR!$C$10,0))))</x:f>
      </x:c>
      <x:c r="L693" s="68" t="str">
        <x:f>IF(B693="","",I693*K693)</x:f>
      </x:c>
      <x:c r="M693" s="46"/>
      <x:c r="N693" s="52" t="str">
        <x:f>IF(B693="","",IF(OR(M693="Ödendi",M693="İptal"),"Hayır","Evet"))</x:f>
      </x:c>
    </x:row>
    <x:row r="694">
      <x:c r="B694" s="46"/>
      <x:c r="C694" s="46"/>
      <x:c r="D694" s="112"/>
      <x:c r="E694" s="112"/>
      <x:c r="F694" s="92"/>
      <x:c r="G694" s="92"/>
      <x:c r="H694" s="92"/>
      <x:c r="I694" s="93" t="str">
        <x:f>IF(B694="","",MAX(0,F694-H694))</x:f>
      </x:c>
      <x:c r="J694" s="46"/>
      <x:c r="K694" s="100" t="str">
        <x:f>IF(B694="","",IF(G694="TL",1,IF(G694="USD",KURLAR!$C$9,IF(G694="EUR",KURLAR!$C$10,0))))</x:f>
      </x:c>
      <x:c r="L694" s="68" t="str">
        <x:f>IF(B694="","",I694*K694)</x:f>
      </x:c>
      <x:c r="M694" s="46"/>
      <x:c r="N694" s="52" t="str">
        <x:f>IF(B694="","",IF(OR(M694="Ödendi",M694="İptal"),"Hayır","Evet"))</x:f>
      </x:c>
    </x:row>
    <x:row r="695">
      <x:c r="B695" s="46"/>
      <x:c r="C695" s="46"/>
      <x:c r="D695" s="112"/>
      <x:c r="E695" s="112"/>
      <x:c r="F695" s="92"/>
      <x:c r="G695" s="92"/>
      <x:c r="H695" s="92"/>
      <x:c r="I695" s="93" t="str">
        <x:f>IF(B695="","",MAX(0,F695-H695))</x:f>
      </x:c>
      <x:c r="J695" s="46"/>
      <x:c r="K695" s="100" t="str">
        <x:f>IF(B695="","",IF(G695="TL",1,IF(G695="USD",KURLAR!$C$9,IF(G695="EUR",KURLAR!$C$10,0))))</x:f>
      </x:c>
      <x:c r="L695" s="68" t="str">
        <x:f>IF(B695="","",I695*K695)</x:f>
      </x:c>
      <x:c r="M695" s="46"/>
      <x:c r="N695" s="52" t="str">
        <x:f>IF(B695="","",IF(OR(M695="Ödendi",M695="İptal"),"Hayır","Evet"))</x:f>
      </x:c>
    </x:row>
    <x:row r="696">
      <x:c r="B696" s="46"/>
      <x:c r="C696" s="46"/>
      <x:c r="D696" s="112"/>
      <x:c r="E696" s="112"/>
      <x:c r="F696" s="92"/>
      <x:c r="G696" s="92"/>
      <x:c r="H696" s="92"/>
      <x:c r="I696" s="93" t="str">
        <x:f>IF(B696="","",MAX(0,F696-H696))</x:f>
      </x:c>
      <x:c r="J696" s="46"/>
      <x:c r="K696" s="100" t="str">
        <x:f>IF(B696="","",IF(G696="TL",1,IF(G696="USD",KURLAR!$C$9,IF(G696="EUR",KURLAR!$C$10,0))))</x:f>
      </x:c>
      <x:c r="L696" s="68" t="str">
        <x:f>IF(B696="","",I696*K696)</x:f>
      </x:c>
      <x:c r="M696" s="46"/>
      <x:c r="N696" s="52" t="str">
        <x:f>IF(B696="","",IF(OR(M696="Ödendi",M696="İptal"),"Hayır","Evet"))</x:f>
      </x:c>
    </x:row>
    <x:row r="697">
      <x:c r="B697" s="46"/>
      <x:c r="C697" s="46"/>
      <x:c r="D697" s="112"/>
      <x:c r="E697" s="112"/>
      <x:c r="F697" s="92"/>
      <x:c r="G697" s="92"/>
      <x:c r="H697" s="92"/>
      <x:c r="I697" s="93" t="str">
        <x:f>IF(B697="","",MAX(0,F697-H697))</x:f>
      </x:c>
      <x:c r="J697" s="46"/>
      <x:c r="K697" s="100" t="str">
        <x:f>IF(B697="","",IF(G697="TL",1,IF(G697="USD",KURLAR!$C$9,IF(G697="EUR",KURLAR!$C$10,0))))</x:f>
      </x:c>
      <x:c r="L697" s="68" t="str">
        <x:f>IF(B697="","",I697*K697)</x:f>
      </x:c>
      <x:c r="M697" s="46"/>
      <x:c r="N697" s="52" t="str">
        <x:f>IF(B697="","",IF(OR(M697="Ödendi",M697="İptal"),"Hayır","Evet"))</x:f>
      </x:c>
    </x:row>
    <x:row r="698">
      <x:c r="B698" s="46"/>
      <x:c r="C698" s="46"/>
      <x:c r="D698" s="112"/>
      <x:c r="E698" s="112"/>
      <x:c r="F698" s="92"/>
      <x:c r="G698" s="92"/>
      <x:c r="H698" s="92"/>
      <x:c r="I698" s="93" t="str">
        <x:f>IF(B698="","",MAX(0,F698-H698))</x:f>
      </x:c>
      <x:c r="J698" s="46"/>
      <x:c r="K698" s="100" t="str">
        <x:f>IF(B698="","",IF(G698="TL",1,IF(G698="USD",KURLAR!$C$9,IF(G698="EUR",KURLAR!$C$10,0))))</x:f>
      </x:c>
      <x:c r="L698" s="68" t="str">
        <x:f>IF(B698="","",I698*K698)</x:f>
      </x:c>
      <x:c r="M698" s="46"/>
      <x:c r="N698" s="52" t="str">
        <x:f>IF(B698="","",IF(OR(M698="Ödendi",M698="İptal"),"Hayır","Evet"))</x:f>
      </x:c>
    </x:row>
    <x:row r="699">
      <x:c r="B699" s="46"/>
      <x:c r="C699" s="46"/>
      <x:c r="D699" s="112"/>
      <x:c r="E699" s="112"/>
      <x:c r="F699" s="92"/>
      <x:c r="G699" s="92"/>
      <x:c r="H699" s="92"/>
      <x:c r="I699" s="93" t="str">
        <x:f>IF(B699="","",MAX(0,F699-H699))</x:f>
      </x:c>
      <x:c r="J699" s="46"/>
      <x:c r="K699" s="100" t="str">
        <x:f>IF(B699="","",IF(G699="TL",1,IF(G699="USD",KURLAR!$C$9,IF(G699="EUR",KURLAR!$C$10,0))))</x:f>
      </x:c>
      <x:c r="L699" s="68" t="str">
        <x:f>IF(B699="","",I699*K699)</x:f>
      </x:c>
      <x:c r="M699" s="46"/>
      <x:c r="N699" s="52" t="str">
        <x:f>IF(B699="","",IF(OR(M699="Ödendi",M699="İptal"),"Hayır","Evet"))</x:f>
      </x:c>
    </x:row>
    <x:row r="700">
      <x:c r="B700" s="46"/>
      <x:c r="C700" s="46"/>
      <x:c r="D700" s="112"/>
      <x:c r="E700" s="112"/>
      <x:c r="F700" s="92"/>
      <x:c r="G700" s="92"/>
      <x:c r="H700" s="92"/>
      <x:c r="I700" s="93" t="str">
        <x:f>IF(B700="","",MAX(0,F700-H700))</x:f>
      </x:c>
      <x:c r="J700" s="46"/>
      <x:c r="K700" s="100" t="str">
        <x:f>IF(B700="","",IF(G700="TL",1,IF(G700="USD",KURLAR!$C$9,IF(G700="EUR",KURLAR!$C$10,0))))</x:f>
      </x:c>
      <x:c r="L700" s="68" t="str">
        <x:f>IF(B700="","",I700*K700)</x:f>
      </x:c>
      <x:c r="M700" s="46"/>
      <x:c r="N700" s="52" t="str">
        <x:f>IF(B700="","",IF(OR(M700="Ödendi",M700="İptal"),"Hayır","Evet"))</x:f>
      </x:c>
    </x:row>
    <x:row r="701">
      <x:c r="B701" s="46"/>
      <x:c r="C701" s="46"/>
      <x:c r="D701" s="112"/>
      <x:c r="E701" s="112"/>
      <x:c r="F701" s="92"/>
      <x:c r="G701" s="92"/>
      <x:c r="H701" s="92"/>
      <x:c r="I701" s="93" t="str">
        <x:f>IF(B701="","",MAX(0,F701-H701))</x:f>
      </x:c>
      <x:c r="J701" s="46"/>
      <x:c r="K701" s="100" t="str">
        <x:f>IF(B701="","",IF(G701="TL",1,IF(G701="USD",KURLAR!$C$9,IF(G701="EUR",KURLAR!$C$10,0))))</x:f>
      </x:c>
      <x:c r="L701" s="68" t="str">
        <x:f>IF(B701="","",I701*K701)</x:f>
      </x:c>
      <x:c r="M701" s="46"/>
      <x:c r="N701" s="52" t="str">
        <x:f>IF(B701="","",IF(OR(M701="Ödendi",M701="İptal"),"Hayır","Evet"))</x:f>
      </x:c>
    </x:row>
    <x:row r="702">
      <x:c r="B702" s="46"/>
      <x:c r="C702" s="46"/>
      <x:c r="D702" s="112"/>
      <x:c r="E702" s="112"/>
      <x:c r="F702" s="92"/>
      <x:c r="G702" s="92"/>
      <x:c r="H702" s="92"/>
      <x:c r="I702" s="93" t="str">
        <x:f>IF(B702="","",MAX(0,F702-H702))</x:f>
      </x:c>
      <x:c r="J702" s="46"/>
      <x:c r="K702" s="100" t="str">
        <x:f>IF(B702="","",IF(G702="TL",1,IF(G702="USD",KURLAR!$C$9,IF(G702="EUR",KURLAR!$C$10,0))))</x:f>
      </x:c>
      <x:c r="L702" s="68" t="str">
        <x:f>IF(B702="","",I702*K702)</x:f>
      </x:c>
      <x:c r="M702" s="46"/>
      <x:c r="N702" s="52" t="str">
        <x:f>IF(B702="","",IF(OR(M702="Ödendi",M702="İptal"),"Hayır","Evet"))</x:f>
      </x:c>
    </x:row>
    <x:row r="703">
      <x:c r="B703" s="46"/>
      <x:c r="C703" s="46"/>
      <x:c r="D703" s="112"/>
      <x:c r="E703" s="112"/>
      <x:c r="F703" s="92"/>
      <x:c r="G703" s="92"/>
      <x:c r="H703" s="92"/>
      <x:c r="I703" s="93" t="str">
        <x:f>IF(B703="","",MAX(0,F703-H703))</x:f>
      </x:c>
      <x:c r="J703" s="46"/>
      <x:c r="K703" s="100" t="str">
        <x:f>IF(B703="","",IF(G703="TL",1,IF(G703="USD",KURLAR!$C$9,IF(G703="EUR",KURLAR!$C$10,0))))</x:f>
      </x:c>
      <x:c r="L703" s="68" t="str">
        <x:f>IF(B703="","",I703*K703)</x:f>
      </x:c>
      <x:c r="M703" s="46"/>
      <x:c r="N703" s="52" t="str">
        <x:f>IF(B703="","",IF(OR(M703="Ödendi",M703="İptal"),"Hayır","Evet"))</x:f>
      </x:c>
    </x:row>
    <x:row r="704">
      <x:c r="B704" s="46"/>
      <x:c r="C704" s="46"/>
      <x:c r="D704" s="112"/>
      <x:c r="E704" s="112"/>
      <x:c r="F704" s="92"/>
      <x:c r="G704" s="92"/>
      <x:c r="H704" s="92"/>
      <x:c r="I704" s="93" t="str">
        <x:f>IF(B704="","",MAX(0,F704-H704))</x:f>
      </x:c>
      <x:c r="J704" s="46"/>
      <x:c r="K704" s="100" t="str">
        <x:f>IF(B704="","",IF(G704="TL",1,IF(G704="USD",KURLAR!$C$9,IF(G704="EUR",KURLAR!$C$10,0))))</x:f>
      </x:c>
      <x:c r="L704" s="68" t="str">
        <x:f>IF(B704="","",I704*K704)</x:f>
      </x:c>
      <x:c r="M704" s="46"/>
      <x:c r="N704" s="52" t="str">
        <x:f>IF(B704="","",IF(OR(M704="Ödendi",M704="İptal"),"Hayır","Evet"))</x:f>
      </x:c>
    </x:row>
    <x:row r="705">
      <x:c r="B705" s="46"/>
      <x:c r="C705" s="46"/>
      <x:c r="D705" s="112"/>
      <x:c r="E705" s="112"/>
      <x:c r="F705" s="92"/>
      <x:c r="G705" s="92"/>
      <x:c r="H705" s="92"/>
      <x:c r="I705" s="93" t="str">
        <x:f>IF(B705="","",MAX(0,F705-H705))</x:f>
      </x:c>
      <x:c r="J705" s="46"/>
      <x:c r="K705" s="100" t="str">
        <x:f>IF(B705="","",IF(G705="TL",1,IF(G705="USD",KURLAR!$C$9,IF(G705="EUR",KURLAR!$C$10,0))))</x:f>
      </x:c>
      <x:c r="L705" s="68" t="str">
        <x:f>IF(B705="","",I705*K705)</x:f>
      </x:c>
      <x:c r="M705" s="46"/>
      <x:c r="N705" s="52" t="str">
        <x:f>IF(B705="","",IF(OR(M705="Ödendi",M705="İptal"),"Hayır","Evet"))</x:f>
      </x:c>
    </x:row>
    <x:row r="706">
      <x:c r="B706" s="46"/>
      <x:c r="C706" s="46"/>
      <x:c r="D706" s="112"/>
      <x:c r="E706" s="112"/>
      <x:c r="F706" s="92"/>
      <x:c r="G706" s="92"/>
      <x:c r="H706" s="92"/>
      <x:c r="I706" s="93" t="str">
        <x:f>IF(B706="","",MAX(0,F706-H706))</x:f>
      </x:c>
      <x:c r="J706" s="46"/>
      <x:c r="K706" s="100" t="str">
        <x:f>IF(B706="","",IF(G706="TL",1,IF(G706="USD",KURLAR!$C$9,IF(G706="EUR",KURLAR!$C$10,0))))</x:f>
      </x:c>
      <x:c r="L706" s="68" t="str">
        <x:f>IF(B706="","",I706*K706)</x:f>
      </x:c>
      <x:c r="M706" s="46"/>
      <x:c r="N706" s="52" t="str">
        <x:f>IF(B706="","",IF(OR(M706="Ödendi",M706="İptal"),"Hayır","Evet"))</x:f>
      </x:c>
    </x:row>
    <x:row r="707">
      <x:c r="B707" s="46"/>
      <x:c r="C707" s="46"/>
      <x:c r="D707" s="112"/>
      <x:c r="E707" s="112"/>
      <x:c r="F707" s="92"/>
      <x:c r="G707" s="92"/>
      <x:c r="H707" s="92"/>
      <x:c r="I707" s="93" t="str">
        <x:f>IF(B707="","",MAX(0,F707-H707))</x:f>
      </x:c>
      <x:c r="J707" s="46"/>
      <x:c r="K707" s="100" t="str">
        <x:f>IF(B707="","",IF(G707="TL",1,IF(G707="USD",KURLAR!$C$9,IF(G707="EUR",KURLAR!$C$10,0))))</x:f>
      </x:c>
      <x:c r="L707" s="68" t="str">
        <x:f>IF(B707="","",I707*K707)</x:f>
      </x:c>
      <x:c r="M707" s="46"/>
      <x:c r="N707" s="52" t="str">
        <x:f>IF(B707="","",IF(OR(M707="Ödendi",M707="İptal"),"Hayır","Evet"))</x:f>
      </x:c>
    </x:row>
    <x:row r="708">
      <x:c r="B708" s="46"/>
      <x:c r="C708" s="46"/>
      <x:c r="D708" s="112"/>
      <x:c r="E708" s="112"/>
      <x:c r="F708" s="92"/>
      <x:c r="G708" s="92"/>
      <x:c r="H708" s="92"/>
      <x:c r="I708" s="93" t="str">
        <x:f>IF(B708="","",MAX(0,F708-H708))</x:f>
      </x:c>
      <x:c r="J708" s="46"/>
      <x:c r="K708" s="100" t="str">
        <x:f>IF(B708="","",IF(G708="TL",1,IF(G708="USD",KURLAR!$C$9,IF(G708="EUR",KURLAR!$C$10,0))))</x:f>
      </x:c>
      <x:c r="L708" s="68" t="str">
        <x:f>IF(B708="","",I708*K708)</x:f>
      </x:c>
      <x:c r="M708" s="46"/>
      <x:c r="N708" s="52" t="str">
        <x:f>IF(B708="","",IF(OR(M708="Ödendi",M708="İptal"),"Hayır","Evet"))</x:f>
      </x:c>
    </x:row>
    <x:row r="709">
      <x:c r="B709" s="46"/>
      <x:c r="C709" s="46"/>
      <x:c r="D709" s="112"/>
      <x:c r="E709" s="112"/>
      <x:c r="F709" s="92"/>
      <x:c r="G709" s="92"/>
      <x:c r="H709" s="92"/>
      <x:c r="I709" s="93" t="str">
        <x:f>IF(B709="","",MAX(0,F709-H709))</x:f>
      </x:c>
      <x:c r="J709" s="46"/>
      <x:c r="K709" s="100" t="str">
        <x:f>IF(B709="","",IF(G709="TL",1,IF(G709="USD",KURLAR!$C$9,IF(G709="EUR",KURLAR!$C$10,0))))</x:f>
      </x:c>
      <x:c r="L709" s="68" t="str">
        <x:f>IF(B709="","",I709*K709)</x:f>
      </x:c>
      <x:c r="M709" s="46"/>
      <x:c r="N709" s="52" t="str">
        <x:f>IF(B709="","",IF(OR(M709="Ödendi",M709="İptal"),"Hayır","Evet"))</x:f>
      </x:c>
    </x:row>
    <x:row r="710">
      <x:c r="B710" s="46"/>
      <x:c r="C710" s="46"/>
      <x:c r="D710" s="112"/>
      <x:c r="E710" s="112"/>
      <x:c r="F710" s="92"/>
      <x:c r="G710" s="92"/>
      <x:c r="H710" s="92"/>
      <x:c r="I710" s="93" t="str">
        <x:f>IF(B710="","",MAX(0,F710-H710))</x:f>
      </x:c>
      <x:c r="J710" s="46"/>
      <x:c r="K710" s="100" t="str">
        <x:f>IF(B710="","",IF(G710="TL",1,IF(G710="USD",KURLAR!$C$9,IF(G710="EUR",KURLAR!$C$10,0))))</x:f>
      </x:c>
      <x:c r="L710" s="68" t="str">
        <x:f>IF(B710="","",I710*K710)</x:f>
      </x:c>
      <x:c r="M710" s="46"/>
      <x:c r="N710" s="52" t="str">
        <x:f>IF(B710="","",IF(OR(M710="Ödendi",M710="İptal"),"Hayır","Evet"))</x:f>
      </x:c>
    </x:row>
    <x:row r="711">
      <x:c r="B711" s="46"/>
      <x:c r="C711" s="46"/>
      <x:c r="D711" s="112"/>
      <x:c r="E711" s="112"/>
      <x:c r="F711" s="92"/>
      <x:c r="G711" s="92"/>
      <x:c r="H711" s="92"/>
      <x:c r="I711" s="93" t="str">
        <x:f>IF(B711="","",MAX(0,F711-H711))</x:f>
      </x:c>
      <x:c r="J711" s="46"/>
      <x:c r="K711" s="100" t="str">
        <x:f>IF(B711="","",IF(G711="TL",1,IF(G711="USD",KURLAR!$C$9,IF(G711="EUR",KURLAR!$C$10,0))))</x:f>
      </x:c>
      <x:c r="L711" s="68" t="str">
        <x:f>IF(B711="","",I711*K711)</x:f>
      </x:c>
      <x:c r="M711" s="46"/>
      <x:c r="N711" s="52" t="str">
        <x:f>IF(B711="","",IF(OR(M711="Ödendi",M711="İptal"),"Hayır","Evet"))</x:f>
      </x:c>
    </x:row>
    <x:row r="712">
      <x:c r="B712" s="46"/>
      <x:c r="C712" s="46"/>
      <x:c r="D712" s="112"/>
      <x:c r="E712" s="112"/>
      <x:c r="F712" s="92"/>
      <x:c r="G712" s="92"/>
      <x:c r="H712" s="92"/>
      <x:c r="I712" s="93" t="str">
        <x:f>IF(B712="","",MAX(0,F712-H712))</x:f>
      </x:c>
      <x:c r="J712" s="46"/>
      <x:c r="K712" s="100" t="str">
        <x:f>IF(B712="","",IF(G712="TL",1,IF(G712="USD",KURLAR!$C$9,IF(G712="EUR",KURLAR!$C$10,0))))</x:f>
      </x:c>
      <x:c r="L712" s="68" t="str">
        <x:f>IF(B712="","",I712*K712)</x:f>
      </x:c>
      <x:c r="M712" s="46"/>
      <x:c r="N712" s="52" t="str">
        <x:f>IF(B712="","",IF(OR(M712="Ödendi",M712="İptal"),"Hayır","Evet"))</x:f>
      </x:c>
    </x:row>
    <x:row r="713">
      <x:c r="B713" s="46"/>
      <x:c r="C713" s="46"/>
      <x:c r="D713" s="112"/>
      <x:c r="E713" s="112"/>
      <x:c r="F713" s="92"/>
      <x:c r="G713" s="92"/>
      <x:c r="H713" s="92"/>
      <x:c r="I713" s="93" t="str">
        <x:f>IF(B713="","",MAX(0,F713-H713))</x:f>
      </x:c>
      <x:c r="J713" s="46"/>
      <x:c r="K713" s="100" t="str">
        <x:f>IF(B713="","",IF(G713="TL",1,IF(G713="USD",KURLAR!$C$9,IF(G713="EUR",KURLAR!$C$10,0))))</x:f>
      </x:c>
      <x:c r="L713" s="68" t="str">
        <x:f>IF(B713="","",I713*K713)</x:f>
      </x:c>
      <x:c r="M713" s="46"/>
      <x:c r="N713" s="52" t="str">
        <x:f>IF(B713="","",IF(OR(M713="Ödendi",M713="İptal"),"Hayır","Evet"))</x:f>
      </x:c>
    </x:row>
    <x:row r="714">
      <x:c r="B714" s="46"/>
      <x:c r="C714" s="46"/>
      <x:c r="D714" s="112"/>
      <x:c r="E714" s="112"/>
      <x:c r="F714" s="92"/>
      <x:c r="G714" s="92"/>
      <x:c r="H714" s="92"/>
      <x:c r="I714" s="93" t="str">
        <x:f>IF(B714="","",MAX(0,F714-H714))</x:f>
      </x:c>
      <x:c r="J714" s="46"/>
      <x:c r="K714" s="100" t="str">
        <x:f>IF(B714="","",IF(G714="TL",1,IF(G714="USD",KURLAR!$C$9,IF(G714="EUR",KURLAR!$C$10,0))))</x:f>
      </x:c>
      <x:c r="L714" s="68" t="str">
        <x:f>IF(B714="","",I714*K714)</x:f>
      </x:c>
      <x:c r="M714" s="46"/>
      <x:c r="N714" s="52" t="str">
        <x:f>IF(B714="","",IF(OR(M714="Ödendi",M714="İptal"),"Hayır","Evet"))</x:f>
      </x:c>
    </x:row>
    <x:row r="715">
      <x:c r="B715" s="46"/>
      <x:c r="C715" s="46"/>
      <x:c r="D715" s="112"/>
      <x:c r="E715" s="112"/>
      <x:c r="F715" s="92"/>
      <x:c r="G715" s="92"/>
      <x:c r="H715" s="92"/>
      <x:c r="I715" s="93" t="str">
        <x:f>IF(B715="","",MAX(0,F715-H715))</x:f>
      </x:c>
      <x:c r="J715" s="46"/>
      <x:c r="K715" s="100" t="str">
        <x:f>IF(B715="","",IF(G715="TL",1,IF(G715="USD",KURLAR!$C$9,IF(G715="EUR",KURLAR!$C$10,0))))</x:f>
      </x:c>
      <x:c r="L715" s="68" t="str">
        <x:f>IF(B715="","",I715*K715)</x:f>
      </x:c>
      <x:c r="M715" s="46"/>
      <x:c r="N715" s="52" t="str">
        <x:f>IF(B715="","",IF(OR(M715="Ödendi",M715="İptal"),"Hayır","Evet"))</x:f>
      </x:c>
    </x:row>
    <x:row r="716">
      <x:c r="B716" s="46"/>
      <x:c r="C716" s="46"/>
      <x:c r="D716" s="112"/>
      <x:c r="E716" s="112"/>
      <x:c r="F716" s="92"/>
      <x:c r="G716" s="92"/>
      <x:c r="H716" s="92"/>
      <x:c r="I716" s="93" t="str">
        <x:f>IF(B716="","",MAX(0,F716-H716))</x:f>
      </x:c>
      <x:c r="J716" s="46"/>
      <x:c r="K716" s="100" t="str">
        <x:f>IF(B716="","",IF(G716="TL",1,IF(G716="USD",KURLAR!$C$9,IF(G716="EUR",KURLAR!$C$10,0))))</x:f>
      </x:c>
      <x:c r="L716" s="68" t="str">
        <x:f>IF(B716="","",I716*K716)</x:f>
      </x:c>
      <x:c r="M716" s="46"/>
      <x:c r="N716" s="52" t="str">
        <x:f>IF(B716="","",IF(OR(M716="Ödendi",M716="İptal"),"Hayır","Evet"))</x:f>
      </x:c>
    </x:row>
    <x:row r="717">
      <x:c r="B717" s="46"/>
      <x:c r="C717" s="46"/>
      <x:c r="D717" s="112"/>
      <x:c r="E717" s="112"/>
      <x:c r="F717" s="92"/>
      <x:c r="G717" s="92"/>
      <x:c r="H717" s="92"/>
      <x:c r="I717" s="93" t="str">
        <x:f>IF(B717="","",MAX(0,F717-H717))</x:f>
      </x:c>
      <x:c r="J717" s="46"/>
      <x:c r="K717" s="100" t="str">
        <x:f>IF(B717="","",IF(G717="TL",1,IF(G717="USD",KURLAR!$C$9,IF(G717="EUR",KURLAR!$C$10,0))))</x:f>
      </x:c>
      <x:c r="L717" s="68" t="str">
        <x:f>IF(B717="","",I717*K717)</x:f>
      </x:c>
      <x:c r="M717" s="46"/>
      <x:c r="N717" s="52" t="str">
        <x:f>IF(B717="","",IF(OR(M717="Ödendi",M717="İptal"),"Hayır","Evet"))</x:f>
      </x:c>
    </x:row>
    <x:row r="718">
      <x:c r="B718" s="46"/>
      <x:c r="C718" s="46"/>
      <x:c r="D718" s="112"/>
      <x:c r="E718" s="112"/>
      <x:c r="F718" s="92"/>
      <x:c r="G718" s="92"/>
      <x:c r="H718" s="92"/>
      <x:c r="I718" s="93" t="str">
        <x:f>IF(B718="","",MAX(0,F718-H718))</x:f>
      </x:c>
      <x:c r="J718" s="46"/>
      <x:c r="K718" s="100" t="str">
        <x:f>IF(B718="","",IF(G718="TL",1,IF(G718="USD",KURLAR!$C$9,IF(G718="EUR",KURLAR!$C$10,0))))</x:f>
      </x:c>
      <x:c r="L718" s="68" t="str">
        <x:f>IF(B718="","",I718*K718)</x:f>
      </x:c>
      <x:c r="M718" s="46"/>
      <x:c r="N718" s="52" t="str">
        <x:f>IF(B718="","",IF(OR(M718="Ödendi",M718="İptal"),"Hayır","Evet"))</x:f>
      </x:c>
    </x:row>
    <x:row r="719">
      <x:c r="B719" s="46"/>
      <x:c r="C719" s="46"/>
      <x:c r="D719" s="112"/>
      <x:c r="E719" s="112"/>
      <x:c r="F719" s="92"/>
      <x:c r="G719" s="92"/>
      <x:c r="H719" s="92"/>
      <x:c r="I719" s="93" t="str">
        <x:f>IF(B719="","",MAX(0,F719-H719))</x:f>
      </x:c>
      <x:c r="J719" s="46"/>
      <x:c r="K719" s="100" t="str">
        <x:f>IF(B719="","",IF(G719="TL",1,IF(G719="USD",KURLAR!$C$9,IF(G719="EUR",KURLAR!$C$10,0))))</x:f>
      </x:c>
      <x:c r="L719" s="68" t="str">
        <x:f>IF(B719="","",I719*K719)</x:f>
      </x:c>
      <x:c r="M719" s="46"/>
      <x:c r="N719" s="52" t="str">
        <x:f>IF(B719="","",IF(OR(M719="Ödendi",M719="İptal"),"Hayır","Evet"))</x:f>
      </x:c>
    </x:row>
    <x:row r="720">
      <x:c r="B720" s="46"/>
      <x:c r="C720" s="46"/>
      <x:c r="D720" s="112"/>
      <x:c r="E720" s="112"/>
      <x:c r="F720" s="92"/>
      <x:c r="G720" s="92"/>
      <x:c r="H720" s="92"/>
      <x:c r="I720" s="93" t="str">
        <x:f>IF(B720="","",MAX(0,F720-H720))</x:f>
      </x:c>
      <x:c r="J720" s="46"/>
      <x:c r="K720" s="100" t="str">
        <x:f>IF(B720="","",IF(G720="TL",1,IF(G720="USD",KURLAR!$C$9,IF(G720="EUR",KURLAR!$C$10,0))))</x:f>
      </x:c>
      <x:c r="L720" s="68" t="str">
        <x:f>IF(B720="","",I720*K720)</x:f>
      </x:c>
      <x:c r="M720" s="46"/>
      <x:c r="N720" s="52" t="str">
        <x:f>IF(B720="","",IF(OR(M720="Ödendi",M720="İptal"),"Hayır","Evet"))</x:f>
      </x:c>
    </x:row>
    <x:row r="721">
      <x:c r="B721" s="46"/>
      <x:c r="C721" s="46"/>
      <x:c r="D721" s="112"/>
      <x:c r="E721" s="112"/>
      <x:c r="F721" s="92"/>
      <x:c r="G721" s="92"/>
      <x:c r="H721" s="92"/>
      <x:c r="I721" s="93" t="str">
        <x:f>IF(B721="","",MAX(0,F721-H721))</x:f>
      </x:c>
      <x:c r="J721" s="46"/>
      <x:c r="K721" s="100" t="str">
        <x:f>IF(B721="","",IF(G721="TL",1,IF(G721="USD",KURLAR!$C$9,IF(G721="EUR",KURLAR!$C$10,0))))</x:f>
      </x:c>
      <x:c r="L721" s="68" t="str">
        <x:f>IF(B721="","",I721*K721)</x:f>
      </x:c>
      <x:c r="M721" s="46"/>
      <x:c r="N721" s="52" t="str">
        <x:f>IF(B721="","",IF(OR(M721="Ödendi",M721="İptal"),"Hayır","Evet"))</x:f>
      </x:c>
    </x:row>
    <x:row r="722">
      <x:c r="B722" s="46"/>
      <x:c r="C722" s="46"/>
      <x:c r="D722" s="112"/>
      <x:c r="E722" s="112"/>
      <x:c r="F722" s="92"/>
      <x:c r="G722" s="92"/>
      <x:c r="H722" s="92"/>
      <x:c r="I722" s="93" t="str">
        <x:f>IF(B722="","",MAX(0,F722-H722))</x:f>
      </x:c>
      <x:c r="J722" s="46"/>
      <x:c r="K722" s="100" t="str">
        <x:f>IF(B722="","",IF(G722="TL",1,IF(G722="USD",KURLAR!$C$9,IF(G722="EUR",KURLAR!$C$10,0))))</x:f>
      </x:c>
      <x:c r="L722" s="68" t="str">
        <x:f>IF(B722="","",I722*K722)</x:f>
      </x:c>
      <x:c r="M722" s="46"/>
      <x:c r="N722" s="52" t="str">
        <x:f>IF(B722="","",IF(OR(M722="Ödendi",M722="İptal"),"Hayır","Evet"))</x:f>
      </x:c>
    </x:row>
    <x:row r="723">
      <x:c r="B723" s="46"/>
      <x:c r="C723" s="46"/>
      <x:c r="D723" s="112"/>
      <x:c r="E723" s="112"/>
      <x:c r="F723" s="92"/>
      <x:c r="G723" s="92"/>
      <x:c r="H723" s="92"/>
      <x:c r="I723" s="93" t="str">
        <x:f>IF(B723="","",MAX(0,F723-H723))</x:f>
      </x:c>
      <x:c r="J723" s="46"/>
      <x:c r="K723" s="100" t="str">
        <x:f>IF(B723="","",IF(G723="TL",1,IF(G723="USD",KURLAR!$C$9,IF(G723="EUR",KURLAR!$C$10,0))))</x:f>
      </x:c>
      <x:c r="L723" s="68" t="str">
        <x:f>IF(B723="","",I723*K723)</x:f>
      </x:c>
      <x:c r="M723" s="46"/>
      <x:c r="N723" s="52" t="str">
        <x:f>IF(B723="","",IF(OR(M723="Ödendi",M723="İptal"),"Hayır","Evet"))</x:f>
      </x:c>
    </x:row>
    <x:row r="724">
      <x:c r="B724" s="46"/>
      <x:c r="C724" s="46"/>
      <x:c r="D724" s="112"/>
      <x:c r="E724" s="112"/>
      <x:c r="F724" s="92"/>
      <x:c r="G724" s="92"/>
      <x:c r="H724" s="92"/>
      <x:c r="I724" s="93" t="str">
        <x:f>IF(B724="","",MAX(0,F724-H724))</x:f>
      </x:c>
      <x:c r="J724" s="46"/>
      <x:c r="K724" s="100" t="str">
        <x:f>IF(B724="","",IF(G724="TL",1,IF(G724="USD",KURLAR!$C$9,IF(G724="EUR",KURLAR!$C$10,0))))</x:f>
      </x:c>
      <x:c r="L724" s="68" t="str">
        <x:f>IF(B724="","",I724*K724)</x:f>
      </x:c>
      <x:c r="M724" s="46"/>
      <x:c r="N724" s="52" t="str">
        <x:f>IF(B724="","",IF(OR(M724="Ödendi",M724="İptal"),"Hayır","Evet"))</x:f>
      </x:c>
    </x:row>
    <x:row r="725">
      <x:c r="B725" s="46"/>
      <x:c r="C725" s="46"/>
      <x:c r="D725" s="112"/>
      <x:c r="E725" s="112"/>
      <x:c r="F725" s="92"/>
      <x:c r="G725" s="92"/>
      <x:c r="H725" s="92"/>
      <x:c r="I725" s="93" t="str">
        <x:f>IF(B725="","",MAX(0,F725-H725))</x:f>
      </x:c>
      <x:c r="J725" s="46"/>
      <x:c r="K725" s="100" t="str">
        <x:f>IF(B725="","",IF(G725="TL",1,IF(G725="USD",KURLAR!$C$9,IF(G725="EUR",KURLAR!$C$10,0))))</x:f>
      </x:c>
      <x:c r="L725" s="68" t="str">
        <x:f>IF(B725="","",I725*K725)</x:f>
      </x:c>
      <x:c r="M725" s="46"/>
      <x:c r="N725" s="52" t="str">
        <x:f>IF(B725="","",IF(OR(M725="Ödendi",M725="İptal"),"Hayır","Evet"))</x:f>
      </x:c>
    </x:row>
    <x:row r="726">
      <x:c r="B726" s="46"/>
      <x:c r="C726" s="46"/>
      <x:c r="D726" s="112"/>
      <x:c r="E726" s="112"/>
      <x:c r="F726" s="92"/>
      <x:c r="G726" s="92"/>
      <x:c r="H726" s="92"/>
      <x:c r="I726" s="93" t="str">
        <x:f>IF(B726="","",MAX(0,F726-H726))</x:f>
      </x:c>
      <x:c r="J726" s="46"/>
      <x:c r="K726" s="100" t="str">
        <x:f>IF(B726="","",IF(G726="TL",1,IF(G726="USD",KURLAR!$C$9,IF(G726="EUR",KURLAR!$C$10,0))))</x:f>
      </x:c>
      <x:c r="L726" s="68" t="str">
        <x:f>IF(B726="","",I726*K726)</x:f>
      </x:c>
      <x:c r="M726" s="46"/>
      <x:c r="N726" s="52" t="str">
        <x:f>IF(B726="","",IF(OR(M726="Ödendi",M726="İptal"),"Hayır","Evet"))</x:f>
      </x:c>
    </x:row>
    <x:row r="727">
      <x:c r="B727" s="46"/>
      <x:c r="C727" s="46"/>
      <x:c r="D727" s="112"/>
      <x:c r="E727" s="112"/>
      <x:c r="F727" s="92"/>
      <x:c r="G727" s="92"/>
      <x:c r="H727" s="92"/>
      <x:c r="I727" s="93" t="str">
        <x:f>IF(B727="","",MAX(0,F727-H727))</x:f>
      </x:c>
      <x:c r="J727" s="46"/>
      <x:c r="K727" s="100" t="str">
        <x:f>IF(B727="","",IF(G727="TL",1,IF(G727="USD",KURLAR!$C$9,IF(G727="EUR",KURLAR!$C$10,0))))</x:f>
      </x:c>
      <x:c r="L727" s="68" t="str">
        <x:f>IF(B727="","",I727*K727)</x:f>
      </x:c>
      <x:c r="M727" s="46"/>
      <x:c r="N727" s="52" t="str">
        <x:f>IF(B727="","",IF(OR(M727="Ödendi",M727="İptal"),"Hayır","Evet"))</x:f>
      </x:c>
    </x:row>
    <x:row r="728">
      <x:c r="B728" s="46"/>
      <x:c r="C728" s="46"/>
      <x:c r="D728" s="112"/>
      <x:c r="E728" s="112"/>
      <x:c r="F728" s="92"/>
      <x:c r="G728" s="92"/>
      <x:c r="H728" s="92"/>
      <x:c r="I728" s="93" t="str">
        <x:f>IF(B728="","",MAX(0,F728-H728))</x:f>
      </x:c>
      <x:c r="J728" s="46"/>
      <x:c r="K728" s="100" t="str">
        <x:f>IF(B728="","",IF(G728="TL",1,IF(G728="USD",KURLAR!$C$9,IF(G728="EUR",KURLAR!$C$10,0))))</x:f>
      </x:c>
      <x:c r="L728" s="68" t="str">
        <x:f>IF(B728="","",I728*K728)</x:f>
      </x:c>
      <x:c r="M728" s="46"/>
      <x:c r="N728" s="52" t="str">
        <x:f>IF(B728="","",IF(OR(M728="Ödendi",M728="İptal"),"Hayır","Evet"))</x:f>
      </x:c>
    </x:row>
    <x:row r="729">
      <x:c r="B729" s="46"/>
      <x:c r="C729" s="46"/>
      <x:c r="D729" s="112"/>
      <x:c r="E729" s="112"/>
      <x:c r="F729" s="92"/>
      <x:c r="G729" s="92"/>
      <x:c r="H729" s="92"/>
      <x:c r="I729" s="93" t="str">
        <x:f>IF(B729="","",MAX(0,F729-H729))</x:f>
      </x:c>
      <x:c r="J729" s="46"/>
      <x:c r="K729" s="100" t="str">
        <x:f>IF(B729="","",IF(G729="TL",1,IF(G729="USD",KURLAR!$C$9,IF(G729="EUR",KURLAR!$C$10,0))))</x:f>
      </x:c>
      <x:c r="L729" s="68" t="str">
        <x:f>IF(B729="","",I729*K729)</x:f>
      </x:c>
      <x:c r="M729" s="46"/>
      <x:c r="N729" s="52" t="str">
        <x:f>IF(B729="","",IF(OR(M729="Ödendi",M729="İptal"),"Hayır","Evet"))</x:f>
      </x:c>
    </x:row>
    <x:row r="730">
      <x:c r="B730" s="46"/>
      <x:c r="C730" s="46"/>
      <x:c r="D730" s="112"/>
      <x:c r="E730" s="112"/>
      <x:c r="F730" s="92"/>
      <x:c r="G730" s="92"/>
      <x:c r="H730" s="92"/>
      <x:c r="I730" s="93" t="str">
        <x:f>IF(B730="","",MAX(0,F730-H730))</x:f>
      </x:c>
      <x:c r="J730" s="46"/>
      <x:c r="K730" s="100" t="str">
        <x:f>IF(B730="","",IF(G730="TL",1,IF(G730="USD",KURLAR!$C$9,IF(G730="EUR",KURLAR!$C$10,0))))</x:f>
      </x:c>
      <x:c r="L730" s="68" t="str">
        <x:f>IF(B730="","",I730*K730)</x:f>
      </x:c>
      <x:c r="M730" s="46"/>
      <x:c r="N730" s="52" t="str">
        <x:f>IF(B730="","",IF(OR(M730="Ödendi",M730="İptal"),"Hayır","Evet"))</x:f>
      </x:c>
    </x:row>
    <x:row r="731">
      <x:c r="B731" s="46"/>
      <x:c r="C731" s="46"/>
      <x:c r="D731" s="112"/>
      <x:c r="E731" s="112"/>
      <x:c r="F731" s="92"/>
      <x:c r="G731" s="92"/>
      <x:c r="H731" s="92"/>
      <x:c r="I731" s="93" t="str">
        <x:f>IF(B731="","",MAX(0,F731-H731))</x:f>
      </x:c>
      <x:c r="J731" s="46"/>
      <x:c r="K731" s="100" t="str">
        <x:f>IF(B731="","",IF(G731="TL",1,IF(G731="USD",KURLAR!$C$9,IF(G731="EUR",KURLAR!$C$10,0))))</x:f>
      </x:c>
      <x:c r="L731" s="68" t="str">
        <x:f>IF(B731="","",I731*K731)</x:f>
      </x:c>
      <x:c r="M731" s="46"/>
      <x:c r="N731" s="52" t="str">
        <x:f>IF(B731="","",IF(OR(M731="Ödendi",M731="İptal"),"Hayır","Evet"))</x:f>
      </x:c>
    </x:row>
    <x:row r="732">
      <x:c r="B732" s="46"/>
      <x:c r="C732" s="46"/>
      <x:c r="D732" s="112"/>
      <x:c r="E732" s="112"/>
      <x:c r="F732" s="92"/>
      <x:c r="G732" s="92"/>
      <x:c r="H732" s="92"/>
      <x:c r="I732" s="93" t="str">
        <x:f>IF(B732="","",MAX(0,F732-H732))</x:f>
      </x:c>
      <x:c r="J732" s="46"/>
      <x:c r="K732" s="100" t="str">
        <x:f>IF(B732="","",IF(G732="TL",1,IF(G732="USD",KURLAR!$C$9,IF(G732="EUR",KURLAR!$C$10,0))))</x:f>
      </x:c>
      <x:c r="L732" s="68" t="str">
        <x:f>IF(B732="","",I732*K732)</x:f>
      </x:c>
      <x:c r="M732" s="46"/>
      <x:c r="N732" s="52" t="str">
        <x:f>IF(B732="","",IF(OR(M732="Ödendi",M732="İptal"),"Hayır","Evet"))</x:f>
      </x:c>
    </x:row>
    <x:row r="733">
      <x:c r="B733" s="46"/>
      <x:c r="C733" s="46"/>
      <x:c r="D733" s="112"/>
      <x:c r="E733" s="112"/>
      <x:c r="F733" s="92"/>
      <x:c r="G733" s="92"/>
      <x:c r="H733" s="92"/>
      <x:c r="I733" s="93" t="str">
        <x:f>IF(B733="","",MAX(0,F733-H733))</x:f>
      </x:c>
      <x:c r="J733" s="46"/>
      <x:c r="K733" s="100" t="str">
        <x:f>IF(B733="","",IF(G733="TL",1,IF(G733="USD",KURLAR!$C$9,IF(G733="EUR",KURLAR!$C$10,0))))</x:f>
      </x:c>
      <x:c r="L733" s="68" t="str">
        <x:f>IF(B733="","",I733*K733)</x:f>
      </x:c>
      <x:c r="M733" s="46"/>
      <x:c r="N733" s="52" t="str">
        <x:f>IF(B733="","",IF(OR(M733="Ödendi",M733="İptal"),"Hayır","Evet"))</x:f>
      </x:c>
    </x:row>
    <x:row r="734">
      <x:c r="B734" s="46"/>
      <x:c r="C734" s="46"/>
      <x:c r="D734" s="112"/>
      <x:c r="E734" s="112"/>
      <x:c r="F734" s="92"/>
      <x:c r="G734" s="92"/>
      <x:c r="H734" s="92"/>
      <x:c r="I734" s="93" t="str">
        <x:f>IF(B734="","",MAX(0,F734-H734))</x:f>
      </x:c>
      <x:c r="J734" s="46"/>
      <x:c r="K734" s="100" t="str">
        <x:f>IF(B734="","",IF(G734="TL",1,IF(G734="USD",KURLAR!$C$9,IF(G734="EUR",KURLAR!$C$10,0))))</x:f>
      </x:c>
      <x:c r="L734" s="68" t="str">
        <x:f>IF(B734="","",I734*K734)</x:f>
      </x:c>
      <x:c r="M734" s="46"/>
      <x:c r="N734" s="52" t="str">
        <x:f>IF(B734="","",IF(OR(M734="Ödendi",M734="İptal"),"Hayır","Evet"))</x:f>
      </x:c>
    </x:row>
    <x:row r="735">
      <x:c r="B735" s="46"/>
      <x:c r="C735" s="46"/>
      <x:c r="D735" s="112"/>
      <x:c r="E735" s="112"/>
      <x:c r="F735" s="92"/>
      <x:c r="G735" s="92"/>
      <x:c r="H735" s="92"/>
      <x:c r="I735" s="93" t="str">
        <x:f>IF(B735="","",MAX(0,F735-H735))</x:f>
      </x:c>
      <x:c r="J735" s="46"/>
      <x:c r="K735" s="100" t="str">
        <x:f>IF(B735="","",IF(G735="TL",1,IF(G735="USD",KURLAR!$C$9,IF(G735="EUR",KURLAR!$C$10,0))))</x:f>
      </x:c>
      <x:c r="L735" s="68" t="str">
        <x:f>IF(B735="","",I735*K735)</x:f>
      </x:c>
      <x:c r="M735" s="46"/>
      <x:c r="N735" s="52" t="str">
        <x:f>IF(B735="","",IF(OR(M735="Ödendi",M735="İptal"),"Hayır","Evet"))</x:f>
      </x:c>
    </x:row>
    <x:row r="736">
      <x:c r="B736" s="46"/>
      <x:c r="C736" s="46"/>
      <x:c r="D736" s="112"/>
      <x:c r="E736" s="112"/>
      <x:c r="F736" s="92"/>
      <x:c r="G736" s="92"/>
      <x:c r="H736" s="92"/>
      <x:c r="I736" s="93" t="str">
        <x:f>IF(B736="","",MAX(0,F736-H736))</x:f>
      </x:c>
      <x:c r="J736" s="46"/>
      <x:c r="K736" s="100" t="str">
        <x:f>IF(B736="","",IF(G736="TL",1,IF(G736="USD",KURLAR!$C$9,IF(G736="EUR",KURLAR!$C$10,0))))</x:f>
      </x:c>
      <x:c r="L736" s="68" t="str">
        <x:f>IF(B736="","",I736*K736)</x:f>
      </x:c>
      <x:c r="M736" s="46"/>
      <x:c r="N736" s="52" t="str">
        <x:f>IF(B736="","",IF(OR(M736="Ödendi",M736="İptal"),"Hayır","Evet"))</x:f>
      </x:c>
    </x:row>
    <x:row r="737">
      <x:c r="B737" s="46"/>
      <x:c r="C737" s="46"/>
      <x:c r="D737" s="112"/>
      <x:c r="E737" s="112"/>
      <x:c r="F737" s="92"/>
      <x:c r="G737" s="92"/>
      <x:c r="H737" s="92"/>
      <x:c r="I737" s="93" t="str">
        <x:f>IF(B737="","",MAX(0,F737-H737))</x:f>
      </x:c>
      <x:c r="J737" s="46"/>
      <x:c r="K737" s="100" t="str">
        <x:f>IF(B737="","",IF(G737="TL",1,IF(G737="USD",KURLAR!$C$9,IF(G737="EUR",KURLAR!$C$10,0))))</x:f>
      </x:c>
      <x:c r="L737" s="68" t="str">
        <x:f>IF(B737="","",I737*K737)</x:f>
      </x:c>
      <x:c r="M737" s="46"/>
      <x:c r="N737" s="52" t="str">
        <x:f>IF(B737="","",IF(OR(M737="Ödendi",M737="İptal"),"Hayır","Evet"))</x:f>
      </x:c>
    </x:row>
    <x:row r="738">
      <x:c r="B738" s="46"/>
      <x:c r="C738" s="46"/>
      <x:c r="D738" s="112"/>
      <x:c r="E738" s="112"/>
      <x:c r="F738" s="92"/>
      <x:c r="G738" s="92"/>
      <x:c r="H738" s="92"/>
      <x:c r="I738" s="93" t="str">
        <x:f>IF(B738="","",MAX(0,F738-H738))</x:f>
      </x:c>
      <x:c r="J738" s="46"/>
      <x:c r="K738" s="100" t="str">
        <x:f>IF(B738="","",IF(G738="TL",1,IF(G738="USD",KURLAR!$C$9,IF(G738="EUR",KURLAR!$C$10,0))))</x:f>
      </x:c>
      <x:c r="L738" s="68" t="str">
        <x:f>IF(B738="","",I738*K738)</x:f>
      </x:c>
      <x:c r="M738" s="46"/>
      <x:c r="N738" s="52" t="str">
        <x:f>IF(B738="","",IF(OR(M738="Ödendi",M738="İptal"),"Hayır","Evet"))</x:f>
      </x:c>
    </x:row>
    <x:row r="739">
      <x:c r="B739" s="46"/>
      <x:c r="C739" s="46"/>
      <x:c r="D739" s="112"/>
      <x:c r="E739" s="112"/>
      <x:c r="F739" s="92"/>
      <x:c r="G739" s="92"/>
      <x:c r="H739" s="92"/>
      <x:c r="I739" s="93" t="str">
        <x:f>IF(B739="","",MAX(0,F739-H739))</x:f>
      </x:c>
      <x:c r="J739" s="46"/>
      <x:c r="K739" s="100" t="str">
        <x:f>IF(B739="","",IF(G739="TL",1,IF(G739="USD",KURLAR!$C$9,IF(G739="EUR",KURLAR!$C$10,0))))</x:f>
      </x:c>
      <x:c r="L739" s="68" t="str">
        <x:f>IF(B739="","",I739*K739)</x:f>
      </x:c>
      <x:c r="M739" s="46"/>
      <x:c r="N739" s="52" t="str">
        <x:f>IF(B739="","",IF(OR(M739="Ödendi",M739="İptal"),"Hayır","Evet"))</x:f>
      </x:c>
    </x:row>
    <x:row r="740">
      <x:c r="B740" s="46"/>
      <x:c r="C740" s="46"/>
      <x:c r="D740" s="112"/>
      <x:c r="E740" s="112"/>
      <x:c r="F740" s="92"/>
      <x:c r="G740" s="92"/>
      <x:c r="H740" s="92"/>
      <x:c r="I740" s="93" t="str">
        <x:f>IF(B740="","",MAX(0,F740-H740))</x:f>
      </x:c>
      <x:c r="J740" s="46"/>
      <x:c r="K740" s="100" t="str">
        <x:f>IF(B740="","",IF(G740="TL",1,IF(G740="USD",KURLAR!$C$9,IF(G740="EUR",KURLAR!$C$10,0))))</x:f>
      </x:c>
      <x:c r="L740" s="68" t="str">
        <x:f>IF(B740="","",I740*K740)</x:f>
      </x:c>
      <x:c r="M740" s="46"/>
      <x:c r="N740" s="52" t="str">
        <x:f>IF(B740="","",IF(OR(M740="Ödendi",M740="İptal"),"Hayır","Evet"))</x:f>
      </x:c>
    </x:row>
    <x:row r="741">
      <x:c r="B741" s="46"/>
      <x:c r="C741" s="46"/>
      <x:c r="D741" s="112"/>
      <x:c r="E741" s="112"/>
      <x:c r="F741" s="92"/>
      <x:c r="G741" s="92"/>
      <x:c r="H741" s="92"/>
      <x:c r="I741" s="93" t="str">
        <x:f>IF(B741="","",MAX(0,F741-H741))</x:f>
      </x:c>
      <x:c r="J741" s="46"/>
      <x:c r="K741" s="100" t="str">
        <x:f>IF(B741="","",IF(G741="TL",1,IF(G741="USD",KURLAR!$C$9,IF(G741="EUR",KURLAR!$C$10,0))))</x:f>
      </x:c>
      <x:c r="L741" s="68" t="str">
        <x:f>IF(B741="","",I741*K741)</x:f>
      </x:c>
      <x:c r="M741" s="46"/>
      <x:c r="N741" s="52" t="str">
        <x:f>IF(B741="","",IF(OR(M741="Ödendi",M741="İptal"),"Hayır","Evet"))</x:f>
      </x:c>
    </x:row>
    <x:row r="742">
      <x:c r="B742" s="46"/>
      <x:c r="C742" s="46"/>
      <x:c r="D742" s="112"/>
      <x:c r="E742" s="112"/>
      <x:c r="F742" s="92"/>
      <x:c r="G742" s="92"/>
      <x:c r="H742" s="92"/>
      <x:c r="I742" s="93" t="str">
        <x:f>IF(B742="","",MAX(0,F742-H742))</x:f>
      </x:c>
      <x:c r="J742" s="46"/>
      <x:c r="K742" s="100" t="str">
        <x:f>IF(B742="","",IF(G742="TL",1,IF(G742="USD",KURLAR!$C$9,IF(G742="EUR",KURLAR!$C$10,0))))</x:f>
      </x:c>
      <x:c r="L742" s="68" t="str">
        <x:f>IF(B742="","",I742*K742)</x:f>
      </x:c>
      <x:c r="M742" s="46"/>
      <x:c r="N742" s="52" t="str">
        <x:f>IF(B742="","",IF(OR(M742="Ödendi",M742="İptal"),"Hayır","Evet"))</x:f>
      </x:c>
    </x:row>
    <x:row r="743">
      <x:c r="B743" s="46"/>
      <x:c r="C743" s="46"/>
      <x:c r="D743" s="112"/>
      <x:c r="E743" s="112"/>
      <x:c r="F743" s="92"/>
      <x:c r="G743" s="92"/>
      <x:c r="H743" s="92"/>
      <x:c r="I743" s="93" t="str">
        <x:f>IF(B743="","",MAX(0,F743-H743))</x:f>
      </x:c>
      <x:c r="J743" s="46"/>
      <x:c r="K743" s="100" t="str">
        <x:f>IF(B743="","",IF(G743="TL",1,IF(G743="USD",KURLAR!$C$9,IF(G743="EUR",KURLAR!$C$10,0))))</x:f>
      </x:c>
      <x:c r="L743" s="68" t="str">
        <x:f>IF(B743="","",I743*K743)</x:f>
      </x:c>
      <x:c r="M743" s="46"/>
      <x:c r="N743" s="52" t="str">
        <x:f>IF(B743="","",IF(OR(M743="Ödendi",M743="İptal"),"Hayır","Evet"))</x:f>
      </x:c>
    </x:row>
    <x:row r="744">
      <x:c r="B744" s="46"/>
      <x:c r="C744" s="46"/>
      <x:c r="D744" s="112"/>
      <x:c r="E744" s="112"/>
      <x:c r="F744" s="92"/>
      <x:c r="G744" s="92"/>
      <x:c r="H744" s="92"/>
      <x:c r="I744" s="93" t="str">
        <x:f>IF(B744="","",MAX(0,F744-H744))</x:f>
      </x:c>
      <x:c r="J744" s="46"/>
      <x:c r="K744" s="100" t="str">
        <x:f>IF(B744="","",IF(G744="TL",1,IF(G744="USD",KURLAR!$C$9,IF(G744="EUR",KURLAR!$C$10,0))))</x:f>
      </x:c>
      <x:c r="L744" s="68" t="str">
        <x:f>IF(B744="","",I744*K744)</x:f>
      </x:c>
      <x:c r="M744" s="46"/>
      <x:c r="N744" s="52" t="str">
        <x:f>IF(B744="","",IF(OR(M744="Ödendi",M744="İptal"),"Hayır","Evet"))</x:f>
      </x:c>
    </x:row>
    <x:row r="745">
      <x:c r="B745" s="46"/>
      <x:c r="C745" s="46"/>
      <x:c r="D745" s="112"/>
      <x:c r="E745" s="112"/>
      <x:c r="F745" s="92"/>
      <x:c r="G745" s="92"/>
      <x:c r="H745" s="92"/>
      <x:c r="I745" s="93" t="str">
        <x:f>IF(B745="","",MAX(0,F745-H745))</x:f>
      </x:c>
      <x:c r="J745" s="46"/>
      <x:c r="K745" s="100" t="str">
        <x:f>IF(B745="","",IF(G745="TL",1,IF(G745="USD",KURLAR!$C$9,IF(G745="EUR",KURLAR!$C$10,0))))</x:f>
      </x:c>
      <x:c r="L745" s="68" t="str">
        <x:f>IF(B745="","",I745*K745)</x:f>
      </x:c>
      <x:c r="M745" s="46"/>
      <x:c r="N745" s="52" t="str">
        <x:f>IF(B745="","",IF(OR(M745="Ödendi",M745="İptal"),"Hayır","Evet"))</x:f>
      </x:c>
    </x:row>
    <x:row r="746">
      <x:c r="B746" s="46"/>
      <x:c r="C746" s="46"/>
      <x:c r="D746" s="112"/>
      <x:c r="E746" s="112"/>
      <x:c r="F746" s="92"/>
      <x:c r="G746" s="92"/>
      <x:c r="H746" s="92"/>
      <x:c r="I746" s="93" t="str">
        <x:f>IF(B746="","",MAX(0,F746-H746))</x:f>
      </x:c>
      <x:c r="J746" s="46"/>
      <x:c r="K746" s="100" t="str">
        <x:f>IF(B746="","",IF(G746="TL",1,IF(G746="USD",KURLAR!$C$9,IF(G746="EUR",KURLAR!$C$10,0))))</x:f>
      </x:c>
      <x:c r="L746" s="68" t="str">
        <x:f>IF(B746="","",I746*K746)</x:f>
      </x:c>
      <x:c r="M746" s="46"/>
      <x:c r="N746" s="52" t="str">
        <x:f>IF(B746="","",IF(OR(M746="Ödendi",M746="İptal"),"Hayır","Evet"))</x:f>
      </x:c>
    </x:row>
    <x:row r="747">
      <x:c r="B747" s="46"/>
      <x:c r="C747" s="46"/>
      <x:c r="D747" s="112"/>
      <x:c r="E747" s="112"/>
      <x:c r="F747" s="92"/>
      <x:c r="G747" s="92"/>
      <x:c r="H747" s="92"/>
      <x:c r="I747" s="93" t="str">
        <x:f>IF(B747="","",MAX(0,F747-H747))</x:f>
      </x:c>
      <x:c r="J747" s="46"/>
      <x:c r="K747" s="100" t="str">
        <x:f>IF(B747="","",IF(G747="TL",1,IF(G747="USD",KURLAR!$C$9,IF(G747="EUR",KURLAR!$C$10,0))))</x:f>
      </x:c>
      <x:c r="L747" s="68" t="str">
        <x:f>IF(B747="","",I747*K747)</x:f>
      </x:c>
      <x:c r="M747" s="46"/>
      <x:c r="N747" s="52" t="str">
        <x:f>IF(B747="","",IF(OR(M747="Ödendi",M747="İptal"),"Hayır","Evet"))</x:f>
      </x:c>
    </x:row>
    <x:row r="748">
      <x:c r="B748" s="46"/>
      <x:c r="C748" s="46"/>
      <x:c r="D748" s="112"/>
      <x:c r="E748" s="112"/>
      <x:c r="F748" s="92"/>
      <x:c r="G748" s="92"/>
      <x:c r="H748" s="92"/>
      <x:c r="I748" s="93" t="str">
        <x:f>IF(B748="","",MAX(0,F748-H748))</x:f>
      </x:c>
      <x:c r="J748" s="46"/>
      <x:c r="K748" s="100" t="str">
        <x:f>IF(B748="","",IF(G748="TL",1,IF(G748="USD",KURLAR!$C$9,IF(G748="EUR",KURLAR!$C$10,0))))</x:f>
      </x:c>
      <x:c r="L748" s="68" t="str">
        <x:f>IF(B748="","",I748*K748)</x:f>
      </x:c>
      <x:c r="M748" s="46"/>
      <x:c r="N748" s="52" t="str">
        <x:f>IF(B748="","",IF(OR(M748="Ödendi",M748="İptal"),"Hayır","Evet"))</x:f>
      </x:c>
    </x:row>
    <x:row r="749">
      <x:c r="B749" s="46"/>
      <x:c r="C749" s="46"/>
      <x:c r="D749" s="112"/>
      <x:c r="E749" s="112"/>
      <x:c r="F749" s="92"/>
      <x:c r="G749" s="92"/>
      <x:c r="H749" s="92"/>
      <x:c r="I749" s="93" t="str">
        <x:f>IF(B749="","",MAX(0,F749-H749))</x:f>
      </x:c>
      <x:c r="J749" s="46"/>
      <x:c r="K749" s="100" t="str">
        <x:f>IF(B749="","",IF(G749="TL",1,IF(G749="USD",KURLAR!$C$9,IF(G749="EUR",KURLAR!$C$10,0))))</x:f>
      </x:c>
      <x:c r="L749" s="68" t="str">
        <x:f>IF(B749="","",I749*K749)</x:f>
      </x:c>
      <x:c r="M749" s="46"/>
      <x:c r="N749" s="52" t="str">
        <x:f>IF(B749="","",IF(OR(M749="Ödendi",M749="İptal"),"Hayır","Evet"))</x:f>
      </x:c>
    </x:row>
    <x:row r="750">
      <x:c r="B750" s="46"/>
      <x:c r="C750" s="46"/>
      <x:c r="D750" s="112"/>
      <x:c r="E750" s="112"/>
      <x:c r="F750" s="92"/>
      <x:c r="G750" s="92"/>
      <x:c r="H750" s="92"/>
      <x:c r="I750" s="93" t="str">
        <x:f>IF(B750="","",MAX(0,F750-H750))</x:f>
      </x:c>
      <x:c r="J750" s="46"/>
      <x:c r="K750" s="100" t="str">
        <x:f>IF(B750="","",IF(G750="TL",1,IF(G750="USD",KURLAR!$C$9,IF(G750="EUR",KURLAR!$C$10,0))))</x:f>
      </x:c>
      <x:c r="L750" s="68" t="str">
        <x:f>IF(B750="","",I750*K750)</x:f>
      </x:c>
      <x:c r="M750" s="46"/>
      <x:c r="N750" s="52" t="str">
        <x:f>IF(B750="","",IF(OR(M750="Ödendi",M750="İptal"),"Hayır","Evet"))</x:f>
      </x:c>
    </x:row>
    <x:row r="751">
      <x:c r="B751" s="46"/>
      <x:c r="C751" s="46"/>
      <x:c r="D751" s="112"/>
      <x:c r="E751" s="112"/>
      <x:c r="F751" s="92"/>
      <x:c r="G751" s="92"/>
      <x:c r="H751" s="92"/>
      <x:c r="I751" s="93" t="str">
        <x:f>IF(B751="","",MAX(0,F751-H751))</x:f>
      </x:c>
      <x:c r="J751" s="46"/>
      <x:c r="K751" s="100" t="str">
        <x:f>IF(B751="","",IF(G751="TL",1,IF(G751="USD",KURLAR!$C$9,IF(G751="EUR",KURLAR!$C$10,0))))</x:f>
      </x:c>
      <x:c r="L751" s="68" t="str">
        <x:f>IF(B751="","",I751*K751)</x:f>
      </x:c>
      <x:c r="M751" s="46"/>
      <x:c r="N751" s="52" t="str">
        <x:f>IF(B751="","",IF(OR(M751="Ödendi",M751="İptal"),"Hayır","Evet"))</x:f>
      </x:c>
    </x:row>
    <x:row r="752">
      <x:c r="B752" s="46"/>
      <x:c r="C752" s="46"/>
      <x:c r="D752" s="112"/>
      <x:c r="E752" s="112"/>
      <x:c r="F752" s="92"/>
      <x:c r="G752" s="92"/>
      <x:c r="H752" s="92"/>
      <x:c r="I752" s="93" t="str">
        <x:f>IF(B752="","",MAX(0,F752-H752))</x:f>
      </x:c>
      <x:c r="J752" s="46"/>
      <x:c r="K752" s="100" t="str">
        <x:f>IF(B752="","",IF(G752="TL",1,IF(G752="USD",KURLAR!$C$9,IF(G752="EUR",KURLAR!$C$10,0))))</x:f>
      </x:c>
      <x:c r="L752" s="68" t="str">
        <x:f>IF(B752="","",I752*K752)</x:f>
      </x:c>
      <x:c r="M752" s="46"/>
      <x:c r="N752" s="52" t="str">
        <x:f>IF(B752="","",IF(OR(M752="Ödendi",M752="İptal"),"Hayır","Evet"))</x:f>
      </x:c>
    </x:row>
    <x:row r="753">
      <x:c r="B753" s="46"/>
      <x:c r="C753" s="46"/>
      <x:c r="D753" s="112"/>
      <x:c r="E753" s="112"/>
      <x:c r="F753" s="92"/>
      <x:c r="G753" s="92"/>
      <x:c r="H753" s="92"/>
      <x:c r="I753" s="93" t="str">
        <x:f>IF(B753="","",MAX(0,F753-H753))</x:f>
      </x:c>
      <x:c r="J753" s="46"/>
      <x:c r="K753" s="100" t="str">
        <x:f>IF(B753="","",IF(G753="TL",1,IF(G753="USD",KURLAR!$C$9,IF(G753="EUR",KURLAR!$C$10,0))))</x:f>
      </x:c>
      <x:c r="L753" s="68" t="str">
        <x:f>IF(B753="","",I753*K753)</x:f>
      </x:c>
      <x:c r="M753" s="46"/>
      <x:c r="N753" s="52" t="str">
        <x:f>IF(B753="","",IF(OR(M753="Ödendi",M753="İptal"),"Hayır","Evet"))</x:f>
      </x:c>
    </x:row>
    <x:row r="754">
      <x:c r="B754" s="46"/>
      <x:c r="C754" s="46"/>
      <x:c r="D754" s="112"/>
      <x:c r="E754" s="112"/>
      <x:c r="F754" s="92"/>
      <x:c r="G754" s="92"/>
      <x:c r="H754" s="92"/>
      <x:c r="I754" s="93" t="str">
        <x:f>IF(B754="","",MAX(0,F754-H754))</x:f>
      </x:c>
      <x:c r="J754" s="46"/>
      <x:c r="K754" s="100" t="str">
        <x:f>IF(B754="","",IF(G754="TL",1,IF(G754="USD",KURLAR!$C$9,IF(G754="EUR",KURLAR!$C$10,0))))</x:f>
      </x:c>
      <x:c r="L754" s="68" t="str">
        <x:f>IF(B754="","",I754*K754)</x:f>
      </x:c>
      <x:c r="M754" s="46"/>
      <x:c r="N754" s="52" t="str">
        <x:f>IF(B754="","",IF(OR(M754="Ödendi",M754="İptal"),"Hayır","Evet"))</x:f>
      </x:c>
    </x:row>
    <x:row r="755">
      <x:c r="B755" s="46"/>
      <x:c r="C755" s="46"/>
      <x:c r="D755" s="112"/>
      <x:c r="E755" s="112"/>
      <x:c r="F755" s="92"/>
      <x:c r="G755" s="92"/>
      <x:c r="H755" s="92"/>
      <x:c r="I755" s="93" t="str">
        <x:f>IF(B755="","",MAX(0,F755-H755))</x:f>
      </x:c>
      <x:c r="J755" s="46"/>
      <x:c r="K755" s="100" t="str">
        <x:f>IF(B755="","",IF(G755="TL",1,IF(G755="USD",KURLAR!$C$9,IF(G755="EUR",KURLAR!$C$10,0))))</x:f>
      </x:c>
      <x:c r="L755" s="68" t="str">
        <x:f>IF(B755="","",I755*K755)</x:f>
      </x:c>
      <x:c r="M755" s="46"/>
      <x:c r="N755" s="52" t="str">
        <x:f>IF(B755="","",IF(OR(M755="Ödendi",M755="İptal"),"Hayır","Evet"))</x:f>
      </x:c>
    </x:row>
    <x:row r="756">
      <x:c r="B756" s="46"/>
      <x:c r="C756" s="46"/>
      <x:c r="D756" s="112"/>
      <x:c r="E756" s="112"/>
      <x:c r="F756" s="92"/>
      <x:c r="G756" s="92"/>
      <x:c r="H756" s="92"/>
      <x:c r="I756" s="93" t="str">
        <x:f>IF(B756="","",MAX(0,F756-H756))</x:f>
      </x:c>
      <x:c r="J756" s="46"/>
      <x:c r="K756" s="100" t="str">
        <x:f>IF(B756="","",IF(G756="TL",1,IF(G756="USD",KURLAR!$C$9,IF(G756="EUR",KURLAR!$C$10,0))))</x:f>
      </x:c>
      <x:c r="L756" s="68" t="str">
        <x:f>IF(B756="","",I756*K756)</x:f>
      </x:c>
      <x:c r="M756" s="46"/>
      <x:c r="N756" s="52" t="str">
        <x:f>IF(B756="","",IF(OR(M756="Ödendi",M756="İptal"),"Hayır","Evet"))</x:f>
      </x:c>
    </x:row>
    <x:row r="757">
      <x:c r="B757" s="46"/>
      <x:c r="C757" s="46"/>
      <x:c r="D757" s="112"/>
      <x:c r="E757" s="112"/>
      <x:c r="F757" s="92"/>
      <x:c r="G757" s="92"/>
      <x:c r="H757" s="92"/>
      <x:c r="I757" s="93" t="str">
        <x:f>IF(B757="","",MAX(0,F757-H757))</x:f>
      </x:c>
      <x:c r="J757" s="46"/>
      <x:c r="K757" s="100" t="str">
        <x:f>IF(B757="","",IF(G757="TL",1,IF(G757="USD",KURLAR!$C$9,IF(G757="EUR",KURLAR!$C$10,0))))</x:f>
      </x:c>
      <x:c r="L757" s="68" t="str">
        <x:f>IF(B757="","",I757*K757)</x:f>
      </x:c>
      <x:c r="M757" s="46"/>
      <x:c r="N757" s="52" t="str">
        <x:f>IF(B757="","",IF(OR(M757="Ödendi",M757="İptal"),"Hayır","Evet"))</x:f>
      </x:c>
    </x:row>
    <x:row r="758">
      <x:c r="B758" s="46"/>
      <x:c r="C758" s="46"/>
      <x:c r="D758" s="112"/>
      <x:c r="E758" s="112"/>
      <x:c r="F758" s="92"/>
      <x:c r="G758" s="92"/>
      <x:c r="H758" s="92"/>
      <x:c r="I758" s="93" t="str">
        <x:f>IF(B758="","",MAX(0,F758-H758))</x:f>
      </x:c>
      <x:c r="J758" s="46"/>
      <x:c r="K758" s="100" t="str">
        <x:f>IF(B758="","",IF(G758="TL",1,IF(G758="USD",KURLAR!$C$9,IF(G758="EUR",KURLAR!$C$10,0))))</x:f>
      </x:c>
      <x:c r="L758" s="68" t="str">
        <x:f>IF(B758="","",I758*K758)</x:f>
      </x:c>
      <x:c r="M758" s="46"/>
      <x:c r="N758" s="52" t="str">
        <x:f>IF(B758="","",IF(OR(M758="Ödendi",M758="İptal"),"Hayır","Evet"))</x:f>
      </x:c>
    </x:row>
    <x:row r="759">
      <x:c r="B759" s="46"/>
      <x:c r="C759" s="46"/>
      <x:c r="D759" s="112"/>
      <x:c r="E759" s="112"/>
      <x:c r="F759" s="92"/>
      <x:c r="G759" s="92"/>
      <x:c r="H759" s="92"/>
      <x:c r="I759" s="93" t="str">
        <x:f>IF(B759="","",MAX(0,F759-H759))</x:f>
      </x:c>
      <x:c r="J759" s="46"/>
      <x:c r="K759" s="100" t="str">
        <x:f>IF(B759="","",IF(G759="TL",1,IF(G759="USD",KURLAR!$C$9,IF(G759="EUR",KURLAR!$C$10,0))))</x:f>
      </x:c>
      <x:c r="L759" s="68" t="str">
        <x:f>IF(B759="","",I759*K759)</x:f>
      </x:c>
      <x:c r="M759" s="46"/>
      <x:c r="N759" s="52" t="str">
        <x:f>IF(B759="","",IF(OR(M759="Ödendi",M759="İptal"),"Hayır","Evet"))</x:f>
      </x:c>
    </x:row>
    <x:row r="760">
      <x:c r="B760" s="46"/>
      <x:c r="C760" s="46"/>
      <x:c r="D760" s="112"/>
      <x:c r="E760" s="112"/>
      <x:c r="F760" s="92"/>
      <x:c r="G760" s="92"/>
      <x:c r="H760" s="92"/>
      <x:c r="I760" s="93" t="str">
        <x:f>IF(B760="","",MAX(0,F760-H760))</x:f>
      </x:c>
      <x:c r="J760" s="46"/>
      <x:c r="K760" s="100" t="str">
        <x:f>IF(B760="","",IF(G760="TL",1,IF(G760="USD",KURLAR!$C$9,IF(G760="EUR",KURLAR!$C$10,0))))</x:f>
      </x:c>
      <x:c r="L760" s="68" t="str">
        <x:f>IF(B760="","",I760*K760)</x:f>
      </x:c>
      <x:c r="M760" s="46"/>
      <x:c r="N760" s="52" t="str">
        <x:f>IF(B760="","",IF(OR(M760="Ödendi",M760="İptal"),"Hayır","Evet"))</x:f>
      </x:c>
    </x:row>
    <x:row r="761">
      <x:c r="B761" s="46"/>
      <x:c r="C761" s="46"/>
      <x:c r="D761" s="112"/>
      <x:c r="E761" s="112"/>
      <x:c r="F761" s="92"/>
      <x:c r="G761" s="92"/>
      <x:c r="H761" s="92"/>
      <x:c r="I761" s="93" t="str">
        <x:f>IF(B761="","",MAX(0,F761-H761))</x:f>
      </x:c>
      <x:c r="J761" s="46"/>
      <x:c r="K761" s="100" t="str">
        <x:f>IF(B761="","",IF(G761="TL",1,IF(G761="USD",KURLAR!$C$9,IF(G761="EUR",KURLAR!$C$10,0))))</x:f>
      </x:c>
      <x:c r="L761" s="68" t="str">
        <x:f>IF(B761="","",I761*K761)</x:f>
      </x:c>
      <x:c r="M761" s="46"/>
      <x:c r="N761" s="52" t="str">
        <x:f>IF(B761="","",IF(OR(M761="Ödendi",M761="İptal"),"Hayır","Evet"))</x:f>
      </x:c>
    </x:row>
    <x:row r="762">
      <x:c r="B762" s="46"/>
      <x:c r="C762" s="46"/>
      <x:c r="D762" s="112"/>
      <x:c r="E762" s="112"/>
      <x:c r="F762" s="92"/>
      <x:c r="G762" s="92"/>
      <x:c r="H762" s="92"/>
      <x:c r="I762" s="93" t="str">
        <x:f>IF(B762="","",MAX(0,F762-H762))</x:f>
      </x:c>
      <x:c r="J762" s="46"/>
      <x:c r="K762" s="100" t="str">
        <x:f>IF(B762="","",IF(G762="TL",1,IF(G762="USD",KURLAR!$C$9,IF(G762="EUR",KURLAR!$C$10,0))))</x:f>
      </x:c>
      <x:c r="L762" s="68" t="str">
        <x:f>IF(B762="","",I762*K762)</x:f>
      </x:c>
      <x:c r="M762" s="46"/>
      <x:c r="N762" s="52" t="str">
        <x:f>IF(B762="","",IF(OR(M762="Ödendi",M762="İptal"),"Hayır","Evet"))</x:f>
      </x:c>
    </x:row>
    <x:row r="763">
      <x:c r="B763" s="46"/>
      <x:c r="C763" s="46"/>
      <x:c r="D763" s="112"/>
      <x:c r="E763" s="112"/>
      <x:c r="F763" s="92"/>
      <x:c r="G763" s="92"/>
      <x:c r="H763" s="92"/>
      <x:c r="I763" s="93" t="str">
        <x:f>IF(B763="","",MAX(0,F763-H763))</x:f>
      </x:c>
      <x:c r="J763" s="46"/>
      <x:c r="K763" s="100" t="str">
        <x:f>IF(B763="","",IF(G763="TL",1,IF(G763="USD",KURLAR!$C$9,IF(G763="EUR",KURLAR!$C$10,0))))</x:f>
      </x:c>
      <x:c r="L763" s="68" t="str">
        <x:f>IF(B763="","",I763*K763)</x:f>
      </x:c>
      <x:c r="M763" s="46"/>
      <x:c r="N763" s="52" t="str">
        <x:f>IF(B763="","",IF(OR(M763="Ödendi",M763="İptal"),"Hayır","Evet"))</x:f>
      </x:c>
    </x:row>
    <x:row r="764">
      <x:c r="B764" s="46"/>
      <x:c r="C764" s="46"/>
      <x:c r="D764" s="112"/>
      <x:c r="E764" s="112"/>
      <x:c r="F764" s="92"/>
      <x:c r="G764" s="92"/>
      <x:c r="H764" s="92"/>
      <x:c r="I764" s="93" t="str">
        <x:f>IF(B764="","",MAX(0,F764-H764))</x:f>
      </x:c>
      <x:c r="J764" s="46"/>
      <x:c r="K764" s="100" t="str">
        <x:f>IF(B764="","",IF(G764="TL",1,IF(G764="USD",KURLAR!$C$9,IF(G764="EUR",KURLAR!$C$10,0))))</x:f>
      </x:c>
      <x:c r="L764" s="68" t="str">
        <x:f>IF(B764="","",I764*K764)</x:f>
      </x:c>
      <x:c r="M764" s="46"/>
      <x:c r="N764" s="52" t="str">
        <x:f>IF(B764="","",IF(OR(M764="Ödendi",M764="İptal"),"Hayır","Evet"))</x:f>
      </x:c>
    </x:row>
    <x:row r="765">
      <x:c r="B765" s="46"/>
      <x:c r="C765" s="46"/>
      <x:c r="D765" s="112"/>
      <x:c r="E765" s="112"/>
      <x:c r="F765" s="92"/>
      <x:c r="G765" s="92"/>
      <x:c r="H765" s="92"/>
      <x:c r="I765" s="93" t="str">
        <x:f>IF(B765="","",MAX(0,F765-H765))</x:f>
      </x:c>
      <x:c r="J765" s="46"/>
      <x:c r="K765" s="100" t="str">
        <x:f>IF(B765="","",IF(G765="TL",1,IF(G765="USD",KURLAR!$C$9,IF(G765="EUR",KURLAR!$C$10,0))))</x:f>
      </x:c>
      <x:c r="L765" s="68" t="str">
        <x:f>IF(B765="","",I765*K765)</x:f>
      </x:c>
      <x:c r="M765" s="46"/>
      <x:c r="N765" s="52" t="str">
        <x:f>IF(B765="","",IF(OR(M765="Ödendi",M765="İptal"),"Hayır","Evet"))</x:f>
      </x:c>
    </x:row>
    <x:row r="766">
      <x:c r="B766" s="46"/>
      <x:c r="C766" s="46"/>
      <x:c r="D766" s="112"/>
      <x:c r="E766" s="112"/>
      <x:c r="F766" s="92"/>
      <x:c r="G766" s="92"/>
      <x:c r="H766" s="92"/>
      <x:c r="I766" s="93" t="str">
        <x:f>IF(B766="","",MAX(0,F766-H766))</x:f>
      </x:c>
      <x:c r="J766" s="46"/>
      <x:c r="K766" s="100" t="str">
        <x:f>IF(B766="","",IF(G766="TL",1,IF(G766="USD",KURLAR!$C$9,IF(G766="EUR",KURLAR!$C$10,0))))</x:f>
      </x:c>
      <x:c r="L766" s="68" t="str">
        <x:f>IF(B766="","",I766*K766)</x:f>
      </x:c>
      <x:c r="M766" s="46"/>
      <x:c r="N766" s="52" t="str">
        <x:f>IF(B766="","",IF(OR(M766="Ödendi",M766="İptal"),"Hayır","Evet"))</x:f>
      </x:c>
    </x:row>
    <x:row r="767">
      <x:c r="B767" s="46"/>
      <x:c r="C767" s="46"/>
      <x:c r="D767" s="112"/>
      <x:c r="E767" s="112"/>
      <x:c r="F767" s="92"/>
      <x:c r="G767" s="92"/>
      <x:c r="H767" s="92"/>
      <x:c r="I767" s="93" t="str">
        <x:f>IF(B767="","",MAX(0,F767-H767))</x:f>
      </x:c>
      <x:c r="J767" s="46"/>
      <x:c r="K767" s="100" t="str">
        <x:f>IF(B767="","",IF(G767="TL",1,IF(G767="USD",KURLAR!$C$9,IF(G767="EUR",KURLAR!$C$10,0))))</x:f>
      </x:c>
      <x:c r="L767" s="68" t="str">
        <x:f>IF(B767="","",I767*K767)</x:f>
      </x:c>
      <x:c r="M767" s="46"/>
      <x:c r="N767" s="52" t="str">
        <x:f>IF(B767="","",IF(OR(M767="Ödendi",M767="İptal"),"Hayır","Evet"))</x:f>
      </x:c>
    </x:row>
    <x:row r="768">
      <x:c r="B768" s="46"/>
      <x:c r="C768" s="46"/>
      <x:c r="D768" s="112"/>
      <x:c r="E768" s="112"/>
      <x:c r="F768" s="92"/>
      <x:c r="G768" s="92"/>
      <x:c r="H768" s="92"/>
      <x:c r="I768" s="93" t="str">
        <x:f>IF(B768="","",MAX(0,F768-H768))</x:f>
      </x:c>
      <x:c r="J768" s="46"/>
      <x:c r="K768" s="100" t="str">
        <x:f>IF(B768="","",IF(G768="TL",1,IF(G768="USD",KURLAR!$C$9,IF(G768="EUR",KURLAR!$C$10,0))))</x:f>
      </x:c>
      <x:c r="L768" s="68" t="str">
        <x:f>IF(B768="","",I768*K768)</x:f>
      </x:c>
      <x:c r="M768" s="46"/>
      <x:c r="N768" s="52" t="str">
        <x:f>IF(B768="","",IF(OR(M768="Ödendi",M768="İptal"),"Hayır","Evet"))</x:f>
      </x:c>
    </x:row>
    <x:row r="769">
      <x:c r="B769" s="46"/>
      <x:c r="C769" s="46"/>
      <x:c r="D769" s="112"/>
      <x:c r="E769" s="112"/>
      <x:c r="F769" s="92"/>
      <x:c r="G769" s="92"/>
      <x:c r="H769" s="92"/>
      <x:c r="I769" s="93" t="str">
        <x:f>IF(B769="","",MAX(0,F769-H769))</x:f>
      </x:c>
      <x:c r="J769" s="46"/>
      <x:c r="K769" s="100" t="str">
        <x:f>IF(B769="","",IF(G769="TL",1,IF(G769="USD",KURLAR!$C$9,IF(G769="EUR",KURLAR!$C$10,0))))</x:f>
      </x:c>
      <x:c r="L769" s="68" t="str">
        <x:f>IF(B769="","",I769*K769)</x:f>
      </x:c>
      <x:c r="M769" s="46"/>
      <x:c r="N769" s="52" t="str">
        <x:f>IF(B769="","",IF(OR(M769="Ödendi",M769="İptal"),"Hayır","Evet"))</x:f>
      </x:c>
    </x:row>
    <x:row r="770">
      <x:c r="B770" s="46"/>
      <x:c r="C770" s="46"/>
      <x:c r="D770" s="112"/>
      <x:c r="E770" s="112"/>
      <x:c r="F770" s="92"/>
      <x:c r="G770" s="92"/>
      <x:c r="H770" s="92"/>
      <x:c r="I770" s="93" t="str">
        <x:f>IF(B770="","",MAX(0,F770-H770))</x:f>
      </x:c>
      <x:c r="J770" s="46"/>
      <x:c r="K770" s="100" t="str">
        <x:f>IF(B770="","",IF(G770="TL",1,IF(G770="USD",KURLAR!$C$9,IF(G770="EUR",KURLAR!$C$10,0))))</x:f>
      </x:c>
      <x:c r="L770" s="68" t="str">
        <x:f>IF(B770="","",I770*K770)</x:f>
      </x:c>
      <x:c r="M770" s="46"/>
      <x:c r="N770" s="52" t="str">
        <x:f>IF(B770="","",IF(OR(M770="Ödendi",M770="İptal"),"Hayır","Evet"))</x:f>
      </x:c>
    </x:row>
    <x:row r="771">
      <x:c r="B771" s="46"/>
      <x:c r="C771" s="46"/>
      <x:c r="D771" s="112"/>
      <x:c r="E771" s="112"/>
      <x:c r="F771" s="92"/>
      <x:c r="G771" s="92"/>
      <x:c r="H771" s="92"/>
      <x:c r="I771" s="93" t="str">
        <x:f>IF(B771="","",MAX(0,F771-H771))</x:f>
      </x:c>
      <x:c r="J771" s="46"/>
      <x:c r="K771" s="100" t="str">
        <x:f>IF(B771="","",IF(G771="TL",1,IF(G771="USD",KURLAR!$C$9,IF(G771="EUR",KURLAR!$C$10,0))))</x:f>
      </x:c>
      <x:c r="L771" s="68" t="str">
        <x:f>IF(B771="","",I771*K771)</x:f>
      </x:c>
      <x:c r="M771" s="46"/>
      <x:c r="N771" s="52" t="str">
        <x:f>IF(B771="","",IF(OR(M771="Ödendi",M771="İptal"),"Hayır","Evet"))</x:f>
      </x:c>
    </x:row>
    <x:row r="772">
      <x:c r="B772" s="46"/>
      <x:c r="C772" s="46"/>
      <x:c r="D772" s="112"/>
      <x:c r="E772" s="112"/>
      <x:c r="F772" s="92"/>
      <x:c r="G772" s="92"/>
      <x:c r="H772" s="92"/>
      <x:c r="I772" s="93" t="str">
        <x:f>IF(B772="","",MAX(0,F772-H772))</x:f>
      </x:c>
      <x:c r="J772" s="46"/>
      <x:c r="K772" s="100" t="str">
        <x:f>IF(B772="","",IF(G772="TL",1,IF(G772="USD",KURLAR!$C$9,IF(G772="EUR",KURLAR!$C$10,0))))</x:f>
      </x:c>
      <x:c r="L772" s="68" t="str">
        <x:f>IF(B772="","",I772*K772)</x:f>
      </x:c>
      <x:c r="M772" s="46"/>
      <x:c r="N772" s="52" t="str">
        <x:f>IF(B772="","",IF(OR(M772="Ödendi",M772="İptal"),"Hayır","Evet"))</x:f>
      </x:c>
    </x:row>
    <x:row r="773">
      <x:c r="B773" s="46"/>
      <x:c r="C773" s="46"/>
      <x:c r="D773" s="112"/>
      <x:c r="E773" s="112"/>
      <x:c r="F773" s="92"/>
      <x:c r="G773" s="92"/>
      <x:c r="H773" s="92"/>
      <x:c r="I773" s="93" t="str">
        <x:f>IF(B773="","",MAX(0,F773-H773))</x:f>
      </x:c>
      <x:c r="J773" s="46"/>
      <x:c r="K773" s="100" t="str">
        <x:f>IF(B773="","",IF(G773="TL",1,IF(G773="USD",KURLAR!$C$9,IF(G773="EUR",KURLAR!$C$10,0))))</x:f>
      </x:c>
      <x:c r="L773" s="68" t="str">
        <x:f>IF(B773="","",I773*K773)</x:f>
      </x:c>
      <x:c r="M773" s="46"/>
      <x:c r="N773" s="52" t="str">
        <x:f>IF(B773="","",IF(OR(M773="Ödendi",M773="İptal"),"Hayır","Evet"))</x:f>
      </x:c>
    </x:row>
    <x:row r="774">
      <x:c r="B774" s="46"/>
      <x:c r="C774" s="46"/>
      <x:c r="D774" s="112"/>
      <x:c r="E774" s="112"/>
      <x:c r="F774" s="92"/>
      <x:c r="G774" s="92"/>
      <x:c r="H774" s="92"/>
      <x:c r="I774" s="93" t="str">
        <x:f>IF(B774="","",MAX(0,F774-H774))</x:f>
      </x:c>
      <x:c r="J774" s="46"/>
      <x:c r="K774" s="100" t="str">
        <x:f>IF(B774="","",IF(G774="TL",1,IF(G774="USD",KURLAR!$C$9,IF(G774="EUR",KURLAR!$C$10,0))))</x:f>
      </x:c>
      <x:c r="L774" s="68" t="str">
        <x:f>IF(B774="","",I774*K774)</x:f>
      </x:c>
      <x:c r="M774" s="46"/>
      <x:c r="N774" s="52" t="str">
        <x:f>IF(B774="","",IF(OR(M774="Ödendi",M774="İptal"),"Hayır","Evet"))</x:f>
      </x:c>
    </x:row>
    <x:row r="775">
      <x:c r="B775" s="46"/>
      <x:c r="C775" s="46"/>
      <x:c r="D775" s="112"/>
      <x:c r="E775" s="112"/>
      <x:c r="F775" s="92"/>
      <x:c r="G775" s="92"/>
      <x:c r="H775" s="92"/>
      <x:c r="I775" s="93" t="str">
        <x:f>IF(B775="","",MAX(0,F775-H775))</x:f>
      </x:c>
      <x:c r="J775" s="46"/>
      <x:c r="K775" s="100" t="str">
        <x:f>IF(B775="","",IF(G775="TL",1,IF(G775="USD",KURLAR!$C$9,IF(G775="EUR",KURLAR!$C$10,0))))</x:f>
      </x:c>
      <x:c r="L775" s="68" t="str">
        <x:f>IF(B775="","",I775*K775)</x:f>
      </x:c>
      <x:c r="M775" s="46"/>
      <x:c r="N775" s="52" t="str">
        <x:f>IF(B775="","",IF(OR(M775="Ödendi",M775="İptal"),"Hayır","Evet"))</x:f>
      </x:c>
    </x:row>
    <x:row r="776">
      <x:c r="B776" s="46"/>
      <x:c r="C776" s="46"/>
      <x:c r="D776" s="112"/>
      <x:c r="E776" s="112"/>
      <x:c r="F776" s="92"/>
      <x:c r="G776" s="92"/>
      <x:c r="H776" s="92"/>
      <x:c r="I776" s="93" t="str">
        <x:f>IF(B776="","",MAX(0,F776-H776))</x:f>
      </x:c>
      <x:c r="J776" s="46"/>
      <x:c r="K776" s="100" t="str">
        <x:f>IF(B776="","",IF(G776="TL",1,IF(G776="USD",KURLAR!$C$9,IF(G776="EUR",KURLAR!$C$10,0))))</x:f>
      </x:c>
      <x:c r="L776" s="68" t="str">
        <x:f>IF(B776="","",I776*K776)</x:f>
      </x:c>
      <x:c r="M776" s="46"/>
      <x:c r="N776" s="52" t="str">
        <x:f>IF(B776="","",IF(OR(M776="Ödendi",M776="İptal"),"Hayır","Evet"))</x:f>
      </x:c>
    </x:row>
    <x:row r="777">
      <x:c r="B777" s="46"/>
      <x:c r="C777" s="46"/>
      <x:c r="D777" s="112"/>
      <x:c r="E777" s="112"/>
      <x:c r="F777" s="92"/>
      <x:c r="G777" s="92"/>
      <x:c r="H777" s="92"/>
      <x:c r="I777" s="93" t="str">
        <x:f>IF(B777="","",MAX(0,F777-H777))</x:f>
      </x:c>
      <x:c r="J777" s="46"/>
      <x:c r="K777" s="100" t="str">
        <x:f>IF(B777="","",IF(G777="TL",1,IF(G777="USD",KURLAR!$C$9,IF(G777="EUR",KURLAR!$C$10,0))))</x:f>
      </x:c>
      <x:c r="L777" s="68" t="str">
        <x:f>IF(B777="","",I777*K777)</x:f>
      </x:c>
      <x:c r="M777" s="46"/>
      <x:c r="N777" s="52" t="str">
        <x:f>IF(B777="","",IF(OR(M777="Ödendi",M777="İptal"),"Hayır","Evet"))</x:f>
      </x:c>
    </x:row>
    <x:row r="778">
      <x:c r="B778" s="46"/>
      <x:c r="C778" s="46"/>
      <x:c r="D778" s="112"/>
      <x:c r="E778" s="112"/>
      <x:c r="F778" s="92"/>
      <x:c r="G778" s="92"/>
      <x:c r="H778" s="92"/>
      <x:c r="I778" s="93" t="str">
        <x:f>IF(B778="","",MAX(0,F778-H778))</x:f>
      </x:c>
      <x:c r="J778" s="46"/>
      <x:c r="K778" s="100" t="str">
        <x:f>IF(B778="","",IF(G778="TL",1,IF(G778="USD",KURLAR!$C$9,IF(G778="EUR",KURLAR!$C$10,0))))</x:f>
      </x:c>
      <x:c r="L778" s="68" t="str">
        <x:f>IF(B778="","",I778*K778)</x:f>
      </x:c>
      <x:c r="M778" s="46"/>
      <x:c r="N778" s="52" t="str">
        <x:f>IF(B778="","",IF(OR(M778="Ödendi",M778="İptal"),"Hayır","Evet"))</x:f>
      </x:c>
    </x:row>
    <x:row r="779">
      <x:c r="B779" s="46"/>
      <x:c r="C779" s="46"/>
      <x:c r="D779" s="112"/>
      <x:c r="E779" s="112"/>
      <x:c r="F779" s="92"/>
      <x:c r="G779" s="92"/>
      <x:c r="H779" s="92"/>
      <x:c r="I779" s="93" t="str">
        <x:f>IF(B779="","",MAX(0,F779-H779))</x:f>
      </x:c>
      <x:c r="J779" s="46"/>
      <x:c r="K779" s="100" t="str">
        <x:f>IF(B779="","",IF(G779="TL",1,IF(G779="USD",KURLAR!$C$9,IF(G779="EUR",KURLAR!$C$10,0))))</x:f>
      </x:c>
      <x:c r="L779" s="68" t="str">
        <x:f>IF(B779="","",I779*K779)</x:f>
      </x:c>
      <x:c r="M779" s="46"/>
      <x:c r="N779" s="52" t="str">
        <x:f>IF(B779="","",IF(OR(M779="Ödendi",M779="İptal"),"Hayır","Evet"))</x:f>
      </x:c>
    </x:row>
    <x:row r="780">
      <x:c r="B780" s="46"/>
      <x:c r="C780" s="46"/>
      <x:c r="D780" s="112"/>
      <x:c r="E780" s="112"/>
      <x:c r="F780" s="92"/>
      <x:c r="G780" s="92"/>
      <x:c r="H780" s="92"/>
      <x:c r="I780" s="93" t="str">
        <x:f>IF(B780="","",MAX(0,F780-H780))</x:f>
      </x:c>
      <x:c r="J780" s="46"/>
      <x:c r="K780" s="100" t="str">
        <x:f>IF(B780="","",IF(G780="TL",1,IF(G780="USD",KURLAR!$C$9,IF(G780="EUR",KURLAR!$C$10,0))))</x:f>
      </x:c>
      <x:c r="L780" s="68" t="str">
        <x:f>IF(B780="","",I780*K780)</x:f>
      </x:c>
      <x:c r="M780" s="46"/>
      <x:c r="N780" s="52" t="str">
        <x:f>IF(B780="","",IF(OR(M780="Ödendi",M780="İptal"),"Hayır","Evet"))</x:f>
      </x:c>
    </x:row>
    <x:row r="781">
      <x:c r="B781" s="46"/>
      <x:c r="C781" s="46"/>
      <x:c r="D781" s="112"/>
      <x:c r="E781" s="112"/>
      <x:c r="F781" s="92"/>
      <x:c r="G781" s="92"/>
      <x:c r="H781" s="92"/>
      <x:c r="I781" s="93" t="str">
        <x:f>IF(B781="","",MAX(0,F781-H781))</x:f>
      </x:c>
      <x:c r="J781" s="46"/>
      <x:c r="K781" s="100" t="str">
        <x:f>IF(B781="","",IF(G781="TL",1,IF(G781="USD",KURLAR!$C$9,IF(G781="EUR",KURLAR!$C$10,0))))</x:f>
      </x:c>
      <x:c r="L781" s="68" t="str">
        <x:f>IF(B781="","",I781*K781)</x:f>
      </x:c>
      <x:c r="M781" s="46"/>
      <x:c r="N781" s="52" t="str">
        <x:f>IF(B781="","",IF(OR(M781="Ödendi",M781="İptal"),"Hayır","Evet"))</x:f>
      </x:c>
    </x:row>
    <x:row r="782">
      <x:c r="B782" s="46"/>
      <x:c r="C782" s="46"/>
      <x:c r="D782" s="112"/>
      <x:c r="E782" s="112"/>
      <x:c r="F782" s="92"/>
      <x:c r="G782" s="92"/>
      <x:c r="H782" s="92"/>
      <x:c r="I782" s="93" t="str">
        <x:f>IF(B782="","",MAX(0,F782-H782))</x:f>
      </x:c>
      <x:c r="J782" s="46"/>
      <x:c r="K782" s="100" t="str">
        <x:f>IF(B782="","",IF(G782="TL",1,IF(G782="USD",KURLAR!$C$9,IF(G782="EUR",KURLAR!$C$10,0))))</x:f>
      </x:c>
      <x:c r="L782" s="68" t="str">
        <x:f>IF(B782="","",I782*K782)</x:f>
      </x:c>
      <x:c r="M782" s="46"/>
      <x:c r="N782" s="52" t="str">
        <x:f>IF(B782="","",IF(OR(M782="Ödendi",M782="İptal"),"Hayır","Evet"))</x:f>
      </x:c>
    </x:row>
    <x:row r="783">
      <x:c r="B783" s="46"/>
      <x:c r="C783" s="46"/>
      <x:c r="D783" s="112"/>
      <x:c r="E783" s="112"/>
      <x:c r="F783" s="92"/>
      <x:c r="G783" s="92"/>
      <x:c r="H783" s="92"/>
      <x:c r="I783" s="93" t="str">
        <x:f>IF(B783="","",MAX(0,F783-H783))</x:f>
      </x:c>
      <x:c r="J783" s="46"/>
      <x:c r="K783" s="100" t="str">
        <x:f>IF(B783="","",IF(G783="TL",1,IF(G783="USD",KURLAR!$C$9,IF(G783="EUR",KURLAR!$C$10,0))))</x:f>
      </x:c>
      <x:c r="L783" s="68" t="str">
        <x:f>IF(B783="","",I783*K783)</x:f>
      </x:c>
      <x:c r="M783" s="46"/>
      <x:c r="N783" s="52" t="str">
        <x:f>IF(B783="","",IF(OR(M783="Ödendi",M783="İptal"),"Hayır","Evet"))</x:f>
      </x:c>
    </x:row>
    <x:row r="784">
      <x:c r="B784" s="46"/>
      <x:c r="C784" s="46"/>
      <x:c r="D784" s="112"/>
      <x:c r="E784" s="112"/>
      <x:c r="F784" s="92"/>
      <x:c r="G784" s="92"/>
      <x:c r="H784" s="92"/>
      <x:c r="I784" s="93" t="str">
        <x:f>IF(B784="","",MAX(0,F784-H784))</x:f>
      </x:c>
      <x:c r="J784" s="46"/>
      <x:c r="K784" s="100" t="str">
        <x:f>IF(B784="","",IF(G784="TL",1,IF(G784="USD",KURLAR!$C$9,IF(G784="EUR",KURLAR!$C$10,0))))</x:f>
      </x:c>
      <x:c r="L784" s="68" t="str">
        <x:f>IF(B784="","",I784*K784)</x:f>
      </x:c>
      <x:c r="M784" s="46"/>
      <x:c r="N784" s="52" t="str">
        <x:f>IF(B784="","",IF(OR(M784="Ödendi",M784="İptal"),"Hayır","Evet"))</x:f>
      </x:c>
    </x:row>
    <x:row r="785">
      <x:c r="B785" s="46"/>
      <x:c r="C785" s="46"/>
      <x:c r="D785" s="112"/>
      <x:c r="E785" s="112"/>
      <x:c r="F785" s="92"/>
      <x:c r="G785" s="92"/>
      <x:c r="H785" s="92"/>
      <x:c r="I785" s="93" t="str">
        <x:f>IF(B785="","",MAX(0,F785-H785))</x:f>
      </x:c>
      <x:c r="J785" s="46"/>
      <x:c r="K785" s="100" t="str">
        <x:f>IF(B785="","",IF(G785="TL",1,IF(G785="USD",KURLAR!$C$9,IF(G785="EUR",KURLAR!$C$10,0))))</x:f>
      </x:c>
      <x:c r="L785" s="68" t="str">
        <x:f>IF(B785="","",I785*K785)</x:f>
      </x:c>
      <x:c r="M785" s="46"/>
      <x:c r="N785" s="52" t="str">
        <x:f>IF(B785="","",IF(OR(M785="Ödendi",M785="İptal"),"Hayır","Evet"))</x:f>
      </x:c>
    </x:row>
    <x:row r="786">
      <x:c r="B786" s="46"/>
      <x:c r="C786" s="46"/>
      <x:c r="D786" s="112"/>
      <x:c r="E786" s="112"/>
      <x:c r="F786" s="92"/>
      <x:c r="G786" s="92"/>
      <x:c r="H786" s="92"/>
      <x:c r="I786" s="93" t="str">
        <x:f>IF(B786="","",MAX(0,F786-H786))</x:f>
      </x:c>
      <x:c r="J786" s="46"/>
      <x:c r="K786" s="100" t="str">
        <x:f>IF(B786="","",IF(G786="TL",1,IF(G786="USD",KURLAR!$C$9,IF(G786="EUR",KURLAR!$C$10,0))))</x:f>
      </x:c>
      <x:c r="L786" s="68" t="str">
        <x:f>IF(B786="","",I786*K786)</x:f>
      </x:c>
      <x:c r="M786" s="46"/>
      <x:c r="N786" s="52" t="str">
        <x:f>IF(B786="","",IF(OR(M786="Ödendi",M786="İptal"),"Hayır","Evet"))</x:f>
      </x:c>
    </x:row>
    <x:row r="787">
      <x:c r="B787" s="46"/>
      <x:c r="C787" s="46"/>
      <x:c r="D787" s="112"/>
      <x:c r="E787" s="112"/>
      <x:c r="F787" s="92"/>
      <x:c r="G787" s="92"/>
      <x:c r="H787" s="92"/>
      <x:c r="I787" s="93" t="str">
        <x:f>IF(B787="","",MAX(0,F787-H787))</x:f>
      </x:c>
      <x:c r="J787" s="46"/>
      <x:c r="K787" s="100" t="str">
        <x:f>IF(B787="","",IF(G787="TL",1,IF(G787="USD",KURLAR!$C$9,IF(G787="EUR",KURLAR!$C$10,0))))</x:f>
      </x:c>
      <x:c r="L787" s="68" t="str">
        <x:f>IF(B787="","",I787*K787)</x:f>
      </x:c>
      <x:c r="M787" s="46"/>
      <x:c r="N787" s="52" t="str">
        <x:f>IF(B787="","",IF(OR(M787="Ödendi",M787="İptal"),"Hayır","Evet"))</x:f>
      </x:c>
    </x:row>
    <x:row r="788">
      <x:c r="B788" s="46"/>
      <x:c r="C788" s="46"/>
      <x:c r="D788" s="112"/>
      <x:c r="E788" s="112"/>
      <x:c r="F788" s="92"/>
      <x:c r="G788" s="92"/>
      <x:c r="H788" s="92"/>
      <x:c r="I788" s="93" t="str">
        <x:f>IF(B788="","",MAX(0,F788-H788))</x:f>
      </x:c>
      <x:c r="J788" s="46"/>
      <x:c r="K788" s="100" t="str">
        <x:f>IF(B788="","",IF(G788="TL",1,IF(G788="USD",KURLAR!$C$9,IF(G788="EUR",KURLAR!$C$10,0))))</x:f>
      </x:c>
      <x:c r="L788" s="68" t="str">
        <x:f>IF(B788="","",I788*K788)</x:f>
      </x:c>
      <x:c r="M788" s="46"/>
      <x:c r="N788" s="52" t="str">
        <x:f>IF(B788="","",IF(OR(M788="Ödendi",M788="İptal"),"Hayır","Evet"))</x:f>
      </x:c>
    </x:row>
    <x:row r="789">
      <x:c r="B789" s="46"/>
      <x:c r="C789" s="46"/>
      <x:c r="D789" s="112"/>
      <x:c r="E789" s="112"/>
      <x:c r="F789" s="92"/>
      <x:c r="G789" s="92"/>
      <x:c r="H789" s="92"/>
      <x:c r="I789" s="93" t="str">
        <x:f>IF(B789="","",MAX(0,F789-H789))</x:f>
      </x:c>
      <x:c r="J789" s="46"/>
      <x:c r="K789" s="100" t="str">
        <x:f>IF(B789="","",IF(G789="TL",1,IF(G789="USD",KURLAR!$C$9,IF(G789="EUR",KURLAR!$C$10,0))))</x:f>
      </x:c>
      <x:c r="L789" s="68" t="str">
        <x:f>IF(B789="","",I789*K789)</x:f>
      </x:c>
      <x:c r="M789" s="46"/>
      <x:c r="N789" s="52" t="str">
        <x:f>IF(B789="","",IF(OR(M789="Ödendi",M789="İptal"),"Hayır","Evet"))</x:f>
      </x:c>
    </x:row>
    <x:row r="790">
      <x:c r="B790" s="46"/>
      <x:c r="C790" s="46"/>
      <x:c r="D790" s="112"/>
      <x:c r="E790" s="112"/>
      <x:c r="F790" s="92"/>
      <x:c r="G790" s="92"/>
      <x:c r="H790" s="92"/>
      <x:c r="I790" s="93" t="str">
        <x:f>IF(B790="","",MAX(0,F790-H790))</x:f>
      </x:c>
      <x:c r="J790" s="46"/>
      <x:c r="K790" s="100" t="str">
        <x:f>IF(B790="","",IF(G790="TL",1,IF(G790="USD",KURLAR!$C$9,IF(G790="EUR",KURLAR!$C$10,0))))</x:f>
      </x:c>
      <x:c r="L790" s="68" t="str">
        <x:f>IF(B790="","",I790*K790)</x:f>
      </x:c>
      <x:c r="M790" s="46"/>
      <x:c r="N790" s="52" t="str">
        <x:f>IF(B790="","",IF(OR(M790="Ödendi",M790="İptal"),"Hayır","Evet"))</x:f>
      </x:c>
    </x:row>
    <x:row r="791">
      <x:c r="B791" s="46"/>
      <x:c r="C791" s="46"/>
      <x:c r="D791" s="112"/>
      <x:c r="E791" s="112"/>
      <x:c r="F791" s="92"/>
      <x:c r="G791" s="92"/>
      <x:c r="H791" s="92"/>
      <x:c r="I791" s="93" t="str">
        <x:f>IF(B791="","",MAX(0,F791-H791))</x:f>
      </x:c>
      <x:c r="J791" s="46"/>
      <x:c r="K791" s="100" t="str">
        <x:f>IF(B791="","",IF(G791="TL",1,IF(G791="USD",KURLAR!$C$9,IF(G791="EUR",KURLAR!$C$10,0))))</x:f>
      </x:c>
      <x:c r="L791" s="68" t="str">
        <x:f>IF(B791="","",I791*K791)</x:f>
      </x:c>
      <x:c r="M791" s="46"/>
      <x:c r="N791" s="52" t="str">
        <x:f>IF(B791="","",IF(OR(M791="Ödendi",M791="İptal"),"Hayır","Evet"))</x:f>
      </x:c>
    </x:row>
    <x:row r="792">
      <x:c r="B792" s="46"/>
      <x:c r="C792" s="46"/>
      <x:c r="D792" s="112"/>
      <x:c r="E792" s="112"/>
      <x:c r="F792" s="92"/>
      <x:c r="G792" s="92"/>
      <x:c r="H792" s="92"/>
      <x:c r="I792" s="93" t="str">
        <x:f>IF(B792="","",MAX(0,F792-H792))</x:f>
      </x:c>
      <x:c r="J792" s="46"/>
      <x:c r="K792" s="100" t="str">
        <x:f>IF(B792="","",IF(G792="TL",1,IF(G792="USD",KURLAR!$C$9,IF(G792="EUR",KURLAR!$C$10,0))))</x:f>
      </x:c>
      <x:c r="L792" s="68" t="str">
        <x:f>IF(B792="","",I792*K792)</x:f>
      </x:c>
      <x:c r="M792" s="46"/>
      <x:c r="N792" s="52" t="str">
        <x:f>IF(B792="","",IF(OR(M792="Ödendi",M792="İptal"),"Hayır","Evet"))</x:f>
      </x:c>
    </x:row>
    <x:row r="793">
      <x:c r="B793" s="46"/>
      <x:c r="C793" s="46"/>
      <x:c r="D793" s="112"/>
      <x:c r="E793" s="112"/>
      <x:c r="F793" s="92"/>
      <x:c r="G793" s="92"/>
      <x:c r="H793" s="92"/>
      <x:c r="I793" s="93" t="str">
        <x:f>IF(B793="","",MAX(0,F793-H793))</x:f>
      </x:c>
      <x:c r="J793" s="46"/>
      <x:c r="K793" s="100" t="str">
        <x:f>IF(B793="","",IF(G793="TL",1,IF(G793="USD",KURLAR!$C$9,IF(G793="EUR",KURLAR!$C$10,0))))</x:f>
      </x:c>
      <x:c r="L793" s="68" t="str">
        <x:f>IF(B793="","",I793*K793)</x:f>
      </x:c>
      <x:c r="M793" s="46"/>
      <x:c r="N793" s="52" t="str">
        <x:f>IF(B793="","",IF(OR(M793="Ödendi",M793="İptal"),"Hayır","Evet"))</x:f>
      </x:c>
    </x:row>
    <x:row r="794">
      <x:c r="B794" s="46"/>
      <x:c r="C794" s="46"/>
      <x:c r="D794" s="112"/>
      <x:c r="E794" s="112"/>
      <x:c r="F794" s="92"/>
      <x:c r="G794" s="92"/>
      <x:c r="H794" s="92"/>
      <x:c r="I794" s="93" t="str">
        <x:f>IF(B794="","",MAX(0,F794-H794))</x:f>
      </x:c>
      <x:c r="J794" s="46"/>
      <x:c r="K794" s="100" t="str">
        <x:f>IF(B794="","",IF(G794="TL",1,IF(G794="USD",KURLAR!$C$9,IF(G794="EUR",KURLAR!$C$10,0))))</x:f>
      </x:c>
      <x:c r="L794" s="68" t="str">
        <x:f>IF(B794="","",I794*K794)</x:f>
      </x:c>
      <x:c r="M794" s="46"/>
      <x:c r="N794" s="52" t="str">
        <x:f>IF(B794="","",IF(OR(M794="Ödendi",M794="İptal"),"Hayır","Evet"))</x:f>
      </x:c>
    </x:row>
    <x:row r="795">
      <x:c r="B795" s="46"/>
      <x:c r="C795" s="46"/>
      <x:c r="D795" s="112"/>
      <x:c r="E795" s="112"/>
      <x:c r="F795" s="92"/>
      <x:c r="G795" s="92"/>
      <x:c r="H795" s="92"/>
      <x:c r="I795" s="93" t="str">
        <x:f>IF(B795="","",MAX(0,F795-H795))</x:f>
      </x:c>
      <x:c r="J795" s="46"/>
      <x:c r="K795" s="100" t="str">
        <x:f>IF(B795="","",IF(G795="TL",1,IF(G795="USD",KURLAR!$C$9,IF(G795="EUR",KURLAR!$C$10,0))))</x:f>
      </x:c>
      <x:c r="L795" s="68" t="str">
        <x:f>IF(B795="","",I795*K795)</x:f>
      </x:c>
      <x:c r="M795" s="46"/>
      <x:c r="N795" s="52" t="str">
        <x:f>IF(B795="","",IF(OR(M795="Ödendi",M795="İptal"),"Hayır","Evet"))</x:f>
      </x:c>
    </x:row>
    <x:row r="796">
      <x:c r="B796" s="46"/>
      <x:c r="C796" s="46"/>
      <x:c r="D796" s="112"/>
      <x:c r="E796" s="112"/>
      <x:c r="F796" s="92"/>
      <x:c r="G796" s="92"/>
      <x:c r="H796" s="92"/>
      <x:c r="I796" s="93" t="str">
        <x:f>IF(B796="","",MAX(0,F796-H796))</x:f>
      </x:c>
      <x:c r="J796" s="46"/>
      <x:c r="K796" s="100" t="str">
        <x:f>IF(B796="","",IF(G796="TL",1,IF(G796="USD",KURLAR!$C$9,IF(G796="EUR",KURLAR!$C$10,0))))</x:f>
      </x:c>
      <x:c r="L796" s="68" t="str">
        <x:f>IF(B796="","",I796*K796)</x:f>
      </x:c>
      <x:c r="M796" s="46"/>
      <x:c r="N796" s="52" t="str">
        <x:f>IF(B796="","",IF(OR(M796="Ödendi",M796="İptal"),"Hayır","Evet"))</x:f>
      </x:c>
    </x:row>
    <x:row r="797">
      <x:c r="B797" s="46"/>
      <x:c r="C797" s="46"/>
      <x:c r="D797" s="112"/>
      <x:c r="E797" s="112"/>
      <x:c r="F797" s="92"/>
      <x:c r="G797" s="92"/>
      <x:c r="H797" s="92"/>
      <x:c r="I797" s="93" t="str">
        <x:f>IF(B797="","",MAX(0,F797-H797))</x:f>
      </x:c>
      <x:c r="J797" s="46"/>
      <x:c r="K797" s="100" t="str">
        <x:f>IF(B797="","",IF(G797="TL",1,IF(G797="USD",KURLAR!$C$9,IF(G797="EUR",KURLAR!$C$10,0))))</x:f>
      </x:c>
      <x:c r="L797" s="68" t="str">
        <x:f>IF(B797="","",I797*K797)</x:f>
      </x:c>
      <x:c r="M797" s="46"/>
      <x:c r="N797" s="52" t="str">
        <x:f>IF(B797="","",IF(OR(M797="Ödendi",M797="İptal"),"Hayır","Evet"))</x:f>
      </x:c>
    </x:row>
    <x:row r="798">
      <x:c r="B798" s="46"/>
      <x:c r="C798" s="46"/>
      <x:c r="D798" s="112"/>
      <x:c r="E798" s="112"/>
      <x:c r="F798" s="92"/>
      <x:c r="G798" s="92"/>
      <x:c r="H798" s="92"/>
      <x:c r="I798" s="93" t="str">
        <x:f>IF(B798="","",MAX(0,F798-H798))</x:f>
      </x:c>
      <x:c r="J798" s="46"/>
      <x:c r="K798" s="100" t="str">
        <x:f>IF(B798="","",IF(G798="TL",1,IF(G798="USD",KURLAR!$C$9,IF(G798="EUR",KURLAR!$C$10,0))))</x:f>
      </x:c>
      <x:c r="L798" s="68" t="str">
        <x:f>IF(B798="","",I798*K798)</x:f>
      </x:c>
      <x:c r="M798" s="46"/>
      <x:c r="N798" s="52" t="str">
        <x:f>IF(B798="","",IF(OR(M798="Ödendi",M798="İptal"),"Hayır","Evet"))</x:f>
      </x:c>
    </x:row>
    <x:row r="799">
      <x:c r="B799" s="46"/>
      <x:c r="C799" s="46"/>
      <x:c r="D799" s="112"/>
      <x:c r="E799" s="112"/>
      <x:c r="F799" s="92"/>
      <x:c r="G799" s="92"/>
      <x:c r="H799" s="92"/>
      <x:c r="I799" s="93" t="str">
        <x:f>IF(B799="","",MAX(0,F799-H799))</x:f>
      </x:c>
      <x:c r="J799" s="46"/>
      <x:c r="K799" s="100" t="str">
        <x:f>IF(B799="","",IF(G799="TL",1,IF(G799="USD",KURLAR!$C$9,IF(G799="EUR",KURLAR!$C$10,0))))</x:f>
      </x:c>
      <x:c r="L799" s="68" t="str">
        <x:f>IF(B799="","",I799*K799)</x:f>
      </x:c>
      <x:c r="M799" s="46"/>
      <x:c r="N799" s="52" t="str">
        <x:f>IF(B799="","",IF(OR(M799="Ödendi",M799="İptal"),"Hayır","Evet"))</x:f>
      </x:c>
    </x:row>
    <x:row r="800">
      <x:c r="B800" s="46"/>
      <x:c r="C800" s="46"/>
      <x:c r="D800" s="112"/>
      <x:c r="E800" s="112"/>
      <x:c r="F800" s="92"/>
      <x:c r="G800" s="92"/>
      <x:c r="H800" s="92"/>
      <x:c r="I800" s="93" t="str">
        <x:f>IF(B800="","",MAX(0,F800-H800))</x:f>
      </x:c>
      <x:c r="J800" s="46"/>
      <x:c r="K800" s="100" t="str">
        <x:f>IF(B800="","",IF(G800="TL",1,IF(G800="USD",KURLAR!$C$9,IF(G800="EUR",KURLAR!$C$10,0))))</x:f>
      </x:c>
      <x:c r="L800" s="68" t="str">
        <x:f>IF(B800="","",I800*K800)</x:f>
      </x:c>
      <x:c r="M800" s="46"/>
      <x:c r="N800" s="52" t="str">
        <x:f>IF(B800="","",IF(OR(M800="Ödendi",M800="İptal"),"Hayır","Evet"))</x:f>
      </x:c>
    </x:row>
    <x:row r="801">
      <x:c r="B801" s="46"/>
      <x:c r="C801" s="46"/>
      <x:c r="D801" s="112"/>
      <x:c r="E801" s="112"/>
      <x:c r="F801" s="92"/>
      <x:c r="G801" s="92"/>
      <x:c r="H801" s="92"/>
      <x:c r="I801" s="93" t="str">
        <x:f>IF(B801="","",MAX(0,F801-H801))</x:f>
      </x:c>
      <x:c r="J801" s="46"/>
      <x:c r="K801" s="100" t="str">
        <x:f>IF(B801="","",IF(G801="TL",1,IF(G801="USD",KURLAR!$C$9,IF(G801="EUR",KURLAR!$C$10,0))))</x:f>
      </x:c>
      <x:c r="L801" s="68" t="str">
        <x:f>IF(B801="","",I801*K801)</x:f>
      </x:c>
      <x:c r="M801" s="46"/>
      <x:c r="N801" s="52" t="str">
        <x:f>IF(B801="","",IF(OR(M801="Ödendi",M801="İptal"),"Hayır","Evet"))</x:f>
      </x:c>
    </x:row>
    <x:row r="802">
      <x:c r="B802" s="46"/>
      <x:c r="C802" s="46"/>
      <x:c r="D802" s="112"/>
      <x:c r="E802" s="112"/>
      <x:c r="F802" s="92"/>
      <x:c r="G802" s="92"/>
      <x:c r="H802" s="92"/>
      <x:c r="I802" s="93" t="str">
        <x:f>IF(B802="","",MAX(0,F802-H802))</x:f>
      </x:c>
      <x:c r="J802" s="46"/>
      <x:c r="K802" s="100" t="str">
        <x:f>IF(B802="","",IF(G802="TL",1,IF(G802="USD",KURLAR!$C$9,IF(G802="EUR",KURLAR!$C$10,0))))</x:f>
      </x:c>
      <x:c r="L802" s="68" t="str">
        <x:f>IF(B802="","",I802*K802)</x:f>
      </x:c>
      <x:c r="M802" s="46"/>
      <x:c r="N802" s="52" t="str">
        <x:f>IF(B802="","",IF(OR(M802="Ödendi",M802="İptal"),"Hayır","Evet"))</x:f>
      </x:c>
    </x:row>
    <x:row r="803">
      <x:c r="B803" s="46"/>
      <x:c r="C803" s="46"/>
      <x:c r="D803" s="112"/>
      <x:c r="E803" s="112"/>
      <x:c r="F803" s="92"/>
      <x:c r="G803" s="92"/>
      <x:c r="H803" s="92"/>
      <x:c r="I803" s="93" t="str">
        <x:f>IF(B803="","",MAX(0,F803-H803))</x:f>
      </x:c>
      <x:c r="J803" s="46"/>
      <x:c r="K803" s="100" t="str">
        <x:f>IF(B803="","",IF(G803="TL",1,IF(G803="USD",KURLAR!$C$9,IF(G803="EUR",KURLAR!$C$10,0))))</x:f>
      </x:c>
      <x:c r="L803" s="68" t="str">
        <x:f>IF(B803="","",I803*K803)</x:f>
      </x:c>
      <x:c r="M803" s="46"/>
      <x:c r="N803" s="52" t="str">
        <x:f>IF(B803="","",IF(OR(M803="Ödendi",M803="İptal"),"Hayır","Evet"))</x:f>
      </x:c>
    </x:row>
    <x:row r="804">
      <x:c r="B804" s="46"/>
      <x:c r="C804" s="46"/>
      <x:c r="D804" s="112"/>
      <x:c r="E804" s="112"/>
      <x:c r="F804" s="92"/>
      <x:c r="G804" s="92"/>
      <x:c r="H804" s="92"/>
      <x:c r="I804" s="93" t="str">
        <x:f>IF(B804="","",MAX(0,F804-H804))</x:f>
      </x:c>
      <x:c r="J804" s="46"/>
      <x:c r="K804" s="100" t="str">
        <x:f>IF(B804="","",IF(G804="TL",1,IF(G804="USD",KURLAR!$C$9,IF(G804="EUR",KURLAR!$C$10,0))))</x:f>
      </x:c>
      <x:c r="L804" s="68" t="str">
        <x:f>IF(B804="","",I804*K804)</x:f>
      </x:c>
      <x:c r="M804" s="46"/>
      <x:c r="N804" s="52" t="str">
        <x:f>IF(B804="","",IF(OR(M804="Ödendi",M804="İptal"),"Hayır","Evet"))</x:f>
      </x:c>
    </x:row>
    <x:row r="805">
      <x:c r="B805" s="46"/>
      <x:c r="C805" s="46"/>
      <x:c r="D805" s="112"/>
      <x:c r="E805" s="112"/>
      <x:c r="F805" s="92"/>
      <x:c r="G805" s="92"/>
      <x:c r="H805" s="92"/>
      <x:c r="I805" s="93" t="str">
        <x:f>IF(B805="","",MAX(0,F805-H805))</x:f>
      </x:c>
      <x:c r="J805" s="46"/>
      <x:c r="K805" s="100" t="str">
        <x:f>IF(B805="","",IF(G805="TL",1,IF(G805="USD",KURLAR!$C$9,IF(G805="EUR",KURLAR!$C$10,0))))</x:f>
      </x:c>
      <x:c r="L805" s="68" t="str">
        <x:f>IF(B805="","",I805*K805)</x:f>
      </x:c>
      <x:c r="M805" s="46"/>
      <x:c r="N805" s="52" t="str">
        <x:f>IF(B805="","",IF(OR(M805="Ödendi",M805="İptal"),"Hayır","Evet"))</x:f>
      </x:c>
    </x:row>
    <x:row r="806">
      <x:c r="B806" s="46"/>
      <x:c r="C806" s="46"/>
      <x:c r="D806" s="112"/>
      <x:c r="E806" s="112"/>
      <x:c r="F806" s="92"/>
      <x:c r="G806" s="92"/>
      <x:c r="H806" s="92"/>
      <x:c r="I806" s="93" t="str">
        <x:f>IF(B806="","",MAX(0,F806-H806))</x:f>
      </x:c>
      <x:c r="J806" s="46"/>
      <x:c r="K806" s="100" t="str">
        <x:f>IF(B806="","",IF(G806="TL",1,IF(G806="USD",KURLAR!$C$9,IF(G806="EUR",KURLAR!$C$10,0))))</x:f>
      </x:c>
      <x:c r="L806" s="68" t="str">
        <x:f>IF(B806="","",I806*K806)</x:f>
      </x:c>
      <x:c r="M806" s="46"/>
      <x:c r="N806" s="52" t="str">
        <x:f>IF(B806="","",IF(OR(M806="Ödendi",M806="İptal"),"Hayır","Evet"))</x:f>
      </x:c>
    </x:row>
    <x:row r="807">
      <x:c r="B807" s="46"/>
      <x:c r="C807" s="46"/>
      <x:c r="D807" s="112"/>
      <x:c r="E807" s="112"/>
      <x:c r="F807" s="92"/>
      <x:c r="G807" s="92"/>
      <x:c r="H807" s="92"/>
      <x:c r="I807" s="93" t="str">
        <x:f>IF(B807="","",MAX(0,F807-H807))</x:f>
      </x:c>
      <x:c r="J807" s="46"/>
      <x:c r="K807" s="100" t="str">
        <x:f>IF(B807="","",IF(G807="TL",1,IF(G807="USD",KURLAR!$C$9,IF(G807="EUR",KURLAR!$C$10,0))))</x:f>
      </x:c>
      <x:c r="L807" s="68" t="str">
        <x:f>IF(B807="","",I807*K807)</x:f>
      </x:c>
      <x:c r="M807" s="46"/>
      <x:c r="N807" s="52" t="str">
        <x:f>IF(B807="","",IF(OR(M807="Ödendi",M807="İptal"),"Hayır","Evet"))</x:f>
      </x:c>
    </x:row>
    <x:row r="808">
      <x:c r="B808" s="46"/>
      <x:c r="C808" s="46"/>
      <x:c r="D808" s="112"/>
      <x:c r="E808" s="112"/>
      <x:c r="F808" s="92"/>
      <x:c r="G808" s="92"/>
      <x:c r="H808" s="92"/>
      <x:c r="I808" s="93" t="str">
        <x:f>IF(B808="","",MAX(0,F808-H808))</x:f>
      </x:c>
      <x:c r="J808" s="46"/>
      <x:c r="K808" s="100" t="str">
        <x:f>IF(B808="","",IF(G808="TL",1,IF(G808="USD",KURLAR!$C$9,IF(G808="EUR",KURLAR!$C$10,0))))</x:f>
      </x:c>
      <x:c r="L808" s="68" t="str">
        <x:f>IF(B808="","",I808*K808)</x:f>
      </x:c>
      <x:c r="M808" s="46"/>
      <x:c r="N808" s="52" t="str">
        <x:f>IF(B808="","",IF(OR(M808="Ödendi",M808="İptal"),"Hayır","Evet"))</x:f>
      </x:c>
    </x:row>
    <x:row r="809">
      <x:c r="B809" s="46"/>
      <x:c r="C809" s="46"/>
      <x:c r="D809" s="112"/>
      <x:c r="E809" s="112"/>
      <x:c r="F809" s="92"/>
      <x:c r="G809" s="92"/>
      <x:c r="H809" s="92"/>
      <x:c r="I809" s="93" t="str">
        <x:f>IF(B809="","",MAX(0,F809-H809))</x:f>
      </x:c>
      <x:c r="J809" s="46"/>
      <x:c r="K809" s="100" t="str">
        <x:f>IF(B809="","",IF(G809="TL",1,IF(G809="USD",KURLAR!$C$9,IF(G809="EUR",KURLAR!$C$10,0))))</x:f>
      </x:c>
      <x:c r="L809" s="68" t="str">
        <x:f>IF(B809="","",I809*K809)</x:f>
      </x:c>
      <x:c r="M809" s="46"/>
      <x:c r="N809" s="52" t="str">
        <x:f>IF(B809="","",IF(OR(M809="Ödendi",M809="İptal"),"Hayır","Evet"))</x:f>
      </x:c>
    </x:row>
    <x:row r="810">
      <x:c r="B810" s="46"/>
      <x:c r="C810" s="46"/>
      <x:c r="D810" s="112"/>
      <x:c r="E810" s="112"/>
      <x:c r="F810" s="92"/>
      <x:c r="G810" s="92"/>
      <x:c r="H810" s="92"/>
      <x:c r="I810" s="93" t="str">
        <x:f>IF(B810="","",MAX(0,F810-H810))</x:f>
      </x:c>
      <x:c r="J810" s="46"/>
      <x:c r="K810" s="100" t="str">
        <x:f>IF(B810="","",IF(G810="TL",1,IF(G810="USD",KURLAR!$C$9,IF(G810="EUR",KURLAR!$C$10,0))))</x:f>
      </x:c>
      <x:c r="L810" s="68" t="str">
        <x:f>IF(B810="","",I810*K810)</x:f>
      </x:c>
      <x:c r="M810" s="46"/>
      <x:c r="N810" s="52" t="str">
        <x:f>IF(B810="","",IF(OR(M810="Ödendi",M810="İptal"),"Hayır","Evet"))</x:f>
      </x:c>
    </x:row>
    <x:row r="811">
      <x:c r="B811" s="46"/>
      <x:c r="C811" s="46"/>
      <x:c r="D811" s="112"/>
      <x:c r="E811" s="112"/>
      <x:c r="F811" s="92"/>
      <x:c r="G811" s="92"/>
      <x:c r="H811" s="92"/>
      <x:c r="I811" s="93" t="str">
        <x:f>IF(B811="","",MAX(0,F811-H811))</x:f>
      </x:c>
      <x:c r="J811" s="46"/>
      <x:c r="K811" s="100" t="str">
        <x:f>IF(B811="","",IF(G811="TL",1,IF(G811="USD",KURLAR!$C$9,IF(G811="EUR",KURLAR!$C$10,0))))</x:f>
      </x:c>
      <x:c r="L811" s="68" t="str">
        <x:f>IF(B811="","",I811*K811)</x:f>
      </x:c>
      <x:c r="M811" s="46"/>
      <x:c r="N811" s="52" t="str">
        <x:f>IF(B811="","",IF(OR(M811="Ödendi",M811="İptal"),"Hayır","Evet"))</x:f>
      </x:c>
    </x:row>
    <x:row r="812">
      <x:c r="B812" s="46"/>
      <x:c r="C812" s="46"/>
      <x:c r="D812" s="112"/>
      <x:c r="E812" s="112"/>
      <x:c r="F812" s="92"/>
      <x:c r="G812" s="92"/>
      <x:c r="H812" s="92"/>
      <x:c r="I812" s="93" t="str">
        <x:f>IF(B812="","",MAX(0,F812-H812))</x:f>
      </x:c>
      <x:c r="J812" s="46"/>
      <x:c r="K812" s="100" t="str">
        <x:f>IF(B812="","",IF(G812="TL",1,IF(G812="USD",KURLAR!$C$9,IF(G812="EUR",KURLAR!$C$10,0))))</x:f>
      </x:c>
      <x:c r="L812" s="68" t="str">
        <x:f>IF(B812="","",I812*K812)</x:f>
      </x:c>
      <x:c r="M812" s="46"/>
      <x:c r="N812" s="52" t="str">
        <x:f>IF(B812="","",IF(OR(M812="Ödendi",M812="İptal"),"Hayır","Evet"))</x:f>
      </x:c>
    </x:row>
    <x:row r="813">
      <x:c r="B813" s="46"/>
      <x:c r="C813" s="46"/>
      <x:c r="D813" s="112"/>
      <x:c r="E813" s="112"/>
      <x:c r="F813" s="92"/>
      <x:c r="G813" s="92"/>
      <x:c r="H813" s="92"/>
      <x:c r="I813" s="93" t="str">
        <x:f>IF(B813="","",MAX(0,F813-H813))</x:f>
      </x:c>
      <x:c r="J813" s="46"/>
      <x:c r="K813" s="100" t="str">
        <x:f>IF(B813="","",IF(G813="TL",1,IF(G813="USD",KURLAR!$C$9,IF(G813="EUR",KURLAR!$C$10,0))))</x:f>
      </x:c>
      <x:c r="L813" s="68" t="str">
        <x:f>IF(B813="","",I813*K813)</x:f>
      </x:c>
      <x:c r="M813" s="46"/>
      <x:c r="N813" s="52" t="str">
        <x:f>IF(B813="","",IF(OR(M813="Ödendi",M813="İptal"),"Hayır","Evet"))</x:f>
      </x:c>
    </x:row>
    <x:row r="814">
      <x:c r="B814" s="46"/>
      <x:c r="C814" s="46"/>
      <x:c r="D814" s="112"/>
      <x:c r="E814" s="112"/>
      <x:c r="F814" s="92"/>
      <x:c r="G814" s="92"/>
      <x:c r="H814" s="92"/>
      <x:c r="I814" s="93" t="str">
        <x:f>IF(B814="","",MAX(0,F814-H814))</x:f>
      </x:c>
      <x:c r="J814" s="46"/>
      <x:c r="K814" s="100" t="str">
        <x:f>IF(B814="","",IF(G814="TL",1,IF(G814="USD",KURLAR!$C$9,IF(G814="EUR",KURLAR!$C$10,0))))</x:f>
      </x:c>
      <x:c r="L814" s="68" t="str">
        <x:f>IF(B814="","",I814*K814)</x:f>
      </x:c>
      <x:c r="M814" s="46"/>
      <x:c r="N814" s="52" t="str">
        <x:f>IF(B814="","",IF(OR(M814="Ödendi",M814="İptal"),"Hayır","Evet"))</x:f>
      </x:c>
    </x:row>
    <x:row r="815">
      <x:c r="B815" s="46"/>
      <x:c r="C815" s="46"/>
      <x:c r="D815" s="112"/>
      <x:c r="E815" s="112"/>
      <x:c r="F815" s="92"/>
      <x:c r="G815" s="92"/>
      <x:c r="H815" s="92"/>
      <x:c r="I815" s="93" t="str">
        <x:f>IF(B815="","",MAX(0,F815-H815))</x:f>
      </x:c>
      <x:c r="J815" s="46"/>
      <x:c r="K815" s="100" t="str">
        <x:f>IF(B815="","",IF(G815="TL",1,IF(G815="USD",KURLAR!$C$9,IF(G815="EUR",KURLAR!$C$10,0))))</x:f>
      </x:c>
      <x:c r="L815" s="68" t="str">
        <x:f>IF(B815="","",I815*K815)</x:f>
      </x:c>
      <x:c r="M815" s="46"/>
      <x:c r="N815" s="52" t="str">
        <x:f>IF(B815="","",IF(OR(M815="Ödendi",M815="İptal"),"Hayır","Evet"))</x:f>
      </x:c>
    </x:row>
    <x:row r="816">
      <x:c r="B816" s="46"/>
      <x:c r="C816" s="46"/>
      <x:c r="D816" s="112"/>
      <x:c r="E816" s="112"/>
      <x:c r="F816" s="92"/>
      <x:c r="G816" s="92"/>
      <x:c r="H816" s="92"/>
      <x:c r="I816" s="93" t="str">
        <x:f>IF(B816="","",MAX(0,F816-H816))</x:f>
      </x:c>
      <x:c r="J816" s="46"/>
      <x:c r="K816" s="100" t="str">
        <x:f>IF(B816="","",IF(G816="TL",1,IF(G816="USD",KURLAR!$C$9,IF(G816="EUR",KURLAR!$C$10,0))))</x:f>
      </x:c>
      <x:c r="L816" s="68" t="str">
        <x:f>IF(B816="","",I816*K816)</x:f>
      </x:c>
      <x:c r="M816" s="46"/>
      <x:c r="N816" s="52" t="str">
        <x:f>IF(B816="","",IF(OR(M816="Ödendi",M816="İptal"),"Hayır","Evet"))</x:f>
      </x:c>
    </x:row>
    <x:row r="817">
      <x:c r="B817" s="46"/>
      <x:c r="C817" s="46"/>
      <x:c r="D817" s="112"/>
      <x:c r="E817" s="112"/>
      <x:c r="F817" s="92"/>
      <x:c r="G817" s="92"/>
      <x:c r="H817" s="92"/>
      <x:c r="I817" s="93" t="str">
        <x:f>IF(B817="","",MAX(0,F817-H817))</x:f>
      </x:c>
      <x:c r="J817" s="46"/>
      <x:c r="K817" s="100" t="str">
        <x:f>IF(B817="","",IF(G817="TL",1,IF(G817="USD",KURLAR!$C$9,IF(G817="EUR",KURLAR!$C$10,0))))</x:f>
      </x:c>
      <x:c r="L817" s="68" t="str">
        <x:f>IF(B817="","",I817*K817)</x:f>
      </x:c>
      <x:c r="M817" s="46"/>
      <x:c r="N817" s="52" t="str">
        <x:f>IF(B817="","",IF(OR(M817="Ödendi",M817="İptal"),"Hayır","Evet"))</x:f>
      </x:c>
    </x:row>
    <x:row r="818">
      <x:c r="B818" s="46"/>
      <x:c r="C818" s="46"/>
      <x:c r="D818" s="112"/>
      <x:c r="E818" s="112"/>
      <x:c r="F818" s="92"/>
      <x:c r="G818" s="92"/>
      <x:c r="H818" s="92"/>
      <x:c r="I818" s="93" t="str">
        <x:f>IF(B818="","",MAX(0,F818-H818))</x:f>
      </x:c>
      <x:c r="J818" s="46"/>
      <x:c r="K818" s="100" t="str">
        <x:f>IF(B818="","",IF(G818="TL",1,IF(G818="USD",KURLAR!$C$9,IF(G818="EUR",KURLAR!$C$10,0))))</x:f>
      </x:c>
      <x:c r="L818" s="68" t="str">
        <x:f>IF(B818="","",I818*K818)</x:f>
      </x:c>
      <x:c r="M818" s="46"/>
      <x:c r="N818" s="52" t="str">
        <x:f>IF(B818="","",IF(OR(M818="Ödendi",M818="İptal"),"Hayır","Evet"))</x:f>
      </x:c>
    </x:row>
    <x:row r="819">
      <x:c r="B819" s="46"/>
      <x:c r="C819" s="46"/>
      <x:c r="D819" s="112"/>
      <x:c r="E819" s="112"/>
      <x:c r="F819" s="92"/>
      <x:c r="G819" s="92"/>
      <x:c r="H819" s="92"/>
      <x:c r="I819" s="93" t="str">
        <x:f>IF(B819="","",MAX(0,F819-H819))</x:f>
      </x:c>
      <x:c r="J819" s="46"/>
      <x:c r="K819" s="100" t="str">
        <x:f>IF(B819="","",IF(G819="TL",1,IF(G819="USD",KURLAR!$C$9,IF(G819="EUR",KURLAR!$C$10,0))))</x:f>
      </x:c>
      <x:c r="L819" s="68" t="str">
        <x:f>IF(B819="","",I819*K819)</x:f>
      </x:c>
      <x:c r="M819" s="46"/>
      <x:c r="N819" s="52" t="str">
        <x:f>IF(B819="","",IF(OR(M819="Ödendi",M819="İptal"),"Hayır","Evet"))</x:f>
      </x:c>
    </x:row>
    <x:row r="820">
      <x:c r="B820" s="46"/>
      <x:c r="C820" s="46"/>
      <x:c r="D820" s="112"/>
      <x:c r="E820" s="112"/>
      <x:c r="F820" s="92"/>
      <x:c r="G820" s="92"/>
      <x:c r="H820" s="92"/>
      <x:c r="I820" s="93" t="str">
        <x:f>IF(B820="","",MAX(0,F820-H820))</x:f>
      </x:c>
      <x:c r="J820" s="46"/>
      <x:c r="K820" s="100" t="str">
        <x:f>IF(B820="","",IF(G820="TL",1,IF(G820="USD",KURLAR!$C$9,IF(G820="EUR",KURLAR!$C$10,0))))</x:f>
      </x:c>
      <x:c r="L820" s="68" t="str">
        <x:f>IF(B820="","",I820*K820)</x:f>
      </x:c>
      <x:c r="M820" s="46"/>
      <x:c r="N820" s="52" t="str">
        <x:f>IF(B820="","",IF(OR(M820="Ödendi",M820="İptal"),"Hayır","Evet"))</x:f>
      </x:c>
    </x:row>
    <x:row r="821">
      <x:c r="B821" s="46"/>
      <x:c r="C821" s="46"/>
      <x:c r="D821" s="112"/>
      <x:c r="E821" s="112"/>
      <x:c r="F821" s="92"/>
      <x:c r="G821" s="92"/>
      <x:c r="H821" s="92"/>
      <x:c r="I821" s="93" t="str">
        <x:f>IF(B821="","",MAX(0,F821-H821))</x:f>
      </x:c>
      <x:c r="J821" s="46"/>
      <x:c r="K821" s="100" t="str">
        <x:f>IF(B821="","",IF(G821="TL",1,IF(G821="USD",KURLAR!$C$9,IF(G821="EUR",KURLAR!$C$10,0))))</x:f>
      </x:c>
      <x:c r="L821" s="68" t="str">
        <x:f>IF(B821="","",I821*K821)</x:f>
      </x:c>
      <x:c r="M821" s="46"/>
      <x:c r="N821" s="52" t="str">
        <x:f>IF(B821="","",IF(OR(M821="Ödendi",M821="İptal"),"Hayır","Evet"))</x:f>
      </x:c>
    </x:row>
    <x:row r="822">
      <x:c r="B822" s="46"/>
      <x:c r="C822" s="46"/>
      <x:c r="D822" s="112"/>
      <x:c r="E822" s="112"/>
      <x:c r="F822" s="92"/>
      <x:c r="G822" s="92"/>
      <x:c r="H822" s="92"/>
      <x:c r="I822" s="93" t="str">
        <x:f>IF(B822="","",MAX(0,F822-H822))</x:f>
      </x:c>
      <x:c r="J822" s="46"/>
      <x:c r="K822" s="100" t="str">
        <x:f>IF(B822="","",IF(G822="TL",1,IF(G822="USD",KURLAR!$C$9,IF(G822="EUR",KURLAR!$C$10,0))))</x:f>
      </x:c>
      <x:c r="L822" s="68" t="str">
        <x:f>IF(B822="","",I822*K822)</x:f>
      </x:c>
      <x:c r="M822" s="46"/>
      <x:c r="N822" s="52" t="str">
        <x:f>IF(B822="","",IF(OR(M822="Ödendi",M822="İptal"),"Hayır","Evet"))</x:f>
      </x:c>
    </x:row>
    <x:row r="823">
      <x:c r="B823" s="46"/>
      <x:c r="C823" s="46"/>
      <x:c r="D823" s="112"/>
      <x:c r="E823" s="112"/>
      <x:c r="F823" s="92"/>
      <x:c r="G823" s="92"/>
      <x:c r="H823" s="92"/>
      <x:c r="I823" s="93" t="str">
        <x:f>IF(B823="","",MAX(0,F823-H823))</x:f>
      </x:c>
      <x:c r="J823" s="46"/>
      <x:c r="K823" s="100" t="str">
        <x:f>IF(B823="","",IF(G823="TL",1,IF(G823="USD",KURLAR!$C$9,IF(G823="EUR",KURLAR!$C$10,0))))</x:f>
      </x:c>
      <x:c r="L823" s="68" t="str">
        <x:f>IF(B823="","",I823*K823)</x:f>
      </x:c>
      <x:c r="M823" s="46"/>
      <x:c r="N823" s="52" t="str">
        <x:f>IF(B823="","",IF(OR(M823="Ödendi",M823="İptal"),"Hayır","Evet"))</x:f>
      </x:c>
    </x:row>
    <x:row r="824">
      <x:c r="B824" s="46"/>
      <x:c r="C824" s="46"/>
      <x:c r="D824" s="112"/>
      <x:c r="E824" s="112"/>
      <x:c r="F824" s="92"/>
      <x:c r="G824" s="92"/>
      <x:c r="H824" s="92"/>
      <x:c r="I824" s="93" t="str">
        <x:f>IF(B824="","",MAX(0,F824-H824))</x:f>
      </x:c>
      <x:c r="J824" s="46"/>
      <x:c r="K824" s="100" t="str">
        <x:f>IF(B824="","",IF(G824="TL",1,IF(G824="USD",KURLAR!$C$9,IF(G824="EUR",KURLAR!$C$10,0))))</x:f>
      </x:c>
      <x:c r="L824" s="68" t="str">
        <x:f>IF(B824="","",I824*K824)</x:f>
      </x:c>
      <x:c r="M824" s="46"/>
      <x:c r="N824" s="52" t="str">
        <x:f>IF(B824="","",IF(OR(M824="Ödendi",M824="İptal"),"Hayır","Evet"))</x:f>
      </x:c>
    </x:row>
    <x:row r="825">
      <x:c r="B825" s="46"/>
      <x:c r="C825" s="46"/>
      <x:c r="D825" s="112"/>
      <x:c r="E825" s="112"/>
      <x:c r="F825" s="92"/>
      <x:c r="G825" s="92"/>
      <x:c r="H825" s="92"/>
      <x:c r="I825" s="93" t="str">
        <x:f>IF(B825="","",MAX(0,F825-H825))</x:f>
      </x:c>
      <x:c r="J825" s="46"/>
      <x:c r="K825" s="100" t="str">
        <x:f>IF(B825="","",IF(G825="TL",1,IF(G825="USD",KURLAR!$C$9,IF(G825="EUR",KURLAR!$C$10,0))))</x:f>
      </x:c>
      <x:c r="L825" s="68" t="str">
        <x:f>IF(B825="","",I825*K825)</x:f>
      </x:c>
      <x:c r="M825" s="46"/>
      <x:c r="N825" s="52" t="str">
        <x:f>IF(B825="","",IF(OR(M825="Ödendi",M825="İptal"),"Hayır","Evet"))</x:f>
      </x:c>
    </x:row>
    <x:row r="826">
      <x:c r="B826" s="46"/>
      <x:c r="C826" s="46"/>
      <x:c r="D826" s="112"/>
      <x:c r="E826" s="112"/>
      <x:c r="F826" s="92"/>
      <x:c r="G826" s="92"/>
      <x:c r="H826" s="92"/>
      <x:c r="I826" s="93" t="str">
        <x:f>IF(B826="","",MAX(0,F826-H826))</x:f>
      </x:c>
      <x:c r="J826" s="46"/>
      <x:c r="K826" s="100" t="str">
        <x:f>IF(B826="","",IF(G826="TL",1,IF(G826="USD",KURLAR!$C$9,IF(G826="EUR",KURLAR!$C$10,0))))</x:f>
      </x:c>
      <x:c r="L826" s="68" t="str">
        <x:f>IF(B826="","",I826*K826)</x:f>
      </x:c>
      <x:c r="M826" s="46"/>
      <x:c r="N826" s="52" t="str">
        <x:f>IF(B826="","",IF(OR(M826="Ödendi",M826="İptal"),"Hayır","Evet"))</x:f>
      </x:c>
    </x:row>
    <x:row r="827">
      <x:c r="B827" s="46"/>
      <x:c r="C827" s="46"/>
      <x:c r="D827" s="112"/>
      <x:c r="E827" s="112"/>
      <x:c r="F827" s="92"/>
      <x:c r="G827" s="92"/>
      <x:c r="H827" s="92"/>
      <x:c r="I827" s="93" t="str">
        <x:f>IF(B827="","",MAX(0,F827-H827))</x:f>
      </x:c>
      <x:c r="J827" s="46"/>
      <x:c r="K827" s="100" t="str">
        <x:f>IF(B827="","",IF(G827="TL",1,IF(G827="USD",KURLAR!$C$9,IF(G827="EUR",KURLAR!$C$10,0))))</x:f>
      </x:c>
      <x:c r="L827" s="68" t="str">
        <x:f>IF(B827="","",I827*K827)</x:f>
      </x:c>
      <x:c r="M827" s="46"/>
      <x:c r="N827" s="52" t="str">
        <x:f>IF(B827="","",IF(OR(M827="Ödendi",M827="İptal"),"Hayır","Evet"))</x:f>
      </x:c>
    </x:row>
    <x:row r="828">
      <x:c r="B828" s="46"/>
      <x:c r="C828" s="46"/>
      <x:c r="D828" s="112"/>
      <x:c r="E828" s="112"/>
      <x:c r="F828" s="92"/>
      <x:c r="G828" s="92"/>
      <x:c r="H828" s="92"/>
      <x:c r="I828" s="93" t="str">
        <x:f>IF(B828="","",MAX(0,F828-H828))</x:f>
      </x:c>
      <x:c r="J828" s="46"/>
      <x:c r="K828" s="100" t="str">
        <x:f>IF(B828="","",IF(G828="TL",1,IF(G828="USD",KURLAR!$C$9,IF(G828="EUR",KURLAR!$C$10,0))))</x:f>
      </x:c>
      <x:c r="L828" s="68" t="str">
        <x:f>IF(B828="","",I828*K828)</x:f>
      </x:c>
      <x:c r="M828" s="46"/>
      <x:c r="N828" s="52" t="str">
        <x:f>IF(B828="","",IF(OR(M828="Ödendi",M828="İptal"),"Hayır","Evet"))</x:f>
      </x:c>
    </x:row>
    <x:row r="829">
      <x:c r="B829" s="46"/>
      <x:c r="C829" s="46"/>
      <x:c r="D829" s="112"/>
      <x:c r="E829" s="112"/>
      <x:c r="F829" s="92"/>
      <x:c r="G829" s="92"/>
      <x:c r="H829" s="92"/>
      <x:c r="I829" s="93" t="str">
        <x:f>IF(B829="","",MAX(0,F829-H829))</x:f>
      </x:c>
      <x:c r="J829" s="46"/>
      <x:c r="K829" s="100" t="str">
        <x:f>IF(B829="","",IF(G829="TL",1,IF(G829="USD",KURLAR!$C$9,IF(G829="EUR",KURLAR!$C$10,0))))</x:f>
      </x:c>
      <x:c r="L829" s="68" t="str">
        <x:f>IF(B829="","",I829*K829)</x:f>
      </x:c>
      <x:c r="M829" s="46"/>
      <x:c r="N829" s="52" t="str">
        <x:f>IF(B829="","",IF(OR(M829="Ödendi",M829="İptal"),"Hayır","Evet"))</x:f>
      </x:c>
    </x:row>
    <x:row r="830">
      <x:c r="B830" s="46"/>
      <x:c r="C830" s="46"/>
      <x:c r="D830" s="112"/>
      <x:c r="E830" s="112"/>
      <x:c r="F830" s="92"/>
      <x:c r="G830" s="92"/>
      <x:c r="H830" s="92"/>
      <x:c r="I830" s="93" t="str">
        <x:f>IF(B830="","",MAX(0,F830-H830))</x:f>
      </x:c>
      <x:c r="J830" s="46"/>
      <x:c r="K830" s="100" t="str">
        <x:f>IF(B830="","",IF(G830="TL",1,IF(G830="USD",KURLAR!$C$9,IF(G830="EUR",KURLAR!$C$10,0))))</x:f>
      </x:c>
      <x:c r="L830" s="68" t="str">
        <x:f>IF(B830="","",I830*K830)</x:f>
      </x:c>
      <x:c r="M830" s="46"/>
      <x:c r="N830" s="52" t="str">
        <x:f>IF(B830="","",IF(OR(M830="Ödendi",M830="İptal"),"Hayır","Evet"))</x:f>
      </x:c>
    </x:row>
    <x:row r="831">
      <x:c r="B831" s="46"/>
      <x:c r="C831" s="46"/>
      <x:c r="D831" s="112"/>
      <x:c r="E831" s="112"/>
      <x:c r="F831" s="92"/>
      <x:c r="G831" s="92"/>
      <x:c r="H831" s="92"/>
      <x:c r="I831" s="93" t="str">
        <x:f>IF(B831="","",MAX(0,F831-H831))</x:f>
      </x:c>
      <x:c r="J831" s="46"/>
      <x:c r="K831" s="100" t="str">
        <x:f>IF(B831="","",IF(G831="TL",1,IF(G831="USD",KURLAR!$C$9,IF(G831="EUR",KURLAR!$C$10,0))))</x:f>
      </x:c>
      <x:c r="L831" s="68" t="str">
        <x:f>IF(B831="","",I831*K831)</x:f>
      </x:c>
      <x:c r="M831" s="46"/>
      <x:c r="N831" s="52" t="str">
        <x:f>IF(B831="","",IF(OR(M831="Ödendi",M831="İptal"),"Hayır","Evet"))</x:f>
      </x:c>
    </x:row>
    <x:row r="832">
      <x:c r="B832" s="46"/>
      <x:c r="C832" s="46"/>
      <x:c r="D832" s="112"/>
      <x:c r="E832" s="112"/>
      <x:c r="F832" s="92"/>
      <x:c r="G832" s="92"/>
      <x:c r="H832" s="92"/>
      <x:c r="I832" s="93" t="str">
        <x:f>IF(B832="","",MAX(0,F832-H832))</x:f>
      </x:c>
      <x:c r="J832" s="46"/>
      <x:c r="K832" s="100" t="str">
        <x:f>IF(B832="","",IF(G832="TL",1,IF(G832="USD",KURLAR!$C$9,IF(G832="EUR",KURLAR!$C$10,0))))</x:f>
      </x:c>
      <x:c r="L832" s="68" t="str">
        <x:f>IF(B832="","",I832*K832)</x:f>
      </x:c>
      <x:c r="M832" s="46"/>
      <x:c r="N832" s="52" t="str">
        <x:f>IF(B832="","",IF(OR(M832="Ödendi",M832="İptal"),"Hayır","Evet"))</x:f>
      </x:c>
    </x:row>
    <x:row r="833">
      <x:c r="B833" s="46"/>
      <x:c r="C833" s="46"/>
      <x:c r="D833" s="112"/>
      <x:c r="E833" s="112"/>
      <x:c r="F833" s="92"/>
      <x:c r="G833" s="92"/>
      <x:c r="H833" s="92"/>
      <x:c r="I833" s="93" t="str">
        <x:f>IF(B833="","",MAX(0,F833-H833))</x:f>
      </x:c>
      <x:c r="J833" s="46"/>
      <x:c r="K833" s="100" t="str">
        <x:f>IF(B833="","",IF(G833="TL",1,IF(G833="USD",KURLAR!$C$9,IF(G833="EUR",KURLAR!$C$10,0))))</x:f>
      </x:c>
      <x:c r="L833" s="68" t="str">
        <x:f>IF(B833="","",I833*K833)</x:f>
      </x:c>
      <x:c r="M833" s="46"/>
      <x:c r="N833" s="52" t="str">
        <x:f>IF(B833="","",IF(OR(M833="Ödendi",M833="İptal"),"Hayır","Evet"))</x:f>
      </x:c>
    </x:row>
    <x:row r="834">
      <x:c r="B834" s="46"/>
      <x:c r="C834" s="46"/>
      <x:c r="D834" s="112"/>
      <x:c r="E834" s="112"/>
      <x:c r="F834" s="92"/>
      <x:c r="G834" s="92"/>
      <x:c r="H834" s="92"/>
      <x:c r="I834" s="93" t="str">
        <x:f>IF(B834="","",MAX(0,F834-H834))</x:f>
      </x:c>
      <x:c r="J834" s="46"/>
      <x:c r="K834" s="100" t="str">
        <x:f>IF(B834="","",IF(G834="TL",1,IF(G834="USD",KURLAR!$C$9,IF(G834="EUR",KURLAR!$C$10,0))))</x:f>
      </x:c>
      <x:c r="L834" s="68" t="str">
        <x:f>IF(B834="","",I834*K834)</x:f>
      </x:c>
      <x:c r="M834" s="46"/>
      <x:c r="N834" s="52" t="str">
        <x:f>IF(B834="","",IF(OR(M834="Ödendi",M834="İptal"),"Hayır","Evet"))</x:f>
      </x:c>
    </x:row>
    <x:row r="835">
      <x:c r="B835" s="46"/>
      <x:c r="C835" s="46"/>
      <x:c r="D835" s="112"/>
      <x:c r="E835" s="112"/>
      <x:c r="F835" s="92"/>
      <x:c r="G835" s="92"/>
      <x:c r="H835" s="92"/>
      <x:c r="I835" s="93" t="str">
        <x:f>IF(B835="","",MAX(0,F835-H835))</x:f>
      </x:c>
      <x:c r="J835" s="46"/>
      <x:c r="K835" s="100" t="str">
        <x:f>IF(B835="","",IF(G835="TL",1,IF(G835="USD",KURLAR!$C$9,IF(G835="EUR",KURLAR!$C$10,0))))</x:f>
      </x:c>
      <x:c r="L835" s="68" t="str">
        <x:f>IF(B835="","",I835*K835)</x:f>
      </x:c>
      <x:c r="M835" s="46"/>
      <x:c r="N835" s="52" t="str">
        <x:f>IF(B835="","",IF(OR(M835="Ödendi",M835="İptal"),"Hayır","Evet"))</x:f>
      </x:c>
    </x:row>
    <x:row r="836">
      <x:c r="B836" s="46"/>
      <x:c r="C836" s="46"/>
      <x:c r="D836" s="112"/>
      <x:c r="E836" s="112"/>
      <x:c r="F836" s="92"/>
      <x:c r="G836" s="92"/>
      <x:c r="H836" s="92"/>
      <x:c r="I836" s="93" t="str">
        <x:f>IF(B836="","",MAX(0,F836-H836))</x:f>
      </x:c>
      <x:c r="J836" s="46"/>
      <x:c r="K836" s="100" t="str">
        <x:f>IF(B836="","",IF(G836="TL",1,IF(G836="USD",KURLAR!$C$9,IF(G836="EUR",KURLAR!$C$10,0))))</x:f>
      </x:c>
      <x:c r="L836" s="68" t="str">
        <x:f>IF(B836="","",I836*K836)</x:f>
      </x:c>
      <x:c r="M836" s="46"/>
      <x:c r="N836" s="52" t="str">
        <x:f>IF(B836="","",IF(OR(M836="Ödendi",M836="İptal"),"Hayır","Evet"))</x:f>
      </x:c>
    </x:row>
    <x:row r="837">
      <x:c r="B837" s="46"/>
      <x:c r="C837" s="46"/>
      <x:c r="D837" s="112"/>
      <x:c r="E837" s="112"/>
      <x:c r="F837" s="92"/>
      <x:c r="G837" s="92"/>
      <x:c r="H837" s="92"/>
      <x:c r="I837" s="93" t="str">
        <x:f>IF(B837="","",MAX(0,F837-H837))</x:f>
      </x:c>
      <x:c r="J837" s="46"/>
      <x:c r="K837" s="100" t="str">
        <x:f>IF(B837="","",IF(G837="TL",1,IF(G837="USD",KURLAR!$C$9,IF(G837="EUR",KURLAR!$C$10,0))))</x:f>
      </x:c>
      <x:c r="L837" s="68" t="str">
        <x:f>IF(B837="","",I837*K837)</x:f>
      </x:c>
      <x:c r="M837" s="46"/>
      <x:c r="N837" s="52" t="str">
        <x:f>IF(B837="","",IF(OR(M837="Ödendi",M837="İptal"),"Hayır","Evet"))</x:f>
      </x:c>
    </x:row>
    <x:row r="838">
      <x:c r="B838" s="46"/>
      <x:c r="C838" s="46"/>
      <x:c r="D838" s="112"/>
      <x:c r="E838" s="112"/>
      <x:c r="F838" s="92"/>
      <x:c r="G838" s="92"/>
      <x:c r="H838" s="92"/>
      <x:c r="I838" s="93" t="str">
        <x:f>IF(B838="","",MAX(0,F838-H838))</x:f>
      </x:c>
      <x:c r="J838" s="46"/>
      <x:c r="K838" s="100" t="str">
        <x:f>IF(B838="","",IF(G838="TL",1,IF(G838="USD",KURLAR!$C$9,IF(G838="EUR",KURLAR!$C$10,0))))</x:f>
      </x:c>
      <x:c r="L838" s="68" t="str">
        <x:f>IF(B838="","",I838*K838)</x:f>
      </x:c>
      <x:c r="M838" s="46"/>
      <x:c r="N838" s="52" t="str">
        <x:f>IF(B838="","",IF(OR(M838="Ödendi",M838="İptal"),"Hayır","Evet"))</x:f>
      </x:c>
    </x:row>
    <x:row r="839">
      <x:c r="B839" s="46"/>
      <x:c r="C839" s="46"/>
      <x:c r="D839" s="112"/>
      <x:c r="E839" s="112"/>
      <x:c r="F839" s="92"/>
      <x:c r="G839" s="92"/>
      <x:c r="H839" s="92"/>
      <x:c r="I839" s="93" t="str">
        <x:f>IF(B839="","",MAX(0,F839-H839))</x:f>
      </x:c>
      <x:c r="J839" s="46"/>
      <x:c r="K839" s="100" t="str">
        <x:f>IF(B839="","",IF(G839="TL",1,IF(G839="USD",KURLAR!$C$9,IF(G839="EUR",KURLAR!$C$10,0))))</x:f>
      </x:c>
      <x:c r="L839" s="68" t="str">
        <x:f>IF(B839="","",I839*K839)</x:f>
      </x:c>
      <x:c r="M839" s="46"/>
      <x:c r="N839" s="52" t="str">
        <x:f>IF(B839="","",IF(OR(M839="Ödendi",M839="İptal"),"Hayır","Evet"))</x:f>
      </x:c>
    </x:row>
    <x:row r="840">
      <x:c r="B840" s="46"/>
      <x:c r="C840" s="46"/>
      <x:c r="D840" s="112"/>
      <x:c r="E840" s="112"/>
      <x:c r="F840" s="92"/>
      <x:c r="G840" s="92"/>
      <x:c r="H840" s="92"/>
      <x:c r="I840" s="93" t="str">
        <x:f>IF(B840="","",MAX(0,F840-H840))</x:f>
      </x:c>
      <x:c r="J840" s="46"/>
      <x:c r="K840" s="100" t="str">
        <x:f>IF(B840="","",IF(G840="TL",1,IF(G840="USD",KURLAR!$C$9,IF(G840="EUR",KURLAR!$C$10,0))))</x:f>
      </x:c>
      <x:c r="L840" s="68" t="str">
        <x:f>IF(B840="","",I840*K840)</x:f>
      </x:c>
      <x:c r="M840" s="46"/>
      <x:c r="N840" s="52" t="str">
        <x:f>IF(B840="","",IF(OR(M840="Ödendi",M840="İptal"),"Hayır","Evet"))</x:f>
      </x:c>
    </x:row>
    <x:row r="841">
      <x:c r="B841" s="46"/>
      <x:c r="C841" s="46"/>
      <x:c r="D841" s="112"/>
      <x:c r="E841" s="112"/>
      <x:c r="F841" s="92"/>
      <x:c r="G841" s="92"/>
      <x:c r="H841" s="92"/>
      <x:c r="I841" s="93" t="str">
        <x:f>IF(B841="","",MAX(0,F841-H841))</x:f>
      </x:c>
      <x:c r="J841" s="46"/>
      <x:c r="K841" s="100" t="str">
        <x:f>IF(B841="","",IF(G841="TL",1,IF(G841="USD",KURLAR!$C$9,IF(G841="EUR",KURLAR!$C$10,0))))</x:f>
      </x:c>
      <x:c r="L841" s="68" t="str">
        <x:f>IF(B841="","",I841*K841)</x:f>
      </x:c>
      <x:c r="M841" s="46"/>
      <x:c r="N841" s="52" t="str">
        <x:f>IF(B841="","",IF(OR(M841="Ödendi",M841="İptal"),"Hayır","Evet"))</x:f>
      </x:c>
    </x:row>
    <x:row r="842">
      <x:c r="B842" s="46"/>
      <x:c r="C842" s="46"/>
      <x:c r="D842" s="112"/>
      <x:c r="E842" s="112"/>
      <x:c r="F842" s="92"/>
      <x:c r="G842" s="92"/>
      <x:c r="H842" s="92"/>
      <x:c r="I842" s="93" t="str">
        <x:f>IF(B842="","",MAX(0,F842-H842))</x:f>
      </x:c>
      <x:c r="J842" s="46"/>
      <x:c r="K842" s="100" t="str">
        <x:f>IF(B842="","",IF(G842="TL",1,IF(G842="USD",KURLAR!$C$9,IF(G842="EUR",KURLAR!$C$10,0))))</x:f>
      </x:c>
      <x:c r="L842" s="68" t="str">
        <x:f>IF(B842="","",I842*K842)</x:f>
      </x:c>
      <x:c r="M842" s="46"/>
      <x:c r="N842" s="52" t="str">
        <x:f>IF(B842="","",IF(OR(M842="Ödendi",M842="İptal"),"Hayır","Evet"))</x:f>
      </x:c>
    </x:row>
    <x:row r="843">
      <x:c r="B843" s="46"/>
      <x:c r="C843" s="46"/>
      <x:c r="D843" s="112"/>
      <x:c r="E843" s="112"/>
      <x:c r="F843" s="92"/>
      <x:c r="G843" s="92"/>
      <x:c r="H843" s="92"/>
      <x:c r="I843" s="93" t="str">
        <x:f>IF(B843="","",MAX(0,F843-H843))</x:f>
      </x:c>
      <x:c r="J843" s="46"/>
      <x:c r="K843" s="100" t="str">
        <x:f>IF(B843="","",IF(G843="TL",1,IF(G843="USD",KURLAR!$C$9,IF(G843="EUR",KURLAR!$C$10,0))))</x:f>
      </x:c>
      <x:c r="L843" s="68" t="str">
        <x:f>IF(B843="","",I843*K843)</x:f>
      </x:c>
      <x:c r="M843" s="46"/>
      <x:c r="N843" s="52" t="str">
        <x:f>IF(B843="","",IF(OR(M843="Ödendi",M843="İptal"),"Hayır","Evet"))</x:f>
      </x:c>
    </x:row>
    <x:row r="844">
      <x:c r="B844" s="46"/>
      <x:c r="C844" s="46"/>
      <x:c r="D844" s="112"/>
      <x:c r="E844" s="112"/>
      <x:c r="F844" s="92"/>
      <x:c r="G844" s="92"/>
      <x:c r="H844" s="92"/>
      <x:c r="I844" s="93" t="str">
        <x:f>IF(B844="","",MAX(0,F844-H844))</x:f>
      </x:c>
      <x:c r="J844" s="46"/>
      <x:c r="K844" s="100" t="str">
        <x:f>IF(B844="","",IF(G844="TL",1,IF(G844="USD",KURLAR!$C$9,IF(G844="EUR",KURLAR!$C$10,0))))</x:f>
      </x:c>
      <x:c r="L844" s="68" t="str">
        <x:f>IF(B844="","",I844*K844)</x:f>
      </x:c>
      <x:c r="M844" s="46"/>
      <x:c r="N844" s="52" t="str">
        <x:f>IF(B844="","",IF(OR(M844="Ödendi",M844="İptal"),"Hayır","Evet"))</x:f>
      </x:c>
    </x:row>
    <x:row r="845">
      <x:c r="B845" s="46"/>
      <x:c r="C845" s="46"/>
      <x:c r="D845" s="112"/>
      <x:c r="E845" s="112"/>
      <x:c r="F845" s="92"/>
      <x:c r="G845" s="92"/>
      <x:c r="H845" s="92"/>
      <x:c r="I845" s="93" t="str">
        <x:f>IF(B845="","",MAX(0,F845-H845))</x:f>
      </x:c>
      <x:c r="J845" s="46"/>
      <x:c r="K845" s="100" t="str">
        <x:f>IF(B845="","",IF(G845="TL",1,IF(G845="USD",KURLAR!$C$9,IF(G845="EUR",KURLAR!$C$10,0))))</x:f>
      </x:c>
      <x:c r="L845" s="68" t="str">
        <x:f>IF(B845="","",I845*K845)</x:f>
      </x:c>
      <x:c r="M845" s="46"/>
      <x:c r="N845" s="52" t="str">
        <x:f>IF(B845="","",IF(OR(M845="Ödendi",M845="İptal"),"Hayır","Evet"))</x:f>
      </x:c>
    </x:row>
    <x:row r="846">
      <x:c r="B846" s="46"/>
      <x:c r="C846" s="46"/>
      <x:c r="D846" s="112"/>
      <x:c r="E846" s="112"/>
      <x:c r="F846" s="92"/>
      <x:c r="G846" s="92"/>
      <x:c r="H846" s="92"/>
      <x:c r="I846" s="93" t="str">
        <x:f>IF(B846="","",MAX(0,F846-H846))</x:f>
      </x:c>
      <x:c r="J846" s="46"/>
      <x:c r="K846" s="100" t="str">
        <x:f>IF(B846="","",IF(G846="TL",1,IF(G846="USD",KURLAR!$C$9,IF(G846="EUR",KURLAR!$C$10,0))))</x:f>
      </x:c>
      <x:c r="L846" s="68" t="str">
        <x:f>IF(B846="","",I846*K846)</x:f>
      </x:c>
      <x:c r="M846" s="46"/>
      <x:c r="N846" s="52" t="str">
        <x:f>IF(B846="","",IF(OR(M846="Ödendi",M846="İptal"),"Hayır","Evet"))</x:f>
      </x:c>
    </x:row>
    <x:row r="847">
      <x:c r="B847" s="46"/>
      <x:c r="C847" s="46"/>
      <x:c r="D847" s="112"/>
      <x:c r="E847" s="112"/>
      <x:c r="F847" s="92"/>
      <x:c r="G847" s="92"/>
      <x:c r="H847" s="92"/>
      <x:c r="I847" s="93" t="str">
        <x:f>IF(B847="","",MAX(0,F847-H847))</x:f>
      </x:c>
      <x:c r="J847" s="46"/>
      <x:c r="K847" s="100" t="str">
        <x:f>IF(B847="","",IF(G847="TL",1,IF(G847="USD",KURLAR!$C$9,IF(G847="EUR",KURLAR!$C$10,0))))</x:f>
      </x:c>
      <x:c r="L847" s="68" t="str">
        <x:f>IF(B847="","",I847*K847)</x:f>
      </x:c>
      <x:c r="M847" s="46"/>
      <x:c r="N847" s="52" t="str">
        <x:f>IF(B847="","",IF(OR(M847="Ödendi",M847="İptal"),"Hayır","Evet"))</x:f>
      </x:c>
    </x:row>
    <x:row r="848">
      <x:c r="B848" s="46"/>
      <x:c r="C848" s="46"/>
      <x:c r="D848" s="112"/>
      <x:c r="E848" s="112"/>
      <x:c r="F848" s="92"/>
      <x:c r="G848" s="92"/>
      <x:c r="H848" s="92"/>
      <x:c r="I848" s="93" t="str">
        <x:f>IF(B848="","",MAX(0,F848-H848))</x:f>
      </x:c>
      <x:c r="J848" s="46"/>
      <x:c r="K848" s="100" t="str">
        <x:f>IF(B848="","",IF(G848="TL",1,IF(G848="USD",KURLAR!$C$9,IF(G848="EUR",KURLAR!$C$10,0))))</x:f>
      </x:c>
      <x:c r="L848" s="68" t="str">
        <x:f>IF(B848="","",I848*K848)</x:f>
      </x:c>
      <x:c r="M848" s="46"/>
      <x:c r="N848" s="52" t="str">
        <x:f>IF(B848="","",IF(OR(M848="Ödendi",M848="İptal"),"Hayır","Evet"))</x:f>
      </x:c>
    </x:row>
    <x:row r="849">
      <x:c r="B849" s="46"/>
      <x:c r="C849" s="46"/>
      <x:c r="D849" s="112"/>
      <x:c r="E849" s="112"/>
      <x:c r="F849" s="92"/>
      <x:c r="G849" s="92"/>
      <x:c r="H849" s="92"/>
      <x:c r="I849" s="93" t="str">
        <x:f>IF(B849="","",MAX(0,F849-H849))</x:f>
      </x:c>
      <x:c r="J849" s="46"/>
      <x:c r="K849" s="100" t="str">
        <x:f>IF(B849="","",IF(G849="TL",1,IF(G849="USD",KURLAR!$C$9,IF(G849="EUR",KURLAR!$C$10,0))))</x:f>
      </x:c>
      <x:c r="L849" s="68" t="str">
        <x:f>IF(B849="","",I849*K849)</x:f>
      </x:c>
      <x:c r="M849" s="46"/>
      <x:c r="N849" s="52" t="str">
        <x:f>IF(B849="","",IF(OR(M849="Ödendi",M849="İptal"),"Hayır","Evet"))</x:f>
      </x:c>
    </x:row>
    <x:row r="850">
      <x:c r="B850" s="46"/>
      <x:c r="C850" s="46"/>
      <x:c r="D850" s="112"/>
      <x:c r="E850" s="112"/>
      <x:c r="F850" s="92"/>
      <x:c r="G850" s="92"/>
      <x:c r="H850" s="92"/>
      <x:c r="I850" s="93" t="str">
        <x:f>IF(B850="","",MAX(0,F850-H850))</x:f>
      </x:c>
      <x:c r="J850" s="46"/>
      <x:c r="K850" s="100" t="str">
        <x:f>IF(B850="","",IF(G850="TL",1,IF(G850="USD",KURLAR!$C$9,IF(G850="EUR",KURLAR!$C$10,0))))</x:f>
      </x:c>
      <x:c r="L850" s="68" t="str">
        <x:f>IF(B850="","",I850*K850)</x:f>
      </x:c>
      <x:c r="M850" s="46"/>
      <x:c r="N850" s="52" t="str">
        <x:f>IF(B850="","",IF(OR(M850="Ödendi",M850="İptal"),"Hayır","Evet"))</x:f>
      </x:c>
    </x:row>
    <x:row r="851">
      <x:c r="B851" s="46"/>
      <x:c r="C851" s="46"/>
      <x:c r="D851" s="112"/>
      <x:c r="E851" s="112"/>
      <x:c r="F851" s="92"/>
      <x:c r="G851" s="92"/>
      <x:c r="H851" s="92"/>
      <x:c r="I851" s="93" t="str">
        <x:f>IF(B851="","",MAX(0,F851-H851))</x:f>
      </x:c>
      <x:c r="J851" s="46"/>
      <x:c r="K851" s="100" t="str">
        <x:f>IF(B851="","",IF(G851="TL",1,IF(G851="USD",KURLAR!$C$9,IF(G851="EUR",KURLAR!$C$10,0))))</x:f>
      </x:c>
      <x:c r="L851" s="68" t="str">
        <x:f>IF(B851="","",I851*K851)</x:f>
      </x:c>
      <x:c r="M851" s="46"/>
      <x:c r="N851" s="52" t="str">
        <x:f>IF(B851="","",IF(OR(M851="Ödendi",M851="İptal"),"Hayır","Evet"))</x:f>
      </x:c>
    </x:row>
    <x:row r="852">
      <x:c r="B852" s="46"/>
      <x:c r="C852" s="46"/>
      <x:c r="D852" s="112"/>
      <x:c r="E852" s="112"/>
      <x:c r="F852" s="92"/>
      <x:c r="G852" s="92"/>
      <x:c r="H852" s="92"/>
      <x:c r="I852" s="93" t="str">
        <x:f>IF(B852="","",MAX(0,F852-H852))</x:f>
      </x:c>
      <x:c r="J852" s="46"/>
      <x:c r="K852" s="100" t="str">
        <x:f>IF(B852="","",IF(G852="TL",1,IF(G852="USD",KURLAR!$C$9,IF(G852="EUR",KURLAR!$C$10,0))))</x:f>
      </x:c>
      <x:c r="L852" s="68" t="str">
        <x:f>IF(B852="","",I852*K852)</x:f>
      </x:c>
      <x:c r="M852" s="46"/>
      <x:c r="N852" s="52" t="str">
        <x:f>IF(B852="","",IF(OR(M852="Ödendi",M852="İptal"),"Hayır","Evet"))</x:f>
      </x:c>
    </x:row>
    <x:row r="853">
      <x:c r="B853" s="46"/>
      <x:c r="C853" s="46"/>
      <x:c r="D853" s="112"/>
      <x:c r="E853" s="112"/>
      <x:c r="F853" s="92"/>
      <x:c r="G853" s="92"/>
      <x:c r="H853" s="92"/>
      <x:c r="I853" s="93" t="str">
        <x:f>IF(B853="","",MAX(0,F853-H853))</x:f>
      </x:c>
      <x:c r="J853" s="46"/>
      <x:c r="K853" s="100" t="str">
        <x:f>IF(B853="","",IF(G853="TL",1,IF(G853="USD",KURLAR!$C$9,IF(G853="EUR",KURLAR!$C$10,0))))</x:f>
      </x:c>
      <x:c r="L853" s="68" t="str">
        <x:f>IF(B853="","",I853*K853)</x:f>
      </x:c>
      <x:c r="M853" s="46"/>
      <x:c r="N853" s="52" t="str">
        <x:f>IF(B853="","",IF(OR(M853="Ödendi",M853="İptal"),"Hayır","Evet"))</x:f>
      </x:c>
    </x:row>
    <x:row r="854">
      <x:c r="B854" s="46"/>
      <x:c r="C854" s="46"/>
      <x:c r="D854" s="112"/>
      <x:c r="E854" s="112"/>
      <x:c r="F854" s="92"/>
      <x:c r="G854" s="92"/>
      <x:c r="H854" s="92"/>
      <x:c r="I854" s="93" t="str">
        <x:f>IF(B854="","",MAX(0,F854-H854))</x:f>
      </x:c>
      <x:c r="J854" s="46"/>
      <x:c r="K854" s="100" t="str">
        <x:f>IF(B854="","",IF(G854="TL",1,IF(G854="USD",KURLAR!$C$9,IF(G854="EUR",KURLAR!$C$10,0))))</x:f>
      </x:c>
      <x:c r="L854" s="68" t="str">
        <x:f>IF(B854="","",I854*K854)</x:f>
      </x:c>
      <x:c r="M854" s="46"/>
      <x:c r="N854" s="52" t="str">
        <x:f>IF(B854="","",IF(OR(M854="Ödendi",M854="İptal"),"Hayır","Evet"))</x:f>
      </x:c>
    </x:row>
    <x:row r="855">
      <x:c r="B855" s="46"/>
      <x:c r="C855" s="46"/>
      <x:c r="D855" s="112"/>
      <x:c r="E855" s="112"/>
      <x:c r="F855" s="92"/>
      <x:c r="G855" s="92"/>
      <x:c r="H855" s="92"/>
      <x:c r="I855" s="93" t="str">
        <x:f>IF(B855="","",MAX(0,F855-H855))</x:f>
      </x:c>
      <x:c r="J855" s="46"/>
      <x:c r="K855" s="100" t="str">
        <x:f>IF(B855="","",IF(G855="TL",1,IF(G855="USD",KURLAR!$C$9,IF(G855="EUR",KURLAR!$C$10,0))))</x:f>
      </x:c>
      <x:c r="L855" s="68" t="str">
        <x:f>IF(B855="","",I855*K855)</x:f>
      </x:c>
      <x:c r="M855" s="46"/>
      <x:c r="N855" s="52" t="str">
        <x:f>IF(B855="","",IF(OR(M855="Ödendi",M855="İptal"),"Hayır","Evet"))</x:f>
      </x:c>
    </x:row>
    <x:row r="856">
      <x:c r="B856" s="46"/>
      <x:c r="C856" s="46"/>
      <x:c r="D856" s="112"/>
      <x:c r="E856" s="112"/>
      <x:c r="F856" s="92"/>
      <x:c r="G856" s="92"/>
      <x:c r="H856" s="92"/>
      <x:c r="I856" s="93" t="str">
        <x:f>IF(B856="","",MAX(0,F856-H856))</x:f>
      </x:c>
      <x:c r="J856" s="46"/>
      <x:c r="K856" s="100" t="str">
        <x:f>IF(B856="","",IF(G856="TL",1,IF(G856="USD",KURLAR!$C$9,IF(G856="EUR",KURLAR!$C$10,0))))</x:f>
      </x:c>
      <x:c r="L856" s="68" t="str">
        <x:f>IF(B856="","",I856*K856)</x:f>
      </x:c>
      <x:c r="M856" s="46"/>
      <x:c r="N856" s="52" t="str">
        <x:f>IF(B856="","",IF(OR(M856="Ödendi",M856="İptal"),"Hayır","Evet"))</x:f>
      </x:c>
    </x:row>
    <x:row r="857">
      <x:c r="B857" s="46"/>
      <x:c r="C857" s="46"/>
      <x:c r="D857" s="112"/>
      <x:c r="E857" s="112"/>
      <x:c r="F857" s="92"/>
      <x:c r="G857" s="92"/>
      <x:c r="H857" s="92"/>
      <x:c r="I857" s="93" t="str">
        <x:f>IF(B857="","",MAX(0,F857-H857))</x:f>
      </x:c>
      <x:c r="J857" s="46"/>
      <x:c r="K857" s="100" t="str">
        <x:f>IF(B857="","",IF(G857="TL",1,IF(G857="USD",KURLAR!$C$9,IF(G857="EUR",KURLAR!$C$10,0))))</x:f>
      </x:c>
      <x:c r="L857" s="68" t="str">
        <x:f>IF(B857="","",I857*K857)</x:f>
      </x:c>
      <x:c r="M857" s="46"/>
      <x:c r="N857" s="52" t="str">
        <x:f>IF(B857="","",IF(OR(M857="Ödendi",M857="İptal"),"Hayır","Evet"))</x:f>
      </x:c>
    </x:row>
    <x:row r="858">
      <x:c r="B858" s="46"/>
      <x:c r="C858" s="46"/>
      <x:c r="D858" s="112"/>
      <x:c r="E858" s="112"/>
      <x:c r="F858" s="92"/>
      <x:c r="G858" s="92"/>
      <x:c r="H858" s="92"/>
      <x:c r="I858" s="93" t="str">
        <x:f>IF(B858="","",MAX(0,F858-H858))</x:f>
      </x:c>
      <x:c r="J858" s="46"/>
      <x:c r="K858" s="100" t="str">
        <x:f>IF(B858="","",IF(G858="TL",1,IF(G858="USD",KURLAR!$C$9,IF(G858="EUR",KURLAR!$C$10,0))))</x:f>
      </x:c>
      <x:c r="L858" s="68" t="str">
        <x:f>IF(B858="","",I858*K858)</x:f>
      </x:c>
      <x:c r="M858" s="46"/>
      <x:c r="N858" s="52" t="str">
        <x:f>IF(B858="","",IF(OR(M858="Ödendi",M858="İptal"),"Hayır","Evet"))</x:f>
      </x:c>
    </x:row>
    <x:row r="859">
      <x:c r="B859" s="46"/>
      <x:c r="C859" s="46"/>
      <x:c r="D859" s="112"/>
      <x:c r="E859" s="112"/>
      <x:c r="F859" s="92"/>
      <x:c r="G859" s="92"/>
      <x:c r="H859" s="92"/>
      <x:c r="I859" s="93" t="str">
        <x:f>IF(B859="","",MAX(0,F859-H859))</x:f>
      </x:c>
      <x:c r="J859" s="46"/>
      <x:c r="K859" s="100" t="str">
        <x:f>IF(B859="","",IF(G859="TL",1,IF(G859="USD",KURLAR!$C$9,IF(G859="EUR",KURLAR!$C$10,0))))</x:f>
      </x:c>
      <x:c r="L859" s="68" t="str">
        <x:f>IF(B859="","",I859*K859)</x:f>
      </x:c>
      <x:c r="M859" s="46"/>
      <x:c r="N859" s="52" t="str">
        <x:f>IF(B859="","",IF(OR(M859="Ödendi",M859="İptal"),"Hayır","Evet"))</x:f>
      </x:c>
    </x:row>
    <x:row r="860">
      <x:c r="B860" s="46"/>
      <x:c r="C860" s="46"/>
      <x:c r="D860" s="112"/>
      <x:c r="E860" s="112"/>
      <x:c r="F860" s="92"/>
      <x:c r="G860" s="92"/>
      <x:c r="H860" s="92"/>
      <x:c r="I860" s="93" t="str">
        <x:f>IF(B860="","",MAX(0,F860-H860))</x:f>
      </x:c>
      <x:c r="J860" s="46"/>
      <x:c r="K860" s="100" t="str">
        <x:f>IF(B860="","",IF(G860="TL",1,IF(G860="USD",KURLAR!$C$9,IF(G860="EUR",KURLAR!$C$10,0))))</x:f>
      </x:c>
      <x:c r="L860" s="68" t="str">
        <x:f>IF(B860="","",I860*K860)</x:f>
      </x:c>
      <x:c r="M860" s="46"/>
      <x:c r="N860" s="52" t="str">
        <x:f>IF(B860="","",IF(OR(M860="Ödendi",M860="İptal"),"Hayır","Evet"))</x:f>
      </x:c>
    </x:row>
    <x:row r="861">
      <x:c r="B861" s="46"/>
      <x:c r="C861" s="46"/>
      <x:c r="D861" s="112"/>
      <x:c r="E861" s="112"/>
      <x:c r="F861" s="92"/>
      <x:c r="G861" s="92"/>
      <x:c r="H861" s="92"/>
      <x:c r="I861" s="93" t="str">
        <x:f>IF(B861="","",MAX(0,F861-H861))</x:f>
      </x:c>
      <x:c r="J861" s="46"/>
      <x:c r="K861" s="100" t="str">
        <x:f>IF(B861="","",IF(G861="TL",1,IF(G861="USD",KURLAR!$C$9,IF(G861="EUR",KURLAR!$C$10,0))))</x:f>
      </x:c>
      <x:c r="L861" s="68" t="str">
        <x:f>IF(B861="","",I861*K861)</x:f>
      </x:c>
      <x:c r="M861" s="46"/>
      <x:c r="N861" s="52" t="str">
        <x:f>IF(B861="","",IF(OR(M861="Ödendi",M861="İptal"),"Hayır","Evet"))</x:f>
      </x:c>
    </x:row>
    <x:row r="862">
      <x:c r="B862" s="46"/>
      <x:c r="C862" s="46"/>
      <x:c r="D862" s="112"/>
      <x:c r="E862" s="112"/>
      <x:c r="F862" s="92"/>
      <x:c r="G862" s="92"/>
      <x:c r="H862" s="92"/>
      <x:c r="I862" s="93" t="str">
        <x:f>IF(B862="","",MAX(0,F862-H862))</x:f>
      </x:c>
      <x:c r="J862" s="46"/>
      <x:c r="K862" s="100" t="str">
        <x:f>IF(B862="","",IF(G862="TL",1,IF(G862="USD",KURLAR!$C$9,IF(G862="EUR",KURLAR!$C$10,0))))</x:f>
      </x:c>
      <x:c r="L862" s="68" t="str">
        <x:f>IF(B862="","",I862*K862)</x:f>
      </x:c>
      <x:c r="M862" s="46"/>
      <x:c r="N862" s="52" t="str">
        <x:f>IF(B862="","",IF(OR(M862="Ödendi",M862="İptal"),"Hayır","Evet"))</x:f>
      </x:c>
    </x:row>
    <x:row r="863">
      <x:c r="B863" s="46"/>
      <x:c r="C863" s="46"/>
      <x:c r="D863" s="112"/>
      <x:c r="E863" s="112"/>
      <x:c r="F863" s="92"/>
      <x:c r="G863" s="92"/>
      <x:c r="H863" s="92"/>
      <x:c r="I863" s="93" t="str">
        <x:f>IF(B863="","",MAX(0,F863-H863))</x:f>
      </x:c>
      <x:c r="J863" s="46"/>
      <x:c r="K863" s="100" t="str">
        <x:f>IF(B863="","",IF(G863="TL",1,IF(G863="USD",KURLAR!$C$9,IF(G863="EUR",KURLAR!$C$10,0))))</x:f>
      </x:c>
      <x:c r="L863" s="68" t="str">
        <x:f>IF(B863="","",I863*K863)</x:f>
      </x:c>
      <x:c r="M863" s="46"/>
      <x:c r="N863" s="52" t="str">
        <x:f>IF(B863="","",IF(OR(M863="Ödendi",M863="İptal"),"Hayır","Evet"))</x:f>
      </x:c>
    </x:row>
    <x:row r="864">
      <x:c r="B864" s="46"/>
      <x:c r="C864" s="46"/>
      <x:c r="D864" s="112"/>
      <x:c r="E864" s="112"/>
      <x:c r="F864" s="92"/>
      <x:c r="G864" s="92"/>
      <x:c r="H864" s="92"/>
      <x:c r="I864" s="93" t="str">
        <x:f>IF(B864="","",MAX(0,F864-H864))</x:f>
      </x:c>
      <x:c r="J864" s="46"/>
      <x:c r="K864" s="100" t="str">
        <x:f>IF(B864="","",IF(G864="TL",1,IF(G864="USD",KURLAR!$C$9,IF(G864="EUR",KURLAR!$C$10,0))))</x:f>
      </x:c>
      <x:c r="L864" s="68" t="str">
        <x:f>IF(B864="","",I864*K864)</x:f>
      </x:c>
      <x:c r="M864" s="46"/>
      <x:c r="N864" s="52" t="str">
        <x:f>IF(B864="","",IF(OR(M864="Ödendi",M864="İptal"),"Hayır","Evet"))</x:f>
      </x:c>
    </x:row>
    <x:row r="865">
      <x:c r="B865" s="46"/>
      <x:c r="C865" s="46"/>
      <x:c r="D865" s="112"/>
      <x:c r="E865" s="112"/>
      <x:c r="F865" s="92"/>
      <x:c r="G865" s="92"/>
      <x:c r="H865" s="92"/>
      <x:c r="I865" s="93" t="str">
        <x:f>IF(B865="","",MAX(0,F865-H865))</x:f>
      </x:c>
      <x:c r="J865" s="46"/>
      <x:c r="K865" s="100" t="str">
        <x:f>IF(B865="","",IF(G865="TL",1,IF(G865="USD",KURLAR!$C$9,IF(G865="EUR",KURLAR!$C$10,0))))</x:f>
      </x:c>
      <x:c r="L865" s="68" t="str">
        <x:f>IF(B865="","",I865*K865)</x:f>
      </x:c>
      <x:c r="M865" s="46"/>
      <x:c r="N865" s="52" t="str">
        <x:f>IF(B865="","",IF(OR(M865="Ödendi",M865="İptal"),"Hayır","Evet"))</x:f>
      </x:c>
    </x:row>
    <x:row r="866">
      <x:c r="B866" s="46"/>
      <x:c r="C866" s="46"/>
      <x:c r="D866" s="112"/>
      <x:c r="E866" s="112"/>
      <x:c r="F866" s="92"/>
      <x:c r="G866" s="92"/>
      <x:c r="H866" s="92"/>
      <x:c r="I866" s="93" t="str">
        <x:f>IF(B866="","",MAX(0,F866-H866))</x:f>
      </x:c>
      <x:c r="J866" s="46"/>
      <x:c r="K866" s="100" t="str">
        <x:f>IF(B866="","",IF(G866="TL",1,IF(G866="USD",KURLAR!$C$9,IF(G866="EUR",KURLAR!$C$10,0))))</x:f>
      </x:c>
      <x:c r="L866" s="68" t="str">
        <x:f>IF(B866="","",I866*K866)</x:f>
      </x:c>
      <x:c r="M866" s="46"/>
      <x:c r="N866" s="52" t="str">
        <x:f>IF(B866="","",IF(OR(M866="Ödendi",M866="İptal"),"Hayır","Evet"))</x:f>
      </x:c>
    </x:row>
    <x:row r="867">
      <x:c r="B867" s="46"/>
      <x:c r="C867" s="46"/>
      <x:c r="D867" s="112"/>
      <x:c r="E867" s="112"/>
      <x:c r="F867" s="92"/>
      <x:c r="G867" s="92"/>
      <x:c r="H867" s="92"/>
      <x:c r="I867" s="93" t="str">
        <x:f>IF(B867="","",MAX(0,F867-H867))</x:f>
      </x:c>
      <x:c r="J867" s="46"/>
      <x:c r="K867" s="100" t="str">
        <x:f>IF(B867="","",IF(G867="TL",1,IF(G867="USD",KURLAR!$C$9,IF(G867="EUR",KURLAR!$C$10,0))))</x:f>
      </x:c>
      <x:c r="L867" s="68" t="str">
        <x:f>IF(B867="","",I867*K867)</x:f>
      </x:c>
      <x:c r="M867" s="46"/>
      <x:c r="N867" s="52" t="str">
        <x:f>IF(B867="","",IF(OR(M867="Ödendi",M867="İptal"),"Hayır","Evet"))</x:f>
      </x:c>
    </x:row>
    <x:row r="868">
      <x:c r="B868" s="46"/>
      <x:c r="C868" s="46"/>
      <x:c r="D868" s="112"/>
      <x:c r="E868" s="112"/>
      <x:c r="F868" s="92"/>
      <x:c r="G868" s="92"/>
      <x:c r="H868" s="92"/>
      <x:c r="I868" s="93" t="str">
        <x:f>IF(B868="","",MAX(0,F868-H868))</x:f>
      </x:c>
      <x:c r="J868" s="46"/>
      <x:c r="K868" s="100" t="str">
        <x:f>IF(B868="","",IF(G868="TL",1,IF(G868="USD",KURLAR!$C$9,IF(G868="EUR",KURLAR!$C$10,0))))</x:f>
      </x:c>
      <x:c r="L868" s="68" t="str">
        <x:f>IF(B868="","",I868*K868)</x:f>
      </x:c>
      <x:c r="M868" s="46"/>
      <x:c r="N868" s="52" t="str">
        <x:f>IF(B868="","",IF(OR(M868="Ödendi",M868="İptal"),"Hayır","Evet"))</x:f>
      </x:c>
    </x:row>
    <x:row r="869">
      <x:c r="B869" s="46"/>
      <x:c r="C869" s="46"/>
      <x:c r="D869" s="112"/>
      <x:c r="E869" s="112"/>
      <x:c r="F869" s="92"/>
      <x:c r="G869" s="92"/>
      <x:c r="H869" s="92"/>
      <x:c r="I869" s="93" t="str">
        <x:f>IF(B869="","",MAX(0,F869-H869))</x:f>
      </x:c>
      <x:c r="J869" s="46"/>
      <x:c r="K869" s="100" t="str">
        <x:f>IF(B869="","",IF(G869="TL",1,IF(G869="USD",KURLAR!$C$9,IF(G869="EUR",KURLAR!$C$10,0))))</x:f>
      </x:c>
      <x:c r="L869" s="68" t="str">
        <x:f>IF(B869="","",I869*K869)</x:f>
      </x:c>
      <x:c r="M869" s="46"/>
      <x:c r="N869" s="52" t="str">
        <x:f>IF(B869="","",IF(OR(M869="Ödendi",M869="İptal"),"Hayır","Evet"))</x:f>
      </x:c>
    </x:row>
    <x:row r="870">
      <x:c r="B870" s="46"/>
      <x:c r="C870" s="46"/>
      <x:c r="D870" s="112"/>
      <x:c r="E870" s="112"/>
      <x:c r="F870" s="92"/>
      <x:c r="G870" s="92"/>
      <x:c r="H870" s="92"/>
      <x:c r="I870" s="93" t="str">
        <x:f>IF(B870="","",MAX(0,F870-H870))</x:f>
      </x:c>
      <x:c r="J870" s="46"/>
      <x:c r="K870" s="100" t="str">
        <x:f>IF(B870="","",IF(G870="TL",1,IF(G870="USD",KURLAR!$C$9,IF(G870="EUR",KURLAR!$C$10,0))))</x:f>
      </x:c>
      <x:c r="L870" s="68" t="str">
        <x:f>IF(B870="","",I870*K870)</x:f>
      </x:c>
      <x:c r="M870" s="46"/>
      <x:c r="N870" s="52" t="str">
        <x:f>IF(B870="","",IF(OR(M870="Ödendi",M870="İptal"),"Hayır","Evet"))</x:f>
      </x:c>
    </x:row>
    <x:row r="871">
      <x:c r="B871" s="46"/>
      <x:c r="C871" s="46"/>
      <x:c r="D871" s="112"/>
      <x:c r="E871" s="112"/>
      <x:c r="F871" s="92"/>
      <x:c r="G871" s="92"/>
      <x:c r="H871" s="92"/>
      <x:c r="I871" s="93" t="str">
        <x:f>IF(B871="","",MAX(0,F871-H871))</x:f>
      </x:c>
      <x:c r="J871" s="46"/>
      <x:c r="K871" s="100" t="str">
        <x:f>IF(B871="","",IF(G871="TL",1,IF(G871="USD",KURLAR!$C$9,IF(G871="EUR",KURLAR!$C$10,0))))</x:f>
      </x:c>
      <x:c r="L871" s="68" t="str">
        <x:f>IF(B871="","",I871*K871)</x:f>
      </x:c>
      <x:c r="M871" s="46"/>
      <x:c r="N871" s="52" t="str">
        <x:f>IF(B871="","",IF(OR(M871="Ödendi",M871="İptal"),"Hayır","Evet"))</x:f>
      </x:c>
    </x:row>
    <x:row r="872">
      <x:c r="B872" s="46"/>
      <x:c r="C872" s="46"/>
      <x:c r="D872" s="112"/>
      <x:c r="E872" s="112"/>
      <x:c r="F872" s="92"/>
      <x:c r="G872" s="92"/>
      <x:c r="H872" s="92"/>
      <x:c r="I872" s="93" t="str">
        <x:f>IF(B872="","",MAX(0,F872-H872))</x:f>
      </x:c>
      <x:c r="J872" s="46"/>
      <x:c r="K872" s="100" t="str">
        <x:f>IF(B872="","",IF(G872="TL",1,IF(G872="USD",KURLAR!$C$9,IF(G872="EUR",KURLAR!$C$10,0))))</x:f>
      </x:c>
      <x:c r="L872" s="68" t="str">
        <x:f>IF(B872="","",I872*K872)</x:f>
      </x:c>
      <x:c r="M872" s="46"/>
      <x:c r="N872" s="52" t="str">
        <x:f>IF(B872="","",IF(OR(M872="Ödendi",M872="İptal"),"Hayır","Evet"))</x:f>
      </x:c>
    </x:row>
    <x:row r="873">
      <x:c r="B873" s="46"/>
      <x:c r="C873" s="46"/>
      <x:c r="D873" s="112"/>
      <x:c r="E873" s="112"/>
      <x:c r="F873" s="92"/>
      <x:c r="G873" s="92"/>
      <x:c r="H873" s="92"/>
      <x:c r="I873" s="93" t="str">
        <x:f>IF(B873="","",MAX(0,F873-H873))</x:f>
      </x:c>
      <x:c r="J873" s="46"/>
      <x:c r="K873" s="100" t="str">
        <x:f>IF(B873="","",IF(G873="TL",1,IF(G873="USD",KURLAR!$C$9,IF(G873="EUR",KURLAR!$C$10,0))))</x:f>
      </x:c>
      <x:c r="L873" s="68" t="str">
        <x:f>IF(B873="","",I873*K873)</x:f>
      </x:c>
      <x:c r="M873" s="46"/>
      <x:c r="N873" s="52" t="str">
        <x:f>IF(B873="","",IF(OR(M873="Ödendi",M873="İptal"),"Hayır","Evet"))</x:f>
      </x:c>
    </x:row>
    <x:row r="874">
      <x:c r="B874" s="46"/>
      <x:c r="C874" s="46"/>
      <x:c r="D874" s="112"/>
      <x:c r="E874" s="112"/>
      <x:c r="F874" s="92"/>
      <x:c r="G874" s="92"/>
      <x:c r="H874" s="92"/>
      <x:c r="I874" s="93" t="str">
        <x:f>IF(B874="","",MAX(0,F874-H874))</x:f>
      </x:c>
      <x:c r="J874" s="46"/>
      <x:c r="K874" s="100" t="str">
        <x:f>IF(B874="","",IF(G874="TL",1,IF(G874="USD",KURLAR!$C$9,IF(G874="EUR",KURLAR!$C$10,0))))</x:f>
      </x:c>
      <x:c r="L874" s="68" t="str">
        <x:f>IF(B874="","",I874*K874)</x:f>
      </x:c>
      <x:c r="M874" s="46"/>
      <x:c r="N874" s="52" t="str">
        <x:f>IF(B874="","",IF(OR(M874="Ödendi",M874="İptal"),"Hayır","Evet"))</x:f>
      </x:c>
    </x:row>
    <x:row r="875">
      <x:c r="B875" s="46"/>
      <x:c r="C875" s="46"/>
      <x:c r="D875" s="112"/>
      <x:c r="E875" s="112"/>
      <x:c r="F875" s="92"/>
      <x:c r="G875" s="92"/>
      <x:c r="H875" s="92"/>
      <x:c r="I875" s="93" t="str">
        <x:f>IF(B875="","",MAX(0,F875-H875))</x:f>
      </x:c>
      <x:c r="J875" s="46"/>
      <x:c r="K875" s="100" t="str">
        <x:f>IF(B875="","",IF(G875="TL",1,IF(G875="USD",KURLAR!$C$9,IF(G875="EUR",KURLAR!$C$10,0))))</x:f>
      </x:c>
      <x:c r="L875" s="68" t="str">
        <x:f>IF(B875="","",I875*K875)</x:f>
      </x:c>
      <x:c r="M875" s="46"/>
      <x:c r="N875" s="52" t="str">
        <x:f>IF(B875="","",IF(OR(M875="Ödendi",M875="İptal"),"Hayır","Evet"))</x:f>
      </x:c>
    </x:row>
    <x:row r="876">
      <x:c r="B876" s="46"/>
      <x:c r="C876" s="46"/>
      <x:c r="D876" s="112"/>
      <x:c r="E876" s="112"/>
      <x:c r="F876" s="92"/>
      <x:c r="G876" s="92"/>
      <x:c r="H876" s="92"/>
      <x:c r="I876" s="93" t="str">
        <x:f>IF(B876="","",MAX(0,F876-H876))</x:f>
      </x:c>
      <x:c r="J876" s="46"/>
      <x:c r="K876" s="100" t="str">
        <x:f>IF(B876="","",IF(G876="TL",1,IF(G876="USD",KURLAR!$C$9,IF(G876="EUR",KURLAR!$C$10,0))))</x:f>
      </x:c>
      <x:c r="L876" s="68" t="str">
        <x:f>IF(B876="","",I876*K876)</x:f>
      </x:c>
      <x:c r="M876" s="46"/>
      <x:c r="N876" s="52" t="str">
        <x:f>IF(B876="","",IF(OR(M876="Ödendi",M876="İptal"),"Hayır","Evet"))</x:f>
      </x:c>
    </x:row>
    <x:row r="877">
      <x:c r="B877" s="46"/>
      <x:c r="C877" s="46"/>
      <x:c r="D877" s="112"/>
      <x:c r="E877" s="112"/>
      <x:c r="F877" s="92"/>
      <x:c r="G877" s="92"/>
      <x:c r="H877" s="92"/>
      <x:c r="I877" s="93" t="str">
        <x:f>IF(B877="","",MAX(0,F877-H877))</x:f>
      </x:c>
      <x:c r="J877" s="46"/>
      <x:c r="K877" s="100" t="str">
        <x:f>IF(B877="","",IF(G877="TL",1,IF(G877="USD",KURLAR!$C$9,IF(G877="EUR",KURLAR!$C$10,0))))</x:f>
      </x:c>
      <x:c r="L877" s="68" t="str">
        <x:f>IF(B877="","",I877*K877)</x:f>
      </x:c>
      <x:c r="M877" s="46"/>
      <x:c r="N877" s="52" t="str">
        <x:f>IF(B877="","",IF(OR(M877="Ödendi",M877="İptal"),"Hayır","Evet"))</x:f>
      </x:c>
    </x:row>
    <x:row r="878">
      <x:c r="B878" s="46"/>
      <x:c r="C878" s="46"/>
      <x:c r="D878" s="112"/>
      <x:c r="E878" s="112"/>
      <x:c r="F878" s="92"/>
      <x:c r="G878" s="92"/>
      <x:c r="H878" s="92"/>
      <x:c r="I878" s="93" t="str">
        <x:f>IF(B878="","",MAX(0,F878-H878))</x:f>
      </x:c>
      <x:c r="J878" s="46"/>
      <x:c r="K878" s="100" t="str">
        <x:f>IF(B878="","",IF(G878="TL",1,IF(G878="USD",KURLAR!$C$9,IF(G878="EUR",KURLAR!$C$10,0))))</x:f>
      </x:c>
      <x:c r="L878" s="68" t="str">
        <x:f>IF(B878="","",I878*K878)</x:f>
      </x:c>
      <x:c r="M878" s="46"/>
      <x:c r="N878" s="52" t="str">
        <x:f>IF(B878="","",IF(OR(M878="Ödendi",M878="İptal"),"Hayır","Evet"))</x:f>
      </x:c>
    </x:row>
    <x:row r="879">
      <x:c r="B879" s="46"/>
      <x:c r="C879" s="46"/>
      <x:c r="D879" s="112"/>
      <x:c r="E879" s="112"/>
      <x:c r="F879" s="92"/>
      <x:c r="G879" s="92"/>
      <x:c r="H879" s="92"/>
      <x:c r="I879" s="93" t="str">
        <x:f>IF(B879="","",MAX(0,F879-H879))</x:f>
      </x:c>
      <x:c r="J879" s="46"/>
      <x:c r="K879" s="100" t="str">
        <x:f>IF(B879="","",IF(G879="TL",1,IF(G879="USD",KURLAR!$C$9,IF(G879="EUR",KURLAR!$C$10,0))))</x:f>
      </x:c>
      <x:c r="L879" s="68" t="str">
        <x:f>IF(B879="","",I879*K879)</x:f>
      </x:c>
      <x:c r="M879" s="46"/>
      <x:c r="N879" s="52" t="str">
        <x:f>IF(B879="","",IF(OR(M879="Ödendi",M879="İptal"),"Hayır","Evet"))</x:f>
      </x:c>
    </x:row>
    <x:row r="880">
      <x:c r="B880" s="46"/>
      <x:c r="C880" s="46"/>
      <x:c r="D880" s="112"/>
      <x:c r="E880" s="112"/>
      <x:c r="F880" s="92"/>
      <x:c r="G880" s="92"/>
      <x:c r="H880" s="92"/>
      <x:c r="I880" s="93" t="str">
        <x:f>IF(B880="","",MAX(0,F880-H880))</x:f>
      </x:c>
      <x:c r="J880" s="46"/>
      <x:c r="K880" s="100" t="str">
        <x:f>IF(B880="","",IF(G880="TL",1,IF(G880="USD",KURLAR!$C$9,IF(G880="EUR",KURLAR!$C$10,0))))</x:f>
      </x:c>
      <x:c r="L880" s="68" t="str">
        <x:f>IF(B880="","",I880*K880)</x:f>
      </x:c>
      <x:c r="M880" s="46"/>
      <x:c r="N880" s="52" t="str">
        <x:f>IF(B880="","",IF(OR(M880="Ödendi",M880="İptal"),"Hayır","Evet"))</x:f>
      </x:c>
    </x:row>
    <x:row r="881">
      <x:c r="B881" s="46"/>
      <x:c r="C881" s="46"/>
      <x:c r="D881" s="112"/>
      <x:c r="E881" s="112"/>
      <x:c r="F881" s="92"/>
      <x:c r="G881" s="92"/>
      <x:c r="H881" s="92"/>
      <x:c r="I881" s="93" t="str">
        <x:f>IF(B881="","",MAX(0,F881-H881))</x:f>
      </x:c>
      <x:c r="J881" s="46"/>
      <x:c r="K881" s="100" t="str">
        <x:f>IF(B881="","",IF(G881="TL",1,IF(G881="USD",KURLAR!$C$9,IF(G881="EUR",KURLAR!$C$10,0))))</x:f>
      </x:c>
      <x:c r="L881" s="68" t="str">
        <x:f>IF(B881="","",I881*K881)</x:f>
      </x:c>
      <x:c r="M881" s="46"/>
      <x:c r="N881" s="52" t="str">
        <x:f>IF(B881="","",IF(OR(M881="Ödendi",M881="İptal"),"Hayır","Evet"))</x:f>
      </x:c>
    </x:row>
    <x:row r="882">
      <x:c r="B882" s="46"/>
      <x:c r="C882" s="46"/>
      <x:c r="D882" s="112"/>
      <x:c r="E882" s="112"/>
      <x:c r="F882" s="92"/>
      <x:c r="G882" s="92"/>
      <x:c r="H882" s="92"/>
      <x:c r="I882" s="93" t="str">
        <x:f>IF(B882="","",MAX(0,F882-H882))</x:f>
      </x:c>
      <x:c r="J882" s="46"/>
      <x:c r="K882" s="100" t="str">
        <x:f>IF(B882="","",IF(G882="TL",1,IF(G882="USD",KURLAR!$C$9,IF(G882="EUR",KURLAR!$C$10,0))))</x:f>
      </x:c>
      <x:c r="L882" s="68" t="str">
        <x:f>IF(B882="","",I882*K882)</x:f>
      </x:c>
      <x:c r="M882" s="46"/>
      <x:c r="N882" s="52" t="str">
        <x:f>IF(B882="","",IF(OR(M882="Ödendi",M882="İptal"),"Hayır","Evet"))</x:f>
      </x:c>
    </x:row>
    <x:row r="883">
      <x:c r="B883" s="46"/>
      <x:c r="C883" s="46"/>
      <x:c r="D883" s="112"/>
      <x:c r="E883" s="112"/>
      <x:c r="F883" s="92"/>
      <x:c r="G883" s="92"/>
      <x:c r="H883" s="92"/>
      <x:c r="I883" s="93" t="str">
        <x:f>IF(B883="","",MAX(0,F883-H883))</x:f>
      </x:c>
      <x:c r="J883" s="46"/>
      <x:c r="K883" s="100" t="str">
        <x:f>IF(B883="","",IF(G883="TL",1,IF(G883="USD",KURLAR!$C$9,IF(G883="EUR",KURLAR!$C$10,0))))</x:f>
      </x:c>
      <x:c r="L883" s="68" t="str">
        <x:f>IF(B883="","",I883*K883)</x:f>
      </x:c>
      <x:c r="M883" s="46"/>
      <x:c r="N883" s="52" t="str">
        <x:f>IF(B883="","",IF(OR(M883="Ödendi",M883="İptal"),"Hayır","Evet"))</x:f>
      </x:c>
    </x:row>
    <x:row r="884">
      <x:c r="B884" s="46"/>
      <x:c r="C884" s="46"/>
      <x:c r="D884" s="112"/>
      <x:c r="E884" s="112"/>
      <x:c r="F884" s="92"/>
      <x:c r="G884" s="92"/>
      <x:c r="H884" s="92"/>
      <x:c r="I884" s="93" t="str">
        <x:f>IF(B884="","",MAX(0,F884-H884))</x:f>
      </x:c>
      <x:c r="J884" s="46"/>
      <x:c r="K884" s="100" t="str">
        <x:f>IF(B884="","",IF(G884="TL",1,IF(G884="USD",KURLAR!$C$9,IF(G884="EUR",KURLAR!$C$10,0))))</x:f>
      </x:c>
      <x:c r="L884" s="68" t="str">
        <x:f>IF(B884="","",I884*K884)</x:f>
      </x:c>
      <x:c r="M884" s="46"/>
      <x:c r="N884" s="52" t="str">
        <x:f>IF(B884="","",IF(OR(M884="Ödendi",M884="İptal"),"Hayır","Evet"))</x:f>
      </x:c>
    </x:row>
    <x:row r="885">
      <x:c r="B885" s="46"/>
      <x:c r="C885" s="46"/>
      <x:c r="D885" s="112"/>
      <x:c r="E885" s="112"/>
      <x:c r="F885" s="92"/>
      <x:c r="G885" s="92"/>
      <x:c r="H885" s="92"/>
      <x:c r="I885" s="93" t="str">
        <x:f>IF(B885="","",MAX(0,F885-H885))</x:f>
      </x:c>
      <x:c r="J885" s="46"/>
      <x:c r="K885" s="100" t="str">
        <x:f>IF(B885="","",IF(G885="TL",1,IF(G885="USD",KURLAR!$C$9,IF(G885="EUR",KURLAR!$C$10,0))))</x:f>
      </x:c>
      <x:c r="L885" s="68" t="str">
        <x:f>IF(B885="","",I885*K885)</x:f>
      </x:c>
      <x:c r="M885" s="46"/>
      <x:c r="N885" s="52" t="str">
        <x:f>IF(B885="","",IF(OR(M885="Ödendi",M885="İptal"),"Hayır","Evet"))</x:f>
      </x:c>
    </x:row>
    <x:row r="886">
      <x:c r="B886" s="46"/>
      <x:c r="C886" s="46"/>
      <x:c r="D886" s="112"/>
      <x:c r="E886" s="112"/>
      <x:c r="F886" s="92"/>
      <x:c r="G886" s="92"/>
      <x:c r="H886" s="92"/>
      <x:c r="I886" s="93" t="str">
        <x:f>IF(B886="","",MAX(0,F886-H886))</x:f>
      </x:c>
      <x:c r="J886" s="46"/>
      <x:c r="K886" s="100" t="str">
        <x:f>IF(B886="","",IF(G886="TL",1,IF(G886="USD",KURLAR!$C$9,IF(G886="EUR",KURLAR!$C$10,0))))</x:f>
      </x:c>
      <x:c r="L886" s="68" t="str">
        <x:f>IF(B886="","",I886*K886)</x:f>
      </x:c>
      <x:c r="M886" s="46"/>
      <x:c r="N886" s="52" t="str">
        <x:f>IF(B886="","",IF(OR(M886="Ödendi",M886="İptal"),"Hayır","Evet"))</x:f>
      </x:c>
    </x:row>
    <x:row r="887">
      <x:c r="B887" s="46"/>
      <x:c r="C887" s="46"/>
      <x:c r="D887" s="112"/>
      <x:c r="E887" s="112"/>
      <x:c r="F887" s="92"/>
      <x:c r="G887" s="92"/>
      <x:c r="H887" s="92"/>
      <x:c r="I887" s="93" t="str">
        <x:f>IF(B887="","",MAX(0,F887-H887))</x:f>
      </x:c>
      <x:c r="J887" s="46"/>
      <x:c r="K887" s="100" t="str">
        <x:f>IF(B887="","",IF(G887="TL",1,IF(G887="USD",KURLAR!$C$9,IF(G887="EUR",KURLAR!$C$10,0))))</x:f>
      </x:c>
      <x:c r="L887" s="68" t="str">
        <x:f>IF(B887="","",I887*K887)</x:f>
      </x:c>
      <x:c r="M887" s="46"/>
      <x:c r="N887" s="52" t="str">
        <x:f>IF(B887="","",IF(OR(M887="Ödendi",M887="İptal"),"Hayır","Evet"))</x:f>
      </x:c>
    </x:row>
    <x:row r="888">
      <x:c r="B888" s="46"/>
      <x:c r="C888" s="46"/>
      <x:c r="D888" s="112"/>
      <x:c r="E888" s="112"/>
      <x:c r="F888" s="92"/>
      <x:c r="G888" s="92"/>
      <x:c r="H888" s="92"/>
      <x:c r="I888" s="93" t="str">
        <x:f>IF(B888="","",MAX(0,F888-H888))</x:f>
      </x:c>
      <x:c r="J888" s="46"/>
      <x:c r="K888" s="100" t="str">
        <x:f>IF(B888="","",IF(G888="TL",1,IF(G888="USD",KURLAR!$C$9,IF(G888="EUR",KURLAR!$C$10,0))))</x:f>
      </x:c>
      <x:c r="L888" s="68" t="str">
        <x:f>IF(B888="","",I888*K888)</x:f>
      </x:c>
      <x:c r="M888" s="46"/>
      <x:c r="N888" s="52" t="str">
        <x:f>IF(B888="","",IF(OR(M888="Ödendi",M888="İptal"),"Hayır","Evet"))</x:f>
      </x:c>
    </x:row>
    <x:row r="889">
      <x:c r="B889" s="46"/>
      <x:c r="C889" s="46"/>
      <x:c r="D889" s="112"/>
      <x:c r="E889" s="112"/>
      <x:c r="F889" s="92"/>
      <x:c r="G889" s="92"/>
      <x:c r="H889" s="92"/>
      <x:c r="I889" s="93" t="str">
        <x:f>IF(B889="","",MAX(0,F889-H889))</x:f>
      </x:c>
      <x:c r="J889" s="46"/>
      <x:c r="K889" s="100" t="str">
        <x:f>IF(B889="","",IF(G889="TL",1,IF(G889="USD",KURLAR!$C$9,IF(G889="EUR",KURLAR!$C$10,0))))</x:f>
      </x:c>
      <x:c r="L889" s="68" t="str">
        <x:f>IF(B889="","",I889*K889)</x:f>
      </x:c>
      <x:c r="M889" s="46"/>
      <x:c r="N889" s="52" t="str">
        <x:f>IF(B889="","",IF(OR(M889="Ödendi",M889="İptal"),"Hayır","Evet"))</x:f>
      </x:c>
    </x:row>
    <x:row r="890">
      <x:c r="B890" s="46"/>
      <x:c r="C890" s="46"/>
      <x:c r="D890" s="112"/>
      <x:c r="E890" s="112"/>
      <x:c r="F890" s="92"/>
      <x:c r="G890" s="92"/>
      <x:c r="H890" s="92"/>
      <x:c r="I890" s="93" t="str">
        <x:f>IF(B890="","",MAX(0,F890-H890))</x:f>
      </x:c>
      <x:c r="J890" s="46"/>
      <x:c r="K890" s="100" t="str">
        <x:f>IF(B890="","",IF(G890="TL",1,IF(G890="USD",KURLAR!$C$9,IF(G890="EUR",KURLAR!$C$10,0))))</x:f>
      </x:c>
      <x:c r="L890" s="68" t="str">
        <x:f>IF(B890="","",I890*K890)</x:f>
      </x:c>
      <x:c r="M890" s="46"/>
      <x:c r="N890" s="52" t="str">
        <x:f>IF(B890="","",IF(OR(M890="Ödendi",M890="İptal"),"Hayır","Evet"))</x:f>
      </x:c>
    </x:row>
    <x:row r="891">
      <x:c r="B891" s="46"/>
      <x:c r="C891" s="46"/>
      <x:c r="D891" s="112"/>
      <x:c r="E891" s="112"/>
      <x:c r="F891" s="92"/>
      <x:c r="G891" s="92"/>
      <x:c r="H891" s="92"/>
      <x:c r="I891" s="93" t="str">
        <x:f>IF(B891="","",MAX(0,F891-H891))</x:f>
      </x:c>
      <x:c r="J891" s="46"/>
      <x:c r="K891" s="100" t="str">
        <x:f>IF(B891="","",IF(G891="TL",1,IF(G891="USD",KURLAR!$C$9,IF(G891="EUR",KURLAR!$C$10,0))))</x:f>
      </x:c>
      <x:c r="L891" s="68" t="str">
        <x:f>IF(B891="","",I891*K891)</x:f>
      </x:c>
      <x:c r="M891" s="46"/>
      <x:c r="N891" s="52" t="str">
        <x:f>IF(B891="","",IF(OR(M891="Ödendi",M891="İptal"),"Hayır","Evet"))</x:f>
      </x:c>
    </x:row>
    <x:row r="892">
      <x:c r="B892" s="46"/>
      <x:c r="C892" s="46"/>
      <x:c r="D892" s="112"/>
      <x:c r="E892" s="112"/>
      <x:c r="F892" s="92"/>
      <x:c r="G892" s="92"/>
      <x:c r="H892" s="92"/>
      <x:c r="I892" s="93" t="str">
        <x:f>IF(B892="","",MAX(0,F892-H892))</x:f>
      </x:c>
      <x:c r="J892" s="46"/>
      <x:c r="K892" s="100" t="str">
        <x:f>IF(B892="","",IF(G892="TL",1,IF(G892="USD",KURLAR!$C$9,IF(G892="EUR",KURLAR!$C$10,0))))</x:f>
      </x:c>
      <x:c r="L892" s="68" t="str">
        <x:f>IF(B892="","",I892*K892)</x:f>
      </x:c>
      <x:c r="M892" s="46"/>
      <x:c r="N892" s="52" t="str">
        <x:f>IF(B892="","",IF(OR(M892="Ödendi",M892="İptal"),"Hayır","Evet"))</x:f>
      </x:c>
    </x:row>
    <x:row r="893">
      <x:c r="B893" s="46"/>
      <x:c r="C893" s="46"/>
      <x:c r="D893" s="112"/>
      <x:c r="E893" s="112"/>
      <x:c r="F893" s="92"/>
      <x:c r="G893" s="92"/>
      <x:c r="H893" s="92"/>
      <x:c r="I893" s="93" t="str">
        <x:f>IF(B893="","",MAX(0,F893-H893))</x:f>
      </x:c>
      <x:c r="J893" s="46"/>
      <x:c r="K893" s="100" t="str">
        <x:f>IF(B893="","",IF(G893="TL",1,IF(G893="USD",KURLAR!$C$9,IF(G893="EUR",KURLAR!$C$10,0))))</x:f>
      </x:c>
      <x:c r="L893" s="68" t="str">
        <x:f>IF(B893="","",I893*K893)</x:f>
      </x:c>
      <x:c r="M893" s="46"/>
      <x:c r="N893" s="52" t="str">
        <x:f>IF(B893="","",IF(OR(M893="Ödendi",M893="İptal"),"Hayır","Evet"))</x:f>
      </x:c>
    </x:row>
    <x:row r="894">
      <x:c r="B894" s="46"/>
      <x:c r="C894" s="46"/>
      <x:c r="D894" s="112"/>
      <x:c r="E894" s="112"/>
      <x:c r="F894" s="92"/>
      <x:c r="G894" s="92"/>
      <x:c r="H894" s="92"/>
      <x:c r="I894" s="93" t="str">
        <x:f>IF(B894="","",MAX(0,F894-H894))</x:f>
      </x:c>
      <x:c r="J894" s="46"/>
      <x:c r="K894" s="100" t="str">
        <x:f>IF(B894="","",IF(G894="TL",1,IF(G894="USD",KURLAR!$C$9,IF(G894="EUR",KURLAR!$C$10,0))))</x:f>
      </x:c>
      <x:c r="L894" s="68" t="str">
        <x:f>IF(B894="","",I894*K894)</x:f>
      </x:c>
      <x:c r="M894" s="46"/>
      <x:c r="N894" s="52" t="str">
        <x:f>IF(B894="","",IF(OR(M894="Ödendi",M894="İptal"),"Hayır","Evet"))</x:f>
      </x:c>
    </x:row>
    <x:row r="895">
      <x:c r="B895" s="46"/>
      <x:c r="C895" s="46"/>
      <x:c r="D895" s="112"/>
      <x:c r="E895" s="112"/>
      <x:c r="F895" s="92"/>
      <x:c r="G895" s="92"/>
      <x:c r="H895" s="92"/>
      <x:c r="I895" s="93" t="str">
        <x:f>IF(B895="","",MAX(0,F895-H895))</x:f>
      </x:c>
      <x:c r="J895" s="46"/>
      <x:c r="K895" s="100" t="str">
        <x:f>IF(B895="","",IF(G895="TL",1,IF(G895="USD",KURLAR!$C$9,IF(G895="EUR",KURLAR!$C$10,0))))</x:f>
      </x:c>
      <x:c r="L895" s="68" t="str">
        <x:f>IF(B895="","",I895*K895)</x:f>
      </x:c>
      <x:c r="M895" s="46"/>
      <x:c r="N895" s="52" t="str">
        <x:f>IF(B895="","",IF(OR(M895="Ödendi",M895="İptal"),"Hayır","Evet"))</x:f>
      </x:c>
    </x:row>
    <x:row r="896">
      <x:c r="B896" s="46"/>
      <x:c r="C896" s="46"/>
      <x:c r="D896" s="112"/>
      <x:c r="E896" s="112"/>
      <x:c r="F896" s="92"/>
      <x:c r="G896" s="92"/>
      <x:c r="H896" s="92"/>
      <x:c r="I896" s="93" t="str">
        <x:f>IF(B896="","",MAX(0,F896-H896))</x:f>
      </x:c>
      <x:c r="J896" s="46"/>
      <x:c r="K896" s="100" t="str">
        <x:f>IF(B896="","",IF(G896="TL",1,IF(G896="USD",KURLAR!$C$9,IF(G896="EUR",KURLAR!$C$10,0))))</x:f>
      </x:c>
      <x:c r="L896" s="68" t="str">
        <x:f>IF(B896="","",I896*K896)</x:f>
      </x:c>
      <x:c r="M896" s="46"/>
      <x:c r="N896" s="52" t="str">
        <x:f>IF(B896="","",IF(OR(M896="Ödendi",M896="İptal"),"Hayır","Evet"))</x:f>
      </x:c>
    </x:row>
    <x:row r="897">
      <x:c r="B897" s="46"/>
      <x:c r="C897" s="46"/>
      <x:c r="D897" s="112"/>
      <x:c r="E897" s="112"/>
      <x:c r="F897" s="92"/>
      <x:c r="G897" s="92"/>
      <x:c r="H897" s="92"/>
      <x:c r="I897" s="93" t="str">
        <x:f>IF(B897="","",MAX(0,F897-H897))</x:f>
      </x:c>
      <x:c r="J897" s="46"/>
      <x:c r="K897" s="100" t="str">
        <x:f>IF(B897="","",IF(G897="TL",1,IF(G897="USD",KURLAR!$C$9,IF(G897="EUR",KURLAR!$C$10,0))))</x:f>
      </x:c>
      <x:c r="L897" s="68" t="str">
        <x:f>IF(B897="","",I897*K897)</x:f>
      </x:c>
      <x:c r="M897" s="46"/>
      <x:c r="N897" s="52" t="str">
        <x:f>IF(B897="","",IF(OR(M897="Ödendi",M897="İptal"),"Hayır","Evet"))</x:f>
      </x:c>
    </x:row>
    <x:row r="898">
      <x:c r="B898" s="46"/>
      <x:c r="C898" s="46"/>
      <x:c r="D898" s="112"/>
      <x:c r="E898" s="112"/>
      <x:c r="F898" s="92"/>
      <x:c r="G898" s="92"/>
      <x:c r="H898" s="92"/>
      <x:c r="I898" s="93" t="str">
        <x:f>IF(B898="","",MAX(0,F898-H898))</x:f>
      </x:c>
      <x:c r="J898" s="46"/>
      <x:c r="K898" s="100" t="str">
        <x:f>IF(B898="","",IF(G898="TL",1,IF(G898="USD",KURLAR!$C$9,IF(G898="EUR",KURLAR!$C$10,0))))</x:f>
      </x:c>
      <x:c r="L898" s="68" t="str">
        <x:f>IF(B898="","",I898*K898)</x:f>
      </x:c>
      <x:c r="M898" s="46"/>
      <x:c r="N898" s="52" t="str">
        <x:f>IF(B898="","",IF(OR(M898="Ödendi",M898="İptal"),"Hayır","Evet"))</x:f>
      </x:c>
    </x:row>
    <x:row r="899">
      <x:c r="B899" s="46"/>
      <x:c r="C899" s="46"/>
      <x:c r="D899" s="112"/>
      <x:c r="E899" s="112"/>
      <x:c r="F899" s="92"/>
      <x:c r="G899" s="92"/>
      <x:c r="H899" s="92"/>
      <x:c r="I899" s="93" t="str">
        <x:f>IF(B899="","",MAX(0,F899-H899))</x:f>
      </x:c>
      <x:c r="J899" s="46"/>
      <x:c r="K899" s="100" t="str">
        <x:f>IF(B899="","",IF(G899="TL",1,IF(G899="USD",KURLAR!$C$9,IF(G899="EUR",KURLAR!$C$10,0))))</x:f>
      </x:c>
      <x:c r="L899" s="68" t="str">
        <x:f>IF(B899="","",I899*K899)</x:f>
      </x:c>
      <x:c r="M899" s="46"/>
      <x:c r="N899" s="52" t="str">
        <x:f>IF(B899="","",IF(OR(M899="Ödendi",M899="İptal"),"Hayır","Evet"))</x:f>
      </x:c>
    </x:row>
    <x:row r="900">
      <x:c r="B900" s="46"/>
      <x:c r="C900" s="46"/>
      <x:c r="D900" s="112"/>
      <x:c r="E900" s="112"/>
      <x:c r="F900" s="92"/>
      <x:c r="G900" s="92"/>
      <x:c r="H900" s="92"/>
      <x:c r="I900" s="93" t="str">
        <x:f>IF(B900="","",MAX(0,F900-H900))</x:f>
      </x:c>
      <x:c r="J900" s="46"/>
      <x:c r="K900" s="100" t="str">
        <x:f>IF(B900="","",IF(G900="TL",1,IF(G900="USD",KURLAR!$C$9,IF(G900="EUR",KURLAR!$C$10,0))))</x:f>
      </x:c>
      <x:c r="L900" s="68" t="str">
        <x:f>IF(B900="","",I900*K900)</x:f>
      </x:c>
      <x:c r="M900" s="46"/>
      <x:c r="N900" s="52" t="str">
        <x:f>IF(B900="","",IF(OR(M900="Ödendi",M900="İptal"),"Hayır","Evet"))</x:f>
      </x:c>
    </x:row>
    <x:row r="901">
      <x:c r="B901" s="46"/>
      <x:c r="C901" s="46"/>
      <x:c r="D901" s="112"/>
      <x:c r="E901" s="112"/>
      <x:c r="F901" s="92"/>
      <x:c r="G901" s="92"/>
      <x:c r="H901" s="92"/>
      <x:c r="I901" s="93" t="str">
        <x:f>IF(B901="","",MAX(0,F901-H901))</x:f>
      </x:c>
      <x:c r="J901" s="46"/>
      <x:c r="K901" s="100" t="str">
        <x:f>IF(B901="","",IF(G901="TL",1,IF(G901="USD",KURLAR!$C$9,IF(G901="EUR",KURLAR!$C$10,0))))</x:f>
      </x:c>
      <x:c r="L901" s="68" t="str">
        <x:f>IF(B901="","",I901*K901)</x:f>
      </x:c>
      <x:c r="M901" s="46"/>
      <x:c r="N901" s="52" t="str">
        <x:f>IF(B901="","",IF(OR(M901="Ödendi",M901="İptal"),"Hayır","Evet"))</x:f>
      </x:c>
    </x:row>
    <x:row r="902">
      <x:c r="B902" s="46"/>
      <x:c r="C902" s="46"/>
      <x:c r="D902" s="112"/>
      <x:c r="E902" s="112"/>
      <x:c r="F902" s="92"/>
      <x:c r="G902" s="92"/>
      <x:c r="H902" s="92"/>
      <x:c r="I902" s="93" t="str">
        <x:f>IF(B902="","",MAX(0,F902-H902))</x:f>
      </x:c>
      <x:c r="J902" s="46"/>
      <x:c r="K902" s="100" t="str">
        <x:f>IF(B902="","",IF(G902="TL",1,IF(G902="USD",KURLAR!$C$9,IF(G902="EUR",KURLAR!$C$10,0))))</x:f>
      </x:c>
      <x:c r="L902" s="68" t="str">
        <x:f>IF(B902="","",I902*K902)</x:f>
      </x:c>
      <x:c r="M902" s="46"/>
      <x:c r="N902" s="52" t="str">
        <x:f>IF(B902="","",IF(OR(M902="Ödendi",M902="İptal"),"Hayır","Evet"))</x:f>
      </x:c>
    </x:row>
    <x:row r="903">
      <x:c r="B903" s="46"/>
      <x:c r="C903" s="46"/>
      <x:c r="D903" s="112"/>
      <x:c r="E903" s="112"/>
      <x:c r="F903" s="92"/>
      <x:c r="G903" s="92"/>
      <x:c r="H903" s="92"/>
      <x:c r="I903" s="93" t="str">
        <x:f>IF(B903="","",MAX(0,F903-H903))</x:f>
      </x:c>
      <x:c r="J903" s="46"/>
      <x:c r="K903" s="100" t="str">
        <x:f>IF(B903="","",IF(G903="TL",1,IF(G903="USD",KURLAR!$C$9,IF(G903="EUR",KURLAR!$C$10,0))))</x:f>
      </x:c>
      <x:c r="L903" s="68" t="str">
        <x:f>IF(B903="","",I903*K903)</x:f>
      </x:c>
      <x:c r="M903" s="46"/>
      <x:c r="N903" s="52" t="str">
        <x:f>IF(B903="","",IF(OR(M903="Ödendi",M903="İptal"),"Hayır","Evet"))</x:f>
      </x:c>
    </x:row>
    <x:row r="904">
      <x:c r="B904" s="46"/>
      <x:c r="C904" s="46"/>
      <x:c r="D904" s="112"/>
      <x:c r="E904" s="112"/>
      <x:c r="F904" s="92"/>
      <x:c r="G904" s="92"/>
      <x:c r="H904" s="92"/>
      <x:c r="I904" s="93" t="str">
        <x:f>IF(B904="","",MAX(0,F904-H904))</x:f>
      </x:c>
      <x:c r="J904" s="46"/>
      <x:c r="K904" s="100" t="str">
        <x:f>IF(B904="","",IF(G904="TL",1,IF(G904="USD",KURLAR!$C$9,IF(G904="EUR",KURLAR!$C$10,0))))</x:f>
      </x:c>
      <x:c r="L904" s="68" t="str">
        <x:f>IF(B904="","",I904*K904)</x:f>
      </x:c>
      <x:c r="M904" s="46"/>
      <x:c r="N904" s="52" t="str">
        <x:f>IF(B904="","",IF(OR(M904="Ödendi",M904="İptal"),"Hayır","Evet"))</x:f>
      </x:c>
    </x:row>
    <x:row r="905">
      <x:c r="B905" s="46"/>
      <x:c r="C905" s="46"/>
      <x:c r="D905" s="112"/>
      <x:c r="E905" s="112"/>
      <x:c r="F905" s="92"/>
      <x:c r="G905" s="92"/>
      <x:c r="H905" s="92"/>
      <x:c r="I905" s="93" t="str">
        <x:f>IF(B905="","",MAX(0,F905-H905))</x:f>
      </x:c>
      <x:c r="J905" s="46"/>
      <x:c r="K905" s="100" t="str">
        <x:f>IF(B905="","",IF(G905="TL",1,IF(G905="USD",KURLAR!$C$9,IF(G905="EUR",KURLAR!$C$10,0))))</x:f>
      </x:c>
      <x:c r="L905" s="68" t="str">
        <x:f>IF(B905="","",I905*K905)</x:f>
      </x:c>
      <x:c r="M905" s="46"/>
      <x:c r="N905" s="52" t="str">
        <x:f>IF(B905="","",IF(OR(M905="Ödendi",M905="İptal"),"Hayır","Evet"))</x:f>
      </x:c>
    </x:row>
    <x:row r="906">
      <x:c r="B906" s="46"/>
      <x:c r="C906" s="46"/>
      <x:c r="D906" s="112"/>
      <x:c r="E906" s="112"/>
      <x:c r="F906" s="92"/>
      <x:c r="G906" s="92"/>
      <x:c r="H906" s="92"/>
      <x:c r="I906" s="93" t="str">
        <x:f>IF(B906="","",MAX(0,F906-H906))</x:f>
      </x:c>
      <x:c r="J906" s="46"/>
      <x:c r="K906" s="100" t="str">
        <x:f>IF(B906="","",IF(G906="TL",1,IF(G906="USD",KURLAR!$C$9,IF(G906="EUR",KURLAR!$C$10,0))))</x:f>
      </x:c>
      <x:c r="L906" s="68" t="str">
        <x:f>IF(B906="","",I906*K906)</x:f>
      </x:c>
      <x:c r="M906" s="46"/>
      <x:c r="N906" s="52" t="str">
        <x:f>IF(B906="","",IF(OR(M906="Ödendi",M906="İptal"),"Hayır","Evet"))</x:f>
      </x:c>
    </x:row>
    <x:row r="907">
      <x:c r="B907" s="46"/>
      <x:c r="C907" s="46"/>
      <x:c r="D907" s="112"/>
      <x:c r="E907" s="112"/>
      <x:c r="F907" s="92"/>
      <x:c r="G907" s="92"/>
      <x:c r="H907" s="92"/>
      <x:c r="I907" s="93" t="str">
        <x:f>IF(B907="","",MAX(0,F907-H907))</x:f>
      </x:c>
      <x:c r="J907" s="46"/>
      <x:c r="K907" s="100" t="str">
        <x:f>IF(B907="","",IF(G907="TL",1,IF(G907="USD",KURLAR!$C$9,IF(G907="EUR",KURLAR!$C$10,0))))</x:f>
      </x:c>
      <x:c r="L907" s="68" t="str">
        <x:f>IF(B907="","",I907*K907)</x:f>
      </x:c>
      <x:c r="M907" s="46"/>
      <x:c r="N907" s="52" t="str">
        <x:f>IF(B907="","",IF(OR(M907="Ödendi",M907="İptal"),"Hayır","Evet"))</x:f>
      </x:c>
    </x:row>
    <x:row r="908">
      <x:c r="B908" s="46"/>
      <x:c r="C908" s="46"/>
      <x:c r="D908" s="112"/>
      <x:c r="E908" s="112"/>
      <x:c r="F908" s="92"/>
      <x:c r="G908" s="92"/>
      <x:c r="H908" s="92"/>
      <x:c r="I908" s="93" t="str">
        <x:f>IF(B908="","",MAX(0,F908-H908))</x:f>
      </x:c>
      <x:c r="J908" s="46"/>
      <x:c r="K908" s="100" t="str">
        <x:f>IF(B908="","",IF(G908="TL",1,IF(G908="USD",KURLAR!$C$9,IF(G908="EUR",KURLAR!$C$10,0))))</x:f>
      </x:c>
      <x:c r="L908" s="68" t="str">
        <x:f>IF(B908="","",I908*K908)</x:f>
      </x:c>
      <x:c r="M908" s="46"/>
      <x:c r="N908" s="52" t="str">
        <x:f>IF(B908="","",IF(OR(M908="Ödendi",M908="İptal"),"Hayır","Evet"))</x:f>
      </x:c>
    </x:row>
    <x:row r="909">
      <x:c r="B909" s="46"/>
      <x:c r="C909" s="46"/>
      <x:c r="D909" s="112"/>
      <x:c r="E909" s="112"/>
      <x:c r="F909" s="92"/>
      <x:c r="G909" s="92"/>
      <x:c r="H909" s="92"/>
      <x:c r="I909" s="93" t="str">
        <x:f>IF(B909="","",MAX(0,F909-H909))</x:f>
      </x:c>
      <x:c r="J909" s="46"/>
      <x:c r="K909" s="100" t="str">
        <x:f>IF(B909="","",IF(G909="TL",1,IF(G909="USD",KURLAR!$C$9,IF(G909="EUR",KURLAR!$C$10,0))))</x:f>
      </x:c>
      <x:c r="L909" s="68" t="str">
        <x:f>IF(B909="","",I909*K909)</x:f>
      </x:c>
      <x:c r="M909" s="46"/>
      <x:c r="N909" s="52" t="str">
        <x:f>IF(B909="","",IF(OR(M909="Ödendi",M909="İptal"),"Hayır","Evet"))</x:f>
      </x:c>
    </x:row>
    <x:row r="910">
      <x:c r="B910" s="46"/>
      <x:c r="C910" s="46"/>
      <x:c r="D910" s="112"/>
      <x:c r="E910" s="112"/>
      <x:c r="F910" s="92"/>
      <x:c r="G910" s="92"/>
      <x:c r="H910" s="92"/>
      <x:c r="I910" s="93" t="str">
        <x:f>IF(B910="","",MAX(0,F910-H910))</x:f>
      </x:c>
      <x:c r="J910" s="46"/>
      <x:c r="K910" s="100" t="str">
        <x:f>IF(B910="","",IF(G910="TL",1,IF(G910="USD",KURLAR!$C$9,IF(G910="EUR",KURLAR!$C$10,0))))</x:f>
      </x:c>
      <x:c r="L910" s="68" t="str">
        <x:f>IF(B910="","",I910*K910)</x:f>
      </x:c>
      <x:c r="M910" s="46"/>
      <x:c r="N910" s="52" t="str">
        <x:f>IF(B910="","",IF(OR(M910="Ödendi",M910="İptal"),"Hayır","Evet"))</x:f>
      </x:c>
    </x:row>
    <x:row r="911">
      <x:c r="B911" s="46"/>
      <x:c r="C911" s="46"/>
      <x:c r="D911" s="112"/>
      <x:c r="E911" s="112"/>
      <x:c r="F911" s="92"/>
      <x:c r="G911" s="92"/>
      <x:c r="H911" s="92"/>
      <x:c r="I911" s="93" t="str">
        <x:f>IF(B911="","",MAX(0,F911-H911))</x:f>
      </x:c>
      <x:c r="J911" s="46"/>
      <x:c r="K911" s="100" t="str">
        <x:f>IF(B911="","",IF(G911="TL",1,IF(G911="USD",KURLAR!$C$9,IF(G911="EUR",KURLAR!$C$10,0))))</x:f>
      </x:c>
      <x:c r="L911" s="68" t="str">
        <x:f>IF(B911="","",I911*K911)</x:f>
      </x:c>
      <x:c r="M911" s="46"/>
      <x:c r="N911" s="52" t="str">
        <x:f>IF(B911="","",IF(OR(M911="Ödendi",M911="İptal"),"Hayır","Evet"))</x:f>
      </x:c>
    </x:row>
    <x:row r="912">
      <x:c r="B912" s="46"/>
      <x:c r="C912" s="46"/>
      <x:c r="D912" s="112"/>
      <x:c r="E912" s="112"/>
      <x:c r="F912" s="92"/>
      <x:c r="G912" s="92"/>
      <x:c r="H912" s="92"/>
      <x:c r="I912" s="93" t="str">
        <x:f>IF(B912="","",MAX(0,F912-H912))</x:f>
      </x:c>
      <x:c r="J912" s="46"/>
      <x:c r="K912" s="100" t="str">
        <x:f>IF(B912="","",IF(G912="TL",1,IF(G912="USD",KURLAR!$C$9,IF(G912="EUR",KURLAR!$C$10,0))))</x:f>
      </x:c>
      <x:c r="L912" s="68" t="str">
        <x:f>IF(B912="","",I912*K912)</x:f>
      </x:c>
      <x:c r="M912" s="46"/>
      <x:c r="N912" s="52" t="str">
        <x:f>IF(B912="","",IF(OR(M912="Ödendi",M912="İptal"),"Hayır","Evet"))</x:f>
      </x:c>
    </x:row>
    <x:row r="913">
      <x:c r="B913" s="46"/>
      <x:c r="C913" s="46"/>
      <x:c r="D913" s="112"/>
      <x:c r="E913" s="112"/>
      <x:c r="F913" s="92"/>
      <x:c r="G913" s="92"/>
      <x:c r="H913" s="92"/>
      <x:c r="I913" s="93" t="str">
        <x:f>IF(B913="","",MAX(0,F913-H913))</x:f>
      </x:c>
      <x:c r="J913" s="46"/>
      <x:c r="K913" s="100" t="str">
        <x:f>IF(B913="","",IF(G913="TL",1,IF(G913="USD",KURLAR!$C$9,IF(G913="EUR",KURLAR!$C$10,0))))</x:f>
      </x:c>
      <x:c r="L913" s="68" t="str">
        <x:f>IF(B913="","",I913*K913)</x:f>
      </x:c>
      <x:c r="M913" s="46"/>
      <x:c r="N913" s="52" t="str">
        <x:f>IF(B913="","",IF(OR(M913="Ödendi",M913="İptal"),"Hayır","Evet"))</x:f>
      </x:c>
    </x:row>
    <x:row r="914">
      <x:c r="B914" s="46"/>
      <x:c r="C914" s="46"/>
      <x:c r="D914" s="112"/>
      <x:c r="E914" s="112"/>
      <x:c r="F914" s="92"/>
      <x:c r="G914" s="92"/>
      <x:c r="H914" s="92"/>
      <x:c r="I914" s="93" t="str">
        <x:f>IF(B914="","",MAX(0,F914-H914))</x:f>
      </x:c>
      <x:c r="J914" s="46"/>
      <x:c r="K914" s="100" t="str">
        <x:f>IF(B914="","",IF(G914="TL",1,IF(G914="USD",KURLAR!$C$9,IF(G914="EUR",KURLAR!$C$10,0))))</x:f>
      </x:c>
      <x:c r="L914" s="68" t="str">
        <x:f>IF(B914="","",I914*K914)</x:f>
      </x:c>
      <x:c r="M914" s="46"/>
      <x:c r="N914" s="52" t="str">
        <x:f>IF(B914="","",IF(OR(M914="Ödendi",M914="İptal"),"Hayır","Evet"))</x:f>
      </x:c>
    </x:row>
    <x:row r="915">
      <x:c r="B915" s="46"/>
      <x:c r="C915" s="46"/>
      <x:c r="D915" s="112"/>
      <x:c r="E915" s="112"/>
      <x:c r="F915" s="92"/>
      <x:c r="G915" s="92"/>
      <x:c r="H915" s="92"/>
      <x:c r="I915" s="93" t="str">
        <x:f>IF(B915="","",MAX(0,F915-H915))</x:f>
      </x:c>
      <x:c r="J915" s="46"/>
      <x:c r="K915" s="100" t="str">
        <x:f>IF(B915="","",IF(G915="TL",1,IF(G915="USD",KURLAR!$C$9,IF(G915="EUR",KURLAR!$C$10,0))))</x:f>
      </x:c>
      <x:c r="L915" s="68" t="str">
        <x:f>IF(B915="","",I915*K915)</x:f>
      </x:c>
      <x:c r="M915" s="46"/>
      <x:c r="N915" s="52" t="str">
        <x:f>IF(B915="","",IF(OR(M915="Ödendi",M915="İptal"),"Hayır","Evet"))</x:f>
      </x:c>
    </x:row>
    <x:row r="916">
      <x:c r="B916" s="46"/>
      <x:c r="C916" s="46"/>
      <x:c r="D916" s="112"/>
      <x:c r="E916" s="112"/>
      <x:c r="F916" s="92"/>
      <x:c r="G916" s="92"/>
      <x:c r="H916" s="92"/>
      <x:c r="I916" s="93" t="str">
        <x:f>IF(B916="","",MAX(0,F916-H916))</x:f>
      </x:c>
      <x:c r="J916" s="46"/>
      <x:c r="K916" s="100" t="str">
        <x:f>IF(B916="","",IF(G916="TL",1,IF(G916="USD",KURLAR!$C$9,IF(G916="EUR",KURLAR!$C$10,0))))</x:f>
      </x:c>
      <x:c r="L916" s="68" t="str">
        <x:f>IF(B916="","",I916*K916)</x:f>
      </x:c>
      <x:c r="M916" s="46"/>
      <x:c r="N916" s="52" t="str">
        <x:f>IF(B916="","",IF(OR(M916="Ödendi",M916="İptal"),"Hayır","Evet"))</x:f>
      </x:c>
    </x:row>
    <x:row r="917">
      <x:c r="B917" s="46"/>
      <x:c r="C917" s="46"/>
      <x:c r="D917" s="112"/>
      <x:c r="E917" s="112"/>
      <x:c r="F917" s="92"/>
      <x:c r="G917" s="92"/>
      <x:c r="H917" s="92"/>
      <x:c r="I917" s="93" t="str">
        <x:f>IF(B917="","",MAX(0,F917-H917))</x:f>
      </x:c>
      <x:c r="J917" s="46"/>
      <x:c r="K917" s="100" t="str">
        <x:f>IF(B917="","",IF(G917="TL",1,IF(G917="USD",KURLAR!$C$9,IF(G917="EUR",KURLAR!$C$10,0))))</x:f>
      </x:c>
      <x:c r="L917" s="68" t="str">
        <x:f>IF(B917="","",I917*K917)</x:f>
      </x:c>
      <x:c r="M917" s="46"/>
      <x:c r="N917" s="52" t="str">
        <x:f>IF(B917="","",IF(OR(M917="Ödendi",M917="İptal"),"Hayır","Evet"))</x:f>
      </x:c>
    </x:row>
    <x:row r="918">
      <x:c r="B918" s="46"/>
      <x:c r="C918" s="46"/>
      <x:c r="D918" s="112"/>
      <x:c r="E918" s="112"/>
      <x:c r="F918" s="92"/>
      <x:c r="G918" s="92"/>
      <x:c r="H918" s="92"/>
      <x:c r="I918" s="93" t="str">
        <x:f>IF(B918="","",MAX(0,F918-H918))</x:f>
      </x:c>
      <x:c r="J918" s="46"/>
      <x:c r="K918" s="100" t="str">
        <x:f>IF(B918="","",IF(G918="TL",1,IF(G918="USD",KURLAR!$C$9,IF(G918="EUR",KURLAR!$C$10,0))))</x:f>
      </x:c>
      <x:c r="L918" s="68" t="str">
        <x:f>IF(B918="","",I918*K918)</x:f>
      </x:c>
      <x:c r="M918" s="46"/>
      <x:c r="N918" s="52" t="str">
        <x:f>IF(B918="","",IF(OR(M918="Ödendi",M918="İptal"),"Hayır","Evet"))</x:f>
      </x:c>
    </x:row>
    <x:row r="919">
      <x:c r="B919" s="46"/>
      <x:c r="C919" s="46"/>
      <x:c r="D919" s="112"/>
      <x:c r="E919" s="112"/>
      <x:c r="F919" s="92"/>
      <x:c r="G919" s="92"/>
      <x:c r="H919" s="92"/>
      <x:c r="I919" s="93" t="str">
        <x:f>IF(B919="","",MAX(0,F919-H919))</x:f>
      </x:c>
      <x:c r="J919" s="46"/>
      <x:c r="K919" s="100" t="str">
        <x:f>IF(B919="","",IF(G919="TL",1,IF(G919="USD",KURLAR!$C$9,IF(G919="EUR",KURLAR!$C$10,0))))</x:f>
      </x:c>
      <x:c r="L919" s="68" t="str">
        <x:f>IF(B919="","",I919*K919)</x:f>
      </x:c>
      <x:c r="M919" s="46"/>
      <x:c r="N919" s="52" t="str">
        <x:f>IF(B919="","",IF(OR(M919="Ödendi",M919="İptal"),"Hayır","Evet"))</x:f>
      </x:c>
    </x:row>
    <x:row r="920">
      <x:c r="B920" s="46"/>
      <x:c r="C920" s="46"/>
      <x:c r="D920" s="112"/>
      <x:c r="E920" s="112"/>
      <x:c r="F920" s="92"/>
      <x:c r="G920" s="92"/>
      <x:c r="H920" s="92"/>
      <x:c r="I920" s="93" t="str">
        <x:f>IF(B920="","",MAX(0,F920-H920))</x:f>
      </x:c>
      <x:c r="J920" s="46"/>
      <x:c r="K920" s="100" t="str">
        <x:f>IF(B920="","",IF(G920="TL",1,IF(G920="USD",KURLAR!$C$9,IF(G920="EUR",KURLAR!$C$10,0))))</x:f>
      </x:c>
      <x:c r="L920" s="68" t="str">
        <x:f>IF(B920="","",I920*K920)</x:f>
      </x:c>
      <x:c r="M920" s="46"/>
      <x:c r="N920" s="52" t="str">
        <x:f>IF(B920="","",IF(OR(M920="Ödendi",M920="İptal"),"Hayır","Evet"))</x:f>
      </x:c>
    </x:row>
    <x:row r="921">
      <x:c r="B921" s="46"/>
      <x:c r="C921" s="46"/>
      <x:c r="D921" s="112"/>
      <x:c r="E921" s="112"/>
      <x:c r="F921" s="92"/>
      <x:c r="G921" s="92"/>
      <x:c r="H921" s="92"/>
      <x:c r="I921" s="93" t="str">
        <x:f>IF(B921="","",MAX(0,F921-H921))</x:f>
      </x:c>
      <x:c r="J921" s="46"/>
      <x:c r="K921" s="100" t="str">
        <x:f>IF(B921="","",IF(G921="TL",1,IF(G921="USD",KURLAR!$C$9,IF(G921="EUR",KURLAR!$C$10,0))))</x:f>
      </x:c>
      <x:c r="L921" s="68" t="str">
        <x:f>IF(B921="","",I921*K921)</x:f>
      </x:c>
      <x:c r="M921" s="46"/>
      <x:c r="N921" s="52" t="str">
        <x:f>IF(B921="","",IF(OR(M921="Ödendi",M921="İptal"),"Hayır","Evet"))</x:f>
      </x:c>
    </x:row>
    <x:row r="922">
      <x:c r="B922" s="46"/>
      <x:c r="C922" s="46"/>
      <x:c r="D922" s="112"/>
      <x:c r="E922" s="112"/>
      <x:c r="F922" s="92"/>
      <x:c r="G922" s="92"/>
      <x:c r="H922" s="92"/>
      <x:c r="I922" s="93" t="str">
        <x:f>IF(B922="","",MAX(0,F922-H922))</x:f>
      </x:c>
      <x:c r="J922" s="46"/>
      <x:c r="K922" s="100" t="str">
        <x:f>IF(B922="","",IF(G922="TL",1,IF(G922="USD",KURLAR!$C$9,IF(G922="EUR",KURLAR!$C$10,0))))</x:f>
      </x:c>
      <x:c r="L922" s="68" t="str">
        <x:f>IF(B922="","",I922*K922)</x:f>
      </x:c>
      <x:c r="M922" s="46"/>
      <x:c r="N922" s="52" t="str">
        <x:f>IF(B922="","",IF(OR(M922="Ödendi",M922="İptal"),"Hayır","Evet"))</x:f>
      </x:c>
    </x:row>
    <x:row r="923">
      <x:c r="B923" s="46"/>
      <x:c r="C923" s="46"/>
      <x:c r="D923" s="112"/>
      <x:c r="E923" s="112"/>
      <x:c r="F923" s="92"/>
      <x:c r="G923" s="92"/>
      <x:c r="H923" s="92"/>
      <x:c r="I923" s="93" t="str">
        <x:f>IF(B923="","",MAX(0,F923-H923))</x:f>
      </x:c>
      <x:c r="J923" s="46"/>
      <x:c r="K923" s="100" t="str">
        <x:f>IF(B923="","",IF(G923="TL",1,IF(G923="USD",KURLAR!$C$9,IF(G923="EUR",KURLAR!$C$10,0))))</x:f>
      </x:c>
      <x:c r="L923" s="68" t="str">
        <x:f>IF(B923="","",I923*K923)</x:f>
      </x:c>
      <x:c r="M923" s="46"/>
      <x:c r="N923" s="52" t="str">
        <x:f>IF(B923="","",IF(OR(M923="Ödendi",M923="İptal"),"Hayır","Evet"))</x:f>
      </x:c>
    </x:row>
    <x:row r="924">
      <x:c r="B924" s="46"/>
      <x:c r="C924" s="46"/>
      <x:c r="D924" s="112"/>
      <x:c r="E924" s="112"/>
      <x:c r="F924" s="92"/>
      <x:c r="G924" s="92"/>
      <x:c r="H924" s="92"/>
      <x:c r="I924" s="93" t="str">
        <x:f>IF(B924="","",MAX(0,F924-H924))</x:f>
      </x:c>
      <x:c r="J924" s="46"/>
      <x:c r="K924" s="100" t="str">
        <x:f>IF(B924="","",IF(G924="TL",1,IF(G924="USD",KURLAR!$C$9,IF(G924="EUR",KURLAR!$C$10,0))))</x:f>
      </x:c>
      <x:c r="L924" s="68" t="str">
        <x:f>IF(B924="","",I924*K924)</x:f>
      </x:c>
      <x:c r="M924" s="46"/>
      <x:c r="N924" s="52" t="str">
        <x:f>IF(B924="","",IF(OR(M924="Ödendi",M924="İptal"),"Hayır","Evet"))</x:f>
      </x:c>
    </x:row>
    <x:row r="925">
      <x:c r="B925" s="46"/>
      <x:c r="C925" s="46"/>
      <x:c r="D925" s="112"/>
      <x:c r="E925" s="112"/>
      <x:c r="F925" s="92"/>
      <x:c r="G925" s="92"/>
      <x:c r="H925" s="92"/>
      <x:c r="I925" s="93" t="str">
        <x:f>IF(B925="","",MAX(0,F925-H925))</x:f>
      </x:c>
      <x:c r="J925" s="46"/>
      <x:c r="K925" s="100" t="str">
        <x:f>IF(B925="","",IF(G925="TL",1,IF(G925="USD",KURLAR!$C$9,IF(G925="EUR",KURLAR!$C$10,0))))</x:f>
      </x:c>
      <x:c r="L925" s="68" t="str">
        <x:f>IF(B925="","",I925*K925)</x:f>
      </x:c>
      <x:c r="M925" s="46"/>
      <x:c r="N925" s="52" t="str">
        <x:f>IF(B925="","",IF(OR(M925="Ödendi",M925="İptal"),"Hayır","Evet"))</x:f>
      </x:c>
    </x:row>
    <x:row r="926">
      <x:c r="B926" s="46"/>
      <x:c r="C926" s="46"/>
      <x:c r="D926" s="112"/>
      <x:c r="E926" s="112"/>
      <x:c r="F926" s="92"/>
      <x:c r="G926" s="92"/>
      <x:c r="H926" s="92"/>
      <x:c r="I926" s="93" t="str">
        <x:f>IF(B926="","",MAX(0,F926-H926))</x:f>
      </x:c>
      <x:c r="J926" s="46"/>
      <x:c r="K926" s="100" t="str">
        <x:f>IF(B926="","",IF(G926="TL",1,IF(G926="USD",KURLAR!$C$9,IF(G926="EUR",KURLAR!$C$10,0))))</x:f>
      </x:c>
      <x:c r="L926" s="68" t="str">
        <x:f>IF(B926="","",I926*K926)</x:f>
      </x:c>
      <x:c r="M926" s="46"/>
      <x:c r="N926" s="52" t="str">
        <x:f>IF(B926="","",IF(OR(M926="Ödendi",M926="İptal"),"Hayır","Evet"))</x:f>
      </x:c>
    </x:row>
    <x:row r="927">
      <x:c r="B927" s="46"/>
      <x:c r="C927" s="46"/>
      <x:c r="D927" s="112"/>
      <x:c r="E927" s="112"/>
      <x:c r="F927" s="92"/>
      <x:c r="G927" s="92"/>
      <x:c r="H927" s="92"/>
      <x:c r="I927" s="93" t="str">
        <x:f>IF(B927="","",MAX(0,F927-H927))</x:f>
      </x:c>
      <x:c r="J927" s="46"/>
      <x:c r="K927" s="100" t="str">
        <x:f>IF(B927="","",IF(G927="TL",1,IF(G927="USD",KURLAR!$C$9,IF(G927="EUR",KURLAR!$C$10,0))))</x:f>
      </x:c>
      <x:c r="L927" s="68" t="str">
        <x:f>IF(B927="","",I927*K927)</x:f>
      </x:c>
      <x:c r="M927" s="46"/>
      <x:c r="N927" s="52" t="str">
        <x:f>IF(B927="","",IF(OR(M927="Ödendi",M927="İptal"),"Hayır","Evet"))</x:f>
      </x:c>
    </x:row>
    <x:row r="928">
      <x:c r="B928" s="46"/>
      <x:c r="C928" s="46"/>
      <x:c r="D928" s="112"/>
      <x:c r="E928" s="112"/>
      <x:c r="F928" s="92"/>
      <x:c r="G928" s="92"/>
      <x:c r="H928" s="92"/>
      <x:c r="I928" s="93" t="str">
        <x:f>IF(B928="","",MAX(0,F928-H928))</x:f>
      </x:c>
      <x:c r="J928" s="46"/>
      <x:c r="K928" s="100" t="str">
        <x:f>IF(B928="","",IF(G928="TL",1,IF(G928="USD",KURLAR!$C$9,IF(G928="EUR",KURLAR!$C$10,0))))</x:f>
      </x:c>
      <x:c r="L928" s="68" t="str">
        <x:f>IF(B928="","",I928*K928)</x:f>
      </x:c>
      <x:c r="M928" s="46"/>
      <x:c r="N928" s="52" t="str">
        <x:f>IF(B928="","",IF(OR(M928="Ödendi",M928="İptal"),"Hayır","Evet"))</x:f>
      </x:c>
    </x:row>
    <x:row r="929">
      <x:c r="B929" s="46"/>
      <x:c r="C929" s="46"/>
      <x:c r="D929" s="112"/>
      <x:c r="E929" s="112"/>
      <x:c r="F929" s="92"/>
      <x:c r="G929" s="92"/>
      <x:c r="H929" s="92"/>
      <x:c r="I929" s="93" t="str">
        <x:f>IF(B929="","",MAX(0,F929-H929))</x:f>
      </x:c>
      <x:c r="J929" s="46"/>
      <x:c r="K929" s="100" t="str">
        <x:f>IF(B929="","",IF(G929="TL",1,IF(G929="USD",KURLAR!$C$9,IF(G929="EUR",KURLAR!$C$10,0))))</x:f>
      </x:c>
      <x:c r="L929" s="68" t="str">
        <x:f>IF(B929="","",I929*K929)</x:f>
      </x:c>
      <x:c r="M929" s="46"/>
      <x:c r="N929" s="52" t="str">
        <x:f>IF(B929="","",IF(OR(M929="Ödendi",M929="İptal"),"Hayır","Evet"))</x:f>
      </x:c>
    </x:row>
    <x:row r="930">
      <x:c r="B930" s="46"/>
      <x:c r="C930" s="46"/>
      <x:c r="D930" s="112"/>
      <x:c r="E930" s="112"/>
      <x:c r="F930" s="92"/>
      <x:c r="G930" s="92"/>
      <x:c r="H930" s="92"/>
      <x:c r="I930" s="93" t="str">
        <x:f>IF(B930="","",MAX(0,F930-H930))</x:f>
      </x:c>
      <x:c r="J930" s="46"/>
      <x:c r="K930" s="100" t="str">
        <x:f>IF(B930="","",IF(G930="TL",1,IF(G930="USD",KURLAR!$C$9,IF(G930="EUR",KURLAR!$C$10,0))))</x:f>
      </x:c>
      <x:c r="L930" s="68" t="str">
        <x:f>IF(B930="","",I930*K930)</x:f>
      </x:c>
      <x:c r="M930" s="46"/>
      <x:c r="N930" s="52" t="str">
        <x:f>IF(B930="","",IF(OR(M930="Ödendi",M930="İptal"),"Hayır","Evet"))</x:f>
      </x:c>
    </x:row>
    <x:row r="931">
      <x:c r="B931" s="46"/>
      <x:c r="C931" s="46"/>
      <x:c r="D931" s="112"/>
      <x:c r="E931" s="112"/>
      <x:c r="F931" s="92"/>
      <x:c r="G931" s="92"/>
      <x:c r="H931" s="92"/>
      <x:c r="I931" s="93" t="str">
        <x:f>IF(B931="","",MAX(0,F931-H931))</x:f>
      </x:c>
      <x:c r="J931" s="46"/>
      <x:c r="K931" s="100" t="str">
        <x:f>IF(B931="","",IF(G931="TL",1,IF(G931="USD",KURLAR!$C$9,IF(G931="EUR",KURLAR!$C$10,0))))</x:f>
      </x:c>
      <x:c r="L931" s="68" t="str">
        <x:f>IF(B931="","",I931*K931)</x:f>
      </x:c>
      <x:c r="M931" s="46"/>
      <x:c r="N931" s="52" t="str">
        <x:f>IF(B931="","",IF(OR(M931="Ödendi",M931="İptal"),"Hayır","Evet"))</x:f>
      </x:c>
    </x:row>
    <x:row r="932">
      <x:c r="B932" s="46"/>
      <x:c r="C932" s="46"/>
      <x:c r="D932" s="112"/>
      <x:c r="E932" s="112"/>
      <x:c r="F932" s="92"/>
      <x:c r="G932" s="92"/>
      <x:c r="H932" s="92"/>
      <x:c r="I932" s="93" t="str">
        <x:f>IF(B932="","",MAX(0,F932-H932))</x:f>
      </x:c>
      <x:c r="J932" s="46"/>
      <x:c r="K932" s="100" t="str">
        <x:f>IF(B932="","",IF(G932="TL",1,IF(G932="USD",KURLAR!$C$9,IF(G932="EUR",KURLAR!$C$10,0))))</x:f>
      </x:c>
      <x:c r="L932" s="68" t="str">
        <x:f>IF(B932="","",I932*K932)</x:f>
      </x:c>
      <x:c r="M932" s="46"/>
      <x:c r="N932" s="52" t="str">
        <x:f>IF(B932="","",IF(OR(M932="Ödendi",M932="İptal"),"Hayır","Evet"))</x:f>
      </x:c>
    </x:row>
    <x:row r="933">
      <x:c r="B933" s="46"/>
      <x:c r="C933" s="46"/>
      <x:c r="D933" s="112"/>
      <x:c r="E933" s="112"/>
      <x:c r="F933" s="92"/>
      <x:c r="G933" s="92"/>
      <x:c r="H933" s="92"/>
      <x:c r="I933" s="93" t="str">
        <x:f>IF(B933="","",MAX(0,F933-H933))</x:f>
      </x:c>
      <x:c r="J933" s="46"/>
      <x:c r="K933" s="100" t="str">
        <x:f>IF(B933="","",IF(G933="TL",1,IF(G933="USD",KURLAR!$C$9,IF(G933="EUR",KURLAR!$C$10,0))))</x:f>
      </x:c>
      <x:c r="L933" s="68" t="str">
        <x:f>IF(B933="","",I933*K933)</x:f>
      </x:c>
      <x:c r="M933" s="46"/>
      <x:c r="N933" s="52" t="str">
        <x:f>IF(B933="","",IF(OR(M933="Ödendi",M933="İptal"),"Hayır","Evet"))</x:f>
      </x:c>
    </x:row>
    <x:row r="934">
      <x:c r="B934" s="46"/>
      <x:c r="C934" s="46"/>
      <x:c r="D934" s="112"/>
      <x:c r="E934" s="112"/>
      <x:c r="F934" s="92"/>
      <x:c r="G934" s="92"/>
      <x:c r="H934" s="92"/>
      <x:c r="I934" s="93" t="str">
        <x:f>IF(B934="","",MAX(0,F934-H934))</x:f>
      </x:c>
      <x:c r="J934" s="46"/>
      <x:c r="K934" s="100" t="str">
        <x:f>IF(B934="","",IF(G934="TL",1,IF(G934="USD",KURLAR!$C$9,IF(G934="EUR",KURLAR!$C$10,0))))</x:f>
      </x:c>
      <x:c r="L934" s="68" t="str">
        <x:f>IF(B934="","",I934*K934)</x:f>
      </x:c>
      <x:c r="M934" s="46"/>
      <x:c r="N934" s="52" t="str">
        <x:f>IF(B934="","",IF(OR(M934="Ödendi",M934="İptal"),"Hayır","Evet"))</x:f>
      </x:c>
    </x:row>
    <x:row r="935">
      <x:c r="B935" s="46"/>
      <x:c r="C935" s="46"/>
      <x:c r="D935" s="112"/>
      <x:c r="E935" s="112"/>
      <x:c r="F935" s="92"/>
      <x:c r="G935" s="92"/>
      <x:c r="H935" s="92"/>
      <x:c r="I935" s="93" t="str">
        <x:f>IF(B935="","",MAX(0,F935-H935))</x:f>
      </x:c>
      <x:c r="J935" s="46"/>
      <x:c r="K935" s="100" t="str">
        <x:f>IF(B935="","",IF(G935="TL",1,IF(G935="USD",KURLAR!$C$9,IF(G935="EUR",KURLAR!$C$10,0))))</x:f>
      </x:c>
      <x:c r="L935" s="68" t="str">
        <x:f>IF(B935="","",I935*K935)</x:f>
      </x:c>
      <x:c r="M935" s="46"/>
      <x:c r="N935" s="52" t="str">
        <x:f>IF(B935="","",IF(OR(M935="Ödendi",M935="İptal"),"Hayır","Evet"))</x:f>
      </x:c>
    </x:row>
    <x:row r="936">
      <x:c r="B936" s="46"/>
      <x:c r="C936" s="46"/>
      <x:c r="D936" s="112"/>
      <x:c r="E936" s="112"/>
      <x:c r="F936" s="92"/>
      <x:c r="G936" s="92"/>
      <x:c r="H936" s="92"/>
      <x:c r="I936" s="93" t="str">
        <x:f>IF(B936="","",MAX(0,F936-H936))</x:f>
      </x:c>
      <x:c r="J936" s="46"/>
      <x:c r="K936" s="100" t="str">
        <x:f>IF(B936="","",IF(G936="TL",1,IF(G936="USD",KURLAR!$C$9,IF(G936="EUR",KURLAR!$C$10,0))))</x:f>
      </x:c>
      <x:c r="L936" s="68" t="str">
        <x:f>IF(B936="","",I936*K936)</x:f>
      </x:c>
      <x:c r="M936" s="46"/>
      <x:c r="N936" s="52" t="str">
        <x:f>IF(B936="","",IF(OR(M936="Ödendi",M936="İptal"),"Hayır","Evet"))</x:f>
      </x:c>
    </x:row>
    <x:row r="937">
      <x:c r="B937" s="46"/>
      <x:c r="C937" s="46"/>
      <x:c r="D937" s="112"/>
      <x:c r="E937" s="112"/>
      <x:c r="F937" s="92"/>
      <x:c r="G937" s="92"/>
      <x:c r="H937" s="92"/>
      <x:c r="I937" s="93" t="str">
        <x:f>IF(B937="","",MAX(0,F937-H937))</x:f>
      </x:c>
      <x:c r="J937" s="46"/>
      <x:c r="K937" s="100" t="str">
        <x:f>IF(B937="","",IF(G937="TL",1,IF(G937="USD",KURLAR!$C$9,IF(G937="EUR",KURLAR!$C$10,0))))</x:f>
      </x:c>
      <x:c r="L937" s="68" t="str">
        <x:f>IF(B937="","",I937*K937)</x:f>
      </x:c>
      <x:c r="M937" s="46"/>
      <x:c r="N937" s="52" t="str">
        <x:f>IF(B937="","",IF(OR(M937="Ödendi",M937="İptal"),"Hayır","Evet"))</x:f>
      </x:c>
    </x:row>
    <x:row r="938">
      <x:c r="B938" s="46"/>
      <x:c r="C938" s="46"/>
      <x:c r="D938" s="112"/>
      <x:c r="E938" s="112"/>
      <x:c r="F938" s="92"/>
      <x:c r="G938" s="92"/>
      <x:c r="H938" s="92"/>
      <x:c r="I938" s="93" t="str">
        <x:f>IF(B938="","",MAX(0,F938-H938))</x:f>
      </x:c>
      <x:c r="J938" s="46"/>
      <x:c r="K938" s="100" t="str">
        <x:f>IF(B938="","",IF(G938="TL",1,IF(G938="USD",KURLAR!$C$9,IF(G938="EUR",KURLAR!$C$10,0))))</x:f>
      </x:c>
      <x:c r="L938" s="68" t="str">
        <x:f>IF(B938="","",I938*K938)</x:f>
      </x:c>
      <x:c r="M938" s="46"/>
      <x:c r="N938" s="52" t="str">
        <x:f>IF(B938="","",IF(OR(M938="Ödendi",M938="İptal"),"Hayır","Evet"))</x:f>
      </x:c>
    </x:row>
    <x:row r="939">
      <x:c r="B939" s="46"/>
      <x:c r="C939" s="46"/>
      <x:c r="D939" s="112"/>
      <x:c r="E939" s="112"/>
      <x:c r="F939" s="92"/>
      <x:c r="G939" s="92"/>
      <x:c r="H939" s="92"/>
      <x:c r="I939" s="93" t="str">
        <x:f>IF(B939="","",MAX(0,F939-H939))</x:f>
      </x:c>
      <x:c r="J939" s="46"/>
      <x:c r="K939" s="100" t="str">
        <x:f>IF(B939="","",IF(G939="TL",1,IF(G939="USD",KURLAR!$C$9,IF(G939="EUR",KURLAR!$C$10,0))))</x:f>
      </x:c>
      <x:c r="L939" s="68" t="str">
        <x:f>IF(B939="","",I939*K939)</x:f>
      </x:c>
      <x:c r="M939" s="46"/>
      <x:c r="N939" s="52" t="str">
        <x:f>IF(B939="","",IF(OR(M939="Ödendi",M939="İptal"),"Hayır","Evet"))</x:f>
      </x:c>
    </x:row>
    <x:row r="940">
      <x:c r="B940" s="46"/>
      <x:c r="C940" s="46"/>
      <x:c r="D940" s="112"/>
      <x:c r="E940" s="112"/>
      <x:c r="F940" s="92"/>
      <x:c r="G940" s="92"/>
      <x:c r="H940" s="92"/>
      <x:c r="I940" s="93" t="str">
        <x:f>IF(B940="","",MAX(0,F940-H940))</x:f>
      </x:c>
      <x:c r="J940" s="46"/>
      <x:c r="K940" s="100" t="str">
        <x:f>IF(B940="","",IF(G940="TL",1,IF(G940="USD",KURLAR!$C$9,IF(G940="EUR",KURLAR!$C$10,0))))</x:f>
      </x:c>
      <x:c r="L940" s="68" t="str">
        <x:f>IF(B940="","",I940*K940)</x:f>
      </x:c>
      <x:c r="M940" s="46"/>
      <x:c r="N940" s="52" t="str">
        <x:f>IF(B940="","",IF(OR(M940="Ödendi",M940="İptal"),"Hayır","Evet"))</x:f>
      </x:c>
    </x:row>
    <x:row r="941">
      <x:c r="B941" s="46"/>
      <x:c r="C941" s="46"/>
      <x:c r="D941" s="112"/>
      <x:c r="E941" s="112"/>
      <x:c r="F941" s="92"/>
      <x:c r="G941" s="92"/>
      <x:c r="H941" s="92"/>
      <x:c r="I941" s="93" t="str">
        <x:f>IF(B941="","",MAX(0,F941-H941))</x:f>
      </x:c>
      <x:c r="J941" s="46"/>
      <x:c r="K941" s="100" t="str">
        <x:f>IF(B941="","",IF(G941="TL",1,IF(G941="USD",KURLAR!$C$9,IF(G941="EUR",KURLAR!$C$10,0))))</x:f>
      </x:c>
      <x:c r="L941" s="68" t="str">
        <x:f>IF(B941="","",I941*K941)</x:f>
      </x:c>
      <x:c r="M941" s="46"/>
      <x:c r="N941" s="52" t="str">
        <x:f>IF(B941="","",IF(OR(M941="Ödendi",M941="İptal"),"Hayır","Evet"))</x:f>
      </x:c>
    </x:row>
    <x:row r="942">
      <x:c r="B942" s="46"/>
      <x:c r="C942" s="46"/>
      <x:c r="D942" s="112"/>
      <x:c r="E942" s="112"/>
      <x:c r="F942" s="92"/>
      <x:c r="G942" s="92"/>
      <x:c r="H942" s="92"/>
      <x:c r="I942" s="93" t="str">
        <x:f>IF(B942="","",MAX(0,F942-H942))</x:f>
      </x:c>
      <x:c r="J942" s="46"/>
      <x:c r="K942" s="100" t="str">
        <x:f>IF(B942="","",IF(G942="TL",1,IF(G942="USD",KURLAR!$C$9,IF(G942="EUR",KURLAR!$C$10,0))))</x:f>
      </x:c>
      <x:c r="L942" s="68" t="str">
        <x:f>IF(B942="","",I942*K942)</x:f>
      </x:c>
      <x:c r="M942" s="46"/>
      <x:c r="N942" s="52" t="str">
        <x:f>IF(B942="","",IF(OR(M942="Ödendi",M942="İptal"),"Hayır","Evet"))</x:f>
      </x:c>
    </x:row>
    <x:row r="943">
      <x:c r="B943" s="46"/>
      <x:c r="C943" s="46"/>
      <x:c r="D943" s="112"/>
      <x:c r="E943" s="112"/>
      <x:c r="F943" s="92"/>
      <x:c r="G943" s="92"/>
      <x:c r="H943" s="92"/>
      <x:c r="I943" s="93" t="str">
        <x:f>IF(B943="","",MAX(0,F943-H943))</x:f>
      </x:c>
      <x:c r="J943" s="46"/>
      <x:c r="K943" s="100" t="str">
        <x:f>IF(B943="","",IF(G943="TL",1,IF(G943="USD",KURLAR!$C$9,IF(G943="EUR",KURLAR!$C$10,0))))</x:f>
      </x:c>
      <x:c r="L943" s="68" t="str">
        <x:f>IF(B943="","",I943*K943)</x:f>
      </x:c>
      <x:c r="M943" s="46"/>
      <x:c r="N943" s="52" t="str">
        <x:f>IF(B943="","",IF(OR(M943="Ödendi",M943="İptal"),"Hayır","Evet"))</x:f>
      </x:c>
    </x:row>
    <x:row r="944">
      <x:c r="B944" s="46"/>
      <x:c r="C944" s="46"/>
      <x:c r="D944" s="112"/>
      <x:c r="E944" s="112"/>
      <x:c r="F944" s="92"/>
      <x:c r="G944" s="92"/>
      <x:c r="H944" s="92"/>
      <x:c r="I944" s="93" t="str">
        <x:f>IF(B944="","",MAX(0,F944-H944))</x:f>
      </x:c>
      <x:c r="J944" s="46"/>
      <x:c r="K944" s="100" t="str">
        <x:f>IF(B944="","",IF(G944="TL",1,IF(G944="USD",KURLAR!$C$9,IF(G944="EUR",KURLAR!$C$10,0))))</x:f>
      </x:c>
      <x:c r="L944" s="68" t="str">
        <x:f>IF(B944="","",I944*K944)</x:f>
      </x:c>
      <x:c r="M944" s="46"/>
      <x:c r="N944" s="52" t="str">
        <x:f>IF(B944="","",IF(OR(M944="Ödendi",M944="İptal"),"Hayır","Evet"))</x:f>
      </x:c>
    </x:row>
    <x:row r="945">
      <x:c r="B945" s="46"/>
      <x:c r="C945" s="46"/>
      <x:c r="D945" s="112"/>
      <x:c r="E945" s="112"/>
      <x:c r="F945" s="92"/>
      <x:c r="G945" s="92"/>
      <x:c r="H945" s="92"/>
      <x:c r="I945" s="93" t="str">
        <x:f>IF(B945="","",MAX(0,F945-H945))</x:f>
      </x:c>
      <x:c r="J945" s="46"/>
      <x:c r="K945" s="100" t="str">
        <x:f>IF(B945="","",IF(G945="TL",1,IF(G945="USD",KURLAR!$C$9,IF(G945="EUR",KURLAR!$C$10,0))))</x:f>
      </x:c>
      <x:c r="L945" s="68" t="str">
        <x:f>IF(B945="","",I945*K945)</x:f>
      </x:c>
      <x:c r="M945" s="46"/>
      <x:c r="N945" s="52" t="str">
        <x:f>IF(B945="","",IF(OR(M945="Ödendi",M945="İptal"),"Hayır","Evet"))</x:f>
      </x:c>
    </x:row>
    <x:row r="946">
      <x:c r="B946" s="46"/>
      <x:c r="C946" s="46"/>
      <x:c r="D946" s="112"/>
      <x:c r="E946" s="112"/>
      <x:c r="F946" s="92"/>
      <x:c r="G946" s="92"/>
      <x:c r="H946" s="92"/>
      <x:c r="I946" s="93" t="str">
        <x:f>IF(B946="","",MAX(0,F946-H946))</x:f>
      </x:c>
      <x:c r="J946" s="46"/>
      <x:c r="K946" s="100" t="str">
        <x:f>IF(B946="","",IF(G946="TL",1,IF(G946="USD",KURLAR!$C$9,IF(G946="EUR",KURLAR!$C$10,0))))</x:f>
      </x:c>
      <x:c r="L946" s="68" t="str">
        <x:f>IF(B946="","",I946*K946)</x:f>
      </x:c>
      <x:c r="M946" s="46"/>
      <x:c r="N946" s="52" t="str">
        <x:f>IF(B946="","",IF(OR(M946="Ödendi",M946="İptal"),"Hayır","Evet"))</x:f>
      </x:c>
    </x:row>
    <x:row r="947">
      <x:c r="B947" s="46"/>
      <x:c r="C947" s="46"/>
      <x:c r="D947" s="112"/>
      <x:c r="E947" s="112"/>
      <x:c r="F947" s="92"/>
      <x:c r="G947" s="92"/>
      <x:c r="H947" s="92"/>
      <x:c r="I947" s="93" t="str">
        <x:f>IF(B947="","",MAX(0,F947-H947))</x:f>
      </x:c>
      <x:c r="J947" s="46"/>
      <x:c r="K947" s="100" t="str">
        <x:f>IF(B947="","",IF(G947="TL",1,IF(G947="USD",KURLAR!$C$9,IF(G947="EUR",KURLAR!$C$10,0))))</x:f>
      </x:c>
      <x:c r="L947" s="68" t="str">
        <x:f>IF(B947="","",I947*K947)</x:f>
      </x:c>
      <x:c r="M947" s="46"/>
      <x:c r="N947" s="52" t="str">
        <x:f>IF(B947="","",IF(OR(M947="Ödendi",M947="İptal"),"Hayır","Evet"))</x:f>
      </x:c>
    </x:row>
    <x:row r="948">
      <x:c r="B948" s="46"/>
      <x:c r="C948" s="46"/>
      <x:c r="D948" s="112"/>
      <x:c r="E948" s="112"/>
      <x:c r="F948" s="92"/>
      <x:c r="G948" s="92"/>
      <x:c r="H948" s="92"/>
      <x:c r="I948" s="93" t="str">
        <x:f>IF(B948="","",MAX(0,F948-H948))</x:f>
      </x:c>
      <x:c r="J948" s="46"/>
      <x:c r="K948" s="100" t="str">
        <x:f>IF(B948="","",IF(G948="TL",1,IF(G948="USD",KURLAR!$C$9,IF(G948="EUR",KURLAR!$C$10,0))))</x:f>
      </x:c>
      <x:c r="L948" s="68" t="str">
        <x:f>IF(B948="","",I948*K948)</x:f>
      </x:c>
      <x:c r="M948" s="46"/>
      <x:c r="N948" s="52" t="str">
        <x:f>IF(B948="","",IF(OR(M948="Ödendi",M948="İptal"),"Hayır","Evet"))</x:f>
      </x:c>
    </x:row>
    <x:row r="949">
      <x:c r="B949" s="46"/>
      <x:c r="C949" s="46"/>
      <x:c r="D949" s="112"/>
      <x:c r="E949" s="112"/>
      <x:c r="F949" s="92"/>
      <x:c r="G949" s="92"/>
      <x:c r="H949" s="92"/>
      <x:c r="I949" s="93" t="str">
        <x:f>IF(B949="","",MAX(0,F949-H949))</x:f>
      </x:c>
      <x:c r="J949" s="46"/>
      <x:c r="K949" s="100" t="str">
        <x:f>IF(B949="","",IF(G949="TL",1,IF(G949="USD",KURLAR!$C$9,IF(G949="EUR",KURLAR!$C$10,0))))</x:f>
      </x:c>
      <x:c r="L949" s="68" t="str">
        <x:f>IF(B949="","",I949*K949)</x:f>
      </x:c>
      <x:c r="M949" s="46"/>
      <x:c r="N949" s="52" t="str">
        <x:f>IF(B949="","",IF(OR(M949="Ödendi",M949="İptal"),"Hayır","Evet"))</x:f>
      </x:c>
    </x:row>
    <x:row r="950">
      <x:c r="B950" s="46"/>
      <x:c r="C950" s="46"/>
      <x:c r="D950" s="112"/>
      <x:c r="E950" s="112"/>
      <x:c r="F950" s="92"/>
      <x:c r="G950" s="92"/>
      <x:c r="H950" s="92"/>
      <x:c r="I950" s="93" t="str">
        <x:f>IF(B950="","",MAX(0,F950-H950))</x:f>
      </x:c>
      <x:c r="J950" s="46"/>
      <x:c r="K950" s="100" t="str">
        <x:f>IF(B950="","",IF(G950="TL",1,IF(G950="USD",KURLAR!$C$9,IF(G950="EUR",KURLAR!$C$10,0))))</x:f>
      </x:c>
      <x:c r="L950" s="68" t="str">
        <x:f>IF(B950="","",I950*K950)</x:f>
      </x:c>
      <x:c r="M950" s="46"/>
      <x:c r="N950" s="52" t="str">
        <x:f>IF(B950="","",IF(OR(M950="Ödendi",M950="İptal"),"Hayır","Evet"))</x:f>
      </x:c>
    </x:row>
    <x:row r="951">
      <x:c r="B951" s="46"/>
      <x:c r="C951" s="46"/>
      <x:c r="D951" s="112"/>
      <x:c r="E951" s="112"/>
      <x:c r="F951" s="92"/>
      <x:c r="G951" s="92"/>
      <x:c r="H951" s="92"/>
      <x:c r="I951" s="93" t="str">
        <x:f>IF(B951="","",MAX(0,F951-H951))</x:f>
      </x:c>
      <x:c r="J951" s="46"/>
      <x:c r="K951" s="100" t="str">
        <x:f>IF(B951="","",IF(G951="TL",1,IF(G951="USD",KURLAR!$C$9,IF(G951="EUR",KURLAR!$C$10,0))))</x:f>
      </x:c>
      <x:c r="L951" s="68" t="str">
        <x:f>IF(B951="","",I951*K951)</x:f>
      </x:c>
      <x:c r="M951" s="46"/>
      <x:c r="N951" s="52" t="str">
        <x:f>IF(B951="","",IF(OR(M951="Ödendi",M951="İptal"),"Hayır","Evet"))</x:f>
      </x:c>
    </x:row>
    <x:row r="952">
      <x:c r="B952" s="46"/>
      <x:c r="C952" s="46"/>
      <x:c r="D952" s="112"/>
      <x:c r="E952" s="112"/>
      <x:c r="F952" s="92"/>
      <x:c r="G952" s="92"/>
      <x:c r="H952" s="92"/>
      <x:c r="I952" s="93" t="str">
        <x:f>IF(B952="","",MAX(0,F952-H952))</x:f>
      </x:c>
      <x:c r="J952" s="46"/>
      <x:c r="K952" s="100" t="str">
        <x:f>IF(B952="","",IF(G952="TL",1,IF(G952="USD",KURLAR!$C$9,IF(G952="EUR",KURLAR!$C$10,0))))</x:f>
      </x:c>
      <x:c r="L952" s="68" t="str">
        <x:f>IF(B952="","",I952*K952)</x:f>
      </x:c>
      <x:c r="M952" s="46"/>
      <x:c r="N952" s="52" t="str">
        <x:f>IF(B952="","",IF(OR(M952="Ödendi",M952="İptal"),"Hayır","Evet"))</x:f>
      </x:c>
    </x:row>
    <x:row r="953">
      <x:c r="B953" s="46"/>
      <x:c r="C953" s="46"/>
      <x:c r="D953" s="112"/>
      <x:c r="E953" s="112"/>
      <x:c r="F953" s="92"/>
      <x:c r="G953" s="92"/>
      <x:c r="H953" s="92"/>
      <x:c r="I953" s="93" t="str">
        <x:f>IF(B953="","",MAX(0,F953-H953))</x:f>
      </x:c>
      <x:c r="J953" s="46"/>
      <x:c r="K953" s="100" t="str">
        <x:f>IF(B953="","",IF(G953="TL",1,IF(G953="USD",KURLAR!$C$9,IF(G953="EUR",KURLAR!$C$10,0))))</x:f>
      </x:c>
      <x:c r="L953" s="68" t="str">
        <x:f>IF(B953="","",I953*K953)</x:f>
      </x:c>
      <x:c r="M953" s="46"/>
      <x:c r="N953" s="52" t="str">
        <x:f>IF(B953="","",IF(OR(M953="Ödendi",M953="İptal"),"Hayır","Evet"))</x:f>
      </x:c>
    </x:row>
    <x:row r="954">
      <x:c r="B954" s="46"/>
      <x:c r="C954" s="46"/>
      <x:c r="D954" s="112"/>
      <x:c r="E954" s="112"/>
      <x:c r="F954" s="92"/>
      <x:c r="G954" s="92"/>
      <x:c r="H954" s="92"/>
      <x:c r="I954" s="93" t="str">
        <x:f>IF(B954="","",MAX(0,F954-H954))</x:f>
      </x:c>
      <x:c r="J954" s="46"/>
      <x:c r="K954" s="100" t="str">
        <x:f>IF(B954="","",IF(G954="TL",1,IF(G954="USD",KURLAR!$C$9,IF(G954="EUR",KURLAR!$C$10,0))))</x:f>
      </x:c>
      <x:c r="L954" s="68" t="str">
        <x:f>IF(B954="","",I954*K954)</x:f>
      </x:c>
      <x:c r="M954" s="46"/>
      <x:c r="N954" s="52" t="str">
        <x:f>IF(B954="","",IF(OR(M954="Ödendi",M954="İptal"),"Hayır","Evet"))</x:f>
      </x:c>
    </x:row>
    <x:row r="955">
      <x:c r="B955" s="46"/>
      <x:c r="C955" s="46"/>
      <x:c r="D955" s="112"/>
      <x:c r="E955" s="112"/>
      <x:c r="F955" s="92"/>
      <x:c r="G955" s="92"/>
      <x:c r="H955" s="92"/>
      <x:c r="I955" s="93" t="str">
        <x:f>IF(B955="","",MAX(0,F955-H955))</x:f>
      </x:c>
      <x:c r="J955" s="46"/>
      <x:c r="K955" s="100" t="str">
        <x:f>IF(B955="","",IF(G955="TL",1,IF(G955="USD",KURLAR!$C$9,IF(G955="EUR",KURLAR!$C$10,0))))</x:f>
      </x:c>
      <x:c r="L955" s="68" t="str">
        <x:f>IF(B955="","",I955*K955)</x:f>
      </x:c>
      <x:c r="M955" s="46"/>
      <x:c r="N955" s="52" t="str">
        <x:f>IF(B955="","",IF(OR(M955="Ödendi",M955="İptal"),"Hayır","Evet"))</x:f>
      </x:c>
    </x:row>
    <x:row r="956">
      <x:c r="B956" s="46"/>
      <x:c r="C956" s="46"/>
      <x:c r="D956" s="112"/>
      <x:c r="E956" s="112"/>
      <x:c r="F956" s="92"/>
      <x:c r="G956" s="92"/>
      <x:c r="H956" s="92"/>
      <x:c r="I956" s="93" t="str">
        <x:f>IF(B956="","",MAX(0,F956-H956))</x:f>
      </x:c>
      <x:c r="J956" s="46"/>
      <x:c r="K956" s="100" t="str">
        <x:f>IF(B956="","",IF(G956="TL",1,IF(G956="USD",KURLAR!$C$9,IF(G956="EUR",KURLAR!$C$10,0))))</x:f>
      </x:c>
      <x:c r="L956" s="68" t="str">
        <x:f>IF(B956="","",I956*K956)</x:f>
      </x:c>
      <x:c r="M956" s="46"/>
      <x:c r="N956" s="52" t="str">
        <x:f>IF(B956="","",IF(OR(M956="Ödendi",M956="İptal"),"Hayır","Evet"))</x:f>
      </x:c>
    </x:row>
    <x:row r="957">
      <x:c r="B957" s="46"/>
      <x:c r="C957" s="46"/>
      <x:c r="D957" s="112"/>
      <x:c r="E957" s="112"/>
      <x:c r="F957" s="92"/>
      <x:c r="G957" s="92"/>
      <x:c r="H957" s="92"/>
      <x:c r="I957" s="93" t="str">
        <x:f>IF(B957="","",MAX(0,F957-H957))</x:f>
      </x:c>
      <x:c r="J957" s="46"/>
      <x:c r="K957" s="100" t="str">
        <x:f>IF(B957="","",IF(G957="TL",1,IF(G957="USD",KURLAR!$C$9,IF(G957="EUR",KURLAR!$C$10,0))))</x:f>
      </x:c>
      <x:c r="L957" s="68" t="str">
        <x:f>IF(B957="","",I957*K957)</x:f>
      </x:c>
      <x:c r="M957" s="46"/>
      <x:c r="N957" s="52" t="str">
        <x:f>IF(B957="","",IF(OR(M957="Ödendi",M957="İptal"),"Hayır","Evet"))</x:f>
      </x:c>
    </x:row>
    <x:row r="958">
      <x:c r="B958" s="46"/>
      <x:c r="C958" s="46"/>
      <x:c r="D958" s="112"/>
      <x:c r="E958" s="112"/>
      <x:c r="F958" s="92"/>
      <x:c r="G958" s="92"/>
      <x:c r="H958" s="92"/>
      <x:c r="I958" s="93" t="str">
        <x:f>IF(B958="","",MAX(0,F958-H958))</x:f>
      </x:c>
      <x:c r="J958" s="46"/>
      <x:c r="K958" s="100" t="str">
        <x:f>IF(B958="","",IF(G958="TL",1,IF(G958="USD",KURLAR!$C$9,IF(G958="EUR",KURLAR!$C$10,0))))</x:f>
      </x:c>
      <x:c r="L958" s="68" t="str">
        <x:f>IF(B958="","",I958*K958)</x:f>
      </x:c>
      <x:c r="M958" s="46"/>
      <x:c r="N958" s="52" t="str">
        <x:f>IF(B958="","",IF(OR(M958="Ödendi",M958="İptal"),"Hayır","Evet"))</x:f>
      </x:c>
    </x:row>
    <x:row r="959">
      <x:c r="B959" s="46"/>
      <x:c r="C959" s="46"/>
      <x:c r="D959" s="112"/>
      <x:c r="E959" s="112"/>
      <x:c r="F959" s="92"/>
      <x:c r="G959" s="92"/>
      <x:c r="H959" s="92"/>
      <x:c r="I959" s="93" t="str">
        <x:f>IF(B959="","",MAX(0,F959-H959))</x:f>
      </x:c>
      <x:c r="J959" s="46"/>
      <x:c r="K959" s="100" t="str">
        <x:f>IF(B959="","",IF(G959="TL",1,IF(G959="USD",KURLAR!$C$9,IF(G959="EUR",KURLAR!$C$10,0))))</x:f>
      </x:c>
      <x:c r="L959" s="68" t="str">
        <x:f>IF(B959="","",I959*K959)</x:f>
      </x:c>
      <x:c r="M959" s="46"/>
      <x:c r="N959" s="52" t="str">
        <x:f>IF(B959="","",IF(OR(M959="Ödendi",M959="İptal"),"Hayır","Evet"))</x:f>
      </x:c>
    </x:row>
    <x:row r="960">
      <x:c r="B960" s="46"/>
      <x:c r="C960" s="46"/>
      <x:c r="D960" s="112"/>
      <x:c r="E960" s="112"/>
      <x:c r="F960" s="92"/>
      <x:c r="G960" s="92"/>
      <x:c r="H960" s="92"/>
      <x:c r="I960" s="93" t="str">
        <x:f>IF(B960="","",MAX(0,F960-H960))</x:f>
      </x:c>
      <x:c r="J960" s="46"/>
      <x:c r="K960" s="100" t="str">
        <x:f>IF(B960="","",IF(G960="TL",1,IF(G960="USD",KURLAR!$C$9,IF(G960="EUR",KURLAR!$C$10,0))))</x:f>
      </x:c>
      <x:c r="L960" s="68" t="str">
        <x:f>IF(B960="","",I960*K960)</x:f>
      </x:c>
      <x:c r="M960" s="46"/>
      <x:c r="N960" s="52" t="str">
        <x:f>IF(B960="","",IF(OR(M960="Ödendi",M960="İptal"),"Hayır","Evet"))</x:f>
      </x:c>
    </x:row>
    <x:row r="961">
      <x:c r="B961" s="46"/>
      <x:c r="C961" s="46"/>
      <x:c r="D961" s="112"/>
      <x:c r="E961" s="112"/>
      <x:c r="F961" s="92"/>
      <x:c r="G961" s="92"/>
      <x:c r="H961" s="92"/>
      <x:c r="I961" s="93" t="str">
        <x:f>IF(B961="","",MAX(0,F961-H961))</x:f>
      </x:c>
      <x:c r="J961" s="46"/>
      <x:c r="K961" s="100" t="str">
        <x:f>IF(B961="","",IF(G961="TL",1,IF(G961="USD",KURLAR!$C$9,IF(G961="EUR",KURLAR!$C$10,0))))</x:f>
      </x:c>
      <x:c r="L961" s="68" t="str">
        <x:f>IF(B961="","",I961*K961)</x:f>
      </x:c>
      <x:c r="M961" s="46"/>
      <x:c r="N961" s="52" t="str">
        <x:f>IF(B961="","",IF(OR(M961="Ödendi",M961="İptal"),"Hayır","Evet"))</x:f>
      </x:c>
    </x:row>
    <x:row r="962">
      <x:c r="B962" s="46"/>
      <x:c r="C962" s="46"/>
      <x:c r="D962" s="112"/>
      <x:c r="E962" s="112"/>
      <x:c r="F962" s="92"/>
      <x:c r="G962" s="92"/>
      <x:c r="H962" s="92"/>
      <x:c r="I962" s="93" t="str">
        <x:f>IF(B962="","",MAX(0,F962-H962))</x:f>
      </x:c>
      <x:c r="J962" s="46"/>
      <x:c r="K962" s="100" t="str">
        <x:f>IF(B962="","",IF(G962="TL",1,IF(G962="USD",KURLAR!$C$9,IF(G962="EUR",KURLAR!$C$10,0))))</x:f>
      </x:c>
      <x:c r="L962" s="68" t="str">
        <x:f>IF(B962="","",I962*K962)</x:f>
      </x:c>
      <x:c r="M962" s="46"/>
      <x:c r="N962" s="52" t="str">
        <x:f>IF(B962="","",IF(OR(M962="Ödendi",M962="İptal"),"Hayır","Evet"))</x:f>
      </x:c>
    </x:row>
    <x:row r="963">
      <x:c r="B963" s="46"/>
      <x:c r="C963" s="46"/>
      <x:c r="D963" s="112"/>
      <x:c r="E963" s="112"/>
      <x:c r="F963" s="92"/>
      <x:c r="G963" s="92"/>
      <x:c r="H963" s="92"/>
      <x:c r="I963" s="93" t="str">
        <x:f>IF(B963="","",MAX(0,F963-H963))</x:f>
      </x:c>
      <x:c r="J963" s="46"/>
      <x:c r="K963" s="100" t="str">
        <x:f>IF(B963="","",IF(G963="TL",1,IF(G963="USD",KURLAR!$C$9,IF(G963="EUR",KURLAR!$C$10,0))))</x:f>
      </x:c>
      <x:c r="L963" s="68" t="str">
        <x:f>IF(B963="","",I963*K963)</x:f>
      </x:c>
      <x:c r="M963" s="46"/>
      <x:c r="N963" s="52" t="str">
        <x:f>IF(B963="","",IF(OR(M963="Ödendi",M963="İptal"),"Hayır","Evet"))</x:f>
      </x:c>
    </x:row>
    <x:row r="964">
      <x:c r="B964" s="46"/>
      <x:c r="C964" s="46"/>
      <x:c r="D964" s="112"/>
      <x:c r="E964" s="112"/>
      <x:c r="F964" s="92"/>
      <x:c r="G964" s="92"/>
      <x:c r="H964" s="92"/>
      <x:c r="I964" s="93" t="str">
        <x:f>IF(B964="","",MAX(0,F964-H964))</x:f>
      </x:c>
      <x:c r="J964" s="46"/>
      <x:c r="K964" s="100" t="str">
        <x:f>IF(B964="","",IF(G964="TL",1,IF(G964="USD",KURLAR!$C$9,IF(G964="EUR",KURLAR!$C$10,0))))</x:f>
      </x:c>
      <x:c r="L964" s="68" t="str">
        <x:f>IF(B964="","",I964*K964)</x:f>
      </x:c>
      <x:c r="M964" s="46"/>
      <x:c r="N964" s="52" t="str">
        <x:f>IF(B964="","",IF(OR(M964="Ödendi",M964="İptal"),"Hayır","Evet"))</x:f>
      </x:c>
    </x:row>
    <x:row r="965">
      <x:c r="B965" s="46"/>
      <x:c r="C965" s="46"/>
      <x:c r="D965" s="112"/>
      <x:c r="E965" s="112"/>
      <x:c r="F965" s="92"/>
      <x:c r="G965" s="92"/>
      <x:c r="H965" s="92"/>
      <x:c r="I965" s="93" t="str">
        <x:f>IF(B965="","",MAX(0,F965-H965))</x:f>
      </x:c>
      <x:c r="J965" s="46"/>
      <x:c r="K965" s="100" t="str">
        <x:f>IF(B965="","",IF(G965="TL",1,IF(G965="USD",KURLAR!$C$9,IF(G965="EUR",KURLAR!$C$10,0))))</x:f>
      </x:c>
      <x:c r="L965" s="68" t="str">
        <x:f>IF(B965="","",I965*K965)</x:f>
      </x:c>
      <x:c r="M965" s="46"/>
      <x:c r="N965" s="52" t="str">
        <x:f>IF(B965="","",IF(OR(M965="Ödendi",M965="İptal"),"Hayır","Evet"))</x:f>
      </x:c>
    </x:row>
    <x:row r="966">
      <x:c r="B966" s="46"/>
      <x:c r="C966" s="46"/>
      <x:c r="D966" s="112"/>
      <x:c r="E966" s="112"/>
      <x:c r="F966" s="92"/>
      <x:c r="G966" s="92"/>
      <x:c r="H966" s="92"/>
      <x:c r="I966" s="93" t="str">
        <x:f>IF(B966="","",MAX(0,F966-H966))</x:f>
      </x:c>
      <x:c r="J966" s="46"/>
      <x:c r="K966" s="100" t="str">
        <x:f>IF(B966="","",IF(G966="TL",1,IF(G966="USD",KURLAR!$C$9,IF(G966="EUR",KURLAR!$C$10,0))))</x:f>
      </x:c>
      <x:c r="L966" s="68" t="str">
        <x:f>IF(B966="","",I966*K966)</x:f>
      </x:c>
      <x:c r="M966" s="46"/>
      <x:c r="N966" s="52" t="str">
        <x:f>IF(B966="","",IF(OR(M966="Ödendi",M966="İptal"),"Hayır","Evet"))</x:f>
      </x:c>
    </x:row>
    <x:row r="967">
      <x:c r="B967" s="46"/>
      <x:c r="C967" s="46"/>
      <x:c r="D967" s="112"/>
      <x:c r="E967" s="112"/>
      <x:c r="F967" s="92"/>
      <x:c r="G967" s="92"/>
      <x:c r="H967" s="92"/>
      <x:c r="I967" s="93" t="str">
        <x:f>IF(B967="","",MAX(0,F967-H967))</x:f>
      </x:c>
      <x:c r="J967" s="46"/>
      <x:c r="K967" s="100" t="str">
        <x:f>IF(B967="","",IF(G967="TL",1,IF(G967="USD",KURLAR!$C$9,IF(G967="EUR",KURLAR!$C$10,0))))</x:f>
      </x:c>
      <x:c r="L967" s="68" t="str">
        <x:f>IF(B967="","",I967*K967)</x:f>
      </x:c>
      <x:c r="M967" s="46"/>
      <x:c r="N967" s="52" t="str">
        <x:f>IF(B967="","",IF(OR(M967="Ödendi",M967="İptal"),"Hayır","Evet"))</x:f>
      </x:c>
    </x:row>
    <x:row r="968">
      <x:c r="B968" s="46"/>
      <x:c r="C968" s="46"/>
      <x:c r="D968" s="112"/>
      <x:c r="E968" s="112"/>
      <x:c r="F968" s="92"/>
      <x:c r="G968" s="92"/>
      <x:c r="H968" s="92"/>
      <x:c r="I968" s="93" t="str">
        <x:f>IF(B968="","",MAX(0,F968-H968))</x:f>
      </x:c>
      <x:c r="J968" s="46"/>
      <x:c r="K968" s="100" t="str">
        <x:f>IF(B968="","",IF(G968="TL",1,IF(G968="USD",KURLAR!$C$9,IF(G968="EUR",KURLAR!$C$10,0))))</x:f>
      </x:c>
      <x:c r="L968" s="68" t="str">
        <x:f>IF(B968="","",I968*K968)</x:f>
      </x:c>
      <x:c r="M968" s="46"/>
      <x:c r="N968" s="52" t="str">
        <x:f>IF(B968="","",IF(OR(M968="Ödendi",M968="İptal"),"Hayır","Evet"))</x:f>
      </x:c>
    </x:row>
    <x:row r="969">
      <x:c r="B969" s="46"/>
      <x:c r="C969" s="46"/>
      <x:c r="D969" s="112"/>
      <x:c r="E969" s="112"/>
      <x:c r="F969" s="92"/>
      <x:c r="G969" s="92"/>
      <x:c r="H969" s="92"/>
      <x:c r="I969" s="93" t="str">
        <x:f>IF(B969="","",MAX(0,F969-H969))</x:f>
      </x:c>
      <x:c r="J969" s="46"/>
      <x:c r="K969" s="100" t="str">
        <x:f>IF(B969="","",IF(G969="TL",1,IF(G969="USD",KURLAR!$C$9,IF(G969="EUR",KURLAR!$C$10,0))))</x:f>
      </x:c>
      <x:c r="L969" s="68" t="str">
        <x:f>IF(B969="","",I969*K969)</x:f>
      </x:c>
      <x:c r="M969" s="46"/>
      <x:c r="N969" s="52" t="str">
        <x:f>IF(B969="","",IF(OR(M969="Ödendi",M969="İptal"),"Hayır","Evet"))</x:f>
      </x:c>
    </x:row>
    <x:row r="970">
      <x:c r="B970" s="46"/>
      <x:c r="C970" s="46"/>
      <x:c r="D970" s="112"/>
      <x:c r="E970" s="112"/>
      <x:c r="F970" s="92"/>
      <x:c r="G970" s="92"/>
      <x:c r="H970" s="92"/>
      <x:c r="I970" s="93" t="str">
        <x:f>IF(B970="","",MAX(0,F970-H970))</x:f>
      </x:c>
      <x:c r="J970" s="46"/>
      <x:c r="K970" s="100" t="str">
        <x:f>IF(B970="","",IF(G970="TL",1,IF(G970="USD",KURLAR!$C$9,IF(G970="EUR",KURLAR!$C$10,0))))</x:f>
      </x:c>
      <x:c r="L970" s="68" t="str">
        <x:f>IF(B970="","",I970*K970)</x:f>
      </x:c>
      <x:c r="M970" s="46"/>
      <x:c r="N970" s="52" t="str">
        <x:f>IF(B970="","",IF(OR(M970="Ödendi",M970="İptal"),"Hayır","Evet"))</x:f>
      </x:c>
    </x:row>
    <x:row r="971">
      <x:c r="B971" s="46"/>
      <x:c r="C971" s="46"/>
      <x:c r="D971" s="112"/>
      <x:c r="E971" s="112"/>
      <x:c r="F971" s="92"/>
      <x:c r="G971" s="92"/>
      <x:c r="H971" s="92"/>
      <x:c r="I971" s="93" t="str">
        <x:f>IF(B971="","",MAX(0,F971-H971))</x:f>
      </x:c>
      <x:c r="J971" s="46"/>
      <x:c r="K971" s="100" t="str">
        <x:f>IF(B971="","",IF(G971="TL",1,IF(G971="USD",KURLAR!$C$9,IF(G971="EUR",KURLAR!$C$10,0))))</x:f>
      </x:c>
      <x:c r="L971" s="68" t="str">
        <x:f>IF(B971="","",I971*K971)</x:f>
      </x:c>
      <x:c r="M971" s="46"/>
      <x:c r="N971" s="52" t="str">
        <x:f>IF(B971="","",IF(OR(M971="Ödendi",M971="İptal"),"Hayır","Evet"))</x:f>
      </x:c>
    </x:row>
    <x:row r="972">
      <x:c r="B972" s="46"/>
      <x:c r="C972" s="46"/>
      <x:c r="D972" s="112"/>
      <x:c r="E972" s="112"/>
      <x:c r="F972" s="92"/>
      <x:c r="G972" s="92"/>
      <x:c r="H972" s="92"/>
      <x:c r="I972" s="93" t="str">
        <x:f>IF(B972="","",MAX(0,F972-H972))</x:f>
      </x:c>
      <x:c r="J972" s="46"/>
      <x:c r="K972" s="100" t="str">
        <x:f>IF(B972="","",IF(G972="TL",1,IF(G972="USD",KURLAR!$C$9,IF(G972="EUR",KURLAR!$C$10,0))))</x:f>
      </x:c>
      <x:c r="L972" s="68" t="str">
        <x:f>IF(B972="","",I972*K972)</x:f>
      </x:c>
      <x:c r="M972" s="46"/>
      <x:c r="N972" s="52" t="str">
        <x:f>IF(B972="","",IF(OR(M972="Ödendi",M972="İptal"),"Hayır","Evet"))</x:f>
      </x:c>
    </x:row>
    <x:row r="973">
      <x:c r="B973" s="46"/>
      <x:c r="C973" s="46"/>
      <x:c r="D973" s="112"/>
      <x:c r="E973" s="112"/>
      <x:c r="F973" s="92"/>
      <x:c r="G973" s="92"/>
      <x:c r="H973" s="92"/>
      <x:c r="I973" s="93" t="str">
        <x:f>IF(B973="","",MAX(0,F973-H973))</x:f>
      </x:c>
      <x:c r="J973" s="46"/>
      <x:c r="K973" s="100" t="str">
        <x:f>IF(B973="","",IF(G973="TL",1,IF(G973="USD",KURLAR!$C$9,IF(G973="EUR",KURLAR!$C$10,0))))</x:f>
      </x:c>
      <x:c r="L973" s="68" t="str">
        <x:f>IF(B973="","",I973*K973)</x:f>
      </x:c>
      <x:c r="M973" s="46"/>
      <x:c r="N973" s="52" t="str">
        <x:f>IF(B973="","",IF(OR(M973="Ödendi",M973="İptal"),"Hayır","Evet"))</x:f>
      </x:c>
    </x:row>
    <x:row r="974">
      <x:c r="B974" s="46"/>
      <x:c r="C974" s="46"/>
      <x:c r="D974" s="112"/>
      <x:c r="E974" s="112"/>
      <x:c r="F974" s="92"/>
      <x:c r="G974" s="92"/>
      <x:c r="H974" s="92"/>
      <x:c r="I974" s="93" t="str">
        <x:f>IF(B974="","",MAX(0,F974-H974))</x:f>
      </x:c>
      <x:c r="J974" s="46"/>
      <x:c r="K974" s="100" t="str">
        <x:f>IF(B974="","",IF(G974="TL",1,IF(G974="USD",KURLAR!$C$9,IF(G974="EUR",KURLAR!$C$10,0))))</x:f>
      </x:c>
      <x:c r="L974" s="68" t="str">
        <x:f>IF(B974="","",I974*K974)</x:f>
      </x:c>
      <x:c r="M974" s="46"/>
      <x:c r="N974" s="52" t="str">
        <x:f>IF(B974="","",IF(OR(M974="Ödendi",M974="İptal"),"Hayır","Evet"))</x:f>
      </x:c>
    </x:row>
    <x:row r="975">
      <x:c r="B975" s="46"/>
      <x:c r="C975" s="46"/>
      <x:c r="D975" s="112"/>
      <x:c r="E975" s="112"/>
      <x:c r="F975" s="92"/>
      <x:c r="G975" s="92"/>
      <x:c r="H975" s="92"/>
      <x:c r="I975" s="93" t="str">
        <x:f>IF(B975="","",MAX(0,F975-H975))</x:f>
      </x:c>
      <x:c r="J975" s="46"/>
      <x:c r="K975" s="100" t="str">
        <x:f>IF(B975="","",IF(G975="TL",1,IF(G975="USD",KURLAR!$C$9,IF(G975="EUR",KURLAR!$C$10,0))))</x:f>
      </x:c>
      <x:c r="L975" s="68" t="str">
        <x:f>IF(B975="","",I975*K975)</x:f>
      </x:c>
      <x:c r="M975" s="46"/>
      <x:c r="N975" s="52" t="str">
        <x:f>IF(B975="","",IF(OR(M975="Ödendi",M975="İptal"),"Hayır","Evet"))</x:f>
      </x:c>
    </x:row>
    <x:row r="976">
      <x:c r="B976" s="46"/>
      <x:c r="C976" s="46"/>
      <x:c r="D976" s="112"/>
      <x:c r="E976" s="112"/>
      <x:c r="F976" s="92"/>
      <x:c r="G976" s="92"/>
      <x:c r="H976" s="92"/>
      <x:c r="I976" s="93" t="str">
        <x:f>IF(B976="","",MAX(0,F976-H976))</x:f>
      </x:c>
      <x:c r="J976" s="46"/>
      <x:c r="K976" s="100" t="str">
        <x:f>IF(B976="","",IF(G976="TL",1,IF(G976="USD",KURLAR!$C$9,IF(G976="EUR",KURLAR!$C$10,0))))</x:f>
      </x:c>
      <x:c r="L976" s="68" t="str">
        <x:f>IF(B976="","",I976*K976)</x:f>
      </x:c>
      <x:c r="M976" s="46"/>
      <x:c r="N976" s="52" t="str">
        <x:f>IF(B976="","",IF(OR(M976="Ödendi",M976="İptal"),"Hayır","Evet"))</x:f>
      </x:c>
    </x:row>
    <x:row r="977">
      <x:c r="B977" s="46"/>
      <x:c r="C977" s="46"/>
      <x:c r="D977" s="112"/>
      <x:c r="E977" s="112"/>
      <x:c r="F977" s="92"/>
      <x:c r="G977" s="92"/>
      <x:c r="H977" s="92"/>
      <x:c r="I977" s="93" t="str">
        <x:f>IF(B977="","",MAX(0,F977-H977))</x:f>
      </x:c>
      <x:c r="J977" s="46"/>
      <x:c r="K977" s="100" t="str">
        <x:f>IF(B977="","",IF(G977="TL",1,IF(G977="USD",KURLAR!$C$9,IF(G977="EUR",KURLAR!$C$10,0))))</x:f>
      </x:c>
      <x:c r="L977" s="68" t="str">
        <x:f>IF(B977="","",I977*K977)</x:f>
      </x:c>
      <x:c r="M977" s="46"/>
      <x:c r="N977" s="52" t="str">
        <x:f>IF(B977="","",IF(OR(M977="Ödendi",M977="İptal"),"Hayır","Evet"))</x:f>
      </x:c>
    </x:row>
    <x:row r="978">
      <x:c r="B978" s="46"/>
      <x:c r="C978" s="46"/>
      <x:c r="D978" s="112"/>
      <x:c r="E978" s="112"/>
      <x:c r="F978" s="92"/>
      <x:c r="G978" s="92"/>
      <x:c r="H978" s="92"/>
      <x:c r="I978" s="93" t="str">
        <x:f>IF(B978="","",MAX(0,F978-H978))</x:f>
      </x:c>
      <x:c r="J978" s="46"/>
      <x:c r="K978" s="100" t="str">
        <x:f>IF(B978="","",IF(G978="TL",1,IF(G978="USD",KURLAR!$C$9,IF(G978="EUR",KURLAR!$C$10,0))))</x:f>
      </x:c>
      <x:c r="L978" s="68" t="str">
        <x:f>IF(B978="","",I978*K978)</x:f>
      </x:c>
      <x:c r="M978" s="46"/>
      <x:c r="N978" s="52" t="str">
        <x:f>IF(B978="","",IF(OR(M978="Ödendi",M978="İptal"),"Hayır","Evet"))</x:f>
      </x:c>
    </x:row>
    <x:row r="979">
      <x:c r="B979" s="46"/>
      <x:c r="C979" s="46"/>
      <x:c r="D979" s="112"/>
      <x:c r="E979" s="112"/>
      <x:c r="F979" s="92"/>
      <x:c r="G979" s="92"/>
      <x:c r="H979" s="92"/>
      <x:c r="I979" s="93" t="str">
        <x:f>IF(B979="","",MAX(0,F979-H979))</x:f>
      </x:c>
      <x:c r="J979" s="46"/>
      <x:c r="K979" s="100" t="str">
        <x:f>IF(B979="","",IF(G979="TL",1,IF(G979="USD",KURLAR!$C$9,IF(G979="EUR",KURLAR!$C$10,0))))</x:f>
      </x:c>
      <x:c r="L979" s="68" t="str">
        <x:f>IF(B979="","",I979*K979)</x:f>
      </x:c>
      <x:c r="M979" s="46"/>
      <x:c r="N979" s="52" t="str">
        <x:f>IF(B979="","",IF(OR(M979="Ödendi",M979="İptal"),"Hayır","Evet"))</x:f>
      </x:c>
    </x:row>
    <x:row r="980">
      <x:c r="B980" s="46"/>
      <x:c r="C980" s="46"/>
      <x:c r="D980" s="112"/>
      <x:c r="E980" s="112"/>
      <x:c r="F980" s="92"/>
      <x:c r="G980" s="92"/>
      <x:c r="H980" s="92"/>
      <x:c r="I980" s="93" t="str">
        <x:f>IF(B980="","",MAX(0,F980-H980))</x:f>
      </x:c>
      <x:c r="J980" s="46"/>
      <x:c r="K980" s="100" t="str">
        <x:f>IF(B980="","",IF(G980="TL",1,IF(G980="USD",KURLAR!$C$9,IF(G980="EUR",KURLAR!$C$10,0))))</x:f>
      </x:c>
      <x:c r="L980" s="68" t="str">
        <x:f>IF(B980="","",I980*K980)</x:f>
      </x:c>
      <x:c r="M980" s="46"/>
      <x:c r="N980" s="52" t="str">
        <x:f>IF(B980="","",IF(OR(M980="Ödendi",M980="İptal"),"Hayır","Evet"))</x:f>
      </x:c>
    </x:row>
    <x:row r="981">
      <x:c r="B981" s="46"/>
      <x:c r="C981" s="46"/>
      <x:c r="D981" s="112"/>
      <x:c r="E981" s="112"/>
      <x:c r="F981" s="92"/>
      <x:c r="G981" s="92"/>
      <x:c r="H981" s="92"/>
      <x:c r="I981" s="93" t="str">
        <x:f>IF(B981="","",MAX(0,F981-H981))</x:f>
      </x:c>
      <x:c r="J981" s="46"/>
      <x:c r="K981" s="100" t="str">
        <x:f>IF(B981="","",IF(G981="TL",1,IF(G981="USD",KURLAR!$C$9,IF(G981="EUR",KURLAR!$C$10,0))))</x:f>
      </x:c>
      <x:c r="L981" s="68" t="str">
        <x:f>IF(B981="","",I981*K981)</x:f>
      </x:c>
      <x:c r="M981" s="46"/>
      <x:c r="N981" s="52" t="str">
        <x:f>IF(B981="","",IF(OR(M981="Ödendi",M981="İptal"),"Hayır","Evet"))</x:f>
      </x:c>
    </x:row>
    <x:row r="982">
      <x:c r="B982" s="46"/>
      <x:c r="C982" s="46"/>
      <x:c r="D982" s="112"/>
      <x:c r="E982" s="112"/>
      <x:c r="F982" s="92"/>
      <x:c r="G982" s="92"/>
      <x:c r="H982" s="92"/>
      <x:c r="I982" s="93" t="str">
        <x:f>IF(B982="","",MAX(0,F982-H982))</x:f>
      </x:c>
      <x:c r="J982" s="46"/>
      <x:c r="K982" s="100" t="str">
        <x:f>IF(B982="","",IF(G982="TL",1,IF(G982="USD",KURLAR!$C$9,IF(G982="EUR",KURLAR!$C$10,0))))</x:f>
      </x:c>
      <x:c r="L982" s="68" t="str">
        <x:f>IF(B982="","",I982*K982)</x:f>
      </x:c>
      <x:c r="M982" s="46"/>
      <x:c r="N982" s="52" t="str">
        <x:f>IF(B982="","",IF(OR(M982="Ödendi",M982="İptal"),"Hayır","Evet"))</x:f>
      </x:c>
    </x:row>
    <x:row r="983">
      <x:c r="B983" s="46"/>
      <x:c r="C983" s="46"/>
      <x:c r="D983" s="112"/>
      <x:c r="E983" s="112"/>
      <x:c r="F983" s="92"/>
      <x:c r="G983" s="92"/>
      <x:c r="H983" s="92"/>
      <x:c r="I983" s="93" t="str">
        <x:f>IF(B983="","",MAX(0,F983-H983))</x:f>
      </x:c>
      <x:c r="J983" s="46"/>
      <x:c r="K983" s="100" t="str">
        <x:f>IF(B983="","",IF(G983="TL",1,IF(G983="USD",KURLAR!$C$9,IF(G983="EUR",KURLAR!$C$10,0))))</x:f>
      </x:c>
      <x:c r="L983" s="68" t="str">
        <x:f>IF(B983="","",I983*K983)</x:f>
      </x:c>
      <x:c r="M983" s="46"/>
      <x:c r="N983" s="52" t="str">
        <x:f>IF(B983="","",IF(OR(M983="Ödendi",M983="İptal"),"Hayır","Evet"))</x:f>
      </x:c>
    </x:row>
    <x:row r="984">
      <x:c r="B984" s="46"/>
      <x:c r="C984" s="46"/>
      <x:c r="D984" s="112"/>
      <x:c r="E984" s="112"/>
      <x:c r="F984" s="92"/>
      <x:c r="G984" s="92"/>
      <x:c r="H984" s="92"/>
      <x:c r="I984" s="93" t="str">
        <x:f>IF(B984="","",MAX(0,F984-H984))</x:f>
      </x:c>
      <x:c r="J984" s="46"/>
      <x:c r="K984" s="100" t="str">
        <x:f>IF(B984="","",IF(G984="TL",1,IF(G984="USD",KURLAR!$C$9,IF(G984="EUR",KURLAR!$C$10,0))))</x:f>
      </x:c>
      <x:c r="L984" s="68" t="str">
        <x:f>IF(B984="","",I984*K984)</x:f>
      </x:c>
      <x:c r="M984" s="46"/>
      <x:c r="N984" s="52" t="str">
        <x:f>IF(B984="","",IF(OR(M984="Ödendi",M984="İptal"),"Hayır","Evet"))</x:f>
      </x:c>
    </x:row>
    <x:row r="985">
      <x:c r="B985" s="46"/>
      <x:c r="C985" s="46"/>
      <x:c r="D985" s="112"/>
      <x:c r="E985" s="112"/>
      <x:c r="F985" s="92"/>
      <x:c r="G985" s="92"/>
      <x:c r="H985" s="92"/>
      <x:c r="I985" s="93" t="str">
        <x:f>IF(B985="","",MAX(0,F985-H985))</x:f>
      </x:c>
      <x:c r="J985" s="46"/>
      <x:c r="K985" s="100" t="str">
        <x:f>IF(B985="","",IF(G985="TL",1,IF(G985="USD",KURLAR!$C$9,IF(G985="EUR",KURLAR!$C$10,0))))</x:f>
      </x:c>
      <x:c r="L985" s="68" t="str">
        <x:f>IF(B985="","",I985*K985)</x:f>
      </x:c>
      <x:c r="M985" s="46"/>
      <x:c r="N985" s="52" t="str">
        <x:f>IF(B985="","",IF(OR(M985="Ödendi",M985="İptal"),"Hayır","Evet"))</x:f>
      </x:c>
    </x:row>
    <x:row r="986">
      <x:c r="B986" s="46"/>
      <x:c r="C986" s="46"/>
      <x:c r="D986" s="112"/>
      <x:c r="E986" s="112"/>
      <x:c r="F986" s="92"/>
      <x:c r="G986" s="92"/>
      <x:c r="H986" s="92"/>
      <x:c r="I986" s="93" t="str">
        <x:f>IF(B986="","",MAX(0,F986-H986))</x:f>
      </x:c>
      <x:c r="J986" s="46"/>
      <x:c r="K986" s="100" t="str">
        <x:f>IF(B986="","",IF(G986="TL",1,IF(G986="USD",KURLAR!$C$9,IF(G986="EUR",KURLAR!$C$10,0))))</x:f>
      </x:c>
      <x:c r="L986" s="68" t="str">
        <x:f>IF(B986="","",I986*K986)</x:f>
      </x:c>
      <x:c r="M986" s="46"/>
      <x:c r="N986" s="52" t="str">
        <x:f>IF(B986="","",IF(OR(M986="Ödendi",M986="İptal"),"Hayır","Evet"))</x:f>
      </x:c>
    </x:row>
    <x:row r="987">
      <x:c r="B987" s="46"/>
      <x:c r="C987" s="46"/>
      <x:c r="D987" s="112"/>
      <x:c r="E987" s="112"/>
      <x:c r="F987" s="92"/>
      <x:c r="G987" s="92"/>
      <x:c r="H987" s="92"/>
      <x:c r="I987" s="93" t="str">
        <x:f>IF(B987="","",MAX(0,F987-H987))</x:f>
      </x:c>
      <x:c r="J987" s="46"/>
      <x:c r="K987" s="100" t="str">
        <x:f>IF(B987="","",IF(G987="TL",1,IF(G987="USD",KURLAR!$C$9,IF(G987="EUR",KURLAR!$C$10,0))))</x:f>
      </x:c>
      <x:c r="L987" s="68" t="str">
        <x:f>IF(B987="","",I987*K987)</x:f>
      </x:c>
      <x:c r="M987" s="46"/>
      <x:c r="N987" s="52" t="str">
        <x:f>IF(B987="","",IF(OR(M987="Ödendi",M987="İptal"),"Hayır","Evet"))</x:f>
      </x:c>
    </x:row>
    <x:row r="988">
      <x:c r="B988" s="46"/>
      <x:c r="C988" s="46"/>
      <x:c r="D988" s="112"/>
      <x:c r="E988" s="112"/>
      <x:c r="F988" s="92"/>
      <x:c r="G988" s="92"/>
      <x:c r="H988" s="92"/>
      <x:c r="I988" s="93" t="str">
        <x:f>IF(B988="","",MAX(0,F988-H988))</x:f>
      </x:c>
      <x:c r="J988" s="46"/>
      <x:c r="K988" s="100" t="str">
        <x:f>IF(B988="","",IF(G988="TL",1,IF(G988="USD",KURLAR!$C$9,IF(G988="EUR",KURLAR!$C$10,0))))</x:f>
      </x:c>
      <x:c r="L988" s="68" t="str">
        <x:f>IF(B988="","",I988*K988)</x:f>
      </x:c>
      <x:c r="M988" s="46"/>
      <x:c r="N988" s="52" t="str">
        <x:f>IF(B988="","",IF(OR(M988="Ödendi",M988="İptal"),"Hayır","Evet"))</x:f>
      </x:c>
    </x:row>
    <x:row r="989">
      <x:c r="B989" s="46"/>
      <x:c r="C989" s="46"/>
      <x:c r="D989" s="112"/>
      <x:c r="E989" s="112"/>
      <x:c r="F989" s="92"/>
      <x:c r="G989" s="92"/>
      <x:c r="H989" s="92"/>
      <x:c r="I989" s="93" t="str">
        <x:f>IF(B989="","",MAX(0,F989-H989))</x:f>
      </x:c>
      <x:c r="J989" s="46"/>
      <x:c r="K989" s="100" t="str">
        <x:f>IF(B989="","",IF(G989="TL",1,IF(G989="USD",KURLAR!$C$9,IF(G989="EUR",KURLAR!$C$10,0))))</x:f>
      </x:c>
      <x:c r="L989" s="68" t="str">
        <x:f>IF(B989="","",I989*K989)</x:f>
      </x:c>
      <x:c r="M989" s="46"/>
      <x:c r="N989" s="52" t="str">
        <x:f>IF(B989="","",IF(OR(M989="Ödendi",M989="İptal"),"Hayır","Evet"))</x:f>
      </x:c>
    </x:row>
    <x:row r="990">
      <x:c r="B990" s="46"/>
      <x:c r="C990" s="46"/>
      <x:c r="D990" s="112"/>
      <x:c r="E990" s="112"/>
      <x:c r="F990" s="92"/>
      <x:c r="G990" s="92"/>
      <x:c r="H990" s="92"/>
      <x:c r="I990" s="93" t="str">
        <x:f>IF(B990="","",MAX(0,F990-H990))</x:f>
      </x:c>
      <x:c r="J990" s="46"/>
      <x:c r="K990" s="100" t="str">
        <x:f>IF(B990="","",IF(G990="TL",1,IF(G990="USD",KURLAR!$C$9,IF(G990="EUR",KURLAR!$C$10,0))))</x:f>
      </x:c>
      <x:c r="L990" s="68" t="str">
        <x:f>IF(B990="","",I990*K990)</x:f>
      </x:c>
      <x:c r="M990" s="46"/>
      <x:c r="N990" s="52" t="str">
        <x:f>IF(B990="","",IF(OR(M990="Ödendi",M990="İptal"),"Hayır","Evet"))</x:f>
      </x:c>
    </x:row>
    <x:row r="991">
      <x:c r="B991" s="46"/>
      <x:c r="C991" s="46"/>
      <x:c r="D991" s="112"/>
      <x:c r="E991" s="112"/>
      <x:c r="F991" s="92"/>
      <x:c r="G991" s="92"/>
      <x:c r="H991" s="92"/>
      <x:c r="I991" s="93" t="str">
        <x:f>IF(B991="","",MAX(0,F991-H991))</x:f>
      </x:c>
      <x:c r="J991" s="46"/>
      <x:c r="K991" s="100" t="str">
        <x:f>IF(B991="","",IF(G991="TL",1,IF(G991="USD",KURLAR!$C$9,IF(G991="EUR",KURLAR!$C$10,0))))</x:f>
      </x:c>
      <x:c r="L991" s="68" t="str">
        <x:f>IF(B991="","",I991*K991)</x:f>
      </x:c>
      <x:c r="M991" s="46"/>
      <x:c r="N991" s="52" t="str">
        <x:f>IF(B991="","",IF(OR(M991="Ödendi",M991="İptal"),"Hayır","Evet"))</x:f>
      </x:c>
    </x:row>
    <x:row r="992">
      <x:c r="B992" s="46"/>
      <x:c r="C992" s="46"/>
      <x:c r="D992" s="112"/>
      <x:c r="E992" s="112"/>
      <x:c r="F992" s="92"/>
      <x:c r="G992" s="92"/>
      <x:c r="H992" s="92"/>
      <x:c r="I992" s="93" t="str">
        <x:f>IF(B992="","",MAX(0,F992-H992))</x:f>
      </x:c>
      <x:c r="J992" s="46"/>
      <x:c r="K992" s="100" t="str">
        <x:f>IF(B992="","",IF(G992="TL",1,IF(G992="USD",KURLAR!$C$9,IF(G992="EUR",KURLAR!$C$10,0))))</x:f>
      </x:c>
      <x:c r="L992" s="68" t="str">
        <x:f>IF(B992="","",I992*K992)</x:f>
      </x:c>
      <x:c r="M992" s="46"/>
      <x:c r="N992" s="52" t="str">
        <x:f>IF(B992="","",IF(OR(M992="Ödendi",M992="İptal"),"Hayır","Evet"))</x:f>
      </x:c>
    </x:row>
    <x:row r="993">
      <x:c r="B993" s="46"/>
      <x:c r="C993" s="46"/>
      <x:c r="D993" s="112"/>
      <x:c r="E993" s="112"/>
      <x:c r="F993" s="92"/>
      <x:c r="G993" s="92"/>
      <x:c r="H993" s="92"/>
      <x:c r="I993" s="93" t="str">
        <x:f>IF(B993="","",MAX(0,F993-H993))</x:f>
      </x:c>
      <x:c r="J993" s="46"/>
      <x:c r="K993" s="100" t="str">
        <x:f>IF(B993="","",IF(G993="TL",1,IF(G993="USD",KURLAR!$C$9,IF(G993="EUR",KURLAR!$C$10,0))))</x:f>
      </x:c>
      <x:c r="L993" s="68" t="str">
        <x:f>IF(B993="","",I993*K993)</x:f>
      </x:c>
      <x:c r="M993" s="46"/>
      <x:c r="N993" s="52" t="str">
        <x:f>IF(B993="","",IF(OR(M993="Ödendi",M993="İptal"),"Hayır","Evet"))</x:f>
      </x:c>
    </x:row>
    <x:row r="994">
      <x:c r="B994" s="46"/>
      <x:c r="C994" s="46"/>
      <x:c r="D994" s="112"/>
      <x:c r="E994" s="112"/>
      <x:c r="F994" s="92"/>
      <x:c r="G994" s="92"/>
      <x:c r="H994" s="92"/>
      <x:c r="I994" s="93" t="str">
        <x:f>IF(B994="","",MAX(0,F994-H994))</x:f>
      </x:c>
      <x:c r="J994" s="46"/>
      <x:c r="K994" s="100" t="str">
        <x:f>IF(B994="","",IF(G994="TL",1,IF(G994="USD",KURLAR!$C$9,IF(G994="EUR",KURLAR!$C$10,0))))</x:f>
      </x:c>
      <x:c r="L994" s="68" t="str">
        <x:f>IF(B994="","",I994*K994)</x:f>
      </x:c>
      <x:c r="M994" s="46"/>
      <x:c r="N994" s="52" t="str">
        <x:f>IF(B994="","",IF(OR(M994="Ödendi",M994="İptal"),"Hayır","Evet"))</x:f>
      </x:c>
    </x:row>
    <x:row r="995">
      <x:c r="B995" s="46"/>
      <x:c r="C995" s="46"/>
      <x:c r="D995" s="112"/>
      <x:c r="E995" s="112"/>
      <x:c r="F995" s="92"/>
      <x:c r="G995" s="92"/>
      <x:c r="H995" s="92"/>
      <x:c r="I995" s="93" t="str">
        <x:f>IF(B995="","",MAX(0,F995-H995))</x:f>
      </x:c>
      <x:c r="J995" s="46"/>
      <x:c r="K995" s="100" t="str">
        <x:f>IF(B995="","",IF(G995="TL",1,IF(G995="USD",KURLAR!$C$9,IF(G995="EUR",KURLAR!$C$10,0))))</x:f>
      </x:c>
      <x:c r="L995" s="68" t="str">
        <x:f>IF(B995="","",I995*K995)</x:f>
      </x:c>
      <x:c r="M995" s="46"/>
      <x:c r="N995" s="52" t="str">
        <x:f>IF(B995="","",IF(OR(M995="Ödendi",M995="İptal"),"Hayır","Evet"))</x:f>
      </x:c>
    </x:row>
    <x:row r="996">
      <x:c r="B996" s="46"/>
      <x:c r="C996" s="46"/>
      <x:c r="D996" s="112"/>
      <x:c r="E996" s="112"/>
      <x:c r="F996" s="92"/>
      <x:c r="G996" s="92"/>
      <x:c r="H996" s="92"/>
      <x:c r="I996" s="93" t="str">
        <x:f>IF(B996="","",MAX(0,F996-H996))</x:f>
      </x:c>
      <x:c r="J996" s="46"/>
      <x:c r="K996" s="100" t="str">
        <x:f>IF(B996="","",IF(G996="TL",1,IF(G996="USD",KURLAR!$C$9,IF(G996="EUR",KURLAR!$C$10,0))))</x:f>
      </x:c>
      <x:c r="L996" s="68" t="str">
        <x:f>IF(B996="","",I996*K996)</x:f>
      </x:c>
      <x:c r="M996" s="46"/>
      <x:c r="N996" s="52" t="str">
        <x:f>IF(B996="","",IF(OR(M996="Ödendi",M996="İptal"),"Hayır","Evet"))</x:f>
      </x:c>
    </x:row>
    <x:row r="997">
      <x:c r="B997" s="46"/>
      <x:c r="C997" s="46"/>
      <x:c r="D997" s="112"/>
      <x:c r="E997" s="112"/>
      <x:c r="F997" s="92"/>
      <x:c r="G997" s="92"/>
      <x:c r="H997" s="92"/>
      <x:c r="I997" s="93" t="str">
        <x:f>IF(B997="","",MAX(0,F997-H997))</x:f>
      </x:c>
      <x:c r="J997" s="46"/>
      <x:c r="K997" s="100" t="str">
        <x:f>IF(B997="","",IF(G997="TL",1,IF(G997="USD",KURLAR!$C$9,IF(G997="EUR",KURLAR!$C$10,0))))</x:f>
      </x:c>
      <x:c r="L997" s="68" t="str">
        <x:f>IF(B997="","",I997*K997)</x:f>
      </x:c>
      <x:c r="M997" s="46"/>
      <x:c r="N997" s="52" t="str">
        <x:f>IF(B997="","",IF(OR(M997="Ödendi",M997="İptal"),"Hayır","Evet"))</x:f>
      </x:c>
    </x:row>
    <x:row r="998">
      <x:c r="B998" s="46"/>
      <x:c r="C998" s="46"/>
      <x:c r="D998" s="112"/>
      <x:c r="E998" s="112"/>
      <x:c r="F998" s="92"/>
      <x:c r="G998" s="92"/>
      <x:c r="H998" s="92"/>
      <x:c r="I998" s="93" t="str">
        <x:f>IF(B998="","",MAX(0,F998-H998))</x:f>
      </x:c>
      <x:c r="J998" s="46"/>
      <x:c r="K998" s="100" t="str">
        <x:f>IF(B998="","",IF(G998="TL",1,IF(G998="USD",KURLAR!$C$9,IF(G998="EUR",KURLAR!$C$10,0))))</x:f>
      </x:c>
      <x:c r="L998" s="68" t="str">
        <x:f>IF(B998="","",I998*K998)</x:f>
      </x:c>
      <x:c r="M998" s="46"/>
      <x:c r="N998" s="52" t="str">
        <x:f>IF(B998="","",IF(OR(M998="Ödendi",M998="İptal"),"Hayır","Evet"))</x:f>
      </x:c>
    </x:row>
    <x:row r="999">
      <x:c r="B999" s="46"/>
      <x:c r="C999" s="46"/>
      <x:c r="D999" s="112"/>
      <x:c r="E999" s="112"/>
      <x:c r="F999" s="92"/>
      <x:c r="G999" s="92"/>
      <x:c r="H999" s="92"/>
      <x:c r="I999" s="93" t="str">
        <x:f>IF(B999="","",MAX(0,F999-H999))</x:f>
      </x:c>
      <x:c r="J999" s="46"/>
      <x:c r="K999" s="100" t="str">
        <x:f>IF(B999="","",IF(G999="TL",1,IF(G999="USD",KURLAR!$C$9,IF(G999="EUR",KURLAR!$C$10,0))))</x:f>
      </x:c>
      <x:c r="L999" s="68" t="str">
        <x:f>IF(B999="","",I999*K999)</x:f>
      </x:c>
      <x:c r="M999" s="46"/>
      <x:c r="N999" s="52" t="str">
        <x:f>IF(B999="","",IF(OR(M999="Ödendi",M999="İptal"),"Hayır","Evet"))</x:f>
      </x:c>
    </x:row>
    <x:row r="1000">
      <x:c r="B1000" s="46"/>
      <x:c r="C1000" s="46"/>
      <x:c r="D1000" s="112"/>
      <x:c r="E1000" s="112"/>
      <x:c r="F1000" s="92"/>
      <x:c r="G1000" s="92"/>
      <x:c r="H1000" s="92"/>
      <x:c r="I1000" s="93" t="str">
        <x:f>IF(B1000="","",MAX(0,F1000-H1000))</x:f>
      </x:c>
      <x:c r="J1000" s="46"/>
      <x:c r="K1000" s="100" t="str">
        <x:f>IF(B1000="","",IF(G1000="TL",1,IF(G1000="USD",KURLAR!$C$9,IF(G1000="EUR",KURLAR!$C$10,0))))</x:f>
      </x:c>
      <x:c r="L1000" s="68" t="str">
        <x:f>IF(B1000="","",I1000*K1000)</x:f>
      </x:c>
      <x:c r="M1000" s="46"/>
      <x:c r="N1000" s="52" t="str">
        <x:f>IF(B1000="","",IF(OR(M1000="Ödendi",M1000="İptal"),"Hayır","Evet"))</x:f>
      </x:c>
    </x:row>
    <x:row r="1001">
      <x:c r="B1001" s="46"/>
      <x:c r="C1001" s="46"/>
      <x:c r="D1001" s="112"/>
      <x:c r="E1001" s="112"/>
      <x:c r="F1001" s="92"/>
      <x:c r="G1001" s="92"/>
      <x:c r="H1001" s="92"/>
      <x:c r="I1001" s="93" t="str">
        <x:f>IF(B1001="","",MAX(0,F1001-H1001))</x:f>
      </x:c>
      <x:c r="J1001" s="46"/>
      <x:c r="K1001" s="100" t="str">
        <x:f>IF(B1001="","",IF(G1001="TL",1,IF(G1001="USD",KURLAR!$C$9,IF(G1001="EUR",KURLAR!$C$10,0))))</x:f>
      </x:c>
      <x:c r="L1001" s="68" t="str">
        <x:f>IF(B1001="","",I1001*K1001)</x:f>
      </x:c>
      <x:c r="M1001" s="46"/>
      <x:c r="N1001" s="52" t="str">
        <x:f>IF(B1001="","",IF(OR(M1001="Ödendi",M1001="İptal"),"Hayır","Evet"))</x:f>
      </x:c>
    </x:row>
    <x:row r="1002">
      <x:c r="B1002" s="46"/>
      <x:c r="C1002" s="46"/>
      <x:c r="D1002" s="112"/>
      <x:c r="E1002" s="112"/>
      <x:c r="F1002" s="92"/>
      <x:c r="G1002" s="92"/>
      <x:c r="H1002" s="92"/>
      <x:c r="I1002" s="93" t="str">
        <x:f>IF(B1002="","",MAX(0,F1002-H1002))</x:f>
      </x:c>
      <x:c r="J1002" s="46"/>
      <x:c r="K1002" s="100" t="str">
        <x:f>IF(B1002="","",IF(G1002="TL",1,IF(G1002="USD",KURLAR!$C$9,IF(G1002="EUR",KURLAR!$C$10,0))))</x:f>
      </x:c>
      <x:c r="L1002" s="68" t="str">
        <x:f>IF(B1002="","",I1002*K1002)</x:f>
      </x:c>
      <x:c r="M1002" s="46"/>
      <x:c r="N1002" s="52" t="str">
        <x:f>IF(B1002="","",IF(OR(M1002="Ödendi",M1002="İptal"),"Hayır","Evet"))</x:f>
      </x:c>
    </x:row>
    <x:row r="1003">
      <x:c r="B1003" s="46"/>
      <x:c r="C1003" s="46"/>
      <x:c r="D1003" s="112"/>
      <x:c r="E1003" s="112"/>
      <x:c r="F1003" s="92"/>
      <x:c r="G1003" s="92"/>
      <x:c r="H1003" s="92"/>
      <x:c r="I1003" s="93" t="str">
        <x:f>IF(B1003="","",MAX(0,F1003-H1003))</x:f>
      </x:c>
      <x:c r="J1003" s="46"/>
      <x:c r="K1003" s="100" t="str">
        <x:f>IF(B1003="","",IF(G1003="TL",1,IF(G1003="USD",KURLAR!$C$9,IF(G1003="EUR",KURLAR!$C$10,0))))</x:f>
      </x:c>
      <x:c r="L1003" s="68" t="str">
        <x:f>IF(B1003="","",I1003*K1003)</x:f>
      </x:c>
      <x:c r="M1003" s="46"/>
      <x:c r="N1003" s="52" t="str">
        <x:f>IF(B1003="","",IF(OR(M1003="Ödendi",M1003="İptal"),"Hayır","Evet"))</x:f>
      </x:c>
    </x:row>
    <x:row r="1004">
      <x:c r="B1004" s="46"/>
      <x:c r="C1004" s="46"/>
      <x:c r="D1004" s="112"/>
      <x:c r="E1004" s="112"/>
      <x:c r="F1004" s="92"/>
      <x:c r="G1004" s="92"/>
      <x:c r="H1004" s="92"/>
      <x:c r="I1004" s="93" t="str">
        <x:f>IF(B1004="","",MAX(0,F1004-H1004))</x:f>
      </x:c>
      <x:c r="J1004" s="46"/>
      <x:c r="K1004" s="100" t="str">
        <x:f>IF(B1004="","",IF(G1004="TL",1,IF(G1004="USD",KURLAR!$C$9,IF(G1004="EUR",KURLAR!$C$10,0))))</x:f>
      </x:c>
      <x:c r="L1004" s="68" t="str">
        <x:f>IF(B1004="","",I1004*K1004)</x:f>
      </x:c>
      <x:c r="M1004" s="46"/>
      <x:c r="N1004" s="52" t="str">
        <x:f>IF(B1004="","",IF(OR(M1004="Ödendi",M1004="İptal"),"Hayır","Evet"))</x:f>
      </x:c>
    </x:row>
    <x:row r="1005">
      <x:c r="B1005" s="46"/>
      <x:c r="C1005" s="46"/>
      <x:c r="D1005" s="112"/>
      <x:c r="E1005" s="112"/>
      <x:c r="F1005" s="92"/>
      <x:c r="G1005" s="92"/>
      <x:c r="H1005" s="92"/>
      <x:c r="I1005" s="93" t="str">
        <x:f>IF(B1005="","",MAX(0,F1005-H1005))</x:f>
      </x:c>
      <x:c r="J1005" s="46"/>
      <x:c r="K1005" s="100" t="str">
        <x:f>IF(B1005="","",IF(G1005="TL",1,IF(G1005="USD",KURLAR!$C$9,IF(G1005="EUR",KURLAR!$C$10,0))))</x:f>
      </x:c>
      <x:c r="L1005" s="68" t="str">
        <x:f>IF(B1005="","",I1005*K1005)</x:f>
      </x:c>
      <x:c r="M1005" s="46"/>
      <x:c r="N1005" s="52" t="str">
        <x:f>IF(B1005="","",IF(OR(M1005="Ödendi",M1005="İptal"),"Hayır","Evet"))</x:f>
      </x:c>
    </x:row>
    <x:row r="1006">
      <x:c r="B1006" s="48"/>
      <x:c r="C1006" s="48"/>
      <x:c r="D1006" s="113"/>
      <x:c r="E1006" s="113"/>
      <x:c r="F1006" s="94"/>
      <x:c r="G1006" s="94"/>
      <x:c r="H1006" s="94"/>
      <x:c r="I1006" s="95" t="str">
        <x:f>IF(B1006="","",MAX(0,F1006-H1006))</x:f>
      </x:c>
      <x:c r="J1006" s="48"/>
      <x:c r="K1006" s="101" t="str">
        <x:f>IF(B1006="","",IF(G1006="TL",1,IF(G1006="USD",KURLAR!$C$9,IF(G1006="EUR",KURLAR!$C$10,0))))</x:f>
      </x:c>
      <x:c r="L1006" s="69" t="str">
        <x:f>IF(B1006="","",I1006*K1006)</x:f>
      </x:c>
      <x:c r="M1006" s="48"/>
      <x:c r="N1006" s="54" t="str">
        <x:f>IF(B1006="","",IF(OR(M1006="Ödendi",M1006="İptal"),"Hayır","Evet"))</x:f>
      </x:c>
    </x:row>
  </x:sheetData>
  <x:mergeCells>
    <x:mergeCell ref="A1:B1"/>
    <x:mergeCell ref="C1:N1"/>
    <x:mergeCell ref="A2:N2"/>
    <x:mergeCell ref="C4:N4"/>
  </x:mergeCells>
  <x:conditionalFormatting sqref="B7:N1006">
    <x:cfRule type="expression" dxfId="4" priority="1">
      <x:formula>AND($B7&lt;&gt;"",$I7&gt;0,$D7&lt;SISTEM!$C$9)</x:formula>
    </x:cfRule>
  </x:conditionalFormatting>
  <x:dataValidations count="5">
    <x:dataValidation type="list" sqref="G7:G1006">
      <x:formula1>"TL,USD,EUR"</x:formula1>
    </x:dataValidation>
    <x:dataValidation type="list" sqref="J7:J1006">
      <x:formula1>"Kritik,Yüksek,Normal,Düşük"</x:formula1>
    </x:dataValidation>
    <x:dataValidation type="list" sqref="M7:M1006">
      <x:formula1>"Planlandı,Ödendi,İptal"</x:formula1>
    </x:dataValidation>
    <x:dataValidation type="decimal" sqref="F7:F1006">
      <x:formula1>0</x:formula1>
    </x:dataValidation>
    <x:dataValidation type="decimal" sqref="H7:H10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0e3d37420c46c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3" hidden="0" customWidth="1"/>
    <x:col min="3" max="3" width="18" hidden="0" customWidth="1"/>
    <x:col min="4" max="4" width="42" hidden="0" customWidth="1"/>
  </x:cols>
  <x:sheetData>
    <x:row r="1" ht="28" customHeight="1">
      <x:c r="A1" s="9" t="e">
        <x:f>HYPERLINK("#PANO!A1","☰  MENÜ")</x:f>
        <x:v>HYPERLINK is not implemented. linkLocation=#PANO!A1, friendlyName=☰  MENÜ</x:v>
      </x:c>
      <x:c r="B1" s="9"/>
      <x:c r="C1" s="17" t="str">
        <x:v>KURLAR</x:v>
      </x:c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8" customHeight="1">
      <x:c r="A2" s="23" t="str">
        <x:v>TL, USD ve EUR için manuel kur girişi. Dövizli tüm raporlar buradaki tek kaynaktan hesaplanır.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9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8" t="e">
        <x:f>HYPERLINK("#PANO!A1","← PANO")</x:f>
        <x:v>HYPERLINK is not implemented. linkLocation=#PANO!A1, friendlyName=← PANO</x:v>
      </x:c>
      <x:c r="B4" s="26"/>
      <x:c r="C4" s="73" t="str">
        <x:v>VERİ GİRİŞ EKRANI — SARI HÜCRELERİ GÜNCELLEYİN</x:v>
      </x:c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</x:row>
    <x:row r="6">
      <x:c r="A6" s="4"/>
      <x:c r="B6" s="37" t="str">
        <x:v>RAPOR KURLARI</x:v>
      </x:c>
      <x:c r="C6" s="37"/>
      <x:c r="D6" s="37"/>
      <x:c r="E6" s="37"/>
      <x:c r="F6" s="37"/>
      <x:c r="G6" s="4"/>
      <x:c r="H6" s="4"/>
      <x:c r="I6" s="4"/>
      <x:c r="J6" s="4"/>
      <x:c r="K6" s="4"/>
      <x:c r="L6" s="4"/>
      <x:c r="M6" s="4"/>
      <x:c r="N6" s="4"/>
    </x:row>
    <x:row r="7">
      <x:c r="A7" s="4"/>
      <x:c r="B7" s="42" t="str">
        <x:v>Alan</x:v>
      </x:c>
      <x:c r="C7" s="42" t="str">
        <x:v>Değer</x:v>
      </x:c>
      <x:c r="D7" s="42" t="str">
        <x:v>Açıklama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</x:row>
    <x:row r="8">
      <x:c r="A8" s="4"/>
      <x:c r="B8" s="4" t="str">
        <x:v>Kur Tarihi</x:v>
      </x:c>
      <x:c r="C8" s="56" t="n">
        <x:f>SISTEM!C9</x:f>
        <x:v>46258</x:v>
      </x:c>
      <x:c r="D8" s="4" t="str">
        <x:v>Rapor tarihinde kullanılan manuel kur tarihi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</x:row>
    <x:row r="9">
      <x:c r="A9" s="4"/>
      <x:c r="B9" s="4" t="str">
        <x:v>USD / TL</x:v>
      </x:c>
      <x:c r="C9" s="76"/>
      <x:c r="D9" s="4" t="str">
        <x:v>1 USD kaç TL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</x:row>
    <x:row r="10">
      <x:c r="A10" s="4"/>
      <x:c r="B10" s="4" t="str">
        <x:v>EUR / TL</x:v>
      </x:c>
      <x:c r="C10" s="77"/>
      <x:c r="D10" s="4" t="str">
        <x:v>1 EUR kaç TL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</x:row>
  </x:sheetData>
  <x:mergeCells>
    <x:mergeCell ref="A1:B1"/>
    <x:mergeCell ref="C1:N1"/>
    <x:mergeCell ref="A2:N2"/>
    <x:mergeCell ref="C4:N4"/>
    <x:mergeCell ref="B6:F6"/>
  </x:mergeCells>
  <x:dataValidations count="1">
    <x:dataValidation type="decimal" sqref="C9:C10">
      <x:formula1>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3" hidden="0" customWidth="1"/>
    <x:col min="3" max="3" width="28" hidden="0" customWidth="1"/>
    <x:col min="4" max="4" width="16" hidden="0" customWidth="1"/>
    <x:col min="5" max="5" width="14" hidden="0" customWidth="1"/>
    <x:col min="6" max="6" width="15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9" t="e">
        <x:f>HYPERLINK("#PANO!A1","☰  MENÜ")</x:f>
        <x:v>HYPERLINK is not implemented. linkLocation=#PANO!A1, friendlyName=☰  MENÜ</x:v>
      </x:c>
      <x:c r="B1" s="9"/>
      <x:c r="C1" s="17" t="str">
        <x:v>SİSTEM &amp; KONTROL MERKEZİ</x:v>
      </x:c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8" customHeight="1">
      <x:c r="A2" s="23" t="str">
        <x:v>Parametreler, açılır listeler ve otomatik kontroller. Sarı hücreler kullanıcı girişidir.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 ht="9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8" t="e">
        <x:f>HYPERLINK("#PANO!A1","← PANO")</x:f>
        <x:v>HYPERLINK is not implemented. linkLocation=#PANO!A1, friendlyName=← PANO</x:v>
      </x:c>
      <x:c r="B4" s="26"/>
      <x:c r="C4" s="31" t="str">
        <x:v>KARMA EKRAN — YALNIZ SARI ALANLARA YAZIN</x:v>
      </x:c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</x:row>
    <x:row r="6">
      <x:c r="A6" s="4"/>
      <x:c r="B6" s="37" t="str">
        <x:v>SİSTEM PARAMETRELERİ  —  BU BLOK GİRİLEBİLİR</x:v>
      </x:c>
      <x:c r="C6" s="37"/>
      <x:c r="D6" s="37"/>
      <x:c r="E6" s="37"/>
      <x:c r="F6" s="37"/>
      <x:c r="G6" s="4"/>
      <x:c r="H6" s="37" t="str">
        <x:v>LİSTE TABLOLARI  —  KULLANICI SEÇİMLERİ</x:v>
      </x:c>
      <x:c r="I6" s="37"/>
      <x:c r="J6" s="37"/>
      <x:c r="K6" s="37"/>
      <x:c r="L6" s="37"/>
      <x:c r="M6" s="37"/>
      <x:c r="N6" s="37"/>
    </x:row>
    <x:row r="7">
      <x:c r="A7" s="4"/>
      <x:c r="B7" s="42" t="str">
        <x:v>Parametre</x:v>
      </x:c>
      <x:c r="C7" s="42" t="str">
        <x:v>Değer</x:v>
      </x:c>
      <x:c r="D7" s="4"/>
      <x:c r="E7" s="4"/>
      <x:c r="F7" s="4"/>
      <x:c r="G7" s="4"/>
      <x:c r="H7" s="58" t="str">
        <x:v>Para Birimi</x:v>
      </x:c>
      <x:c r="I7" s="58" t="str">
        <x:v>Hesap Türü</x:v>
      </x:c>
      <x:c r="J7" s="58" t="str">
        <x:v>Hesap Durumu</x:v>
      </x:c>
      <x:c r="K7" s="58" t="str">
        <x:v>Tahsilat Durumu</x:v>
      </x:c>
      <x:c r="L7" s="58" t="str">
        <x:v>Tahsilat Güveni</x:v>
      </x:c>
      <x:c r="M7" s="58" t="str">
        <x:v>Ödeme Durumu</x:v>
      </x:c>
      <x:c r="N7" s="58" t="str">
        <x:v>Öncelik</x:v>
      </x:c>
      <x:c r="P7" s="42" t="str">
        <x:v>Tarih</x:v>
      </x:c>
      <x:c r="Q7" s="42" t="str">
        <x:v>Başlangıç Nakit</x:v>
      </x:c>
      <x:c r="R7" s="42" t="str">
        <x:v>Kümülatif Tahsilat</x:v>
      </x:c>
      <x:c r="S7" s="42" t="str">
        <x:v>Net Pozisyon</x:v>
      </x:c>
    </x:row>
    <x:row r="8">
      <x:c r="A8" s="4"/>
      <x:c r="B8" s="4" t="str">
        <x:v>Şirket / Rapor Adı</x:v>
      </x:c>
      <x:c r="C8" s="46" t="str">
        <x:v>Günlük Kasa &amp; Likidite Raporu</x:v>
      </x:c>
      <x:c r="D8" s="4"/>
      <x:c r="E8" s="4"/>
      <x:c r="F8" s="4"/>
      <x:c r="G8" s="4"/>
      <x:c r="H8" s="46" t="str">
        <x:v>TL</x:v>
      </x:c>
      <x:c r="I8" s="46" t="str">
        <x:v>Kasa</x:v>
      </x:c>
      <x:c r="J8" s="46" t="str">
        <x:v>Aktif</x:v>
      </x:c>
      <x:c r="K8" s="46" t="str">
        <x:v>Açık</x:v>
      </x:c>
      <x:c r="L8" s="46" t="str">
        <x:v>Kesin</x:v>
      </x:c>
      <x:c r="M8" s="46" t="str">
        <x:v>Planlandı</x:v>
      </x:c>
      <x:c r="N8" s="46" t="str">
        <x:v>Kritik</x:v>
      </x:c>
      <x:c r="P8" s="218" t="n">
        <x:f>SISTEM!$C$9+0</x:f>
        <x:v>46258</x:v>
      </x:c>
      <x:c r="Q8" s="220" t="n">
        <x:f>PANO!$H$19</x:f>
        <x:v>0</x:v>
      </x:c>
      <x:c r="R8" s="220" t="n">
        <x:f>SUMIFS(TAHSILATLAR!$L$7:$L$1006,TAHSILATLAR!$N$7:$N$1006,"Evet",TAHSILATLAR!$E$7:$E$1006,"&gt;="&amp;SISTEM!$C$9,TAHSILATLAR!$E$7:$E$1006,"&lt;="&amp;P8)</x:f>
        <x:v>0</x:v>
      </x:c>
      <x:c r="S8" s="220" t="n">
        <x:f>Q8+R8-SUMIFS(ODEMELER!$L$7:$L$1006,ODEMELER!$N$7:$N$1006,"Evet",ODEMELER!$E$7:$E$1006,"&gt;="&amp;SISTEM!$C$9,ODEMELER!$E$7:$E$1006,"&lt;="&amp;P8)</x:f>
        <x:v>0</x:v>
      </x:c>
    </x:row>
    <x:row r="9">
      <x:c r="A9" s="4"/>
      <x:c r="B9" s="4" t="str">
        <x:v>Rapor Tarihi</x:v>
      </x:c>
      <x:c r="C9" s="56" t="n">
        <x:f>TODAY()</x:f>
        <x:v>46258</x:v>
      </x:c>
      <x:c r="D9" s="4"/>
      <x:c r="E9" s="4"/>
      <x:c r="F9" s="4"/>
      <x:c r="G9" s="4"/>
      <x:c r="H9" s="46" t="str">
        <x:v>USD</x:v>
      </x:c>
      <x:c r="I9" s="46" t="str">
        <x:v>Banka</x:v>
      </x:c>
      <x:c r="J9" s="46" t="str">
        <x:v>Pasif</x:v>
      </x:c>
      <x:c r="K9" s="46" t="str">
        <x:v>Kısmi</x:v>
      </x:c>
      <x:c r="L9" s="46" t="str">
        <x:v>Bekleniyor</x:v>
      </x:c>
      <x:c r="M9" s="46" t="str">
        <x:v>Ödendi</x:v>
      </x:c>
      <x:c r="N9" s="46" t="str">
        <x:v>Yüksek</x:v>
      </x:c>
      <x:c r="P9" s="218" t="n">
        <x:f>SISTEM!$C$9+1</x:f>
        <x:v>46259</x:v>
      </x:c>
      <x:c r="Q9" s="220" t="n">
        <x:f>PANO!$H$19</x:f>
        <x:v>0</x:v>
      </x:c>
      <x:c r="R9" s="220" t="n">
        <x:f>SUMIFS(TAHSILATLAR!$L$7:$L$1006,TAHSILATLAR!$N$7:$N$1006,"Evet",TAHSILATLAR!$E$7:$E$1006,"&gt;="&amp;SISTEM!$C$9,TAHSILATLAR!$E$7:$E$1006,"&lt;="&amp;P9)</x:f>
        <x:v>0</x:v>
      </x:c>
      <x:c r="S9" s="220" t="n">
        <x:f>Q9+R9-SUMIFS(ODEMELER!$L$7:$L$1006,ODEMELER!$N$7:$N$1006,"Evet",ODEMELER!$E$7:$E$1006,"&gt;="&amp;SISTEM!$C$9,ODEMELER!$E$7:$E$1006,"&lt;="&amp;P9)</x:f>
        <x:v>0</x:v>
      </x:c>
    </x:row>
    <x:row r="10">
      <x:c r="A10" s="4"/>
      <x:c r="B10" s="4" t="str">
        <x:v>7 Gün Ufku</x:v>
      </x:c>
      <x:c r="C10" s="46" t="n">
        <x:v>7</x:v>
      </x:c>
      <x:c r="D10" s="4"/>
      <x:c r="E10" s="4"/>
      <x:c r="F10" s="4"/>
      <x:c r="G10" s="4"/>
      <x:c r="H10" s="46" t="str">
        <x:v>EUR</x:v>
      </x:c>
      <x:c r="I10" s="46"/>
      <x:c r="J10" s="46"/>
      <x:c r="K10" s="46" t="str">
        <x:v>Tahsil Edildi</x:v>
      </x:c>
      <x:c r="L10" s="46" t="str">
        <x:v>Riskli</x:v>
      </x:c>
      <x:c r="M10" s="46" t="str">
        <x:v>İptal</x:v>
      </x:c>
      <x:c r="N10" s="46" t="str">
        <x:v>Normal</x:v>
      </x:c>
      <x:c r="P10" s="218" t="n">
        <x:f>SISTEM!$C$9+2</x:f>
        <x:v>46260</x:v>
      </x:c>
      <x:c r="Q10" s="220" t="n">
        <x:f>PANO!$H$19</x:f>
        <x:v>0</x:v>
      </x:c>
      <x:c r="R10" s="220" t="n">
        <x:f>SUMIFS(TAHSILATLAR!$L$7:$L$1006,TAHSILATLAR!$N$7:$N$1006,"Evet",TAHSILATLAR!$E$7:$E$1006,"&gt;="&amp;SISTEM!$C$9,TAHSILATLAR!$E$7:$E$1006,"&lt;="&amp;P10)</x:f>
        <x:v>0</x:v>
      </x:c>
      <x:c r="S10" s="220" t="n">
        <x:f>Q10+R10-SUMIFS(ODEMELER!$L$7:$L$1006,ODEMELER!$N$7:$N$1006,"Evet",ODEMELER!$E$7:$E$1006,"&gt;="&amp;SISTEM!$C$9,ODEMELER!$E$7:$E$1006,"&lt;="&amp;P10)</x:f>
        <x:v>0</x:v>
      </x:c>
    </x:row>
    <x:row r="11">
      <x:c r="A11" s="4"/>
      <x:c r="B11" s="4" t="str">
        <x:v>30 Gün Ufku</x:v>
      </x:c>
      <x:c r="C11" s="48" t="n">
        <x:v>30</x:v>
      </x:c>
      <x:c r="D11" s="4"/>
      <x:c r="E11" s="4"/>
      <x:c r="F11" s="4"/>
      <x:c r="G11" s="4"/>
      <x:c r="H11" s="46"/>
      <x:c r="I11" s="46"/>
      <x:c r="J11" s="46"/>
      <x:c r="K11" s="46" t="str">
        <x:v>İptal</x:v>
      </x:c>
      <x:c r="L11" s="46"/>
      <x:c r="M11" s="46"/>
      <x:c r="N11" s="46" t="str">
        <x:v>Düşük</x:v>
      </x:c>
      <x:c r="P11" s="218" t="n">
        <x:f>SISTEM!$C$9+3</x:f>
        <x:v>46261</x:v>
      </x:c>
      <x:c r="Q11" s="220" t="n">
        <x:f>PANO!$H$19</x:f>
        <x:v>0</x:v>
      </x:c>
      <x:c r="R11" s="220" t="n">
        <x:f>SUMIFS(TAHSILATLAR!$L$7:$L$1006,TAHSILATLAR!$N$7:$N$1006,"Evet",TAHSILATLAR!$E$7:$E$1006,"&gt;="&amp;SISTEM!$C$9,TAHSILATLAR!$E$7:$E$1006,"&lt;="&amp;P11)</x:f>
        <x:v>0</x:v>
      </x:c>
      <x:c r="S11" s="220" t="n">
        <x:f>Q11+R11-SUMIFS(ODEMELER!$L$7:$L$1006,ODEMELER!$N$7:$N$1006,"Evet",ODEMELER!$E$7:$E$1006,"&gt;="&amp;SISTEM!$C$9,ODEMELER!$E$7:$E$1006,"&lt;="&amp;P11)</x:f>
        <x:v>0</x:v>
      </x:c>
    </x:row>
    <x:row r="12">
      <x:c r="A12" s="4"/>
      <x:c r="B12" s="4"/>
      <x:c r="C12" s="4"/>
      <x:c r="D12" s="4"/>
      <x:c r="E12" s="4"/>
      <x:c r="F12" s="4"/>
      <x:c r="G12" s="4"/>
      <x:c r="H12" s="46"/>
      <x:c r="I12" s="46"/>
      <x:c r="J12" s="46"/>
      <x:c r="K12" s="46"/>
      <x:c r="L12" s="46"/>
      <x:c r="M12" s="46"/>
      <x:c r="N12" s="46"/>
      <x:c r="P12" s="218" t="n">
        <x:f>SISTEM!$C$9+4</x:f>
        <x:v>46262</x:v>
      </x:c>
      <x:c r="Q12" s="220" t="n">
        <x:f>PANO!$H$19</x:f>
        <x:v>0</x:v>
      </x:c>
      <x:c r="R12" s="220" t="n">
        <x:f>SUMIFS(TAHSILATLAR!$L$7:$L$1006,TAHSILATLAR!$N$7:$N$1006,"Evet",TAHSILATLAR!$E$7:$E$1006,"&gt;="&amp;SISTEM!$C$9,TAHSILATLAR!$E$7:$E$1006,"&lt;="&amp;P12)</x:f>
        <x:v>0</x:v>
      </x:c>
      <x:c r="S12" s="220" t="n">
        <x:f>Q12+R12-SUMIFS(ODEMELER!$L$7:$L$1006,ODEMELER!$N$7:$N$1006,"Evet",ODEMELER!$E$7:$E$1006,"&gt;="&amp;SISTEM!$C$9,ODEMELER!$E$7:$E$1006,"&lt;="&amp;P12)</x:f>
        <x:v>0</x:v>
      </x:c>
    </x:row>
    <x:row r="13">
      <x:c r="A13" s="4"/>
      <x:c r="B13" s="4"/>
      <x:c r="C13" s="4"/>
      <x:c r="D13" s="4"/>
      <x:c r="E13" s="4"/>
      <x:c r="F13" s="4"/>
      <x:c r="G13" s="4"/>
      <x:c r="H13" s="48"/>
      <x:c r="I13" s="48"/>
      <x:c r="J13" s="48"/>
      <x:c r="K13" s="48"/>
      <x:c r="L13" s="48"/>
      <x:c r="M13" s="48"/>
      <x:c r="N13" s="48"/>
      <x:c r="P13" s="218" t="n">
        <x:f>SISTEM!$C$9+5</x:f>
        <x:v>46263</x:v>
      </x:c>
      <x:c r="Q13" s="220" t="n">
        <x:f>PANO!$H$19</x:f>
        <x:v>0</x:v>
      </x:c>
      <x:c r="R13" s="220" t="n">
        <x:f>SUMIFS(TAHSILATLAR!$L$7:$L$1006,TAHSILATLAR!$N$7:$N$1006,"Evet",TAHSILATLAR!$E$7:$E$1006,"&gt;="&amp;SISTEM!$C$9,TAHSILATLAR!$E$7:$E$1006,"&lt;="&amp;P13)</x:f>
        <x:v>0</x:v>
      </x:c>
      <x:c r="S13" s="220" t="n">
        <x:f>Q13+R13-SUMIFS(ODEMELER!$L$7:$L$1006,ODEMELER!$N$7:$N$1006,"Evet",ODEMELER!$E$7:$E$1006,"&gt;="&amp;SISTEM!$C$9,ODEMELER!$E$7:$E$1006,"&lt;="&amp;P13)</x:f>
        <x:v>0</x:v>
      </x:c>
    </x:row>
    <x:row r="14">
      <x:c r="A14" s="4"/>
      <x:c r="B14" s="37" t="str">
        <x:v>KONTROL MERKEZİ  —  SALT OKUNUR</x:v>
      </x:c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P14" s="218" t="n">
        <x:f>SISTEM!$C$9+6</x:f>
        <x:v>46264</x:v>
      </x:c>
      <x:c r="Q14" s="220" t="n">
        <x:f>PANO!$H$19</x:f>
        <x:v>0</x:v>
      </x:c>
      <x:c r="R14" s="220" t="n">
        <x:f>SUMIFS(TAHSILATLAR!$L$7:$L$1006,TAHSILATLAR!$N$7:$N$1006,"Evet",TAHSILATLAR!$E$7:$E$1006,"&gt;="&amp;SISTEM!$C$9,TAHSILATLAR!$E$7:$E$1006,"&lt;="&amp;P14)</x:f>
        <x:v>0</x:v>
      </x:c>
      <x:c r="S14" s="220" t="n">
        <x:f>Q14+R14-SUMIFS(ODEMELER!$L$7:$L$1006,ODEMELER!$N$7:$N$1006,"Evet",ODEMELER!$E$7:$E$1006,"&gt;="&amp;SISTEM!$C$9,ODEMELER!$E$7:$E$1006,"&lt;="&amp;P14)</x:f>
        <x:v>0</x:v>
      </x:c>
    </x:row>
    <x:row r="15" ht="34" customHeight="1">
      <x:c r="A15" s="4"/>
      <x:c r="B15" s="63" t="str">
        <x:v>Kontrol</x:v>
      </x:c>
      <x:c r="C15" s="63" t="str">
        <x:v>Önem</x:v>
      </x:c>
      <x:c r="D15" s="63" t="str">
        <x:v>Beklenen</x:v>
      </x:c>
      <x:c r="E15" s="63" t="str">
        <x:v>Gerçek</x:v>
      </x:c>
      <x:c r="F15" s="63" t="str">
        <x:v>Sonuç</x:v>
      </x:c>
      <x:c r="G15" s="63" t="str">
        <x:v>Açıklama</x:v>
      </x:c>
      <x:c r="H15" s="4"/>
      <x:c r="I15" s="4"/>
      <x:c r="J15" s="4"/>
      <x:c r="K15" s="4"/>
      <x:c r="L15" s="4"/>
      <x:c r="M15" s="4"/>
      <x:c r="N15" s="4"/>
      <x:c r="P15" s="218" t="n">
        <x:f>SISTEM!$C$9+7</x:f>
        <x:v>46265</x:v>
      </x:c>
      <x:c r="Q15" s="220" t="n">
        <x:f>PANO!$H$19</x:f>
        <x:v>0</x:v>
      </x:c>
      <x:c r="R15" s="220" t="n">
        <x:f>SUMIFS(TAHSILATLAR!$L$7:$L$1006,TAHSILATLAR!$N$7:$N$1006,"Evet",TAHSILATLAR!$E$7:$E$1006,"&gt;="&amp;SISTEM!$C$9,TAHSILATLAR!$E$7:$E$1006,"&lt;="&amp;P15)</x:f>
        <x:v>0</x:v>
      </x:c>
      <x:c r="S15" s="220" t="n">
        <x:f>Q15+R15-SUMIFS(ODEMELER!$L$7:$L$1006,ODEMELER!$N$7:$N$1006,"Evet",ODEMELER!$E$7:$E$1006,"&gt;="&amp;SISTEM!$C$9,ODEMELER!$E$7:$E$1006,"&lt;="&amp;P15)</x:f>
        <x:v>0</x:v>
      </x:c>
    </x:row>
    <x:row r="16">
      <x:c r="A16" s="4"/>
      <x:c r="B16" s="52" t="str">
        <x:v>Kur tarihi güncel mi?</x:v>
      </x:c>
      <x:c r="C16" s="52" t="str">
        <x:v>YÜKSEK</x:v>
      </x:c>
      <x:c r="D16" s="52" t="n">
        <x:f>KURLAR!C8</x:f>
        <x:v>46258</x:v>
      </x:c>
      <x:c r="E16" s="52" t="str">
        <x:f>IF(D16=C9,"GEÇTİ","KALDI")</x:f>
        <x:v>GEÇTİ</x:v>
      </x:c>
      <x:c r="F16" s="52"/>
      <x:c r="G16" s="52" t="str">
        <x:v>Kur tarihini KURLAR sayfasından güncelleyin.</x:v>
      </x:c>
      <x:c r="H16" s="4"/>
      <x:c r="I16" s="4"/>
      <x:c r="J16" s="4"/>
      <x:c r="K16" s="4"/>
      <x:c r="L16" s="4"/>
      <x:c r="M16" s="4"/>
      <x:c r="N16" s="4"/>
      <x:c r="P16" s="218" t="n">
        <x:f>SISTEM!$C$9+8</x:f>
        <x:v>46266</x:v>
      </x:c>
      <x:c r="Q16" s="220" t="n">
        <x:f>PANO!$H$19</x:f>
        <x:v>0</x:v>
      </x:c>
      <x:c r="R16" s="220" t="n">
        <x:f>SUMIFS(TAHSILATLAR!$L$7:$L$1006,TAHSILATLAR!$N$7:$N$1006,"Evet",TAHSILATLAR!$E$7:$E$1006,"&gt;="&amp;SISTEM!$C$9,TAHSILATLAR!$E$7:$E$1006,"&lt;="&amp;P16)</x:f>
        <x:v>0</x:v>
      </x:c>
      <x:c r="S16" s="220" t="n">
        <x:f>Q16+R16-SUMIFS(ODEMELER!$L$7:$L$1006,ODEMELER!$N$7:$N$1006,"Evet",ODEMELER!$E$7:$E$1006,"&gt;="&amp;SISTEM!$C$9,ODEMELER!$E$7:$E$1006,"&lt;="&amp;P16)</x:f>
        <x:v>0</x:v>
      </x:c>
    </x:row>
    <x:row r="17">
      <x:c r="A17" s="4"/>
      <x:c r="B17" s="52" t="str">
        <x:v>USD kuru girilmiş mi?</x:v>
      </x:c>
      <x:c r="C17" s="52" t="str">
        <x:v>KRİTİK</x:v>
      </x:c>
      <x:c r="D17" s="52" t="n">
        <x:f>KURLAR!C9</x:f>
        <x:v>0</x:v>
      </x:c>
      <x:c r="E17" s="52" t="str">
        <x:f>IF(D17&gt;0,"GEÇTİ","KALDI")</x:f>
        <x:v>KALDI</x:v>
      </x:c>
      <x:c r="F17" s="52"/>
      <x:c r="G17" s="52" t="str">
        <x:v>USD kullanıyorsanız kur sıfır olamaz.</x:v>
      </x:c>
      <x:c r="H17" s="4"/>
      <x:c r="I17" s="4"/>
      <x:c r="J17" s="4"/>
      <x:c r="K17" s="4"/>
      <x:c r="L17" s="4"/>
      <x:c r="M17" s="4"/>
      <x:c r="N17" s="4"/>
      <x:c r="P17" s="218" t="n">
        <x:f>SISTEM!$C$9+9</x:f>
        <x:v>46267</x:v>
      </x:c>
      <x:c r="Q17" s="220" t="n">
        <x:f>PANO!$H$19</x:f>
        <x:v>0</x:v>
      </x:c>
      <x:c r="R17" s="220" t="n">
        <x:f>SUMIFS(TAHSILATLAR!$L$7:$L$1006,TAHSILATLAR!$N$7:$N$1006,"Evet",TAHSILATLAR!$E$7:$E$1006,"&gt;="&amp;SISTEM!$C$9,TAHSILATLAR!$E$7:$E$1006,"&lt;="&amp;P17)</x:f>
        <x:v>0</x:v>
      </x:c>
      <x:c r="S17" s="220" t="n">
        <x:f>Q17+R17-SUMIFS(ODEMELER!$L$7:$L$1006,ODEMELER!$N$7:$N$1006,"Evet",ODEMELER!$E$7:$E$1006,"&gt;="&amp;SISTEM!$C$9,ODEMELER!$E$7:$E$1006,"&lt;="&amp;P17)</x:f>
        <x:v>0</x:v>
      </x:c>
    </x:row>
    <x:row r="18">
      <x:c r="A18" s="4"/>
      <x:c r="B18" s="52" t="str">
        <x:v>EUR kuru girilmiş mi?</x:v>
      </x:c>
      <x:c r="C18" s="52" t="str">
        <x:v>KRİTİK</x:v>
      </x:c>
      <x:c r="D18" s="52" t="n">
        <x:f>KURLAR!C10</x:f>
        <x:v>0</x:v>
      </x:c>
      <x:c r="E18" s="52" t="str">
        <x:f>IF(D18&gt;0,"GEÇTİ","KALDI")</x:f>
        <x:v>KALDI</x:v>
      </x:c>
      <x:c r="F18" s="52"/>
      <x:c r="G18" s="52" t="str">
        <x:v>EUR kullanıyorsanız kur sıfır olamaz.</x:v>
      </x:c>
      <x:c r="H18" s="4"/>
      <x:c r="I18" s="4"/>
      <x:c r="J18" s="4"/>
      <x:c r="K18" s="4"/>
      <x:c r="L18" s="4"/>
      <x:c r="M18" s="4"/>
      <x:c r="N18" s="4"/>
      <x:c r="P18" s="218" t="n">
        <x:f>SISTEM!$C$9+10</x:f>
        <x:v>46268</x:v>
      </x:c>
      <x:c r="Q18" s="220" t="n">
        <x:f>PANO!$H$19</x:f>
        <x:v>0</x:v>
      </x:c>
      <x:c r="R18" s="220" t="n">
        <x:f>SUMIFS(TAHSILATLAR!$L$7:$L$1006,TAHSILATLAR!$N$7:$N$1006,"Evet",TAHSILATLAR!$E$7:$E$1006,"&gt;="&amp;SISTEM!$C$9,TAHSILATLAR!$E$7:$E$1006,"&lt;="&amp;P18)</x:f>
        <x:v>0</x:v>
      </x:c>
      <x:c r="S18" s="220" t="n">
        <x:f>Q18+R18-SUMIFS(ODEMELER!$L$7:$L$1006,ODEMELER!$N$7:$N$1006,"Evet",ODEMELER!$E$7:$E$1006,"&gt;="&amp;SISTEM!$C$9,ODEMELER!$E$7:$E$1006,"&lt;="&amp;P18)</x:f>
        <x:v>0</x:v>
      </x:c>
    </x:row>
    <x:row r="19">
      <x:c r="A19" s="4"/>
      <x:c r="B19" s="52" t="str">
        <x:v>Negatif kullanılabilir hesap</x:v>
      </x:c>
      <x:c r="C19" s="52" t="str">
        <x:v>YÜKSEK</x:v>
      </x:c>
      <x:c r="D19" s="52" t="n">
        <x:f>COUNTIF(KASA_BANKA!G7:G1006,"&lt;0")</x:f>
        <x:v>0</x:v>
      </x:c>
      <x:c r="E19" s="52" t="str">
        <x:f>IF(D19=0,"GEÇTİ","KALDI")</x:f>
        <x:v>GEÇTİ</x:v>
      </x:c>
      <x:c r="F19" s="52"/>
      <x:c r="G19" s="52" t="str">
        <x:v>Kasa/banka kullanılabilir bakiye eksiye düşmüş.</x:v>
      </x:c>
      <x:c r="H19" s="4"/>
      <x:c r="I19" s="4"/>
      <x:c r="J19" s="4"/>
      <x:c r="K19" s="4"/>
      <x:c r="L19" s="4"/>
      <x:c r="M19" s="4"/>
      <x:c r="N19" s="4"/>
      <x:c r="P19" s="218" t="n">
        <x:f>SISTEM!$C$9+11</x:f>
        <x:v>46269</x:v>
      </x:c>
      <x:c r="Q19" s="220" t="n">
        <x:f>PANO!$H$19</x:f>
        <x:v>0</x:v>
      </x:c>
      <x:c r="R19" s="220" t="n">
        <x:f>SUMIFS(TAHSILATLAR!$L$7:$L$1006,TAHSILATLAR!$N$7:$N$1006,"Evet",TAHSILATLAR!$E$7:$E$1006,"&gt;="&amp;SISTEM!$C$9,TAHSILATLAR!$E$7:$E$1006,"&lt;="&amp;P19)</x:f>
        <x:v>0</x:v>
      </x:c>
      <x:c r="S19" s="220" t="n">
        <x:f>Q19+R19-SUMIFS(ODEMELER!$L$7:$L$1006,ODEMELER!$N$7:$N$1006,"Evet",ODEMELER!$E$7:$E$1006,"&gt;="&amp;SISTEM!$C$9,ODEMELER!$E$7:$E$1006,"&lt;="&amp;P19)</x:f>
        <x:v>0</x:v>
      </x:c>
    </x:row>
    <x:row r="20">
      <x:c r="A20" s="4"/>
      <x:c r="B20" s="52" t="str">
        <x:v>Vadesi geçmiş tahsilat</x:v>
      </x:c>
      <x:c r="C20" s="52" t="str">
        <x:v>BİLGİ</x:v>
      </x:c>
      <x:c r="D20" s="52" t="n">
        <x:f>COUNTIFS(TAHSILATLAR!I7:I1006,"&gt;0",TAHSILATLAR!D7:D1006,"&lt;"&amp;C9)</x:f>
        <x:v>0</x:v>
      </x:c>
      <x:c r="E20" s="52" t="str">
        <x:f>IF(D20=0,"GEÇTİ","KALDI")</x:f>
        <x:v>GEÇTİ</x:v>
      </x:c>
      <x:c r="F20" s="52"/>
      <x:c r="G20" s="52" t="str">
        <x:v>Geciken açık tahsilatları kontrol edin.</x:v>
      </x:c>
      <x:c r="H20" s="4"/>
      <x:c r="I20" s="4"/>
      <x:c r="J20" s="4"/>
      <x:c r="K20" s="4"/>
      <x:c r="L20" s="4"/>
      <x:c r="M20" s="4"/>
      <x:c r="N20" s="4"/>
      <x:c r="P20" s="218" t="n">
        <x:f>SISTEM!$C$9+12</x:f>
        <x:v>46270</x:v>
      </x:c>
      <x:c r="Q20" s="220" t="n">
        <x:f>PANO!$H$19</x:f>
        <x:v>0</x:v>
      </x:c>
      <x:c r="R20" s="220" t="n">
        <x:f>SUMIFS(TAHSILATLAR!$L$7:$L$1006,TAHSILATLAR!$N$7:$N$1006,"Evet",TAHSILATLAR!$E$7:$E$1006,"&gt;="&amp;SISTEM!$C$9,TAHSILATLAR!$E$7:$E$1006,"&lt;="&amp;P20)</x:f>
        <x:v>0</x:v>
      </x:c>
      <x:c r="S20" s="220" t="n">
        <x:f>Q20+R20-SUMIFS(ODEMELER!$L$7:$L$1006,ODEMELER!$N$7:$N$1006,"Evet",ODEMELER!$E$7:$E$1006,"&gt;="&amp;SISTEM!$C$9,ODEMELER!$E$7:$E$1006,"&lt;="&amp;P20)</x:f>
        <x:v>0</x:v>
      </x:c>
    </x:row>
    <x:row r="21">
      <x:c r="A21" s="4"/>
      <x:c r="B21" s="52" t="str">
        <x:v>Vadesi geçmiş ödeme</x:v>
      </x:c>
      <x:c r="C21" s="52" t="str">
        <x:v>YÜKSEK</x:v>
      </x:c>
      <x:c r="D21" s="52" t="n">
        <x:f>COUNTIFS(ODEMELER!I7:I1006,"&gt;0",ODEMELER!D7:D1006,"&lt;"&amp;C9)</x:f>
        <x:v>0</x:v>
      </x:c>
      <x:c r="E21" s="52" t="str">
        <x:f>IF(D21=0,"GEÇTİ","KALDI")</x:f>
        <x:v>GEÇTİ</x:v>
      </x:c>
      <x:c r="F21" s="52"/>
      <x:c r="G21" s="52" t="str">
        <x:v>Geciken açık ödemeleri kontrol edin.</x:v>
      </x:c>
      <x:c r="H21" s="4"/>
      <x:c r="I21" s="4"/>
      <x:c r="J21" s="4"/>
      <x:c r="K21" s="4"/>
      <x:c r="L21" s="4"/>
      <x:c r="M21" s="4"/>
      <x:c r="N21" s="4"/>
      <x:c r="P21" s="218" t="n">
        <x:f>SISTEM!$C$9+13</x:f>
        <x:v>46271</x:v>
      </x:c>
      <x:c r="Q21" s="220" t="n">
        <x:f>PANO!$H$19</x:f>
        <x:v>0</x:v>
      </x:c>
      <x:c r="R21" s="220" t="n">
        <x:f>SUMIFS(TAHSILATLAR!$L$7:$L$1006,TAHSILATLAR!$N$7:$N$1006,"Evet",TAHSILATLAR!$E$7:$E$1006,"&gt;="&amp;SISTEM!$C$9,TAHSILATLAR!$E$7:$E$1006,"&lt;="&amp;P21)</x:f>
        <x:v>0</x:v>
      </x:c>
      <x:c r="S21" s="220" t="n">
        <x:f>Q21+R21-SUMIFS(ODEMELER!$L$7:$L$1006,ODEMELER!$N$7:$N$1006,"Evet",ODEMELER!$E$7:$E$1006,"&gt;="&amp;SISTEM!$C$9,ODEMELER!$E$7:$E$1006,"&lt;="&amp;P21)</x:f>
        <x:v>0</x:v>
      </x:c>
    </x:row>
    <x:row r="22">
      <x:c r="A22" s="4"/>
      <x:c r="B22" s="52" t="str">
        <x:v>7 günlük net pozisyon</x:v>
      </x:c>
      <x:c r="C22" s="52" t="str">
        <x:v>KRİTİK</x:v>
      </x:c>
      <x:c r="D22" s="68" t="n">
        <x:f>PANO!H7</x:f>
        <x:v>0</x:v>
      </x:c>
      <x:c r="E22" s="52" t="str">
        <x:f>IF(D22&gt;=0,"GEÇTİ","KALDI")</x:f>
        <x:v>GEÇTİ</x:v>
      </x:c>
      <x:c r="F22" s="52"/>
      <x:c r="G22" s="52" t="str">
        <x:v>Negatifse 7 gün içinde finansman açığı oluşuyor.</x:v>
      </x:c>
      <x:c r="H22" s="4"/>
      <x:c r="I22" s="4"/>
      <x:c r="J22" s="4"/>
      <x:c r="K22" s="4"/>
      <x:c r="L22" s="4"/>
      <x:c r="M22" s="4"/>
      <x:c r="N22" s="4"/>
      <x:c r="P22" s="218" t="n">
        <x:f>SISTEM!$C$9+14</x:f>
        <x:v>46272</x:v>
      </x:c>
      <x:c r="Q22" s="220" t="n">
        <x:f>PANO!$H$19</x:f>
        <x:v>0</x:v>
      </x:c>
      <x:c r="R22" s="220" t="n">
        <x:f>SUMIFS(TAHSILATLAR!$L$7:$L$1006,TAHSILATLAR!$N$7:$N$1006,"Evet",TAHSILATLAR!$E$7:$E$1006,"&gt;="&amp;SISTEM!$C$9,TAHSILATLAR!$E$7:$E$1006,"&lt;="&amp;P22)</x:f>
        <x:v>0</x:v>
      </x:c>
      <x:c r="S22" s="220" t="n">
        <x:f>Q22+R22-SUMIFS(ODEMELER!$L$7:$L$1006,ODEMELER!$N$7:$N$1006,"Evet",ODEMELER!$E$7:$E$1006,"&gt;="&amp;SISTEM!$C$9,ODEMELER!$E$7:$E$1006,"&lt;="&amp;P22)</x:f>
        <x:v>0</x:v>
      </x:c>
    </x:row>
    <x:row r="23">
      <x:c r="A23" s="4"/>
      <x:c r="B23" s="54" t="str">
        <x:v>30 günlük net pozisyon</x:v>
      </x:c>
      <x:c r="C23" s="54" t="str">
        <x:v>YÜKSEK</x:v>
      </x:c>
      <x:c r="D23" s="69" t="n">
        <x:f>PANO!K7</x:f>
        <x:v>0</x:v>
      </x:c>
      <x:c r="E23" s="54" t="str">
        <x:f>IF(D23&gt;=0,"GEÇTİ","KALDI")</x:f>
        <x:v>GEÇTİ</x:v>
      </x:c>
      <x:c r="F23" s="54"/>
      <x:c r="G23" s="54" t="str">
        <x:v>Negatifse 30 günlük plan revize edilmeli.</x:v>
      </x:c>
      <x:c r="H23" s="4"/>
      <x:c r="I23" s="4"/>
      <x:c r="J23" s="4"/>
      <x:c r="K23" s="4"/>
      <x:c r="L23" s="4"/>
      <x:c r="M23" s="4"/>
      <x:c r="N23" s="4"/>
      <x:c r="P23" s="218" t="n">
        <x:f>SISTEM!$C$9+15</x:f>
        <x:v>46273</x:v>
      </x:c>
      <x:c r="Q23" s="220" t="n">
        <x:f>PANO!$H$19</x:f>
        <x:v>0</x:v>
      </x:c>
      <x:c r="R23" s="220" t="n">
        <x:f>SUMIFS(TAHSILATLAR!$L$7:$L$1006,TAHSILATLAR!$N$7:$N$1006,"Evet",TAHSILATLAR!$E$7:$E$1006,"&gt;="&amp;SISTEM!$C$9,TAHSILATLAR!$E$7:$E$1006,"&lt;="&amp;P23)</x:f>
        <x:v>0</x:v>
      </x:c>
      <x:c r="S23" s="220" t="n">
        <x:f>Q23+R23-SUMIFS(ODEMELER!$L$7:$L$1006,ODEMELER!$N$7:$N$1006,"Evet",ODEMELER!$E$7:$E$1006,"&gt;="&amp;SISTEM!$C$9,ODEMELER!$E$7:$E$1006,"&lt;="&amp;P23)</x:f>
        <x:v>0</x:v>
      </x:c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P24" s="218" t="n">
        <x:f>SISTEM!$C$9+16</x:f>
        <x:v>46274</x:v>
      </x:c>
      <x:c r="Q24" s="220" t="n">
        <x:f>PANO!$H$19</x:f>
        <x:v>0</x:v>
      </x:c>
      <x:c r="R24" s="220" t="n">
        <x:f>SUMIFS(TAHSILATLAR!$L$7:$L$1006,TAHSILATLAR!$N$7:$N$1006,"Evet",TAHSILATLAR!$E$7:$E$1006,"&gt;="&amp;SISTEM!$C$9,TAHSILATLAR!$E$7:$E$1006,"&lt;="&amp;P24)</x:f>
        <x:v>0</x:v>
      </x:c>
      <x:c r="S24" s="220" t="n">
        <x:f>Q24+R24-SUMIFS(ODEMELER!$L$7:$L$1006,ODEMELER!$N$7:$N$1006,"Evet",ODEMELER!$E$7:$E$1006,"&gt;="&amp;SISTEM!$C$9,ODEMELER!$E$7:$E$1006,"&lt;="&amp;P24)</x:f>
        <x:v>0</x:v>
      </x:c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P25" s="218" t="n">
        <x:f>SISTEM!$C$9+17</x:f>
        <x:v>46275</x:v>
      </x:c>
      <x:c r="Q25" s="220" t="n">
        <x:f>PANO!$H$19</x:f>
        <x:v>0</x:v>
      </x:c>
      <x:c r="R25" s="220" t="n">
        <x:f>SUMIFS(TAHSILATLAR!$L$7:$L$1006,TAHSILATLAR!$N$7:$N$1006,"Evet",TAHSILATLAR!$E$7:$E$1006,"&gt;="&amp;SISTEM!$C$9,TAHSILATLAR!$E$7:$E$1006,"&lt;="&amp;P25)</x:f>
        <x:v>0</x:v>
      </x:c>
      <x:c r="S25" s="220" t="n">
        <x:f>Q25+R25-SUMIFS(ODEMELER!$L$7:$L$1006,ODEMELER!$N$7:$N$1006,"Evet",ODEMELER!$E$7:$E$1006,"&gt;="&amp;SISTEM!$C$9,ODEMELER!$E$7:$E$1006,"&lt;="&amp;P25)</x:f>
        <x:v>0</x:v>
      </x:c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P26" s="218" t="n">
        <x:f>SISTEM!$C$9+18</x:f>
        <x:v>46276</x:v>
      </x:c>
      <x:c r="Q26" s="220" t="n">
        <x:f>PANO!$H$19</x:f>
        <x:v>0</x:v>
      </x:c>
      <x:c r="R26" s="220" t="n">
        <x:f>SUMIFS(TAHSILATLAR!$L$7:$L$1006,TAHSILATLAR!$N$7:$N$1006,"Evet",TAHSILATLAR!$E$7:$E$1006,"&gt;="&amp;SISTEM!$C$9,TAHSILATLAR!$E$7:$E$1006,"&lt;="&amp;P26)</x:f>
        <x:v>0</x:v>
      </x:c>
      <x:c r="S26" s="220" t="n">
        <x:f>Q26+R26-SUMIFS(ODEMELER!$L$7:$L$1006,ODEMELER!$N$7:$N$1006,"Evet",ODEMELER!$E$7:$E$1006,"&gt;="&amp;SISTEM!$C$9,ODEMELER!$E$7:$E$1006,"&lt;="&amp;P26)</x:f>
        <x:v>0</x:v>
      </x:c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P27" s="218" t="n">
        <x:f>SISTEM!$C$9+19</x:f>
        <x:v>46277</x:v>
      </x:c>
      <x:c r="Q27" s="220" t="n">
        <x:f>PANO!$H$19</x:f>
        <x:v>0</x:v>
      </x:c>
      <x:c r="R27" s="220" t="n">
        <x:f>SUMIFS(TAHSILATLAR!$L$7:$L$1006,TAHSILATLAR!$N$7:$N$1006,"Evet",TAHSILATLAR!$E$7:$E$1006,"&gt;="&amp;SISTEM!$C$9,TAHSILATLAR!$E$7:$E$1006,"&lt;="&amp;P27)</x:f>
        <x:v>0</x:v>
      </x:c>
      <x:c r="S27" s="220" t="n">
        <x:f>Q27+R27-SUMIFS(ODEMELER!$L$7:$L$1006,ODEMELER!$N$7:$N$1006,"Evet",ODEMELER!$E$7:$E$1006,"&gt;="&amp;SISTEM!$C$9,ODEMELER!$E$7:$E$1006,"&lt;="&amp;P27)</x:f>
        <x:v>0</x:v>
      </x:c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P28" s="218" t="n">
        <x:f>SISTEM!$C$9+20</x:f>
        <x:v>46278</x:v>
      </x:c>
      <x:c r="Q28" s="220" t="n">
        <x:f>PANO!$H$19</x:f>
        <x:v>0</x:v>
      </x:c>
      <x:c r="R28" s="220" t="n">
        <x:f>SUMIFS(TAHSILATLAR!$L$7:$L$1006,TAHSILATLAR!$N$7:$N$1006,"Evet",TAHSILATLAR!$E$7:$E$1006,"&gt;="&amp;SISTEM!$C$9,TAHSILATLAR!$E$7:$E$1006,"&lt;="&amp;P28)</x:f>
        <x:v>0</x:v>
      </x:c>
      <x:c r="S28" s="220" t="n">
        <x:f>Q28+R28-SUMIFS(ODEMELER!$L$7:$L$1006,ODEMELER!$N$7:$N$1006,"Evet",ODEMELER!$E$7:$E$1006,"&gt;="&amp;SISTEM!$C$9,ODEMELER!$E$7:$E$1006,"&lt;="&amp;P28)</x:f>
        <x:v>0</x:v>
      </x:c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P29" s="218" t="n">
        <x:f>SISTEM!$C$9+21</x:f>
        <x:v>46279</x:v>
      </x:c>
      <x:c r="Q29" s="220" t="n">
        <x:f>PANO!$H$19</x:f>
        <x:v>0</x:v>
      </x:c>
      <x:c r="R29" s="220" t="n">
        <x:f>SUMIFS(TAHSILATLAR!$L$7:$L$1006,TAHSILATLAR!$N$7:$N$1006,"Evet",TAHSILATLAR!$E$7:$E$1006,"&gt;="&amp;SISTEM!$C$9,TAHSILATLAR!$E$7:$E$1006,"&lt;="&amp;P29)</x:f>
        <x:v>0</x:v>
      </x:c>
      <x:c r="S29" s="220" t="n">
        <x:f>Q29+R29-SUMIFS(ODEMELER!$L$7:$L$1006,ODEMELER!$N$7:$N$1006,"Evet",ODEMELER!$E$7:$E$1006,"&gt;="&amp;SISTEM!$C$9,ODEMELER!$E$7:$E$1006,"&lt;="&amp;P29)</x:f>
        <x:v>0</x:v>
      </x:c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P30" s="218" t="n">
        <x:f>SISTEM!$C$9+22</x:f>
        <x:v>46280</x:v>
      </x:c>
      <x:c r="Q30" s="220" t="n">
        <x:f>PANO!$H$19</x:f>
        <x:v>0</x:v>
      </x:c>
      <x:c r="R30" s="220" t="n">
        <x:f>SUMIFS(TAHSILATLAR!$L$7:$L$1006,TAHSILATLAR!$N$7:$N$1006,"Evet",TAHSILATLAR!$E$7:$E$1006,"&gt;="&amp;SISTEM!$C$9,TAHSILATLAR!$E$7:$E$1006,"&lt;="&amp;P30)</x:f>
        <x:v>0</x:v>
      </x:c>
      <x:c r="S30" s="220" t="n">
        <x:f>Q30+R30-SUMIFS(ODEMELER!$L$7:$L$1006,ODEMELER!$N$7:$N$1006,"Evet",ODEMELER!$E$7:$E$1006,"&gt;="&amp;SISTEM!$C$9,ODEMELER!$E$7:$E$1006,"&lt;="&amp;P30)</x:f>
        <x:v>0</x:v>
      </x:c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P31" s="218" t="n">
        <x:f>SISTEM!$C$9+23</x:f>
        <x:v>46281</x:v>
      </x:c>
      <x:c r="Q31" s="220" t="n">
        <x:f>PANO!$H$19</x:f>
        <x:v>0</x:v>
      </x:c>
      <x:c r="R31" s="220" t="n">
        <x:f>SUMIFS(TAHSILATLAR!$L$7:$L$1006,TAHSILATLAR!$N$7:$N$1006,"Evet",TAHSILATLAR!$E$7:$E$1006,"&gt;="&amp;SISTEM!$C$9,TAHSILATLAR!$E$7:$E$1006,"&lt;="&amp;P31)</x:f>
        <x:v>0</x:v>
      </x:c>
      <x:c r="S31" s="220" t="n">
        <x:f>Q31+R31-SUMIFS(ODEMELER!$L$7:$L$1006,ODEMELER!$N$7:$N$1006,"Evet",ODEMELER!$E$7:$E$1006,"&gt;="&amp;SISTEM!$C$9,ODEMELER!$E$7:$E$1006,"&lt;="&amp;P31)</x:f>
        <x:v>0</x:v>
      </x:c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P32" s="218" t="n">
        <x:f>SISTEM!$C$9+24</x:f>
        <x:v>46282</x:v>
      </x:c>
      <x:c r="Q32" s="220" t="n">
        <x:f>PANO!$H$19</x:f>
        <x:v>0</x:v>
      </x:c>
      <x:c r="R32" s="220" t="n">
        <x:f>SUMIFS(TAHSILATLAR!$L$7:$L$1006,TAHSILATLAR!$N$7:$N$1006,"Evet",TAHSILATLAR!$E$7:$E$1006,"&gt;="&amp;SISTEM!$C$9,TAHSILATLAR!$E$7:$E$1006,"&lt;="&amp;P32)</x:f>
        <x:v>0</x:v>
      </x:c>
      <x:c r="S32" s="220" t="n">
        <x:f>Q32+R32-SUMIFS(ODEMELER!$L$7:$L$1006,ODEMELER!$N$7:$N$1006,"Evet",ODEMELER!$E$7:$E$1006,"&gt;="&amp;SISTEM!$C$9,ODEMELER!$E$7:$E$1006,"&lt;="&amp;P32)</x:f>
        <x:v>0</x:v>
      </x:c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P33" s="218" t="n">
        <x:f>SISTEM!$C$9+25</x:f>
        <x:v>46283</x:v>
      </x:c>
      <x:c r="Q33" s="220" t="n">
        <x:f>PANO!$H$19</x:f>
        <x:v>0</x:v>
      </x:c>
      <x:c r="R33" s="220" t="n">
        <x:f>SUMIFS(TAHSILATLAR!$L$7:$L$1006,TAHSILATLAR!$N$7:$N$1006,"Evet",TAHSILATLAR!$E$7:$E$1006,"&gt;="&amp;SISTEM!$C$9,TAHSILATLAR!$E$7:$E$1006,"&lt;="&amp;P33)</x:f>
        <x:v>0</x:v>
      </x:c>
      <x:c r="S33" s="220" t="n">
        <x:f>Q33+R33-SUMIFS(ODEMELER!$L$7:$L$1006,ODEMELER!$N$7:$N$1006,"Evet",ODEMELER!$E$7:$E$1006,"&gt;="&amp;SISTEM!$C$9,ODEMELER!$E$7:$E$1006,"&lt;="&amp;P33)</x:f>
        <x:v>0</x:v>
      </x:c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P34" s="218" t="n">
        <x:f>SISTEM!$C$9+26</x:f>
        <x:v>46284</x:v>
      </x:c>
      <x:c r="Q34" s="220" t="n">
        <x:f>PANO!$H$19</x:f>
        <x:v>0</x:v>
      </x:c>
      <x:c r="R34" s="220" t="n">
        <x:f>SUMIFS(TAHSILATLAR!$L$7:$L$1006,TAHSILATLAR!$N$7:$N$1006,"Evet",TAHSILATLAR!$E$7:$E$1006,"&gt;="&amp;SISTEM!$C$9,TAHSILATLAR!$E$7:$E$1006,"&lt;="&amp;P34)</x:f>
        <x:v>0</x:v>
      </x:c>
      <x:c r="S34" s="220" t="n">
        <x:f>Q34+R34-SUMIFS(ODEMELER!$L$7:$L$1006,ODEMELER!$N$7:$N$1006,"Evet",ODEMELER!$E$7:$E$1006,"&gt;="&amp;SISTEM!$C$9,ODEMELER!$E$7:$E$1006,"&lt;="&amp;P34)</x:f>
        <x:v>0</x:v>
      </x:c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P35" s="218" t="n">
        <x:f>SISTEM!$C$9+27</x:f>
        <x:v>46285</x:v>
      </x:c>
      <x:c r="Q35" s="220" t="n">
        <x:f>PANO!$H$19</x:f>
        <x:v>0</x:v>
      </x:c>
      <x:c r="R35" s="220" t="n">
        <x:f>SUMIFS(TAHSILATLAR!$L$7:$L$1006,TAHSILATLAR!$N$7:$N$1006,"Evet",TAHSILATLAR!$E$7:$E$1006,"&gt;="&amp;SISTEM!$C$9,TAHSILATLAR!$E$7:$E$1006,"&lt;="&amp;P35)</x:f>
        <x:v>0</x:v>
      </x:c>
      <x:c r="S35" s="220" t="n">
        <x:f>Q35+R35-SUMIFS(ODEMELER!$L$7:$L$1006,ODEMELER!$N$7:$N$1006,"Evet",ODEMELER!$E$7:$E$1006,"&gt;="&amp;SISTEM!$C$9,ODEMELER!$E$7:$E$1006,"&lt;="&amp;P35)</x:f>
        <x:v>0</x:v>
      </x:c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P36" s="218" t="n">
        <x:f>SISTEM!$C$9+28</x:f>
        <x:v>46286</x:v>
      </x:c>
      <x:c r="Q36" s="220" t="n">
        <x:f>PANO!$H$19</x:f>
        <x:v>0</x:v>
      </x:c>
      <x:c r="R36" s="220" t="n">
        <x:f>SUMIFS(TAHSILATLAR!$L$7:$L$1006,TAHSILATLAR!$N$7:$N$1006,"Evet",TAHSILATLAR!$E$7:$E$1006,"&gt;="&amp;SISTEM!$C$9,TAHSILATLAR!$E$7:$E$1006,"&lt;="&amp;P36)</x:f>
        <x:v>0</x:v>
      </x:c>
      <x:c r="S36" s="220" t="n">
        <x:f>Q36+R36-SUMIFS(ODEMELER!$L$7:$L$1006,ODEMELER!$N$7:$N$1006,"Evet",ODEMELER!$E$7:$E$1006,"&gt;="&amp;SISTEM!$C$9,ODEMELER!$E$7:$E$1006,"&lt;="&amp;P36)</x:f>
        <x:v>0</x:v>
      </x:c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P37" s="218" t="n">
        <x:f>SISTEM!$C$9+29</x:f>
        <x:v>46287</x:v>
      </x:c>
      <x:c r="Q37" s="220" t="n">
        <x:f>PANO!$H$19</x:f>
        <x:v>0</x:v>
      </x:c>
      <x:c r="R37" s="220" t="n">
        <x:f>SUMIFS(TAHSILATLAR!$L$7:$L$1006,TAHSILATLAR!$N$7:$N$1006,"Evet",TAHSILATLAR!$E$7:$E$1006,"&gt;="&amp;SISTEM!$C$9,TAHSILATLAR!$E$7:$E$1006,"&lt;="&amp;P37)</x:f>
        <x:v>0</x:v>
      </x:c>
      <x:c r="S37" s="220" t="n">
        <x:f>Q37+R37-SUMIFS(ODEMELER!$L$7:$L$1006,ODEMELER!$N$7:$N$1006,"Evet",ODEMELER!$E$7:$E$1006,"&gt;="&amp;SISTEM!$C$9,ODEMELER!$E$7:$E$1006,"&lt;="&amp;P37)</x:f>
        <x:v>0</x:v>
      </x:c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P38" s="218" t="n">
        <x:f>SISTEM!$C$9+30</x:f>
        <x:v>46288</x:v>
      </x:c>
      <x:c r="Q38" s="220" t="n">
        <x:f>PANO!$H$19</x:f>
        <x:v>0</x:v>
      </x:c>
      <x:c r="R38" s="220" t="n">
        <x:f>SUMIFS(TAHSILATLAR!$L$7:$L$1006,TAHSILATLAR!$N$7:$N$1006,"Evet",TAHSILATLAR!$E$7:$E$1006,"&gt;="&amp;SISTEM!$C$9,TAHSILATLAR!$E$7:$E$1006,"&lt;="&amp;P38)</x:f>
        <x:v>0</x:v>
      </x:c>
      <x:c r="S38" s="220" t="n">
        <x:f>Q38+R38-SUMIFS(ODEMELER!$L$7:$L$1006,ODEMELER!$N$7:$N$1006,"Evet",ODEMELER!$E$7:$E$1006,"&gt;="&amp;SISTEM!$C$9,ODEMELER!$E$7:$E$1006,"&lt;="&amp;P38)</x:f>
        <x:v>0</x:v>
      </x:c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</x:row>
  </x:sheetData>
  <x:mergeCells>
    <x:mergeCell ref="A1:B1"/>
    <x:mergeCell ref="C1:N1"/>
    <x:mergeCell ref="A2:N2"/>
    <x:mergeCell ref="C4:N4"/>
    <x:mergeCell ref="B6:F6"/>
    <x:mergeCell ref="H6:N6"/>
    <x:mergeCell ref="B14:N14"/>
  </x:mergeCells>
  <x:conditionalFormatting sqref="E16:E23">
    <x:cfRule type="expression" dxfId="0" priority="1">
      <x:formula>E16="KALDI"</x:formula>
    </x:cfRule>
    <x:cfRule type="expression" dxfId="1" priority="2">
      <x:formula>E16="GEÇTİ"</x:formula>
    </x:cfRule>
  </x:conditionalFormatting>
  <x:pageMargins left="0.7" right="0.7" top="0.75" bottom="0.75" header="0.3" footer="0.3"/>
</x:worksheet>
</file>