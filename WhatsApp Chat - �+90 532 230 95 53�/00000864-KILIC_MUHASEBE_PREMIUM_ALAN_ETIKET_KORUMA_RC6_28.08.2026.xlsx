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cair1/Downloads/"/>
    </mc:Choice>
  </mc:AlternateContent>
  <xr:revisionPtr revIDLastSave="0" documentId="13_ncr:20001_{1D5E41A5-1629-394D-8822-C6067A7AC0F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ENU" sheetId="1" r:id="rId1"/>
    <sheet name="PANO" sheetId="2" r:id="rId2"/>
    <sheet name="BASLANGIC" sheetId="3" r:id="rId3"/>
    <sheet name="RAPOR" sheetId="4" r:id="rId4"/>
    <sheet name="MUSTERILER" sheetId="5" r:id="rId5"/>
    <sheet name="UCRETLER" sheetId="6" r:id="rId6"/>
    <sheet name="TAHSILAT" sheetId="7" r:id="rId7"/>
    <sheet name="GELIR_GIDER" sheetId="8" r:id="rId8"/>
    <sheet name="VIRMAN" sheetId="9" r:id="rId9"/>
    <sheet name="MUSTERI_360" sheetId="10" r:id="rId10"/>
    <sheet name="CARI_EKSTRE" sheetId="11" r:id="rId11"/>
    <sheet name="ORTAK_EKSTRE" sheetId="20" r:id="rId12"/>
    <sheet name="HESAPLAR" sheetId="13" r:id="rId13"/>
    <sheet name="AY_SONU" sheetId="14" r:id="rId14"/>
    <sheet name="ORTAKLAR" sheetId="15" r:id="rId15"/>
    <sheet name="KAR" sheetId="16" r:id="rId16"/>
    <sheet name="KONTROL" sheetId="17" r:id="rId17"/>
    <sheet name="SISTEM" sheetId="18" r:id="rId18"/>
    <sheet name="_ARA_ORTAK_EKSTRE" sheetId="19" r:id="rId19"/>
  </sheets>
  <definedNames>
    <definedName name="LST_BORCLU_TARAF">SISTEM!$M$7:$M$63</definedName>
    <definedName name="LST_HESAP">SISTEM!$N$7:$N$20</definedName>
    <definedName name="LST_MUSTERI_ADI">MUSTERILER!$C$7:$C$156</definedName>
    <definedName name="LST_MUSTERI_NO">MUSTERILER!$B$7:$B$156</definedName>
    <definedName name="LST_ORTAK">SISTEM!$C$9:$C$10</definedName>
    <definedName name="LST_ORTAKLAR">ORTAKLAR!$B$7:$B$8</definedName>
    <definedName name="LST_VIRMAN_SINIF">SISTEM!$O$7:$O$10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5" i="20" l="1"/>
  <c r="L165" i="20"/>
  <c r="K165" i="20"/>
  <c r="J165" i="20"/>
  <c r="I165" i="20"/>
  <c r="H165" i="20"/>
  <c r="G165" i="20"/>
  <c r="F165" i="20"/>
  <c r="E165" i="20"/>
  <c r="D165" i="20"/>
  <c r="C165" i="20"/>
  <c r="B165" i="20"/>
  <c r="M164" i="20"/>
  <c r="L164" i="20"/>
  <c r="K164" i="20"/>
  <c r="J164" i="20"/>
  <c r="I164" i="20"/>
  <c r="H164" i="20"/>
  <c r="G164" i="20"/>
  <c r="F164" i="20"/>
  <c r="E164" i="20"/>
  <c r="D164" i="20"/>
  <c r="C164" i="20"/>
  <c r="B164" i="20"/>
  <c r="M163" i="20"/>
  <c r="L163" i="20"/>
  <c r="K163" i="20"/>
  <c r="J163" i="20"/>
  <c r="I163" i="20"/>
  <c r="H163" i="20"/>
  <c r="G163" i="20"/>
  <c r="F163" i="20"/>
  <c r="E163" i="20"/>
  <c r="D163" i="20"/>
  <c r="C163" i="20"/>
  <c r="B163" i="20"/>
  <c r="M162" i="20"/>
  <c r="L162" i="20"/>
  <c r="K162" i="20"/>
  <c r="J162" i="20"/>
  <c r="I162" i="20"/>
  <c r="H162" i="20"/>
  <c r="G162" i="20"/>
  <c r="F162" i="20"/>
  <c r="E162" i="20"/>
  <c r="D162" i="20"/>
  <c r="C162" i="20"/>
  <c r="B162" i="20"/>
  <c r="M161" i="20"/>
  <c r="L161" i="20"/>
  <c r="K161" i="20"/>
  <c r="J161" i="20"/>
  <c r="I161" i="20"/>
  <c r="H161" i="20"/>
  <c r="G161" i="20"/>
  <c r="F161" i="20"/>
  <c r="E161" i="20"/>
  <c r="D161" i="20"/>
  <c r="C161" i="20"/>
  <c r="B161" i="20"/>
  <c r="M160" i="20"/>
  <c r="L160" i="20"/>
  <c r="K160" i="20"/>
  <c r="J160" i="20"/>
  <c r="I160" i="20"/>
  <c r="H160" i="20"/>
  <c r="G160" i="20"/>
  <c r="F160" i="20"/>
  <c r="E160" i="20"/>
  <c r="D160" i="20"/>
  <c r="C160" i="20"/>
  <c r="B160" i="20"/>
  <c r="M159" i="20"/>
  <c r="L159" i="20"/>
  <c r="K159" i="20"/>
  <c r="J159" i="20"/>
  <c r="I159" i="20"/>
  <c r="H159" i="20"/>
  <c r="G159" i="20"/>
  <c r="F159" i="20"/>
  <c r="E159" i="20"/>
  <c r="D159" i="20"/>
  <c r="C159" i="20"/>
  <c r="B159" i="20"/>
  <c r="M158" i="20"/>
  <c r="L158" i="20"/>
  <c r="K158" i="20"/>
  <c r="J158" i="20"/>
  <c r="I158" i="20"/>
  <c r="H158" i="20"/>
  <c r="G158" i="20"/>
  <c r="F158" i="20"/>
  <c r="E158" i="20"/>
  <c r="D158" i="20"/>
  <c r="C158" i="20"/>
  <c r="B158" i="20"/>
  <c r="M157" i="20"/>
  <c r="L157" i="20"/>
  <c r="K157" i="20"/>
  <c r="J157" i="20"/>
  <c r="I157" i="20"/>
  <c r="H157" i="20"/>
  <c r="G157" i="20"/>
  <c r="F157" i="20"/>
  <c r="E157" i="20"/>
  <c r="D157" i="20"/>
  <c r="C157" i="20"/>
  <c r="B157" i="20"/>
  <c r="M156" i="20"/>
  <c r="L156" i="20"/>
  <c r="K156" i="20"/>
  <c r="J156" i="20"/>
  <c r="I156" i="20"/>
  <c r="H156" i="20"/>
  <c r="G156" i="20"/>
  <c r="F156" i="20"/>
  <c r="E156" i="20"/>
  <c r="D156" i="20"/>
  <c r="C156" i="20"/>
  <c r="B156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M147" i="20"/>
  <c r="L147" i="20"/>
  <c r="K147" i="20"/>
  <c r="J147" i="20"/>
  <c r="I147" i="20"/>
  <c r="H147" i="20"/>
  <c r="G147" i="20"/>
  <c r="F147" i="20"/>
  <c r="E147" i="20"/>
  <c r="D147" i="20"/>
  <c r="C147" i="20"/>
  <c r="B147" i="20"/>
  <c r="M146" i="20"/>
  <c r="L146" i="20"/>
  <c r="K146" i="20"/>
  <c r="J146" i="20"/>
  <c r="I146" i="20"/>
  <c r="H146" i="20"/>
  <c r="G146" i="20"/>
  <c r="F146" i="20"/>
  <c r="E146" i="20"/>
  <c r="D146" i="20"/>
  <c r="C146" i="20"/>
  <c r="B146" i="20"/>
  <c r="M145" i="20"/>
  <c r="L145" i="20"/>
  <c r="K145" i="20"/>
  <c r="J145" i="20"/>
  <c r="I145" i="20"/>
  <c r="H145" i="20"/>
  <c r="G145" i="20"/>
  <c r="F145" i="20"/>
  <c r="E145" i="20"/>
  <c r="D145" i="20"/>
  <c r="C145" i="20"/>
  <c r="B145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M136" i="20"/>
  <c r="L136" i="20"/>
  <c r="K136" i="20"/>
  <c r="J136" i="20"/>
  <c r="I136" i="20"/>
  <c r="H136" i="20"/>
  <c r="G136" i="20"/>
  <c r="F136" i="20"/>
  <c r="E136" i="20"/>
  <c r="D136" i="20"/>
  <c r="C136" i="20"/>
  <c r="B136" i="20"/>
  <c r="M135" i="20"/>
  <c r="L135" i="20"/>
  <c r="K135" i="20"/>
  <c r="J135" i="20"/>
  <c r="I135" i="20"/>
  <c r="H135" i="20"/>
  <c r="G135" i="20"/>
  <c r="F135" i="20"/>
  <c r="E135" i="20"/>
  <c r="D135" i="20"/>
  <c r="C135" i="20"/>
  <c r="B135" i="20"/>
  <c r="M134" i="20"/>
  <c r="L134" i="20"/>
  <c r="K134" i="20"/>
  <c r="J134" i="20"/>
  <c r="I134" i="20"/>
  <c r="H134" i="20"/>
  <c r="G134" i="20"/>
  <c r="F134" i="20"/>
  <c r="E134" i="20"/>
  <c r="D134" i="20"/>
  <c r="C134" i="20"/>
  <c r="B134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M125" i="20"/>
  <c r="L125" i="20"/>
  <c r="K125" i="20"/>
  <c r="J125" i="20"/>
  <c r="I125" i="20"/>
  <c r="H125" i="20"/>
  <c r="G125" i="20"/>
  <c r="F125" i="20"/>
  <c r="E125" i="20"/>
  <c r="D125" i="20"/>
  <c r="C125" i="20"/>
  <c r="B125" i="20"/>
  <c r="M124" i="20"/>
  <c r="L124" i="20"/>
  <c r="K124" i="20"/>
  <c r="J124" i="20"/>
  <c r="I124" i="20"/>
  <c r="H124" i="20"/>
  <c r="G124" i="20"/>
  <c r="F124" i="20"/>
  <c r="E124" i="20"/>
  <c r="D124" i="20"/>
  <c r="C124" i="20"/>
  <c r="B124" i="20"/>
  <c r="M123" i="20"/>
  <c r="L123" i="20"/>
  <c r="K123" i="20"/>
  <c r="J123" i="20"/>
  <c r="I123" i="20"/>
  <c r="H123" i="20"/>
  <c r="G123" i="20"/>
  <c r="F123" i="20"/>
  <c r="E123" i="20"/>
  <c r="D123" i="20"/>
  <c r="C123" i="20"/>
  <c r="B123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M114" i="20"/>
  <c r="L114" i="20"/>
  <c r="K114" i="20"/>
  <c r="J114" i="20"/>
  <c r="I114" i="20"/>
  <c r="H114" i="20"/>
  <c r="G114" i="20"/>
  <c r="F114" i="20"/>
  <c r="E114" i="20"/>
  <c r="D114" i="20"/>
  <c r="C114" i="20"/>
  <c r="B114" i="20"/>
  <c r="M113" i="20"/>
  <c r="L113" i="20"/>
  <c r="K113" i="20"/>
  <c r="J113" i="20"/>
  <c r="I113" i="20"/>
  <c r="H113" i="20"/>
  <c r="G113" i="20"/>
  <c r="F113" i="20"/>
  <c r="E113" i="20"/>
  <c r="D113" i="20"/>
  <c r="C113" i="20"/>
  <c r="B113" i="20"/>
  <c r="M112" i="20"/>
  <c r="L112" i="20"/>
  <c r="K112" i="20"/>
  <c r="J112" i="20"/>
  <c r="I112" i="20"/>
  <c r="H112" i="20"/>
  <c r="G112" i="20"/>
  <c r="F112" i="20"/>
  <c r="E112" i="20"/>
  <c r="D112" i="20"/>
  <c r="C112" i="20"/>
  <c r="B112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M103" i="20"/>
  <c r="L103" i="20"/>
  <c r="K103" i="20"/>
  <c r="J103" i="20"/>
  <c r="I103" i="20"/>
  <c r="H103" i="20"/>
  <c r="G103" i="20"/>
  <c r="F103" i="20"/>
  <c r="E103" i="20"/>
  <c r="D103" i="20"/>
  <c r="C103" i="20"/>
  <c r="B103" i="20"/>
  <c r="M102" i="20"/>
  <c r="L102" i="20"/>
  <c r="K102" i="20"/>
  <c r="J102" i="20"/>
  <c r="I102" i="20"/>
  <c r="H102" i="20"/>
  <c r="G102" i="20"/>
  <c r="F102" i="20"/>
  <c r="E102" i="20"/>
  <c r="D102" i="20"/>
  <c r="C102" i="20"/>
  <c r="B102" i="20"/>
  <c r="M101" i="20"/>
  <c r="L101" i="20"/>
  <c r="K101" i="20"/>
  <c r="J101" i="20"/>
  <c r="I101" i="20"/>
  <c r="H101" i="20"/>
  <c r="G101" i="20"/>
  <c r="F101" i="20"/>
  <c r="E101" i="20"/>
  <c r="D101" i="20"/>
  <c r="C101" i="20"/>
  <c r="B101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M92" i="20"/>
  <c r="L92" i="20"/>
  <c r="K92" i="20"/>
  <c r="J92" i="20"/>
  <c r="I92" i="20"/>
  <c r="H92" i="20"/>
  <c r="G92" i="20"/>
  <c r="F92" i="20"/>
  <c r="E92" i="20"/>
  <c r="D92" i="20"/>
  <c r="C92" i="20"/>
  <c r="B92" i="20"/>
  <c r="M91" i="20"/>
  <c r="L91" i="20"/>
  <c r="K91" i="20"/>
  <c r="J91" i="20"/>
  <c r="I91" i="20"/>
  <c r="H91" i="20"/>
  <c r="G91" i="20"/>
  <c r="F91" i="20"/>
  <c r="E91" i="20"/>
  <c r="D91" i="20"/>
  <c r="C91" i="20"/>
  <c r="B91" i="20"/>
  <c r="M90" i="20"/>
  <c r="L90" i="20"/>
  <c r="K90" i="20"/>
  <c r="J90" i="20"/>
  <c r="I90" i="20"/>
  <c r="H90" i="20"/>
  <c r="G90" i="20"/>
  <c r="F90" i="20"/>
  <c r="E90" i="20"/>
  <c r="D90" i="20"/>
  <c r="C90" i="20"/>
  <c r="B90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M81" i="20"/>
  <c r="L81" i="20"/>
  <c r="K81" i="20"/>
  <c r="J81" i="20"/>
  <c r="I81" i="20"/>
  <c r="H81" i="20"/>
  <c r="G81" i="20"/>
  <c r="F81" i="20"/>
  <c r="E81" i="20"/>
  <c r="D81" i="20"/>
  <c r="C81" i="20"/>
  <c r="B81" i="20"/>
  <c r="M80" i="20"/>
  <c r="L80" i="20"/>
  <c r="K80" i="20"/>
  <c r="J80" i="20"/>
  <c r="I80" i="20"/>
  <c r="H80" i="20"/>
  <c r="G80" i="20"/>
  <c r="F80" i="20"/>
  <c r="E80" i="20"/>
  <c r="D80" i="20"/>
  <c r="C80" i="20"/>
  <c r="B80" i="20"/>
  <c r="M79" i="20"/>
  <c r="L79" i="20"/>
  <c r="K79" i="20"/>
  <c r="J79" i="20"/>
  <c r="I79" i="20"/>
  <c r="H79" i="20"/>
  <c r="G79" i="20"/>
  <c r="F79" i="20"/>
  <c r="E79" i="20"/>
  <c r="D79" i="20"/>
  <c r="C79" i="20"/>
  <c r="B79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M70" i="20"/>
  <c r="L70" i="20"/>
  <c r="K70" i="20"/>
  <c r="J70" i="20"/>
  <c r="I70" i="20"/>
  <c r="H70" i="20"/>
  <c r="G70" i="20"/>
  <c r="F70" i="20"/>
  <c r="E70" i="20"/>
  <c r="D70" i="20"/>
  <c r="C70" i="20"/>
  <c r="B70" i="20"/>
  <c r="M69" i="20"/>
  <c r="L69" i="20"/>
  <c r="K69" i="20"/>
  <c r="J69" i="20"/>
  <c r="I69" i="20"/>
  <c r="H69" i="20"/>
  <c r="G69" i="20"/>
  <c r="F69" i="20"/>
  <c r="E69" i="20"/>
  <c r="D69" i="20"/>
  <c r="C69" i="20"/>
  <c r="B69" i="20"/>
  <c r="M68" i="20"/>
  <c r="L68" i="20"/>
  <c r="K68" i="20"/>
  <c r="J68" i="20"/>
  <c r="I68" i="20"/>
  <c r="H68" i="20"/>
  <c r="G68" i="20"/>
  <c r="F68" i="20"/>
  <c r="E68" i="20"/>
  <c r="D68" i="20"/>
  <c r="C68" i="20"/>
  <c r="B68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M64" i="20"/>
  <c r="L64" i="20"/>
  <c r="K64" i="20"/>
  <c r="J64" i="20"/>
  <c r="I64" i="20"/>
  <c r="H64" i="20"/>
  <c r="G64" i="20"/>
  <c r="F64" i="20"/>
  <c r="E64" i="20"/>
  <c r="D64" i="20"/>
  <c r="C64" i="20"/>
  <c r="B64" i="20"/>
  <c r="M63" i="20"/>
  <c r="L63" i="20"/>
  <c r="K63" i="20"/>
  <c r="J63" i="20"/>
  <c r="I63" i="20"/>
  <c r="H63" i="20"/>
  <c r="G63" i="20"/>
  <c r="F63" i="20"/>
  <c r="E63" i="20"/>
  <c r="D63" i="20"/>
  <c r="C63" i="20"/>
  <c r="B63" i="20"/>
  <c r="M62" i="20"/>
  <c r="L62" i="20"/>
  <c r="K62" i="20"/>
  <c r="J62" i="20"/>
  <c r="I62" i="20"/>
  <c r="H62" i="20"/>
  <c r="G62" i="20"/>
  <c r="F62" i="20"/>
  <c r="E62" i="20"/>
  <c r="D62" i="20"/>
  <c r="C62" i="20"/>
  <c r="B62" i="20"/>
  <c r="M61" i="20"/>
  <c r="L61" i="20"/>
  <c r="K61" i="20"/>
  <c r="J61" i="20"/>
  <c r="I61" i="20"/>
  <c r="H61" i="20"/>
  <c r="G61" i="20"/>
  <c r="F61" i="20"/>
  <c r="E61" i="20"/>
  <c r="D61" i="20"/>
  <c r="C61" i="20"/>
  <c r="B61" i="20"/>
  <c r="M60" i="20"/>
  <c r="L60" i="20"/>
  <c r="K60" i="20"/>
  <c r="J60" i="20"/>
  <c r="I60" i="20"/>
  <c r="H60" i="20"/>
  <c r="G60" i="20"/>
  <c r="F60" i="20"/>
  <c r="E60" i="20"/>
  <c r="D60" i="20"/>
  <c r="C60" i="20"/>
  <c r="B60" i="20"/>
  <c r="M59" i="20"/>
  <c r="L59" i="20"/>
  <c r="K59" i="20"/>
  <c r="J59" i="20"/>
  <c r="I59" i="20"/>
  <c r="H59" i="20"/>
  <c r="G59" i="20"/>
  <c r="F59" i="20"/>
  <c r="E59" i="20"/>
  <c r="D59" i="20"/>
  <c r="C59" i="20"/>
  <c r="B59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M57" i="20"/>
  <c r="L57" i="20"/>
  <c r="K57" i="20"/>
  <c r="J57" i="20"/>
  <c r="I57" i="20"/>
  <c r="H57" i="20"/>
  <c r="G57" i="20"/>
  <c r="F57" i="20"/>
  <c r="E57" i="20"/>
  <c r="D57" i="20"/>
  <c r="C57" i="20"/>
  <c r="B57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M47" i="20"/>
  <c r="L47" i="20"/>
  <c r="K47" i="20"/>
  <c r="J47" i="20"/>
  <c r="I47" i="20"/>
  <c r="H47" i="20"/>
  <c r="G47" i="20"/>
  <c r="F47" i="20"/>
  <c r="E47" i="20"/>
  <c r="D47" i="20"/>
  <c r="C47" i="20"/>
  <c r="B47" i="20"/>
  <c r="M46" i="20"/>
  <c r="L46" i="20"/>
  <c r="K46" i="20"/>
  <c r="J46" i="20"/>
  <c r="I46" i="20"/>
  <c r="H46" i="20"/>
  <c r="G46" i="20"/>
  <c r="F46" i="20"/>
  <c r="E46" i="20"/>
  <c r="D46" i="20"/>
  <c r="C46" i="20"/>
  <c r="B46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M15" i="20"/>
  <c r="L15" i="20"/>
  <c r="K15" i="20"/>
  <c r="J15" i="20"/>
  <c r="I15" i="20"/>
  <c r="H15" i="20"/>
  <c r="G15" i="20"/>
  <c r="F15" i="20"/>
  <c r="E15" i="20"/>
  <c r="D15" i="20"/>
  <c r="C15" i="20"/>
  <c r="B15" i="20"/>
  <c r="M14" i="20"/>
  <c r="L14" i="20"/>
  <c r="K14" i="20"/>
  <c r="J14" i="20"/>
  <c r="I14" i="20"/>
  <c r="H14" i="20"/>
  <c r="G14" i="20"/>
  <c r="F14" i="20"/>
  <c r="E14" i="20"/>
  <c r="D14" i="20"/>
  <c r="C14" i="20"/>
  <c r="B14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M12" i="20"/>
  <c r="L12" i="20"/>
  <c r="K12" i="20"/>
  <c r="J12" i="20"/>
  <c r="I12" i="20"/>
  <c r="H12" i="20"/>
  <c r="G12" i="20"/>
  <c r="F12" i="20"/>
  <c r="E12" i="20"/>
  <c r="D12" i="20"/>
  <c r="C12" i="20"/>
  <c r="B12" i="20"/>
  <c r="M11" i="20"/>
  <c r="L11" i="20"/>
  <c r="K11" i="20"/>
  <c r="J11" i="20"/>
  <c r="I11" i="20"/>
  <c r="H11" i="20"/>
  <c r="G11" i="20"/>
  <c r="F11" i="20"/>
  <c r="E11" i="20"/>
  <c r="D11" i="20"/>
  <c r="C11" i="20"/>
  <c r="B11" i="20"/>
  <c r="F3" i="20"/>
  <c r="D24" i="18"/>
  <c r="E24" i="18" s="1"/>
  <c r="D23" i="18"/>
  <c r="E23" i="18" s="1"/>
  <c r="D22" i="18"/>
  <c r="E22" i="18" s="1"/>
  <c r="D21" i="18"/>
  <c r="E21" i="18" s="1"/>
  <c r="D20" i="18"/>
  <c r="E20" i="18" s="1"/>
  <c r="N4" i="18"/>
  <c r="L4" i="18"/>
  <c r="J4" i="18"/>
  <c r="H4" i="18"/>
  <c r="A4" i="18"/>
  <c r="B1" i="18"/>
  <c r="A1" i="18"/>
  <c r="E51" i="17"/>
  <c r="F51" i="17" s="1"/>
  <c r="F48" i="17"/>
  <c r="E48" i="17"/>
  <c r="H48" i="17" s="1"/>
  <c r="F46" i="17"/>
  <c r="E46" i="17"/>
  <c r="H46" i="17" s="1"/>
  <c r="E45" i="17"/>
  <c r="E41" i="17"/>
  <c r="F41" i="17" s="1"/>
  <c r="F40" i="17"/>
  <c r="E40" i="17"/>
  <c r="H40" i="17" s="1"/>
  <c r="E35" i="17"/>
  <c r="F34" i="17"/>
  <c r="E34" i="17"/>
  <c r="H34" i="17" s="1"/>
  <c r="H32" i="17"/>
  <c r="F32" i="17"/>
  <c r="E32" i="17"/>
  <c r="E31" i="17"/>
  <c r="F30" i="17"/>
  <c r="E30" i="17"/>
  <c r="H30" i="17" s="1"/>
  <c r="H29" i="17"/>
  <c r="F29" i="17"/>
  <c r="E29" i="17"/>
  <c r="F28" i="17"/>
  <c r="E28" i="17"/>
  <c r="H28" i="17" s="1"/>
  <c r="F24" i="17"/>
  <c r="E24" i="17"/>
  <c r="H24" i="17" s="1"/>
  <c r="F23" i="17"/>
  <c r="E23" i="17"/>
  <c r="H23" i="17" s="1"/>
  <c r="H22" i="17"/>
  <c r="F22" i="17"/>
  <c r="E22" i="17"/>
  <c r="E21" i="17"/>
  <c r="F21" i="17" s="1"/>
  <c r="E20" i="17"/>
  <c r="H20" i="17" s="1"/>
  <c r="H19" i="17"/>
  <c r="F19" i="17"/>
  <c r="E19" i="17"/>
  <c r="F18" i="17"/>
  <c r="E18" i="17"/>
  <c r="H18" i="17" s="1"/>
  <c r="E13" i="17"/>
  <c r="H12" i="17"/>
  <c r="F12" i="17"/>
  <c r="E12" i="17"/>
  <c r="N4" i="17"/>
  <c r="L4" i="17"/>
  <c r="J4" i="17"/>
  <c r="H4" i="17"/>
  <c r="A4" i="17"/>
  <c r="B1" i="17"/>
  <c r="A1" i="17"/>
  <c r="G18" i="16"/>
  <c r="G17" i="16"/>
  <c r="G16" i="16"/>
  <c r="C16" i="16"/>
  <c r="G15" i="16"/>
  <c r="C15" i="16"/>
  <c r="G14" i="16"/>
  <c r="C14" i="16"/>
  <c r="G13" i="16"/>
  <c r="C13" i="16"/>
  <c r="G12" i="16"/>
  <c r="C12" i="16"/>
  <c r="G11" i="16"/>
  <c r="C11" i="16"/>
  <c r="G10" i="16"/>
  <c r="H13" i="16" s="1"/>
  <c r="C10" i="16"/>
  <c r="G9" i="16"/>
  <c r="C9" i="16"/>
  <c r="G8" i="16"/>
  <c r="C8" i="16"/>
  <c r="D9" i="16" s="1"/>
  <c r="G7" i="16"/>
  <c r="C7" i="16"/>
  <c r="N4" i="16"/>
  <c r="L4" i="16"/>
  <c r="J4" i="16"/>
  <c r="H4" i="16"/>
  <c r="A4" i="16"/>
  <c r="B1" i="16"/>
  <c r="A1" i="16"/>
  <c r="I8" i="15"/>
  <c r="F6" i="20" s="1"/>
  <c r="F8" i="15"/>
  <c r="E8" i="15"/>
  <c r="D8" i="15"/>
  <c r="G8" i="15" s="1"/>
  <c r="C8" i="15"/>
  <c r="I7" i="15"/>
  <c r="F7" i="15"/>
  <c r="E7" i="15"/>
  <c r="D7" i="15"/>
  <c r="C7" i="15"/>
  <c r="G7" i="15" s="1"/>
  <c r="N4" i="15"/>
  <c r="L4" i="15"/>
  <c r="J4" i="15"/>
  <c r="H4" i="15"/>
  <c r="A4" i="15"/>
  <c r="B1" i="15"/>
  <c r="A1" i="15"/>
  <c r="M42" i="14"/>
  <c r="L42" i="14"/>
  <c r="F42" i="14"/>
  <c r="D42" i="14"/>
  <c r="C42" i="14"/>
  <c r="E42" i="14" s="1"/>
  <c r="G42" i="14" s="1"/>
  <c r="I42" i="14" s="1"/>
  <c r="M41" i="14"/>
  <c r="L41" i="14"/>
  <c r="F41" i="14"/>
  <c r="G41" i="14" s="1"/>
  <c r="E41" i="14"/>
  <c r="D41" i="14"/>
  <c r="C41" i="14"/>
  <c r="M40" i="14"/>
  <c r="L40" i="14"/>
  <c r="F40" i="14"/>
  <c r="D40" i="14"/>
  <c r="E40" i="14" s="1"/>
  <c r="G40" i="14" s="1"/>
  <c r="C40" i="14"/>
  <c r="M39" i="14"/>
  <c r="L39" i="14"/>
  <c r="F39" i="14"/>
  <c r="E39" i="14"/>
  <c r="G39" i="14" s="1"/>
  <c r="D39" i="14"/>
  <c r="C39" i="14"/>
  <c r="M38" i="14"/>
  <c r="L38" i="14"/>
  <c r="F38" i="14"/>
  <c r="D38" i="14"/>
  <c r="C38" i="14"/>
  <c r="E38" i="14" s="1"/>
  <c r="G38" i="14" s="1"/>
  <c r="I38" i="14" s="1"/>
  <c r="M37" i="14"/>
  <c r="L37" i="14"/>
  <c r="F37" i="14"/>
  <c r="D37" i="14"/>
  <c r="C37" i="14"/>
  <c r="M36" i="14"/>
  <c r="L36" i="14"/>
  <c r="G36" i="14"/>
  <c r="F36" i="14"/>
  <c r="D36" i="14"/>
  <c r="C36" i="14"/>
  <c r="E36" i="14" s="1"/>
  <c r="M35" i="14"/>
  <c r="L35" i="14"/>
  <c r="F35" i="14"/>
  <c r="E35" i="14"/>
  <c r="D35" i="14"/>
  <c r="C35" i="14"/>
  <c r="M34" i="14"/>
  <c r="L34" i="14"/>
  <c r="F34" i="14"/>
  <c r="D34" i="14"/>
  <c r="E34" i="14" s="1"/>
  <c r="G34" i="14" s="1"/>
  <c r="C34" i="14"/>
  <c r="M33" i="14"/>
  <c r="L33" i="14"/>
  <c r="F33" i="14"/>
  <c r="D33" i="14"/>
  <c r="C33" i="14"/>
  <c r="M32" i="14"/>
  <c r="L32" i="14"/>
  <c r="I32" i="14"/>
  <c r="F32" i="14"/>
  <c r="D32" i="14"/>
  <c r="C32" i="14"/>
  <c r="E32" i="14" s="1"/>
  <c r="G32" i="14" s="1"/>
  <c r="J32" i="14" s="1"/>
  <c r="M31" i="14"/>
  <c r="L31" i="14"/>
  <c r="F31" i="14"/>
  <c r="E31" i="14"/>
  <c r="G31" i="14" s="1"/>
  <c r="D31" i="14"/>
  <c r="C31" i="14"/>
  <c r="M30" i="14"/>
  <c r="L30" i="14"/>
  <c r="G30" i="14"/>
  <c r="F30" i="14"/>
  <c r="E30" i="14"/>
  <c r="D30" i="14"/>
  <c r="C30" i="14"/>
  <c r="M29" i="14"/>
  <c r="L29" i="14"/>
  <c r="F29" i="14"/>
  <c r="D29" i="14"/>
  <c r="E29" i="14" s="1"/>
  <c r="G29" i="14" s="1"/>
  <c r="C29" i="14"/>
  <c r="M28" i="14"/>
  <c r="L28" i="14"/>
  <c r="F28" i="14"/>
  <c r="D28" i="14"/>
  <c r="C28" i="14"/>
  <c r="E28" i="14" s="1"/>
  <c r="G28" i="14" s="1"/>
  <c r="M27" i="14"/>
  <c r="L27" i="14"/>
  <c r="F27" i="14"/>
  <c r="D27" i="14"/>
  <c r="C27" i="14"/>
  <c r="M26" i="14"/>
  <c r="L26" i="14"/>
  <c r="F26" i="14"/>
  <c r="G26" i="14" s="1"/>
  <c r="D26" i="14"/>
  <c r="C26" i="14"/>
  <c r="E26" i="14" s="1"/>
  <c r="M25" i="14"/>
  <c r="L25" i="14"/>
  <c r="J25" i="14"/>
  <c r="F25" i="14"/>
  <c r="E25" i="14"/>
  <c r="G25" i="14" s="1"/>
  <c r="I25" i="14" s="1"/>
  <c r="D25" i="14"/>
  <c r="C25" i="14"/>
  <c r="M24" i="14"/>
  <c r="L24" i="14"/>
  <c r="F24" i="14"/>
  <c r="D24" i="14"/>
  <c r="E24" i="14" s="1"/>
  <c r="G24" i="14" s="1"/>
  <c r="C24" i="14"/>
  <c r="M23" i="14"/>
  <c r="L23" i="14"/>
  <c r="F23" i="14"/>
  <c r="D23" i="14"/>
  <c r="C23" i="14"/>
  <c r="M22" i="14"/>
  <c r="L22" i="14"/>
  <c r="I22" i="14"/>
  <c r="G22" i="14"/>
  <c r="J22" i="14" s="1"/>
  <c r="F22" i="14"/>
  <c r="D22" i="14"/>
  <c r="C22" i="14"/>
  <c r="E22" i="14" s="1"/>
  <c r="M21" i="14"/>
  <c r="L21" i="14"/>
  <c r="G21" i="14"/>
  <c r="J21" i="14" s="1"/>
  <c r="F21" i="14"/>
  <c r="E21" i="14"/>
  <c r="D21" i="14"/>
  <c r="C21" i="14"/>
  <c r="M20" i="14"/>
  <c r="L20" i="14"/>
  <c r="F20" i="14"/>
  <c r="D20" i="14"/>
  <c r="E20" i="14" s="1"/>
  <c r="G20" i="14" s="1"/>
  <c r="C20" i="14"/>
  <c r="M19" i="14"/>
  <c r="L19" i="14"/>
  <c r="F19" i="14"/>
  <c r="D19" i="14"/>
  <c r="C19" i="14"/>
  <c r="M18" i="14"/>
  <c r="L18" i="14"/>
  <c r="F18" i="14"/>
  <c r="D18" i="14"/>
  <c r="E18" i="14" s="1"/>
  <c r="G18" i="14" s="1"/>
  <c r="J18" i="14" s="1"/>
  <c r="C18" i="14"/>
  <c r="M17" i="14"/>
  <c r="L17" i="14"/>
  <c r="F17" i="14"/>
  <c r="D17" i="14"/>
  <c r="C17" i="14"/>
  <c r="M16" i="14"/>
  <c r="L16" i="14"/>
  <c r="F16" i="14"/>
  <c r="D16" i="14"/>
  <c r="C16" i="14"/>
  <c r="E16" i="14" s="1"/>
  <c r="M15" i="14"/>
  <c r="L15" i="14"/>
  <c r="F15" i="14"/>
  <c r="E15" i="14"/>
  <c r="D15" i="14"/>
  <c r="C15" i="14"/>
  <c r="M14" i="14"/>
  <c r="L14" i="14"/>
  <c r="F14" i="14"/>
  <c r="D14" i="14"/>
  <c r="E14" i="14" s="1"/>
  <c r="G14" i="14" s="1"/>
  <c r="C14" i="14"/>
  <c r="M13" i="14"/>
  <c r="L13" i="14"/>
  <c r="F13" i="14"/>
  <c r="D13" i="14"/>
  <c r="C13" i="14"/>
  <c r="M12" i="14"/>
  <c r="L12" i="14"/>
  <c r="G12" i="14"/>
  <c r="F12" i="14"/>
  <c r="D12" i="14"/>
  <c r="C12" i="14"/>
  <c r="E12" i="14" s="1"/>
  <c r="M11" i="14"/>
  <c r="L11" i="14"/>
  <c r="I11" i="14"/>
  <c r="F11" i="14"/>
  <c r="G11" i="14" s="1"/>
  <c r="J11" i="14" s="1"/>
  <c r="E11" i="14"/>
  <c r="D11" i="14"/>
  <c r="C11" i="14"/>
  <c r="M10" i="14"/>
  <c r="L10" i="14"/>
  <c r="F10" i="14"/>
  <c r="E10" i="14"/>
  <c r="G10" i="14" s="1"/>
  <c r="D10" i="14"/>
  <c r="C10" i="14"/>
  <c r="M9" i="14"/>
  <c r="L9" i="14"/>
  <c r="F9" i="14"/>
  <c r="D9" i="14"/>
  <c r="E9" i="14" s="1"/>
  <c r="G9" i="14" s="1"/>
  <c r="C9" i="14"/>
  <c r="M8" i="14"/>
  <c r="L8" i="14"/>
  <c r="F8" i="14"/>
  <c r="E8" i="14"/>
  <c r="G8" i="14" s="1"/>
  <c r="D8" i="14"/>
  <c r="C8" i="14"/>
  <c r="M7" i="14"/>
  <c r="L7" i="14"/>
  <c r="F7" i="14"/>
  <c r="D7" i="14"/>
  <c r="E7" i="14" s="1"/>
  <c r="G7" i="14" s="1"/>
  <c r="C7" i="14"/>
  <c r="N4" i="14"/>
  <c r="L4" i="14"/>
  <c r="J4" i="14"/>
  <c r="H4" i="14"/>
  <c r="A4" i="14"/>
  <c r="B1" i="14"/>
  <c r="A1" i="14"/>
  <c r="M16" i="13"/>
  <c r="L16" i="13"/>
  <c r="K16" i="13"/>
  <c r="J16" i="13"/>
  <c r="I16" i="13"/>
  <c r="H16" i="13"/>
  <c r="G16" i="13"/>
  <c r="F16" i="13"/>
  <c r="L15" i="13"/>
  <c r="K15" i="13"/>
  <c r="M15" i="13" s="1"/>
  <c r="J15" i="13"/>
  <c r="I15" i="13"/>
  <c r="H15" i="13"/>
  <c r="G15" i="13"/>
  <c r="F15" i="13"/>
  <c r="M14" i="13"/>
  <c r="L14" i="13"/>
  <c r="K14" i="13"/>
  <c r="J14" i="13"/>
  <c r="I14" i="13"/>
  <c r="H14" i="13"/>
  <c r="G14" i="13"/>
  <c r="F14" i="13"/>
  <c r="M13" i="13"/>
  <c r="L13" i="13"/>
  <c r="K13" i="13"/>
  <c r="J13" i="13"/>
  <c r="I13" i="13"/>
  <c r="H13" i="13"/>
  <c r="G13" i="13"/>
  <c r="F13" i="13"/>
  <c r="J12" i="13"/>
  <c r="K12" i="13" s="1"/>
  <c r="I12" i="13"/>
  <c r="H12" i="13"/>
  <c r="G12" i="13"/>
  <c r="F12" i="13"/>
  <c r="J11" i="13"/>
  <c r="I11" i="13"/>
  <c r="H11" i="13"/>
  <c r="K11" i="13" s="1"/>
  <c r="G11" i="13"/>
  <c r="F11" i="13"/>
  <c r="J10" i="13"/>
  <c r="I10" i="13"/>
  <c r="H10" i="13"/>
  <c r="G10" i="13"/>
  <c r="F10" i="13"/>
  <c r="K9" i="13"/>
  <c r="M9" i="13" s="1"/>
  <c r="J9" i="13"/>
  <c r="I9" i="13"/>
  <c r="H9" i="13"/>
  <c r="G9" i="13"/>
  <c r="F9" i="13"/>
  <c r="J8" i="13"/>
  <c r="I8" i="13"/>
  <c r="H8" i="13"/>
  <c r="G8" i="13"/>
  <c r="F8" i="13"/>
  <c r="K7" i="13"/>
  <c r="J7" i="13"/>
  <c r="I7" i="13"/>
  <c r="H7" i="13"/>
  <c r="G7" i="13"/>
  <c r="F7" i="13"/>
  <c r="N4" i="13"/>
  <c r="L4" i="13"/>
  <c r="J4" i="13"/>
  <c r="H4" i="13"/>
  <c r="A4" i="13"/>
  <c r="B1" i="13"/>
  <c r="A1" i="13"/>
  <c r="O106" i="11"/>
  <c r="J106" i="11" s="1"/>
  <c r="I106" i="11"/>
  <c r="H106" i="11"/>
  <c r="G106" i="11"/>
  <c r="F106" i="11"/>
  <c r="O105" i="11"/>
  <c r="J105" i="11" s="1"/>
  <c r="G105" i="11"/>
  <c r="O104" i="11"/>
  <c r="G104" i="11" s="1"/>
  <c r="J104" i="11"/>
  <c r="I104" i="11"/>
  <c r="H104" i="11"/>
  <c r="O103" i="11"/>
  <c r="I103" i="11" s="1"/>
  <c r="O102" i="11"/>
  <c r="I102" i="11" s="1"/>
  <c r="G102" i="11"/>
  <c r="O101" i="11"/>
  <c r="G101" i="11" s="1"/>
  <c r="H101" i="11"/>
  <c r="O100" i="11"/>
  <c r="I100" i="11" s="1"/>
  <c r="J100" i="11"/>
  <c r="O99" i="11"/>
  <c r="G99" i="11" s="1"/>
  <c r="I99" i="11"/>
  <c r="H99" i="11"/>
  <c r="F99" i="11"/>
  <c r="O98" i="11"/>
  <c r="F98" i="11" s="1"/>
  <c r="O97" i="11"/>
  <c r="I97" i="11" s="1"/>
  <c r="H97" i="11"/>
  <c r="G97" i="11"/>
  <c r="F97" i="11"/>
  <c r="O96" i="11"/>
  <c r="G96" i="11" s="1"/>
  <c r="O95" i="11"/>
  <c r="J95" i="11" s="1"/>
  <c r="I95" i="11"/>
  <c r="H95" i="11"/>
  <c r="G95" i="11"/>
  <c r="F95" i="11"/>
  <c r="O94" i="11"/>
  <c r="J94" i="11" s="1"/>
  <c r="O93" i="11"/>
  <c r="J93" i="11" s="1"/>
  <c r="I93" i="11"/>
  <c r="H93" i="11"/>
  <c r="G93" i="11"/>
  <c r="F93" i="11"/>
  <c r="O92" i="11"/>
  <c r="H92" i="11" s="1"/>
  <c r="O91" i="11"/>
  <c r="J91" i="11" s="1"/>
  <c r="I91" i="11"/>
  <c r="H91" i="11"/>
  <c r="G91" i="11"/>
  <c r="F91" i="11"/>
  <c r="O90" i="11"/>
  <c r="J90" i="11" s="1"/>
  <c r="G90" i="11"/>
  <c r="O89" i="11"/>
  <c r="J89" i="11"/>
  <c r="I89" i="11"/>
  <c r="H89" i="11"/>
  <c r="O88" i="11"/>
  <c r="G88" i="11" s="1"/>
  <c r="O87" i="11"/>
  <c r="J87" i="11" s="1"/>
  <c r="O86" i="11"/>
  <c r="G86" i="11" s="1"/>
  <c r="J86" i="11"/>
  <c r="I86" i="11"/>
  <c r="H86" i="11"/>
  <c r="F86" i="11"/>
  <c r="O85" i="11"/>
  <c r="J85" i="11" s="1"/>
  <c r="O84" i="11"/>
  <c r="J84" i="11"/>
  <c r="H84" i="11"/>
  <c r="F84" i="11"/>
  <c r="O83" i="11"/>
  <c r="J83" i="11" s="1"/>
  <c r="O82" i="11"/>
  <c r="J82" i="11"/>
  <c r="G82" i="11"/>
  <c r="F82" i="11"/>
  <c r="O81" i="11"/>
  <c r="H81" i="11" s="1"/>
  <c r="J81" i="11"/>
  <c r="I81" i="11"/>
  <c r="O80" i="11"/>
  <c r="I80" i="11" s="1"/>
  <c r="J80" i="11"/>
  <c r="H80" i="11"/>
  <c r="G80" i="11"/>
  <c r="F80" i="11"/>
  <c r="O79" i="11"/>
  <c r="G79" i="11" s="1"/>
  <c r="O78" i="11"/>
  <c r="H78" i="11" s="1"/>
  <c r="O77" i="11"/>
  <c r="I77" i="11" s="1"/>
  <c r="O76" i="11"/>
  <c r="I76" i="11" s="1"/>
  <c r="J76" i="11"/>
  <c r="H76" i="11"/>
  <c r="G76" i="11"/>
  <c r="O75" i="11"/>
  <c r="J75" i="11" s="1"/>
  <c r="H75" i="11"/>
  <c r="G75" i="11"/>
  <c r="F75" i="11"/>
  <c r="O74" i="11"/>
  <c r="G74" i="11" s="1"/>
  <c r="J74" i="11"/>
  <c r="I74" i="11"/>
  <c r="O73" i="11"/>
  <c r="J73" i="11"/>
  <c r="I73" i="11"/>
  <c r="H73" i="11"/>
  <c r="O72" i="11"/>
  <c r="I72" i="11" s="1"/>
  <c r="J72" i="11"/>
  <c r="H72" i="11"/>
  <c r="G72" i="11"/>
  <c r="O71" i="11"/>
  <c r="J71" i="11" s="1"/>
  <c r="O70" i="11"/>
  <c r="J70" i="11" s="1"/>
  <c r="I70" i="11"/>
  <c r="H70" i="11"/>
  <c r="F70" i="11"/>
  <c r="O69" i="11"/>
  <c r="J69" i="11" s="1"/>
  <c r="O68" i="11"/>
  <c r="J68" i="11" s="1"/>
  <c r="O67" i="11"/>
  <c r="G67" i="11" s="1"/>
  <c r="H67" i="11"/>
  <c r="O66" i="11"/>
  <c r="J66" i="11"/>
  <c r="I66" i="11"/>
  <c r="H66" i="11"/>
  <c r="G66" i="11"/>
  <c r="F66" i="11"/>
  <c r="O65" i="11"/>
  <c r="J65" i="11" s="1"/>
  <c r="I65" i="11"/>
  <c r="H65" i="11"/>
  <c r="F65" i="11"/>
  <c r="O64" i="11"/>
  <c r="H64" i="11" s="1"/>
  <c r="J64" i="11"/>
  <c r="I64" i="11"/>
  <c r="O63" i="11"/>
  <c r="H63" i="11" s="1"/>
  <c r="O62" i="11"/>
  <c r="J62" i="11" s="1"/>
  <c r="H62" i="11"/>
  <c r="F62" i="11"/>
  <c r="O61" i="11"/>
  <c r="H61" i="11" s="1"/>
  <c r="O60" i="11"/>
  <c r="G60" i="11" s="1"/>
  <c r="J60" i="11"/>
  <c r="I60" i="11"/>
  <c r="H60" i="11"/>
  <c r="O59" i="11"/>
  <c r="I59" i="11" s="1"/>
  <c r="O58" i="11"/>
  <c r="J58" i="11" s="1"/>
  <c r="I58" i="11"/>
  <c r="G58" i="11"/>
  <c r="F58" i="11"/>
  <c r="O57" i="11"/>
  <c r="H57" i="11" s="1"/>
  <c r="O56" i="11"/>
  <c r="J56" i="11" s="1"/>
  <c r="O55" i="11"/>
  <c r="J55" i="11"/>
  <c r="I55" i="11"/>
  <c r="H55" i="11"/>
  <c r="G55" i="11"/>
  <c r="F55" i="11"/>
  <c r="O54" i="11"/>
  <c r="J54" i="11" s="1"/>
  <c r="H54" i="11"/>
  <c r="O53" i="11"/>
  <c r="H53" i="11" s="1"/>
  <c r="O52" i="11"/>
  <c r="J52" i="11"/>
  <c r="H52" i="11"/>
  <c r="G52" i="11"/>
  <c r="O51" i="11"/>
  <c r="I51" i="11" s="1"/>
  <c r="O50" i="11"/>
  <c r="J50" i="11" s="1"/>
  <c r="H50" i="11"/>
  <c r="F50" i="11"/>
  <c r="O49" i="11"/>
  <c r="G49" i="11" s="1"/>
  <c r="J49" i="11"/>
  <c r="I49" i="11"/>
  <c r="O48" i="11"/>
  <c r="J48" i="11"/>
  <c r="I48" i="11"/>
  <c r="G48" i="11"/>
  <c r="O47" i="11"/>
  <c r="I47" i="11" s="1"/>
  <c r="J47" i="11"/>
  <c r="O46" i="11"/>
  <c r="I46" i="11" s="1"/>
  <c r="J46" i="11"/>
  <c r="O45" i="11"/>
  <c r="J45" i="11"/>
  <c r="I45" i="11"/>
  <c r="H45" i="11"/>
  <c r="G45" i="11"/>
  <c r="F45" i="11"/>
  <c r="O44" i="11"/>
  <c r="F44" i="11" s="1"/>
  <c r="O43" i="11"/>
  <c r="F43" i="11" s="1"/>
  <c r="O42" i="11"/>
  <c r="H42" i="11" s="1"/>
  <c r="O41" i="11"/>
  <c r="J41" i="11" s="1"/>
  <c r="I41" i="11"/>
  <c r="H41" i="11"/>
  <c r="O40" i="11"/>
  <c r="J40" i="11"/>
  <c r="I40" i="11"/>
  <c r="H40" i="11"/>
  <c r="G40" i="11"/>
  <c r="F40" i="11"/>
  <c r="O39" i="11"/>
  <c r="I39" i="11" s="1"/>
  <c r="O38" i="11"/>
  <c r="I38" i="11" s="1"/>
  <c r="J38" i="11"/>
  <c r="F38" i="11"/>
  <c r="O37" i="11"/>
  <c r="J37" i="11"/>
  <c r="H37" i="11"/>
  <c r="F37" i="11"/>
  <c r="O36" i="11"/>
  <c r="I36" i="11" s="1"/>
  <c r="O35" i="11"/>
  <c r="J35" i="11" s="1"/>
  <c r="O34" i="11"/>
  <c r="G34" i="11" s="1"/>
  <c r="J34" i="11"/>
  <c r="I34" i="11"/>
  <c r="H34" i="11"/>
  <c r="O33" i="11"/>
  <c r="J33" i="11" s="1"/>
  <c r="O32" i="11"/>
  <c r="I32" i="11" s="1"/>
  <c r="J32" i="11"/>
  <c r="H32" i="11"/>
  <c r="G32" i="11"/>
  <c r="O31" i="11"/>
  <c r="J31" i="11" s="1"/>
  <c r="F31" i="11"/>
  <c r="O30" i="11"/>
  <c r="H30" i="11" s="1"/>
  <c r="J30" i="11"/>
  <c r="I30" i="11"/>
  <c r="O29" i="11"/>
  <c r="I29" i="11" s="1"/>
  <c r="J29" i="11"/>
  <c r="O28" i="11"/>
  <c r="H28" i="11" s="1"/>
  <c r="O27" i="11"/>
  <c r="J27" i="11"/>
  <c r="H27" i="11"/>
  <c r="F27" i="11"/>
  <c r="O26" i="11"/>
  <c r="I26" i="11" s="1"/>
  <c r="O25" i="11"/>
  <c r="J25" i="11" s="1"/>
  <c r="H25" i="11"/>
  <c r="G25" i="11"/>
  <c r="F25" i="11"/>
  <c r="O24" i="11"/>
  <c r="G24" i="11" s="1"/>
  <c r="O23" i="11"/>
  <c r="J23" i="11" s="1"/>
  <c r="H23" i="11"/>
  <c r="G23" i="11"/>
  <c r="O22" i="11"/>
  <c r="I22" i="11" s="1"/>
  <c r="J22" i="11"/>
  <c r="O21" i="11"/>
  <c r="J21" i="11" s="1"/>
  <c r="O20" i="11"/>
  <c r="J20" i="11"/>
  <c r="I20" i="11"/>
  <c r="H20" i="11"/>
  <c r="G20" i="11"/>
  <c r="F20" i="11"/>
  <c r="O19" i="11"/>
  <c r="H19" i="11" s="1"/>
  <c r="O18" i="11"/>
  <c r="F18" i="11" s="1"/>
  <c r="O17" i="11"/>
  <c r="G17" i="11" s="1"/>
  <c r="F17" i="11"/>
  <c r="O16" i="11"/>
  <c r="I16" i="11" s="1"/>
  <c r="J16" i="11"/>
  <c r="O15" i="11"/>
  <c r="J15" i="11" s="1"/>
  <c r="O14" i="11"/>
  <c r="J14" i="11" s="1"/>
  <c r="O13" i="11"/>
  <c r="J13" i="11" s="1"/>
  <c r="I13" i="11"/>
  <c r="H13" i="11"/>
  <c r="G13" i="11"/>
  <c r="O12" i="11"/>
  <c r="J12" i="11" s="1"/>
  <c r="O11" i="11"/>
  <c r="J11" i="11" s="1"/>
  <c r="I11" i="11"/>
  <c r="H11" i="11"/>
  <c r="G11" i="11"/>
  <c r="F11" i="11"/>
  <c r="O10" i="11"/>
  <c r="H10" i="11" s="1"/>
  <c r="J10" i="11"/>
  <c r="I10" i="11"/>
  <c r="O9" i="11"/>
  <c r="G9" i="11" s="1"/>
  <c r="J9" i="11"/>
  <c r="I9" i="11"/>
  <c r="H9" i="11"/>
  <c r="F9" i="11"/>
  <c r="O8" i="11"/>
  <c r="I8" i="11" s="1"/>
  <c r="O7" i="11"/>
  <c r="I7" i="11" s="1"/>
  <c r="C7" i="11"/>
  <c r="B7" i="11"/>
  <c r="D7" i="11" s="1"/>
  <c r="N4" i="11"/>
  <c r="L4" i="11"/>
  <c r="J4" i="11"/>
  <c r="H4" i="11"/>
  <c r="A4" i="11"/>
  <c r="B1" i="11"/>
  <c r="A1" i="11"/>
  <c r="I61" i="10"/>
  <c r="F61" i="10"/>
  <c r="E61" i="10"/>
  <c r="D61" i="10"/>
  <c r="C61" i="10"/>
  <c r="B61" i="10"/>
  <c r="F60" i="10"/>
  <c r="C60" i="10"/>
  <c r="B60" i="10"/>
  <c r="E60" i="10" s="1"/>
  <c r="I59" i="10"/>
  <c r="F59" i="10"/>
  <c r="C59" i="10"/>
  <c r="B59" i="10"/>
  <c r="D59" i="10" s="1"/>
  <c r="I58" i="10"/>
  <c r="F58" i="10"/>
  <c r="D58" i="10"/>
  <c r="C58" i="10"/>
  <c r="B58" i="10"/>
  <c r="E58" i="10" s="1"/>
  <c r="F57" i="10"/>
  <c r="D57" i="10"/>
  <c r="C57" i="10"/>
  <c r="B57" i="10"/>
  <c r="F56" i="10"/>
  <c r="E56" i="10"/>
  <c r="D56" i="10"/>
  <c r="C56" i="10"/>
  <c r="B56" i="10"/>
  <c r="F55" i="10"/>
  <c r="E55" i="10"/>
  <c r="D55" i="10"/>
  <c r="C55" i="10"/>
  <c r="B55" i="10"/>
  <c r="F54" i="10"/>
  <c r="C54" i="10"/>
  <c r="B54" i="10"/>
  <c r="F53" i="10"/>
  <c r="C53" i="10"/>
  <c r="B53" i="10"/>
  <c r="I53" i="10" s="1"/>
  <c r="F52" i="10"/>
  <c r="C52" i="10"/>
  <c r="B52" i="10"/>
  <c r="E52" i="10" s="1"/>
  <c r="I51" i="10"/>
  <c r="F51" i="10"/>
  <c r="E51" i="10"/>
  <c r="D51" i="10"/>
  <c r="C51" i="10"/>
  <c r="B51" i="10"/>
  <c r="F50" i="10"/>
  <c r="C50" i="10"/>
  <c r="B50" i="10"/>
  <c r="I50" i="10" s="1"/>
  <c r="F49" i="10"/>
  <c r="E49" i="10"/>
  <c r="C49" i="10"/>
  <c r="B49" i="10"/>
  <c r="F48" i="10"/>
  <c r="C48" i="10"/>
  <c r="B48" i="10"/>
  <c r="D48" i="10" s="1"/>
  <c r="I47" i="10"/>
  <c r="F47" i="10"/>
  <c r="D47" i="10"/>
  <c r="C47" i="10"/>
  <c r="B47" i="10"/>
  <c r="I46" i="10"/>
  <c r="F46" i="10"/>
  <c r="E46" i="10"/>
  <c r="D46" i="10"/>
  <c r="C46" i="10"/>
  <c r="B46" i="10"/>
  <c r="F45" i="10"/>
  <c r="E45" i="10"/>
  <c r="D45" i="10"/>
  <c r="C45" i="10"/>
  <c r="B45" i="10"/>
  <c r="I45" i="10" s="1"/>
  <c r="F44" i="10"/>
  <c r="E44" i="10"/>
  <c r="D44" i="10"/>
  <c r="C44" i="10"/>
  <c r="B44" i="10"/>
  <c r="I44" i="10" s="1"/>
  <c r="F43" i="10"/>
  <c r="D43" i="10"/>
  <c r="C43" i="10"/>
  <c r="B43" i="10"/>
  <c r="I43" i="10" s="1"/>
  <c r="F42" i="10"/>
  <c r="C42" i="10"/>
  <c r="B42" i="10"/>
  <c r="I41" i="10"/>
  <c r="F41" i="10"/>
  <c r="E41" i="10"/>
  <c r="D41" i="10"/>
  <c r="C41" i="10"/>
  <c r="B41" i="10"/>
  <c r="F40" i="10"/>
  <c r="C40" i="10"/>
  <c r="B40" i="10"/>
  <c r="I40" i="10" s="1"/>
  <c r="F39" i="10"/>
  <c r="C39" i="10"/>
  <c r="B39" i="10"/>
  <c r="D39" i="10" s="1"/>
  <c r="I38" i="10"/>
  <c r="F38" i="10"/>
  <c r="C38" i="10"/>
  <c r="B38" i="10"/>
  <c r="E38" i="10" s="1"/>
  <c r="I37" i="10"/>
  <c r="F37" i="10"/>
  <c r="D37" i="10"/>
  <c r="C37" i="10"/>
  <c r="B37" i="10"/>
  <c r="I36" i="10"/>
  <c r="F36" i="10"/>
  <c r="C36" i="10"/>
  <c r="B36" i="10"/>
  <c r="E36" i="10" s="1"/>
  <c r="F35" i="10"/>
  <c r="C35" i="10"/>
  <c r="B35" i="10"/>
  <c r="E35" i="10" s="1"/>
  <c r="F34" i="10"/>
  <c r="C34" i="10"/>
  <c r="B34" i="10"/>
  <c r="E34" i="10" s="1"/>
  <c r="F33" i="10"/>
  <c r="D33" i="10"/>
  <c r="C33" i="10"/>
  <c r="B33" i="10"/>
  <c r="F32" i="10"/>
  <c r="E32" i="10"/>
  <c r="D32" i="10"/>
  <c r="C32" i="10"/>
  <c r="B32" i="10"/>
  <c r="I32" i="10" s="1"/>
  <c r="F31" i="10"/>
  <c r="E31" i="10"/>
  <c r="D31" i="10"/>
  <c r="C31" i="10"/>
  <c r="B31" i="10"/>
  <c r="I31" i="10" s="1"/>
  <c r="I30" i="10"/>
  <c r="F30" i="10"/>
  <c r="E30" i="10"/>
  <c r="D30" i="10"/>
  <c r="C30" i="10"/>
  <c r="B30" i="10"/>
  <c r="I29" i="10"/>
  <c r="F29" i="10"/>
  <c r="D29" i="10"/>
  <c r="C29" i="10"/>
  <c r="B29" i="10"/>
  <c r="E29" i="10" s="1"/>
  <c r="I28" i="10"/>
  <c r="F28" i="10"/>
  <c r="E28" i="10"/>
  <c r="C28" i="10"/>
  <c r="B28" i="10"/>
  <c r="D28" i="10" s="1"/>
  <c r="F27" i="10"/>
  <c r="C27" i="10"/>
  <c r="B27" i="10"/>
  <c r="I27" i="10" s="1"/>
  <c r="I26" i="10"/>
  <c r="F26" i="10"/>
  <c r="C26" i="10"/>
  <c r="B26" i="10"/>
  <c r="E26" i="10" s="1"/>
  <c r="F25" i="10"/>
  <c r="C25" i="10"/>
  <c r="B25" i="10"/>
  <c r="E25" i="10" s="1"/>
  <c r="F24" i="10"/>
  <c r="C24" i="10"/>
  <c r="B24" i="10"/>
  <c r="E24" i="10" s="1"/>
  <c r="F23" i="10"/>
  <c r="D23" i="10"/>
  <c r="C23" i="10"/>
  <c r="B23" i="10"/>
  <c r="F22" i="10"/>
  <c r="E22" i="10"/>
  <c r="D22" i="10"/>
  <c r="C22" i="10"/>
  <c r="B22" i="10"/>
  <c r="I22" i="10" s="1"/>
  <c r="F21" i="10"/>
  <c r="E21" i="10"/>
  <c r="D21" i="10"/>
  <c r="C21" i="10"/>
  <c r="B21" i="10"/>
  <c r="I21" i="10" s="1"/>
  <c r="I20" i="10"/>
  <c r="F20" i="10"/>
  <c r="E20" i="10"/>
  <c r="D20" i="10"/>
  <c r="C20" i="10"/>
  <c r="B20" i="10"/>
  <c r="I19" i="10"/>
  <c r="F19" i="10"/>
  <c r="C19" i="10"/>
  <c r="B19" i="10"/>
  <c r="D19" i="10" s="1"/>
  <c r="F18" i="10"/>
  <c r="C18" i="10"/>
  <c r="B18" i="10"/>
  <c r="E18" i="10" s="1"/>
  <c r="F17" i="10"/>
  <c r="D17" i="10"/>
  <c r="C17" i="10"/>
  <c r="B17" i="10"/>
  <c r="F16" i="10"/>
  <c r="E16" i="10"/>
  <c r="D16" i="10"/>
  <c r="C16" i="10"/>
  <c r="B16" i="10"/>
  <c r="I16" i="10" s="1"/>
  <c r="I15" i="10"/>
  <c r="F15" i="10"/>
  <c r="E15" i="10"/>
  <c r="D15" i="10"/>
  <c r="C15" i="10"/>
  <c r="B15" i="10"/>
  <c r="I14" i="10"/>
  <c r="F14" i="10"/>
  <c r="C14" i="10"/>
  <c r="B14" i="10"/>
  <c r="D14" i="10" s="1"/>
  <c r="F13" i="10"/>
  <c r="C13" i="10"/>
  <c r="B13" i="10"/>
  <c r="E13" i="10" s="1"/>
  <c r="F12" i="10"/>
  <c r="D12" i="10"/>
  <c r="C12" i="10"/>
  <c r="B12" i="10"/>
  <c r="F11" i="10"/>
  <c r="E11" i="10"/>
  <c r="D11" i="10"/>
  <c r="C11" i="10"/>
  <c r="B11" i="10"/>
  <c r="I11" i="10" s="1"/>
  <c r="I10" i="10"/>
  <c r="F10" i="10"/>
  <c r="E10" i="10"/>
  <c r="D10" i="10"/>
  <c r="C10" i="10"/>
  <c r="B10" i="10"/>
  <c r="I9" i="10"/>
  <c r="F9" i="10"/>
  <c r="C9" i="10"/>
  <c r="B9" i="10"/>
  <c r="D9" i="10" s="1"/>
  <c r="F8" i="10"/>
  <c r="C8" i="10"/>
  <c r="B8" i="10"/>
  <c r="E8" i="10" s="1"/>
  <c r="F7" i="10"/>
  <c r="D7" i="10"/>
  <c r="C7" i="10"/>
  <c r="B7" i="10"/>
  <c r="N4" i="10"/>
  <c r="L4" i="10"/>
  <c r="J4" i="10"/>
  <c r="H4" i="10"/>
  <c r="A4" i="10"/>
  <c r="B1" i="10"/>
  <c r="A1" i="10"/>
  <c r="K500" i="9"/>
  <c r="J500" i="9"/>
  <c r="B500" i="9"/>
  <c r="K499" i="9"/>
  <c r="J499" i="9"/>
  <c r="B499" i="9"/>
  <c r="K498" i="9"/>
  <c r="J498" i="9"/>
  <c r="B498" i="9"/>
  <c r="K497" i="9"/>
  <c r="J497" i="9"/>
  <c r="B497" i="9"/>
  <c r="K496" i="9"/>
  <c r="J496" i="9"/>
  <c r="B496" i="9"/>
  <c r="K495" i="9"/>
  <c r="J495" i="9"/>
  <c r="B495" i="9"/>
  <c r="K494" i="9"/>
  <c r="J494" i="9"/>
  <c r="B494" i="9"/>
  <c r="K493" i="9"/>
  <c r="J493" i="9"/>
  <c r="B493" i="9"/>
  <c r="K492" i="9"/>
  <c r="J492" i="9"/>
  <c r="B492" i="9"/>
  <c r="K491" i="9"/>
  <c r="J491" i="9"/>
  <c r="B491" i="9"/>
  <c r="K490" i="9"/>
  <c r="J490" i="9"/>
  <c r="B490" i="9"/>
  <c r="K489" i="9"/>
  <c r="J489" i="9"/>
  <c r="B489" i="9"/>
  <c r="K488" i="9"/>
  <c r="J488" i="9"/>
  <c r="B488" i="9"/>
  <c r="K487" i="9"/>
  <c r="J487" i="9"/>
  <c r="B487" i="9"/>
  <c r="K486" i="9"/>
  <c r="J486" i="9"/>
  <c r="B486" i="9"/>
  <c r="K485" i="9"/>
  <c r="J485" i="9"/>
  <c r="B485" i="9"/>
  <c r="K484" i="9"/>
  <c r="J484" i="9"/>
  <c r="B484" i="9"/>
  <c r="K483" i="9"/>
  <c r="J483" i="9"/>
  <c r="B483" i="9"/>
  <c r="K482" i="9"/>
  <c r="J482" i="9"/>
  <c r="B482" i="9"/>
  <c r="K481" i="9"/>
  <c r="J481" i="9"/>
  <c r="B481" i="9"/>
  <c r="K480" i="9"/>
  <c r="J480" i="9"/>
  <c r="B480" i="9"/>
  <c r="K479" i="9"/>
  <c r="J479" i="9"/>
  <c r="B479" i="9"/>
  <c r="K478" i="9"/>
  <c r="J478" i="9"/>
  <c r="B478" i="9"/>
  <c r="K477" i="9"/>
  <c r="J477" i="9"/>
  <c r="B477" i="9"/>
  <c r="K476" i="9"/>
  <c r="J476" i="9"/>
  <c r="B476" i="9"/>
  <c r="K475" i="9"/>
  <c r="J475" i="9"/>
  <c r="B475" i="9"/>
  <c r="K474" i="9"/>
  <c r="J474" i="9"/>
  <c r="B474" i="9"/>
  <c r="K473" i="9"/>
  <c r="J473" i="9"/>
  <c r="B473" i="9"/>
  <c r="K472" i="9"/>
  <c r="J472" i="9"/>
  <c r="B472" i="9"/>
  <c r="K471" i="9"/>
  <c r="J471" i="9"/>
  <c r="B471" i="9"/>
  <c r="K470" i="9"/>
  <c r="J470" i="9"/>
  <c r="B470" i="9"/>
  <c r="K469" i="9"/>
  <c r="J469" i="9"/>
  <c r="B469" i="9"/>
  <c r="K468" i="9"/>
  <c r="J468" i="9"/>
  <c r="B468" i="9"/>
  <c r="K467" i="9"/>
  <c r="J467" i="9"/>
  <c r="B467" i="9"/>
  <c r="K466" i="9"/>
  <c r="J466" i="9"/>
  <c r="B466" i="9"/>
  <c r="K465" i="9"/>
  <c r="J465" i="9"/>
  <c r="B465" i="9"/>
  <c r="K464" i="9"/>
  <c r="J464" i="9"/>
  <c r="B464" i="9"/>
  <c r="K463" i="9"/>
  <c r="J463" i="9"/>
  <c r="B463" i="9"/>
  <c r="K462" i="9"/>
  <c r="J462" i="9"/>
  <c r="B462" i="9"/>
  <c r="K461" i="9"/>
  <c r="J461" i="9"/>
  <c r="B461" i="9"/>
  <c r="K460" i="9"/>
  <c r="J460" i="9"/>
  <c r="B460" i="9"/>
  <c r="K459" i="9"/>
  <c r="J459" i="9"/>
  <c r="B459" i="9"/>
  <c r="K458" i="9"/>
  <c r="J458" i="9"/>
  <c r="B458" i="9"/>
  <c r="K457" i="9"/>
  <c r="J457" i="9"/>
  <c r="B457" i="9"/>
  <c r="K456" i="9"/>
  <c r="J456" i="9"/>
  <c r="B456" i="9"/>
  <c r="K455" i="9"/>
  <c r="J455" i="9"/>
  <c r="B455" i="9"/>
  <c r="K454" i="9"/>
  <c r="J454" i="9"/>
  <c r="B454" i="9"/>
  <c r="K453" i="9"/>
  <c r="J453" i="9"/>
  <c r="B453" i="9"/>
  <c r="K452" i="9"/>
  <c r="J452" i="9"/>
  <c r="B452" i="9"/>
  <c r="K451" i="9"/>
  <c r="J451" i="9"/>
  <c r="B451" i="9"/>
  <c r="K450" i="9"/>
  <c r="J450" i="9"/>
  <c r="B450" i="9"/>
  <c r="K449" i="9"/>
  <c r="J449" i="9"/>
  <c r="B449" i="9"/>
  <c r="K448" i="9"/>
  <c r="J448" i="9"/>
  <c r="B448" i="9"/>
  <c r="K447" i="9"/>
  <c r="J447" i="9"/>
  <c r="B447" i="9"/>
  <c r="K446" i="9"/>
  <c r="J446" i="9"/>
  <c r="B446" i="9"/>
  <c r="K445" i="9"/>
  <c r="J445" i="9"/>
  <c r="B445" i="9"/>
  <c r="K444" i="9"/>
  <c r="J444" i="9"/>
  <c r="B444" i="9"/>
  <c r="K443" i="9"/>
  <c r="J443" i="9"/>
  <c r="B443" i="9"/>
  <c r="K442" i="9"/>
  <c r="J442" i="9"/>
  <c r="B442" i="9"/>
  <c r="K441" i="9"/>
  <c r="J441" i="9"/>
  <c r="B441" i="9"/>
  <c r="K440" i="9"/>
  <c r="J440" i="9"/>
  <c r="B440" i="9"/>
  <c r="K439" i="9"/>
  <c r="J439" i="9"/>
  <c r="B439" i="9"/>
  <c r="K438" i="9"/>
  <c r="J438" i="9"/>
  <c r="B438" i="9"/>
  <c r="K437" i="9"/>
  <c r="J437" i="9"/>
  <c r="B437" i="9"/>
  <c r="K436" i="9"/>
  <c r="J436" i="9"/>
  <c r="B436" i="9"/>
  <c r="K435" i="9"/>
  <c r="J435" i="9"/>
  <c r="B435" i="9"/>
  <c r="K434" i="9"/>
  <c r="J434" i="9"/>
  <c r="B434" i="9"/>
  <c r="K433" i="9"/>
  <c r="J433" i="9"/>
  <c r="B433" i="9"/>
  <c r="K432" i="9"/>
  <c r="J432" i="9"/>
  <c r="B432" i="9"/>
  <c r="K431" i="9"/>
  <c r="J431" i="9"/>
  <c r="B431" i="9"/>
  <c r="K430" i="9"/>
  <c r="J430" i="9"/>
  <c r="B430" i="9"/>
  <c r="K429" i="9"/>
  <c r="J429" i="9"/>
  <c r="B429" i="9"/>
  <c r="K428" i="9"/>
  <c r="J428" i="9"/>
  <c r="B428" i="9"/>
  <c r="K427" i="9"/>
  <c r="J427" i="9"/>
  <c r="B427" i="9"/>
  <c r="K426" i="9"/>
  <c r="J426" i="9"/>
  <c r="B426" i="9"/>
  <c r="K425" i="9"/>
  <c r="J425" i="9"/>
  <c r="B425" i="9"/>
  <c r="K424" i="9"/>
  <c r="J424" i="9"/>
  <c r="B424" i="9"/>
  <c r="K423" i="9"/>
  <c r="J423" i="9"/>
  <c r="B423" i="9"/>
  <c r="K422" i="9"/>
  <c r="J422" i="9"/>
  <c r="B422" i="9"/>
  <c r="K421" i="9"/>
  <c r="J421" i="9"/>
  <c r="B421" i="9"/>
  <c r="K420" i="9"/>
  <c r="J420" i="9"/>
  <c r="B420" i="9"/>
  <c r="K419" i="9"/>
  <c r="J419" i="9"/>
  <c r="B419" i="9"/>
  <c r="K418" i="9"/>
  <c r="J418" i="9"/>
  <c r="B418" i="9"/>
  <c r="K417" i="9"/>
  <c r="J417" i="9"/>
  <c r="B417" i="9"/>
  <c r="K416" i="9"/>
  <c r="J416" i="9"/>
  <c r="B416" i="9"/>
  <c r="K415" i="9"/>
  <c r="J415" i="9"/>
  <c r="B415" i="9"/>
  <c r="K414" i="9"/>
  <c r="J414" i="9"/>
  <c r="B414" i="9"/>
  <c r="K413" i="9"/>
  <c r="J413" i="9"/>
  <c r="B413" i="9"/>
  <c r="K412" i="9"/>
  <c r="J412" i="9"/>
  <c r="B412" i="9"/>
  <c r="K411" i="9"/>
  <c r="J411" i="9"/>
  <c r="B411" i="9"/>
  <c r="K410" i="9"/>
  <c r="J410" i="9"/>
  <c r="B410" i="9"/>
  <c r="K409" i="9"/>
  <c r="J409" i="9"/>
  <c r="B409" i="9"/>
  <c r="K408" i="9"/>
  <c r="J408" i="9"/>
  <c r="B408" i="9"/>
  <c r="K407" i="9"/>
  <c r="J407" i="9"/>
  <c r="B407" i="9"/>
  <c r="K406" i="9"/>
  <c r="J406" i="9"/>
  <c r="B406" i="9"/>
  <c r="K405" i="9"/>
  <c r="J405" i="9"/>
  <c r="B405" i="9"/>
  <c r="K404" i="9"/>
  <c r="J404" i="9"/>
  <c r="B404" i="9"/>
  <c r="K403" i="9"/>
  <c r="J403" i="9"/>
  <c r="B403" i="9"/>
  <c r="K402" i="9"/>
  <c r="J402" i="9"/>
  <c r="B402" i="9"/>
  <c r="K401" i="9"/>
  <c r="J401" i="9"/>
  <c r="B401" i="9"/>
  <c r="K400" i="9"/>
  <c r="J400" i="9"/>
  <c r="B400" i="9"/>
  <c r="K399" i="9"/>
  <c r="J399" i="9"/>
  <c r="B399" i="9"/>
  <c r="K398" i="9"/>
  <c r="J398" i="9"/>
  <c r="B398" i="9"/>
  <c r="K397" i="9"/>
  <c r="J397" i="9"/>
  <c r="B397" i="9"/>
  <c r="K396" i="9"/>
  <c r="J396" i="9"/>
  <c r="B396" i="9"/>
  <c r="K395" i="9"/>
  <c r="J395" i="9"/>
  <c r="B395" i="9"/>
  <c r="K394" i="9"/>
  <c r="J394" i="9"/>
  <c r="B394" i="9"/>
  <c r="K393" i="9"/>
  <c r="J393" i="9"/>
  <c r="B393" i="9"/>
  <c r="K392" i="9"/>
  <c r="J392" i="9"/>
  <c r="B392" i="9"/>
  <c r="K391" i="9"/>
  <c r="J391" i="9"/>
  <c r="B391" i="9"/>
  <c r="K390" i="9"/>
  <c r="J390" i="9"/>
  <c r="B390" i="9"/>
  <c r="K389" i="9"/>
  <c r="J389" i="9"/>
  <c r="B389" i="9"/>
  <c r="K388" i="9"/>
  <c r="J388" i="9"/>
  <c r="B388" i="9"/>
  <c r="K387" i="9"/>
  <c r="J387" i="9"/>
  <c r="B387" i="9"/>
  <c r="K386" i="9"/>
  <c r="J386" i="9"/>
  <c r="B386" i="9"/>
  <c r="K385" i="9"/>
  <c r="J385" i="9"/>
  <c r="B385" i="9"/>
  <c r="K384" i="9"/>
  <c r="J384" i="9"/>
  <c r="B384" i="9"/>
  <c r="K383" i="9"/>
  <c r="J383" i="9"/>
  <c r="B383" i="9"/>
  <c r="K382" i="9"/>
  <c r="J382" i="9"/>
  <c r="B382" i="9"/>
  <c r="K381" i="9"/>
  <c r="J381" i="9"/>
  <c r="B381" i="9"/>
  <c r="K380" i="9"/>
  <c r="J380" i="9"/>
  <c r="B380" i="9"/>
  <c r="K379" i="9"/>
  <c r="J379" i="9"/>
  <c r="B379" i="9"/>
  <c r="K378" i="9"/>
  <c r="J378" i="9"/>
  <c r="B378" i="9"/>
  <c r="K377" i="9"/>
  <c r="J377" i="9"/>
  <c r="B377" i="9"/>
  <c r="K376" i="9"/>
  <c r="J376" i="9"/>
  <c r="B376" i="9"/>
  <c r="K375" i="9"/>
  <c r="J375" i="9"/>
  <c r="B375" i="9"/>
  <c r="K374" i="9"/>
  <c r="J374" i="9"/>
  <c r="B374" i="9"/>
  <c r="K373" i="9"/>
  <c r="J373" i="9"/>
  <c r="B373" i="9"/>
  <c r="K372" i="9"/>
  <c r="J372" i="9"/>
  <c r="B372" i="9"/>
  <c r="K371" i="9"/>
  <c r="J371" i="9"/>
  <c r="B371" i="9"/>
  <c r="K370" i="9"/>
  <c r="J370" i="9"/>
  <c r="B370" i="9"/>
  <c r="K369" i="9"/>
  <c r="J369" i="9"/>
  <c r="B369" i="9"/>
  <c r="K368" i="9"/>
  <c r="J368" i="9"/>
  <c r="B368" i="9"/>
  <c r="K367" i="9"/>
  <c r="J367" i="9"/>
  <c r="B367" i="9"/>
  <c r="K366" i="9"/>
  <c r="J366" i="9"/>
  <c r="B366" i="9"/>
  <c r="K365" i="9"/>
  <c r="J365" i="9"/>
  <c r="B365" i="9"/>
  <c r="K364" i="9"/>
  <c r="J364" i="9"/>
  <c r="B364" i="9"/>
  <c r="K363" i="9"/>
  <c r="J363" i="9"/>
  <c r="B363" i="9"/>
  <c r="K362" i="9"/>
  <c r="J362" i="9"/>
  <c r="B362" i="9"/>
  <c r="K361" i="9"/>
  <c r="J361" i="9"/>
  <c r="B361" i="9"/>
  <c r="K360" i="9"/>
  <c r="J360" i="9"/>
  <c r="B360" i="9"/>
  <c r="K359" i="9"/>
  <c r="J359" i="9"/>
  <c r="B359" i="9"/>
  <c r="K358" i="9"/>
  <c r="J358" i="9"/>
  <c r="B358" i="9"/>
  <c r="K357" i="9"/>
  <c r="J357" i="9"/>
  <c r="B357" i="9"/>
  <c r="K356" i="9"/>
  <c r="J356" i="9"/>
  <c r="B356" i="9"/>
  <c r="K355" i="9"/>
  <c r="J355" i="9"/>
  <c r="B355" i="9"/>
  <c r="K354" i="9"/>
  <c r="J354" i="9"/>
  <c r="B354" i="9"/>
  <c r="K353" i="9"/>
  <c r="J353" i="9"/>
  <c r="B353" i="9"/>
  <c r="K352" i="9"/>
  <c r="J352" i="9"/>
  <c r="B352" i="9"/>
  <c r="K351" i="9"/>
  <c r="J351" i="9"/>
  <c r="B351" i="9"/>
  <c r="K350" i="9"/>
  <c r="J350" i="9"/>
  <c r="B350" i="9"/>
  <c r="K349" i="9"/>
  <c r="J349" i="9"/>
  <c r="B349" i="9"/>
  <c r="K348" i="9"/>
  <c r="J348" i="9"/>
  <c r="B348" i="9"/>
  <c r="K347" i="9"/>
  <c r="J347" i="9"/>
  <c r="B347" i="9"/>
  <c r="K346" i="9"/>
  <c r="J346" i="9"/>
  <c r="B346" i="9"/>
  <c r="K345" i="9"/>
  <c r="J345" i="9"/>
  <c r="B345" i="9"/>
  <c r="K344" i="9"/>
  <c r="J344" i="9"/>
  <c r="B344" i="9"/>
  <c r="K343" i="9"/>
  <c r="J343" i="9"/>
  <c r="B343" i="9"/>
  <c r="K342" i="9"/>
  <c r="J342" i="9"/>
  <c r="B342" i="9"/>
  <c r="K341" i="9"/>
  <c r="J341" i="9"/>
  <c r="B341" i="9"/>
  <c r="K340" i="9"/>
  <c r="J340" i="9"/>
  <c r="B340" i="9"/>
  <c r="K339" i="9"/>
  <c r="J339" i="9"/>
  <c r="B339" i="9"/>
  <c r="K338" i="9"/>
  <c r="J338" i="9"/>
  <c r="B338" i="9"/>
  <c r="K337" i="9"/>
  <c r="J337" i="9"/>
  <c r="B337" i="9"/>
  <c r="K336" i="9"/>
  <c r="J336" i="9"/>
  <c r="B336" i="9"/>
  <c r="K335" i="9"/>
  <c r="J335" i="9"/>
  <c r="B335" i="9"/>
  <c r="K334" i="9"/>
  <c r="J334" i="9"/>
  <c r="B334" i="9"/>
  <c r="K333" i="9"/>
  <c r="J333" i="9"/>
  <c r="B333" i="9"/>
  <c r="K332" i="9"/>
  <c r="J332" i="9"/>
  <c r="B332" i="9"/>
  <c r="K331" i="9"/>
  <c r="J331" i="9"/>
  <c r="B331" i="9"/>
  <c r="K330" i="9"/>
  <c r="J330" i="9"/>
  <c r="B330" i="9"/>
  <c r="K329" i="9"/>
  <c r="J329" i="9"/>
  <c r="B329" i="9"/>
  <c r="K328" i="9"/>
  <c r="J328" i="9"/>
  <c r="B328" i="9"/>
  <c r="K327" i="9"/>
  <c r="J327" i="9"/>
  <c r="B327" i="9"/>
  <c r="K326" i="9"/>
  <c r="J326" i="9"/>
  <c r="B326" i="9"/>
  <c r="K325" i="9"/>
  <c r="J325" i="9"/>
  <c r="B325" i="9"/>
  <c r="K324" i="9"/>
  <c r="J324" i="9"/>
  <c r="B324" i="9"/>
  <c r="K323" i="9"/>
  <c r="J323" i="9"/>
  <c r="B323" i="9"/>
  <c r="K322" i="9"/>
  <c r="J322" i="9"/>
  <c r="B322" i="9"/>
  <c r="K321" i="9"/>
  <c r="J321" i="9"/>
  <c r="B321" i="9"/>
  <c r="K320" i="9"/>
  <c r="J320" i="9"/>
  <c r="B320" i="9"/>
  <c r="K319" i="9"/>
  <c r="J319" i="9"/>
  <c r="B319" i="9"/>
  <c r="K318" i="9"/>
  <c r="J318" i="9"/>
  <c r="B318" i="9"/>
  <c r="K317" i="9"/>
  <c r="J317" i="9"/>
  <c r="B317" i="9"/>
  <c r="K316" i="9"/>
  <c r="J316" i="9"/>
  <c r="B316" i="9"/>
  <c r="K315" i="9"/>
  <c r="J315" i="9"/>
  <c r="B315" i="9"/>
  <c r="K314" i="9"/>
  <c r="J314" i="9"/>
  <c r="B314" i="9"/>
  <c r="K313" i="9"/>
  <c r="J313" i="9"/>
  <c r="B313" i="9"/>
  <c r="K312" i="9"/>
  <c r="J312" i="9"/>
  <c r="B312" i="9"/>
  <c r="K311" i="9"/>
  <c r="J311" i="9"/>
  <c r="B311" i="9"/>
  <c r="K310" i="9"/>
  <c r="J310" i="9"/>
  <c r="B310" i="9"/>
  <c r="K309" i="9"/>
  <c r="J309" i="9"/>
  <c r="B309" i="9"/>
  <c r="K308" i="9"/>
  <c r="J308" i="9"/>
  <c r="B308" i="9"/>
  <c r="K307" i="9"/>
  <c r="J307" i="9"/>
  <c r="B307" i="9"/>
  <c r="K306" i="9"/>
  <c r="J306" i="9"/>
  <c r="B306" i="9"/>
  <c r="K305" i="9"/>
  <c r="J305" i="9"/>
  <c r="B305" i="9"/>
  <c r="K304" i="9"/>
  <c r="J304" i="9"/>
  <c r="B304" i="9"/>
  <c r="K303" i="9"/>
  <c r="J303" i="9"/>
  <c r="B303" i="9"/>
  <c r="K302" i="9"/>
  <c r="J302" i="9"/>
  <c r="B302" i="9"/>
  <c r="K301" i="9"/>
  <c r="J301" i="9"/>
  <c r="B301" i="9"/>
  <c r="K300" i="9"/>
  <c r="J300" i="9"/>
  <c r="B300" i="9"/>
  <c r="K299" i="9"/>
  <c r="J299" i="9"/>
  <c r="B299" i="9"/>
  <c r="K298" i="9"/>
  <c r="J298" i="9"/>
  <c r="B298" i="9"/>
  <c r="K297" i="9"/>
  <c r="J297" i="9"/>
  <c r="B297" i="9"/>
  <c r="K296" i="9"/>
  <c r="J296" i="9"/>
  <c r="B296" i="9"/>
  <c r="K295" i="9"/>
  <c r="J295" i="9"/>
  <c r="B295" i="9"/>
  <c r="K294" i="9"/>
  <c r="J294" i="9"/>
  <c r="B294" i="9"/>
  <c r="K293" i="9"/>
  <c r="J293" i="9"/>
  <c r="B293" i="9"/>
  <c r="K292" i="9"/>
  <c r="J292" i="9"/>
  <c r="B292" i="9"/>
  <c r="K291" i="9"/>
  <c r="J291" i="9"/>
  <c r="B291" i="9"/>
  <c r="K290" i="9"/>
  <c r="J290" i="9"/>
  <c r="B290" i="9"/>
  <c r="K289" i="9"/>
  <c r="J289" i="9"/>
  <c r="B289" i="9"/>
  <c r="K288" i="9"/>
  <c r="J288" i="9"/>
  <c r="B288" i="9"/>
  <c r="K287" i="9"/>
  <c r="J287" i="9"/>
  <c r="B287" i="9"/>
  <c r="K286" i="9"/>
  <c r="J286" i="9"/>
  <c r="B286" i="9"/>
  <c r="K285" i="9"/>
  <c r="J285" i="9"/>
  <c r="B285" i="9"/>
  <c r="K284" i="9"/>
  <c r="J284" i="9"/>
  <c r="B284" i="9"/>
  <c r="K283" i="9"/>
  <c r="J283" i="9"/>
  <c r="B283" i="9"/>
  <c r="K282" i="9"/>
  <c r="J282" i="9"/>
  <c r="B282" i="9"/>
  <c r="K281" i="9"/>
  <c r="J281" i="9"/>
  <c r="B281" i="9"/>
  <c r="K280" i="9"/>
  <c r="J280" i="9"/>
  <c r="B280" i="9"/>
  <c r="K279" i="9"/>
  <c r="J279" i="9"/>
  <c r="B279" i="9"/>
  <c r="K278" i="9"/>
  <c r="J278" i="9"/>
  <c r="B278" i="9"/>
  <c r="K277" i="9"/>
  <c r="J277" i="9"/>
  <c r="B277" i="9"/>
  <c r="K276" i="9"/>
  <c r="J276" i="9"/>
  <c r="B276" i="9"/>
  <c r="K275" i="9"/>
  <c r="J275" i="9"/>
  <c r="B275" i="9"/>
  <c r="K274" i="9"/>
  <c r="J274" i="9"/>
  <c r="B274" i="9"/>
  <c r="K273" i="9"/>
  <c r="J273" i="9"/>
  <c r="B273" i="9"/>
  <c r="K272" i="9"/>
  <c r="J272" i="9"/>
  <c r="B272" i="9"/>
  <c r="K271" i="9"/>
  <c r="J271" i="9"/>
  <c r="B271" i="9"/>
  <c r="K270" i="9"/>
  <c r="J270" i="9"/>
  <c r="B270" i="9"/>
  <c r="K269" i="9"/>
  <c r="J269" i="9"/>
  <c r="B269" i="9"/>
  <c r="K268" i="9"/>
  <c r="J268" i="9"/>
  <c r="B268" i="9"/>
  <c r="K267" i="9"/>
  <c r="J267" i="9"/>
  <c r="B267" i="9"/>
  <c r="K266" i="9"/>
  <c r="J266" i="9"/>
  <c r="B266" i="9"/>
  <c r="K265" i="9"/>
  <c r="J265" i="9"/>
  <c r="B265" i="9"/>
  <c r="K264" i="9"/>
  <c r="J264" i="9"/>
  <c r="B264" i="9"/>
  <c r="K263" i="9"/>
  <c r="J263" i="9"/>
  <c r="B263" i="9"/>
  <c r="K262" i="9"/>
  <c r="J262" i="9"/>
  <c r="B262" i="9"/>
  <c r="K261" i="9"/>
  <c r="J261" i="9"/>
  <c r="B261" i="9"/>
  <c r="K260" i="9"/>
  <c r="J260" i="9"/>
  <c r="B260" i="9"/>
  <c r="K259" i="9"/>
  <c r="J259" i="9"/>
  <c r="B259" i="9"/>
  <c r="K258" i="9"/>
  <c r="J258" i="9"/>
  <c r="B258" i="9"/>
  <c r="K257" i="9"/>
  <c r="J257" i="9"/>
  <c r="B257" i="9"/>
  <c r="K256" i="9"/>
  <c r="J256" i="9"/>
  <c r="B256" i="9"/>
  <c r="K255" i="9"/>
  <c r="J255" i="9"/>
  <c r="B255" i="9"/>
  <c r="K254" i="9"/>
  <c r="J254" i="9"/>
  <c r="B254" i="9"/>
  <c r="K253" i="9"/>
  <c r="J253" i="9"/>
  <c r="B253" i="9"/>
  <c r="K252" i="9"/>
  <c r="J252" i="9"/>
  <c r="B252" i="9"/>
  <c r="K251" i="9"/>
  <c r="J251" i="9"/>
  <c r="B251" i="9"/>
  <c r="K250" i="9"/>
  <c r="J250" i="9"/>
  <c r="B250" i="9"/>
  <c r="K249" i="9"/>
  <c r="J249" i="9"/>
  <c r="B249" i="9"/>
  <c r="K248" i="9"/>
  <c r="J248" i="9"/>
  <c r="B248" i="9"/>
  <c r="K247" i="9"/>
  <c r="J247" i="9"/>
  <c r="B247" i="9"/>
  <c r="K246" i="9"/>
  <c r="J246" i="9"/>
  <c r="B246" i="9"/>
  <c r="K245" i="9"/>
  <c r="J245" i="9"/>
  <c r="B245" i="9"/>
  <c r="K244" i="9"/>
  <c r="J244" i="9"/>
  <c r="B244" i="9"/>
  <c r="K243" i="9"/>
  <c r="J243" i="9"/>
  <c r="B243" i="9"/>
  <c r="K242" i="9"/>
  <c r="J242" i="9"/>
  <c r="B242" i="9"/>
  <c r="K241" i="9"/>
  <c r="J241" i="9"/>
  <c r="B241" i="9"/>
  <c r="K240" i="9"/>
  <c r="J240" i="9"/>
  <c r="B240" i="9"/>
  <c r="K239" i="9"/>
  <c r="J239" i="9"/>
  <c r="B239" i="9"/>
  <c r="K238" i="9"/>
  <c r="J238" i="9"/>
  <c r="B238" i="9"/>
  <c r="K237" i="9"/>
  <c r="J237" i="9"/>
  <c r="B237" i="9"/>
  <c r="K236" i="9"/>
  <c r="J236" i="9"/>
  <c r="B236" i="9"/>
  <c r="K235" i="9"/>
  <c r="J235" i="9"/>
  <c r="B235" i="9"/>
  <c r="K234" i="9"/>
  <c r="J234" i="9"/>
  <c r="B234" i="9"/>
  <c r="K233" i="9"/>
  <c r="J233" i="9"/>
  <c r="B233" i="9"/>
  <c r="K232" i="9"/>
  <c r="J232" i="9"/>
  <c r="B232" i="9"/>
  <c r="K231" i="9"/>
  <c r="J231" i="9"/>
  <c r="B231" i="9"/>
  <c r="K230" i="9"/>
  <c r="J230" i="9"/>
  <c r="B230" i="9"/>
  <c r="K229" i="9"/>
  <c r="J229" i="9"/>
  <c r="B229" i="9"/>
  <c r="K228" i="9"/>
  <c r="J228" i="9"/>
  <c r="B228" i="9"/>
  <c r="K227" i="9"/>
  <c r="J227" i="9"/>
  <c r="B227" i="9"/>
  <c r="K226" i="9"/>
  <c r="J226" i="9"/>
  <c r="B226" i="9"/>
  <c r="K225" i="9"/>
  <c r="J225" i="9"/>
  <c r="B225" i="9"/>
  <c r="K224" i="9"/>
  <c r="J224" i="9"/>
  <c r="B224" i="9"/>
  <c r="K223" i="9"/>
  <c r="J223" i="9"/>
  <c r="B223" i="9"/>
  <c r="K222" i="9"/>
  <c r="J222" i="9"/>
  <c r="B222" i="9"/>
  <c r="K221" i="9"/>
  <c r="J221" i="9"/>
  <c r="B221" i="9"/>
  <c r="K220" i="9"/>
  <c r="J220" i="9"/>
  <c r="B220" i="9"/>
  <c r="K219" i="9"/>
  <c r="J219" i="9"/>
  <c r="B219" i="9"/>
  <c r="K218" i="9"/>
  <c r="J218" i="9"/>
  <c r="B218" i="9"/>
  <c r="K217" i="9"/>
  <c r="J217" i="9"/>
  <c r="B217" i="9"/>
  <c r="K216" i="9"/>
  <c r="J216" i="9"/>
  <c r="B216" i="9"/>
  <c r="K215" i="9"/>
  <c r="J215" i="9"/>
  <c r="B215" i="9"/>
  <c r="K214" i="9"/>
  <c r="J214" i="9"/>
  <c r="B214" i="9"/>
  <c r="K213" i="9"/>
  <c r="J213" i="9"/>
  <c r="B213" i="9"/>
  <c r="K212" i="9"/>
  <c r="J212" i="9"/>
  <c r="B212" i="9"/>
  <c r="K211" i="9"/>
  <c r="J211" i="9"/>
  <c r="B211" i="9"/>
  <c r="K210" i="9"/>
  <c r="J210" i="9"/>
  <c r="B210" i="9"/>
  <c r="K209" i="9"/>
  <c r="J209" i="9"/>
  <c r="B209" i="9"/>
  <c r="K208" i="9"/>
  <c r="J208" i="9"/>
  <c r="B208" i="9"/>
  <c r="K207" i="9"/>
  <c r="J207" i="9"/>
  <c r="B207" i="9"/>
  <c r="K206" i="9"/>
  <c r="J206" i="9"/>
  <c r="B206" i="9"/>
  <c r="K205" i="9"/>
  <c r="J205" i="9"/>
  <c r="B205" i="9"/>
  <c r="K204" i="9"/>
  <c r="J204" i="9"/>
  <c r="B204" i="9"/>
  <c r="K203" i="9"/>
  <c r="J203" i="9"/>
  <c r="B203" i="9"/>
  <c r="K202" i="9"/>
  <c r="J202" i="9"/>
  <c r="B202" i="9"/>
  <c r="K201" i="9"/>
  <c r="J201" i="9"/>
  <c r="B201" i="9"/>
  <c r="K200" i="9"/>
  <c r="J200" i="9"/>
  <c r="B200" i="9"/>
  <c r="K199" i="9"/>
  <c r="J199" i="9"/>
  <c r="B199" i="9"/>
  <c r="K198" i="9"/>
  <c r="J198" i="9"/>
  <c r="B198" i="9"/>
  <c r="K197" i="9"/>
  <c r="J197" i="9"/>
  <c r="B197" i="9"/>
  <c r="K196" i="9"/>
  <c r="J196" i="9"/>
  <c r="B196" i="9"/>
  <c r="K195" i="9"/>
  <c r="J195" i="9"/>
  <c r="B195" i="9"/>
  <c r="K194" i="9"/>
  <c r="J194" i="9"/>
  <c r="B194" i="9"/>
  <c r="K193" i="9"/>
  <c r="J193" i="9"/>
  <c r="B193" i="9"/>
  <c r="K192" i="9"/>
  <c r="J192" i="9"/>
  <c r="B192" i="9"/>
  <c r="K191" i="9"/>
  <c r="J191" i="9"/>
  <c r="B191" i="9"/>
  <c r="K190" i="9"/>
  <c r="J190" i="9"/>
  <c r="B190" i="9"/>
  <c r="K189" i="9"/>
  <c r="J189" i="9"/>
  <c r="B189" i="9"/>
  <c r="K188" i="9"/>
  <c r="J188" i="9"/>
  <c r="B188" i="9"/>
  <c r="K187" i="9"/>
  <c r="J187" i="9"/>
  <c r="B187" i="9"/>
  <c r="K186" i="9"/>
  <c r="J186" i="9"/>
  <c r="B186" i="9"/>
  <c r="K185" i="9"/>
  <c r="J185" i="9"/>
  <c r="B185" i="9"/>
  <c r="K184" i="9"/>
  <c r="J184" i="9"/>
  <c r="B184" i="9"/>
  <c r="K183" i="9"/>
  <c r="J183" i="9"/>
  <c r="B183" i="9"/>
  <c r="K182" i="9"/>
  <c r="J182" i="9"/>
  <c r="B182" i="9"/>
  <c r="K181" i="9"/>
  <c r="J181" i="9"/>
  <c r="B181" i="9"/>
  <c r="K180" i="9"/>
  <c r="J180" i="9"/>
  <c r="B180" i="9"/>
  <c r="K179" i="9"/>
  <c r="J179" i="9"/>
  <c r="B179" i="9"/>
  <c r="K178" i="9"/>
  <c r="J178" i="9"/>
  <c r="B178" i="9"/>
  <c r="K177" i="9"/>
  <c r="J177" i="9"/>
  <c r="B177" i="9"/>
  <c r="K176" i="9"/>
  <c r="J176" i="9"/>
  <c r="B176" i="9"/>
  <c r="K175" i="9"/>
  <c r="J175" i="9"/>
  <c r="B175" i="9"/>
  <c r="K174" i="9"/>
  <c r="J174" i="9"/>
  <c r="B174" i="9"/>
  <c r="K173" i="9"/>
  <c r="J173" i="9"/>
  <c r="B173" i="9"/>
  <c r="K172" i="9"/>
  <c r="J172" i="9"/>
  <c r="B172" i="9"/>
  <c r="K171" i="9"/>
  <c r="J171" i="9"/>
  <c r="B171" i="9"/>
  <c r="K170" i="9"/>
  <c r="J170" i="9"/>
  <c r="B170" i="9"/>
  <c r="K169" i="9"/>
  <c r="J169" i="9"/>
  <c r="B169" i="9"/>
  <c r="K168" i="9"/>
  <c r="J168" i="9"/>
  <c r="B168" i="9"/>
  <c r="K167" i="9"/>
  <c r="J167" i="9"/>
  <c r="B167" i="9"/>
  <c r="K166" i="9"/>
  <c r="J166" i="9"/>
  <c r="B166" i="9"/>
  <c r="K165" i="9"/>
  <c r="J165" i="9"/>
  <c r="B165" i="9"/>
  <c r="K164" i="9"/>
  <c r="J164" i="9"/>
  <c r="B164" i="9"/>
  <c r="K163" i="9"/>
  <c r="J163" i="9"/>
  <c r="B163" i="9"/>
  <c r="K162" i="9"/>
  <c r="J162" i="9"/>
  <c r="B162" i="9"/>
  <c r="K161" i="9"/>
  <c r="J161" i="9"/>
  <c r="B161" i="9"/>
  <c r="K160" i="9"/>
  <c r="J160" i="9"/>
  <c r="B160" i="9"/>
  <c r="K159" i="9"/>
  <c r="J159" i="9"/>
  <c r="B159" i="9"/>
  <c r="K158" i="9"/>
  <c r="J158" i="9"/>
  <c r="B158" i="9"/>
  <c r="K157" i="9"/>
  <c r="J157" i="9"/>
  <c r="B157" i="9"/>
  <c r="K156" i="9"/>
  <c r="J156" i="9"/>
  <c r="B156" i="9"/>
  <c r="K155" i="9"/>
  <c r="J155" i="9"/>
  <c r="B155" i="9"/>
  <c r="K154" i="9"/>
  <c r="J154" i="9"/>
  <c r="B154" i="9"/>
  <c r="K153" i="9"/>
  <c r="J153" i="9"/>
  <c r="B153" i="9"/>
  <c r="K152" i="9"/>
  <c r="J152" i="9"/>
  <c r="B152" i="9"/>
  <c r="K151" i="9"/>
  <c r="J151" i="9"/>
  <c r="B151" i="9"/>
  <c r="K150" i="9"/>
  <c r="J150" i="9"/>
  <c r="B150" i="9"/>
  <c r="K149" i="9"/>
  <c r="J149" i="9"/>
  <c r="B149" i="9"/>
  <c r="K148" i="9"/>
  <c r="J148" i="9"/>
  <c r="B148" i="9"/>
  <c r="K147" i="9"/>
  <c r="J147" i="9"/>
  <c r="B147" i="9"/>
  <c r="K146" i="9"/>
  <c r="J146" i="9"/>
  <c r="B146" i="9"/>
  <c r="K145" i="9"/>
  <c r="J145" i="9"/>
  <c r="B145" i="9"/>
  <c r="K144" i="9"/>
  <c r="J144" i="9"/>
  <c r="B144" i="9"/>
  <c r="K143" i="9"/>
  <c r="J143" i="9"/>
  <c r="B143" i="9"/>
  <c r="K142" i="9"/>
  <c r="J142" i="9"/>
  <c r="B142" i="9"/>
  <c r="K141" i="9"/>
  <c r="J141" i="9"/>
  <c r="B141" i="9"/>
  <c r="K140" i="9"/>
  <c r="J140" i="9"/>
  <c r="B140" i="9"/>
  <c r="K139" i="9"/>
  <c r="J139" i="9"/>
  <c r="B139" i="9"/>
  <c r="K138" i="9"/>
  <c r="J138" i="9"/>
  <c r="B138" i="9"/>
  <c r="K137" i="9"/>
  <c r="J137" i="9"/>
  <c r="B137" i="9"/>
  <c r="K136" i="9"/>
  <c r="J136" i="9"/>
  <c r="B136" i="9"/>
  <c r="K135" i="9"/>
  <c r="J135" i="9"/>
  <c r="B135" i="9"/>
  <c r="K134" i="9"/>
  <c r="J134" i="9"/>
  <c r="B134" i="9"/>
  <c r="K133" i="9"/>
  <c r="J133" i="9"/>
  <c r="B133" i="9"/>
  <c r="K132" i="9"/>
  <c r="J132" i="9"/>
  <c r="B132" i="9"/>
  <c r="K131" i="9"/>
  <c r="J131" i="9"/>
  <c r="B131" i="9"/>
  <c r="K130" i="9"/>
  <c r="J130" i="9"/>
  <c r="B130" i="9"/>
  <c r="K129" i="9"/>
  <c r="J129" i="9"/>
  <c r="B129" i="9"/>
  <c r="K128" i="9"/>
  <c r="J128" i="9"/>
  <c r="B128" i="9"/>
  <c r="K127" i="9"/>
  <c r="J127" i="9"/>
  <c r="B127" i="9"/>
  <c r="K126" i="9"/>
  <c r="J126" i="9"/>
  <c r="B126" i="9"/>
  <c r="K125" i="9"/>
  <c r="J125" i="9"/>
  <c r="B125" i="9"/>
  <c r="K124" i="9"/>
  <c r="J124" i="9"/>
  <c r="B124" i="9"/>
  <c r="K123" i="9"/>
  <c r="J123" i="9"/>
  <c r="B123" i="9"/>
  <c r="K122" i="9"/>
  <c r="J122" i="9"/>
  <c r="B122" i="9"/>
  <c r="K121" i="9"/>
  <c r="J121" i="9"/>
  <c r="B121" i="9"/>
  <c r="K120" i="9"/>
  <c r="J120" i="9"/>
  <c r="B120" i="9"/>
  <c r="K119" i="9"/>
  <c r="J119" i="9"/>
  <c r="B119" i="9"/>
  <c r="K118" i="9"/>
  <c r="J118" i="9"/>
  <c r="B118" i="9"/>
  <c r="K117" i="9"/>
  <c r="J117" i="9"/>
  <c r="B117" i="9"/>
  <c r="K116" i="9"/>
  <c r="J116" i="9"/>
  <c r="B116" i="9"/>
  <c r="K115" i="9"/>
  <c r="J115" i="9"/>
  <c r="B115" i="9"/>
  <c r="K114" i="9"/>
  <c r="J114" i="9"/>
  <c r="B114" i="9"/>
  <c r="K113" i="9"/>
  <c r="J113" i="9"/>
  <c r="B113" i="9"/>
  <c r="K112" i="9"/>
  <c r="J112" i="9"/>
  <c r="B112" i="9"/>
  <c r="K111" i="9"/>
  <c r="J111" i="9"/>
  <c r="B111" i="9"/>
  <c r="K110" i="9"/>
  <c r="J110" i="9"/>
  <c r="B110" i="9"/>
  <c r="K109" i="9"/>
  <c r="J109" i="9"/>
  <c r="B109" i="9"/>
  <c r="K108" i="9"/>
  <c r="J108" i="9"/>
  <c r="B108" i="9"/>
  <c r="K107" i="9"/>
  <c r="J107" i="9"/>
  <c r="B107" i="9"/>
  <c r="K106" i="9"/>
  <c r="J106" i="9"/>
  <c r="B106" i="9"/>
  <c r="K105" i="9"/>
  <c r="J105" i="9"/>
  <c r="B105" i="9"/>
  <c r="K104" i="9"/>
  <c r="J104" i="9"/>
  <c r="B104" i="9"/>
  <c r="K103" i="9"/>
  <c r="J103" i="9"/>
  <c r="B103" i="9"/>
  <c r="K102" i="9"/>
  <c r="J102" i="9"/>
  <c r="B102" i="9"/>
  <c r="K101" i="9"/>
  <c r="J101" i="9"/>
  <c r="B101" i="9"/>
  <c r="F5" i="9" s="1"/>
  <c r="K100" i="9"/>
  <c r="J100" i="9"/>
  <c r="K99" i="9"/>
  <c r="J99" i="9"/>
  <c r="K98" i="9"/>
  <c r="J98" i="9"/>
  <c r="K97" i="9"/>
  <c r="J97" i="9"/>
  <c r="K96" i="9"/>
  <c r="J96" i="9"/>
  <c r="K95" i="9"/>
  <c r="J95" i="9"/>
  <c r="K94" i="9"/>
  <c r="J94" i="9"/>
  <c r="K93" i="9"/>
  <c r="J93" i="9"/>
  <c r="K92" i="9"/>
  <c r="J92" i="9"/>
  <c r="K91" i="9"/>
  <c r="J91" i="9"/>
  <c r="K90" i="9"/>
  <c r="J90" i="9"/>
  <c r="K89" i="9"/>
  <c r="J89" i="9"/>
  <c r="K88" i="9"/>
  <c r="J88" i="9"/>
  <c r="K87" i="9"/>
  <c r="J87" i="9"/>
  <c r="K86" i="9"/>
  <c r="J86" i="9"/>
  <c r="K85" i="9"/>
  <c r="J85" i="9"/>
  <c r="K84" i="9"/>
  <c r="J84" i="9"/>
  <c r="K83" i="9"/>
  <c r="J83" i="9"/>
  <c r="K82" i="9"/>
  <c r="J82" i="9"/>
  <c r="K81" i="9"/>
  <c r="J81" i="9"/>
  <c r="K80" i="9"/>
  <c r="J80" i="9"/>
  <c r="K79" i="9"/>
  <c r="J79" i="9"/>
  <c r="K78" i="9"/>
  <c r="J78" i="9"/>
  <c r="K77" i="9"/>
  <c r="J77" i="9"/>
  <c r="K76" i="9"/>
  <c r="J76" i="9"/>
  <c r="K75" i="9"/>
  <c r="J75" i="9"/>
  <c r="K74" i="9"/>
  <c r="J74" i="9"/>
  <c r="K73" i="9"/>
  <c r="J73" i="9"/>
  <c r="K72" i="9"/>
  <c r="J72" i="9"/>
  <c r="K71" i="9"/>
  <c r="J71" i="9"/>
  <c r="K70" i="9"/>
  <c r="J70" i="9"/>
  <c r="K69" i="9"/>
  <c r="J69" i="9"/>
  <c r="K68" i="9"/>
  <c r="J68" i="9"/>
  <c r="K67" i="9"/>
  <c r="J67" i="9"/>
  <c r="K66" i="9"/>
  <c r="J66" i="9"/>
  <c r="K65" i="9"/>
  <c r="J65" i="9"/>
  <c r="K64" i="9"/>
  <c r="J64" i="9"/>
  <c r="K63" i="9"/>
  <c r="J63" i="9"/>
  <c r="K62" i="9"/>
  <c r="J62" i="9"/>
  <c r="K61" i="9"/>
  <c r="J61" i="9"/>
  <c r="K60" i="9"/>
  <c r="J60" i="9"/>
  <c r="K59" i="9"/>
  <c r="J59" i="9"/>
  <c r="K58" i="9"/>
  <c r="J58" i="9"/>
  <c r="K57" i="9"/>
  <c r="J57" i="9"/>
  <c r="K56" i="9"/>
  <c r="J56" i="9"/>
  <c r="K55" i="9"/>
  <c r="J55" i="9"/>
  <c r="K54" i="9"/>
  <c r="J54" i="9"/>
  <c r="K53" i="9"/>
  <c r="J53" i="9"/>
  <c r="K52" i="9"/>
  <c r="J52" i="9"/>
  <c r="K51" i="9"/>
  <c r="J51" i="9"/>
  <c r="K50" i="9"/>
  <c r="J50" i="9"/>
  <c r="K49" i="9"/>
  <c r="J49" i="9"/>
  <c r="K48" i="9"/>
  <c r="J48" i="9"/>
  <c r="K47" i="9"/>
  <c r="J47" i="9"/>
  <c r="K46" i="9"/>
  <c r="J46" i="9"/>
  <c r="K45" i="9"/>
  <c r="J45" i="9"/>
  <c r="K44" i="9"/>
  <c r="J44" i="9"/>
  <c r="K43" i="9"/>
  <c r="J43" i="9"/>
  <c r="K42" i="9"/>
  <c r="J42" i="9"/>
  <c r="K41" i="9"/>
  <c r="J41" i="9"/>
  <c r="K40" i="9"/>
  <c r="J40" i="9"/>
  <c r="K39" i="9"/>
  <c r="J39" i="9"/>
  <c r="K38" i="9"/>
  <c r="J38" i="9"/>
  <c r="K37" i="9"/>
  <c r="J37" i="9"/>
  <c r="K36" i="9"/>
  <c r="J36" i="9"/>
  <c r="K35" i="9"/>
  <c r="J35" i="9"/>
  <c r="K34" i="9"/>
  <c r="J34" i="9"/>
  <c r="K33" i="9"/>
  <c r="J33" i="9"/>
  <c r="K32" i="9"/>
  <c r="J32" i="9"/>
  <c r="K31" i="9"/>
  <c r="J31" i="9"/>
  <c r="K30" i="9"/>
  <c r="J30" i="9"/>
  <c r="K29" i="9"/>
  <c r="J29" i="9"/>
  <c r="K28" i="9"/>
  <c r="J28" i="9" s="1"/>
  <c r="K27" i="9"/>
  <c r="J27" i="9" s="1"/>
  <c r="K26" i="9"/>
  <c r="J26" i="9"/>
  <c r="K25" i="9"/>
  <c r="J25" i="9"/>
  <c r="K24" i="9"/>
  <c r="J24" i="9"/>
  <c r="K23" i="9"/>
  <c r="J23" i="9" s="1"/>
  <c r="K22" i="9"/>
  <c r="J22" i="9" s="1"/>
  <c r="K21" i="9"/>
  <c r="J21" i="9"/>
  <c r="K20" i="9"/>
  <c r="J20" i="9"/>
  <c r="K19" i="9"/>
  <c r="J19" i="9" s="1"/>
  <c r="K18" i="9"/>
  <c r="J18" i="9" s="1"/>
  <c r="K17" i="9"/>
  <c r="J17" i="9" s="1"/>
  <c r="K16" i="9"/>
  <c r="J16" i="9"/>
  <c r="K15" i="9"/>
  <c r="J15" i="9"/>
  <c r="K14" i="9"/>
  <c r="J14" i="9" s="1"/>
  <c r="K13" i="9"/>
  <c r="J13" i="9" s="1"/>
  <c r="K12" i="9"/>
  <c r="J12" i="9" s="1"/>
  <c r="K11" i="9"/>
  <c r="J11" i="9"/>
  <c r="K10" i="9"/>
  <c r="J10" i="9"/>
  <c r="K9" i="9"/>
  <c r="J9" i="9" s="1"/>
  <c r="K8" i="9"/>
  <c r="J8" i="9" s="1"/>
  <c r="K7" i="9"/>
  <c r="J7" i="9" s="1"/>
  <c r="C5" i="9"/>
  <c r="N4" i="9"/>
  <c r="L4" i="9"/>
  <c r="J4" i="9"/>
  <c r="H4" i="9"/>
  <c r="A4" i="9"/>
  <c r="B1" i="9"/>
  <c r="A1" i="9"/>
  <c r="P1000" i="8"/>
  <c r="O1000" i="8"/>
  <c r="N1000" i="8"/>
  <c r="M1000" i="8"/>
  <c r="B1000" i="8"/>
  <c r="P999" i="8"/>
  <c r="O999" i="8"/>
  <c r="N999" i="8"/>
  <c r="M999" i="8"/>
  <c r="B999" i="8"/>
  <c r="P998" i="8"/>
  <c r="O998" i="8"/>
  <c r="N998" i="8"/>
  <c r="M998" i="8"/>
  <c r="B998" i="8"/>
  <c r="P997" i="8"/>
  <c r="O997" i="8"/>
  <c r="N997" i="8"/>
  <c r="M997" i="8"/>
  <c r="B997" i="8"/>
  <c r="P996" i="8"/>
  <c r="O996" i="8"/>
  <c r="N996" i="8"/>
  <c r="M996" i="8"/>
  <c r="B996" i="8"/>
  <c r="P995" i="8"/>
  <c r="O995" i="8"/>
  <c r="N995" i="8"/>
  <c r="M995" i="8"/>
  <c r="B995" i="8"/>
  <c r="P994" i="8"/>
  <c r="O994" i="8"/>
  <c r="N994" i="8"/>
  <c r="M994" i="8"/>
  <c r="B994" i="8"/>
  <c r="P993" i="8"/>
  <c r="O993" i="8"/>
  <c r="N993" i="8"/>
  <c r="M993" i="8"/>
  <c r="B993" i="8"/>
  <c r="P992" i="8"/>
  <c r="O992" i="8"/>
  <c r="N992" i="8"/>
  <c r="M992" i="8"/>
  <c r="B992" i="8"/>
  <c r="P991" i="8"/>
  <c r="O991" i="8"/>
  <c r="N991" i="8"/>
  <c r="M991" i="8"/>
  <c r="B991" i="8"/>
  <c r="P990" i="8"/>
  <c r="O990" i="8"/>
  <c r="N990" i="8"/>
  <c r="M990" i="8"/>
  <c r="B990" i="8"/>
  <c r="P989" i="8"/>
  <c r="O989" i="8"/>
  <c r="N989" i="8"/>
  <c r="M989" i="8"/>
  <c r="B989" i="8"/>
  <c r="P988" i="8"/>
  <c r="O988" i="8"/>
  <c r="N988" i="8"/>
  <c r="M988" i="8"/>
  <c r="B988" i="8"/>
  <c r="P987" i="8"/>
  <c r="O987" i="8"/>
  <c r="N987" i="8"/>
  <c r="M987" i="8"/>
  <c r="B987" i="8"/>
  <c r="P986" i="8"/>
  <c r="O986" i="8"/>
  <c r="N986" i="8"/>
  <c r="M986" i="8"/>
  <c r="B986" i="8"/>
  <c r="P985" i="8"/>
  <c r="O985" i="8"/>
  <c r="N985" i="8"/>
  <c r="M985" i="8"/>
  <c r="B985" i="8"/>
  <c r="P984" i="8"/>
  <c r="O984" i="8"/>
  <c r="N984" i="8"/>
  <c r="M984" i="8"/>
  <c r="B984" i="8"/>
  <c r="P983" i="8"/>
  <c r="O983" i="8"/>
  <c r="N983" i="8"/>
  <c r="M983" i="8"/>
  <c r="B983" i="8"/>
  <c r="P982" i="8"/>
  <c r="O982" i="8"/>
  <c r="N982" i="8"/>
  <c r="M982" i="8"/>
  <c r="B982" i="8"/>
  <c r="P981" i="8"/>
  <c r="O981" i="8"/>
  <c r="N981" i="8"/>
  <c r="M981" i="8"/>
  <c r="B981" i="8"/>
  <c r="P980" i="8"/>
  <c r="O980" i="8"/>
  <c r="N980" i="8"/>
  <c r="M980" i="8"/>
  <c r="B980" i="8"/>
  <c r="P979" i="8"/>
  <c r="O979" i="8"/>
  <c r="N979" i="8"/>
  <c r="M979" i="8"/>
  <c r="B979" i="8"/>
  <c r="P978" i="8"/>
  <c r="O978" i="8"/>
  <c r="N978" i="8"/>
  <c r="M978" i="8"/>
  <c r="B978" i="8"/>
  <c r="P977" i="8"/>
  <c r="O977" i="8"/>
  <c r="N977" i="8"/>
  <c r="M977" i="8"/>
  <c r="B977" i="8"/>
  <c r="P976" i="8"/>
  <c r="O976" i="8"/>
  <c r="N976" i="8"/>
  <c r="M976" i="8"/>
  <c r="B976" i="8"/>
  <c r="P975" i="8"/>
  <c r="O975" i="8"/>
  <c r="N975" i="8"/>
  <c r="M975" i="8"/>
  <c r="B975" i="8"/>
  <c r="P974" i="8"/>
  <c r="O974" i="8"/>
  <c r="N974" i="8"/>
  <c r="M974" i="8"/>
  <c r="B974" i="8"/>
  <c r="P973" i="8"/>
  <c r="O973" i="8"/>
  <c r="N973" i="8"/>
  <c r="M973" i="8"/>
  <c r="B973" i="8"/>
  <c r="P972" i="8"/>
  <c r="O972" i="8"/>
  <c r="N972" i="8"/>
  <c r="M972" i="8"/>
  <c r="B972" i="8"/>
  <c r="P971" i="8"/>
  <c r="O971" i="8"/>
  <c r="N971" i="8"/>
  <c r="M971" i="8"/>
  <c r="B971" i="8"/>
  <c r="P970" i="8"/>
  <c r="O970" i="8"/>
  <c r="N970" i="8"/>
  <c r="M970" i="8"/>
  <c r="B970" i="8"/>
  <c r="P969" i="8"/>
  <c r="O969" i="8"/>
  <c r="N969" i="8"/>
  <c r="M969" i="8"/>
  <c r="B969" i="8"/>
  <c r="P968" i="8"/>
  <c r="O968" i="8"/>
  <c r="N968" i="8"/>
  <c r="M968" i="8"/>
  <c r="B968" i="8"/>
  <c r="P967" i="8"/>
  <c r="O967" i="8"/>
  <c r="N967" i="8"/>
  <c r="M967" i="8"/>
  <c r="B967" i="8"/>
  <c r="P966" i="8"/>
  <c r="O966" i="8"/>
  <c r="N966" i="8"/>
  <c r="M966" i="8"/>
  <c r="B966" i="8"/>
  <c r="P965" i="8"/>
  <c r="O965" i="8"/>
  <c r="N965" i="8"/>
  <c r="M965" i="8"/>
  <c r="B965" i="8"/>
  <c r="P964" i="8"/>
  <c r="O964" i="8"/>
  <c r="N964" i="8"/>
  <c r="M964" i="8"/>
  <c r="B964" i="8"/>
  <c r="P963" i="8"/>
  <c r="O963" i="8"/>
  <c r="N963" i="8"/>
  <c r="M963" i="8"/>
  <c r="B963" i="8"/>
  <c r="P962" i="8"/>
  <c r="O962" i="8"/>
  <c r="N962" i="8"/>
  <c r="M962" i="8"/>
  <c r="B962" i="8"/>
  <c r="P961" i="8"/>
  <c r="O961" i="8"/>
  <c r="N961" i="8"/>
  <c r="M961" i="8"/>
  <c r="B961" i="8"/>
  <c r="P960" i="8"/>
  <c r="O960" i="8"/>
  <c r="N960" i="8"/>
  <c r="M960" i="8"/>
  <c r="B960" i="8"/>
  <c r="P959" i="8"/>
  <c r="O959" i="8"/>
  <c r="N959" i="8"/>
  <c r="M959" i="8"/>
  <c r="B959" i="8"/>
  <c r="P958" i="8"/>
  <c r="O958" i="8"/>
  <c r="N958" i="8"/>
  <c r="M958" i="8"/>
  <c r="B958" i="8"/>
  <c r="P957" i="8"/>
  <c r="O957" i="8"/>
  <c r="N957" i="8"/>
  <c r="M957" i="8"/>
  <c r="B957" i="8"/>
  <c r="P956" i="8"/>
  <c r="O956" i="8"/>
  <c r="N956" i="8"/>
  <c r="M956" i="8"/>
  <c r="B956" i="8"/>
  <c r="P955" i="8"/>
  <c r="O955" i="8"/>
  <c r="N955" i="8"/>
  <c r="M955" i="8"/>
  <c r="B955" i="8"/>
  <c r="P954" i="8"/>
  <c r="O954" i="8"/>
  <c r="N954" i="8"/>
  <c r="M954" i="8"/>
  <c r="B954" i="8"/>
  <c r="P953" i="8"/>
  <c r="O953" i="8"/>
  <c r="N953" i="8"/>
  <c r="M953" i="8"/>
  <c r="B953" i="8"/>
  <c r="P952" i="8"/>
  <c r="O952" i="8"/>
  <c r="N952" i="8"/>
  <c r="M952" i="8"/>
  <c r="B952" i="8"/>
  <c r="P951" i="8"/>
  <c r="O951" i="8"/>
  <c r="N951" i="8"/>
  <c r="M951" i="8"/>
  <c r="B951" i="8"/>
  <c r="P950" i="8"/>
  <c r="O950" i="8"/>
  <c r="N950" i="8"/>
  <c r="M950" i="8"/>
  <c r="B950" i="8"/>
  <c r="P949" i="8"/>
  <c r="O949" i="8"/>
  <c r="N949" i="8"/>
  <c r="M949" i="8"/>
  <c r="B949" i="8"/>
  <c r="P948" i="8"/>
  <c r="O948" i="8"/>
  <c r="N948" i="8"/>
  <c r="M948" i="8"/>
  <c r="B948" i="8"/>
  <c r="P947" i="8"/>
  <c r="O947" i="8"/>
  <c r="N947" i="8"/>
  <c r="M947" i="8"/>
  <c r="B947" i="8"/>
  <c r="P946" i="8"/>
  <c r="O946" i="8"/>
  <c r="N946" i="8"/>
  <c r="M946" i="8"/>
  <c r="B946" i="8"/>
  <c r="P945" i="8"/>
  <c r="O945" i="8"/>
  <c r="N945" i="8"/>
  <c r="M945" i="8"/>
  <c r="B945" i="8"/>
  <c r="P944" i="8"/>
  <c r="O944" i="8"/>
  <c r="N944" i="8"/>
  <c r="M944" i="8"/>
  <c r="B944" i="8"/>
  <c r="P943" i="8"/>
  <c r="O943" i="8"/>
  <c r="N943" i="8"/>
  <c r="M943" i="8"/>
  <c r="B943" i="8"/>
  <c r="P942" i="8"/>
  <c r="O942" i="8"/>
  <c r="N942" i="8"/>
  <c r="M942" i="8"/>
  <c r="B942" i="8"/>
  <c r="P941" i="8"/>
  <c r="O941" i="8"/>
  <c r="N941" i="8"/>
  <c r="M941" i="8"/>
  <c r="B941" i="8"/>
  <c r="P940" i="8"/>
  <c r="O940" i="8"/>
  <c r="N940" i="8"/>
  <c r="M940" i="8"/>
  <c r="B940" i="8"/>
  <c r="P939" i="8"/>
  <c r="O939" i="8"/>
  <c r="N939" i="8"/>
  <c r="M939" i="8"/>
  <c r="B939" i="8"/>
  <c r="P938" i="8"/>
  <c r="O938" i="8"/>
  <c r="N938" i="8"/>
  <c r="M938" i="8"/>
  <c r="B938" i="8"/>
  <c r="P937" i="8"/>
  <c r="O937" i="8"/>
  <c r="N937" i="8"/>
  <c r="M937" i="8"/>
  <c r="B937" i="8"/>
  <c r="P936" i="8"/>
  <c r="O936" i="8"/>
  <c r="N936" i="8"/>
  <c r="M936" i="8"/>
  <c r="B936" i="8"/>
  <c r="P935" i="8"/>
  <c r="O935" i="8"/>
  <c r="N935" i="8"/>
  <c r="M935" i="8"/>
  <c r="B935" i="8"/>
  <c r="P934" i="8"/>
  <c r="O934" i="8"/>
  <c r="N934" i="8"/>
  <c r="M934" i="8"/>
  <c r="B934" i="8"/>
  <c r="P933" i="8"/>
  <c r="O933" i="8"/>
  <c r="N933" i="8"/>
  <c r="M933" i="8"/>
  <c r="B933" i="8"/>
  <c r="P932" i="8"/>
  <c r="O932" i="8"/>
  <c r="N932" i="8"/>
  <c r="M932" i="8"/>
  <c r="B932" i="8"/>
  <c r="P931" i="8"/>
  <c r="O931" i="8"/>
  <c r="N931" i="8"/>
  <c r="M931" i="8"/>
  <c r="B931" i="8"/>
  <c r="P930" i="8"/>
  <c r="O930" i="8"/>
  <c r="N930" i="8"/>
  <c r="M930" i="8"/>
  <c r="B930" i="8"/>
  <c r="P929" i="8"/>
  <c r="O929" i="8"/>
  <c r="N929" i="8"/>
  <c r="M929" i="8"/>
  <c r="B929" i="8"/>
  <c r="P928" i="8"/>
  <c r="O928" i="8"/>
  <c r="N928" i="8"/>
  <c r="M928" i="8"/>
  <c r="B928" i="8"/>
  <c r="P927" i="8"/>
  <c r="O927" i="8"/>
  <c r="N927" i="8"/>
  <c r="M927" i="8"/>
  <c r="B927" i="8"/>
  <c r="P926" i="8"/>
  <c r="O926" i="8"/>
  <c r="N926" i="8"/>
  <c r="M926" i="8"/>
  <c r="B926" i="8"/>
  <c r="P925" i="8"/>
  <c r="O925" i="8"/>
  <c r="N925" i="8"/>
  <c r="M925" i="8"/>
  <c r="B925" i="8"/>
  <c r="P924" i="8"/>
  <c r="O924" i="8"/>
  <c r="N924" i="8"/>
  <c r="M924" i="8"/>
  <c r="B924" i="8"/>
  <c r="P923" i="8"/>
  <c r="O923" i="8"/>
  <c r="N923" i="8"/>
  <c r="M923" i="8"/>
  <c r="B923" i="8"/>
  <c r="P922" i="8"/>
  <c r="O922" i="8"/>
  <c r="N922" i="8"/>
  <c r="M922" i="8"/>
  <c r="B922" i="8"/>
  <c r="P921" i="8"/>
  <c r="O921" i="8"/>
  <c r="N921" i="8"/>
  <c r="M921" i="8"/>
  <c r="B921" i="8"/>
  <c r="P920" i="8"/>
  <c r="O920" i="8"/>
  <c r="N920" i="8"/>
  <c r="M920" i="8"/>
  <c r="B920" i="8"/>
  <c r="P919" i="8"/>
  <c r="O919" i="8"/>
  <c r="N919" i="8"/>
  <c r="M919" i="8"/>
  <c r="B919" i="8"/>
  <c r="P918" i="8"/>
  <c r="O918" i="8"/>
  <c r="N918" i="8"/>
  <c r="M918" i="8"/>
  <c r="B918" i="8"/>
  <c r="P917" i="8"/>
  <c r="O917" i="8"/>
  <c r="N917" i="8"/>
  <c r="M917" i="8"/>
  <c r="B917" i="8"/>
  <c r="P916" i="8"/>
  <c r="O916" i="8"/>
  <c r="N916" i="8"/>
  <c r="M916" i="8"/>
  <c r="B916" i="8"/>
  <c r="P915" i="8"/>
  <c r="O915" i="8"/>
  <c r="N915" i="8"/>
  <c r="M915" i="8"/>
  <c r="B915" i="8"/>
  <c r="P914" i="8"/>
  <c r="O914" i="8"/>
  <c r="N914" i="8"/>
  <c r="M914" i="8"/>
  <c r="B914" i="8"/>
  <c r="P913" i="8"/>
  <c r="O913" i="8"/>
  <c r="N913" i="8"/>
  <c r="M913" i="8"/>
  <c r="B913" i="8"/>
  <c r="P912" i="8"/>
  <c r="O912" i="8"/>
  <c r="N912" i="8"/>
  <c r="M912" i="8"/>
  <c r="B912" i="8"/>
  <c r="P911" i="8"/>
  <c r="O911" i="8"/>
  <c r="N911" i="8"/>
  <c r="M911" i="8"/>
  <c r="B911" i="8"/>
  <c r="P910" i="8"/>
  <c r="O910" i="8"/>
  <c r="N910" i="8"/>
  <c r="M910" i="8"/>
  <c r="B910" i="8"/>
  <c r="P909" i="8"/>
  <c r="O909" i="8"/>
  <c r="N909" i="8"/>
  <c r="M909" i="8"/>
  <c r="B909" i="8"/>
  <c r="P908" i="8"/>
  <c r="O908" i="8"/>
  <c r="N908" i="8"/>
  <c r="M908" i="8"/>
  <c r="B908" i="8"/>
  <c r="P907" i="8"/>
  <c r="O907" i="8"/>
  <c r="N907" i="8"/>
  <c r="M907" i="8"/>
  <c r="B907" i="8"/>
  <c r="P906" i="8"/>
  <c r="O906" i="8"/>
  <c r="N906" i="8"/>
  <c r="M906" i="8"/>
  <c r="B906" i="8"/>
  <c r="P905" i="8"/>
  <c r="O905" i="8"/>
  <c r="N905" i="8"/>
  <c r="M905" i="8"/>
  <c r="B905" i="8"/>
  <c r="P904" i="8"/>
  <c r="O904" i="8"/>
  <c r="N904" i="8"/>
  <c r="M904" i="8"/>
  <c r="B904" i="8"/>
  <c r="P903" i="8"/>
  <c r="O903" i="8"/>
  <c r="N903" i="8"/>
  <c r="M903" i="8"/>
  <c r="B903" i="8"/>
  <c r="P902" i="8"/>
  <c r="O902" i="8"/>
  <c r="N902" i="8"/>
  <c r="M902" i="8"/>
  <c r="B902" i="8"/>
  <c r="P901" i="8"/>
  <c r="O901" i="8"/>
  <c r="N901" i="8"/>
  <c r="M901" i="8"/>
  <c r="B901" i="8"/>
  <c r="P900" i="8"/>
  <c r="O900" i="8"/>
  <c r="N900" i="8"/>
  <c r="M900" i="8"/>
  <c r="B900" i="8"/>
  <c r="P899" i="8"/>
  <c r="O899" i="8"/>
  <c r="N899" i="8"/>
  <c r="M899" i="8"/>
  <c r="B899" i="8"/>
  <c r="P898" i="8"/>
  <c r="O898" i="8"/>
  <c r="N898" i="8"/>
  <c r="M898" i="8"/>
  <c r="B898" i="8"/>
  <c r="P897" i="8"/>
  <c r="O897" i="8"/>
  <c r="N897" i="8"/>
  <c r="M897" i="8"/>
  <c r="B897" i="8"/>
  <c r="P896" i="8"/>
  <c r="O896" i="8"/>
  <c r="N896" i="8"/>
  <c r="M896" i="8"/>
  <c r="B896" i="8"/>
  <c r="P895" i="8"/>
  <c r="O895" i="8"/>
  <c r="N895" i="8"/>
  <c r="M895" i="8"/>
  <c r="B895" i="8"/>
  <c r="P894" i="8"/>
  <c r="O894" i="8"/>
  <c r="N894" i="8"/>
  <c r="M894" i="8"/>
  <c r="B894" i="8"/>
  <c r="P893" i="8"/>
  <c r="O893" i="8"/>
  <c r="N893" i="8"/>
  <c r="M893" i="8"/>
  <c r="B893" i="8"/>
  <c r="P892" i="8"/>
  <c r="O892" i="8"/>
  <c r="N892" i="8"/>
  <c r="M892" i="8"/>
  <c r="B892" i="8"/>
  <c r="P891" i="8"/>
  <c r="O891" i="8"/>
  <c r="N891" i="8"/>
  <c r="M891" i="8"/>
  <c r="B891" i="8"/>
  <c r="P890" i="8"/>
  <c r="O890" i="8"/>
  <c r="N890" i="8"/>
  <c r="M890" i="8"/>
  <c r="B890" i="8"/>
  <c r="P889" i="8"/>
  <c r="O889" i="8"/>
  <c r="N889" i="8"/>
  <c r="M889" i="8"/>
  <c r="B889" i="8"/>
  <c r="P888" i="8"/>
  <c r="O888" i="8"/>
  <c r="N888" i="8"/>
  <c r="M888" i="8"/>
  <c r="B888" i="8"/>
  <c r="P887" i="8"/>
  <c r="O887" i="8"/>
  <c r="N887" i="8"/>
  <c r="M887" i="8"/>
  <c r="B887" i="8"/>
  <c r="P886" i="8"/>
  <c r="O886" i="8"/>
  <c r="N886" i="8"/>
  <c r="M886" i="8"/>
  <c r="B886" i="8"/>
  <c r="P885" i="8"/>
  <c r="O885" i="8"/>
  <c r="N885" i="8"/>
  <c r="M885" i="8"/>
  <c r="B885" i="8"/>
  <c r="P884" i="8"/>
  <c r="O884" i="8"/>
  <c r="N884" i="8"/>
  <c r="M884" i="8"/>
  <c r="B884" i="8"/>
  <c r="P883" i="8"/>
  <c r="O883" i="8"/>
  <c r="N883" i="8"/>
  <c r="M883" i="8"/>
  <c r="B883" i="8"/>
  <c r="P882" i="8"/>
  <c r="O882" i="8"/>
  <c r="N882" i="8"/>
  <c r="M882" i="8"/>
  <c r="B882" i="8"/>
  <c r="P881" i="8"/>
  <c r="O881" i="8"/>
  <c r="N881" i="8"/>
  <c r="M881" i="8"/>
  <c r="B881" i="8"/>
  <c r="P880" i="8"/>
  <c r="O880" i="8"/>
  <c r="N880" i="8"/>
  <c r="M880" i="8"/>
  <c r="B880" i="8"/>
  <c r="P879" i="8"/>
  <c r="O879" i="8"/>
  <c r="N879" i="8"/>
  <c r="M879" i="8"/>
  <c r="B879" i="8"/>
  <c r="P878" i="8"/>
  <c r="O878" i="8"/>
  <c r="N878" i="8"/>
  <c r="M878" i="8"/>
  <c r="B878" i="8"/>
  <c r="P877" i="8"/>
  <c r="O877" i="8"/>
  <c r="N877" i="8"/>
  <c r="M877" i="8"/>
  <c r="B877" i="8"/>
  <c r="P876" i="8"/>
  <c r="O876" i="8"/>
  <c r="N876" i="8"/>
  <c r="M876" i="8"/>
  <c r="B876" i="8"/>
  <c r="P875" i="8"/>
  <c r="O875" i="8"/>
  <c r="N875" i="8"/>
  <c r="M875" i="8"/>
  <c r="B875" i="8"/>
  <c r="P874" i="8"/>
  <c r="O874" i="8"/>
  <c r="N874" i="8"/>
  <c r="M874" i="8"/>
  <c r="B874" i="8"/>
  <c r="P873" i="8"/>
  <c r="O873" i="8"/>
  <c r="N873" i="8"/>
  <c r="M873" i="8"/>
  <c r="B873" i="8"/>
  <c r="P872" i="8"/>
  <c r="O872" i="8"/>
  <c r="N872" i="8"/>
  <c r="M872" i="8"/>
  <c r="B872" i="8"/>
  <c r="P871" i="8"/>
  <c r="O871" i="8"/>
  <c r="N871" i="8"/>
  <c r="M871" i="8"/>
  <c r="B871" i="8"/>
  <c r="P870" i="8"/>
  <c r="O870" i="8"/>
  <c r="N870" i="8"/>
  <c r="M870" i="8"/>
  <c r="B870" i="8"/>
  <c r="P869" i="8"/>
  <c r="O869" i="8"/>
  <c r="N869" i="8"/>
  <c r="M869" i="8"/>
  <c r="B869" i="8"/>
  <c r="P868" i="8"/>
  <c r="O868" i="8"/>
  <c r="N868" i="8"/>
  <c r="M868" i="8"/>
  <c r="B868" i="8"/>
  <c r="P867" i="8"/>
  <c r="O867" i="8"/>
  <c r="N867" i="8"/>
  <c r="M867" i="8"/>
  <c r="B867" i="8"/>
  <c r="P866" i="8"/>
  <c r="O866" i="8"/>
  <c r="N866" i="8"/>
  <c r="M866" i="8"/>
  <c r="B866" i="8"/>
  <c r="P865" i="8"/>
  <c r="O865" i="8"/>
  <c r="N865" i="8"/>
  <c r="M865" i="8"/>
  <c r="B865" i="8"/>
  <c r="P864" i="8"/>
  <c r="O864" i="8"/>
  <c r="N864" i="8"/>
  <c r="M864" i="8"/>
  <c r="B864" i="8"/>
  <c r="P863" i="8"/>
  <c r="O863" i="8"/>
  <c r="N863" i="8"/>
  <c r="M863" i="8"/>
  <c r="B863" i="8"/>
  <c r="P862" i="8"/>
  <c r="O862" i="8"/>
  <c r="N862" i="8"/>
  <c r="M862" i="8"/>
  <c r="B862" i="8"/>
  <c r="P861" i="8"/>
  <c r="O861" i="8"/>
  <c r="N861" i="8"/>
  <c r="M861" i="8"/>
  <c r="B861" i="8"/>
  <c r="P860" i="8"/>
  <c r="O860" i="8"/>
  <c r="N860" i="8"/>
  <c r="M860" i="8"/>
  <c r="B860" i="8"/>
  <c r="P859" i="8"/>
  <c r="O859" i="8"/>
  <c r="N859" i="8"/>
  <c r="M859" i="8"/>
  <c r="B859" i="8"/>
  <c r="P858" i="8"/>
  <c r="O858" i="8"/>
  <c r="N858" i="8"/>
  <c r="M858" i="8"/>
  <c r="B858" i="8"/>
  <c r="P857" i="8"/>
  <c r="O857" i="8"/>
  <c r="N857" i="8"/>
  <c r="M857" i="8"/>
  <c r="B857" i="8"/>
  <c r="P856" i="8"/>
  <c r="O856" i="8"/>
  <c r="N856" i="8"/>
  <c r="M856" i="8"/>
  <c r="B856" i="8"/>
  <c r="P855" i="8"/>
  <c r="O855" i="8"/>
  <c r="N855" i="8"/>
  <c r="M855" i="8"/>
  <c r="B855" i="8"/>
  <c r="P854" i="8"/>
  <c r="O854" i="8"/>
  <c r="N854" i="8"/>
  <c r="M854" i="8"/>
  <c r="B854" i="8"/>
  <c r="P853" i="8"/>
  <c r="O853" i="8"/>
  <c r="N853" i="8"/>
  <c r="M853" i="8"/>
  <c r="B853" i="8"/>
  <c r="P852" i="8"/>
  <c r="O852" i="8"/>
  <c r="N852" i="8"/>
  <c r="M852" i="8"/>
  <c r="B852" i="8"/>
  <c r="P851" i="8"/>
  <c r="O851" i="8"/>
  <c r="N851" i="8"/>
  <c r="M851" i="8"/>
  <c r="B851" i="8"/>
  <c r="P850" i="8"/>
  <c r="O850" i="8"/>
  <c r="N850" i="8"/>
  <c r="M850" i="8"/>
  <c r="B850" i="8"/>
  <c r="P849" i="8"/>
  <c r="O849" i="8"/>
  <c r="N849" i="8"/>
  <c r="M849" i="8"/>
  <c r="B849" i="8"/>
  <c r="P848" i="8"/>
  <c r="O848" i="8"/>
  <c r="N848" i="8"/>
  <c r="M848" i="8"/>
  <c r="B848" i="8"/>
  <c r="P847" i="8"/>
  <c r="O847" i="8"/>
  <c r="N847" i="8"/>
  <c r="M847" i="8"/>
  <c r="B847" i="8"/>
  <c r="P846" i="8"/>
  <c r="O846" i="8"/>
  <c r="N846" i="8"/>
  <c r="M846" i="8"/>
  <c r="B846" i="8"/>
  <c r="P845" i="8"/>
  <c r="O845" i="8"/>
  <c r="N845" i="8"/>
  <c r="M845" i="8"/>
  <c r="B845" i="8"/>
  <c r="P844" i="8"/>
  <c r="O844" i="8"/>
  <c r="N844" i="8"/>
  <c r="M844" i="8"/>
  <c r="B844" i="8"/>
  <c r="P843" i="8"/>
  <c r="O843" i="8"/>
  <c r="N843" i="8"/>
  <c r="M843" i="8"/>
  <c r="B843" i="8"/>
  <c r="P842" i="8"/>
  <c r="O842" i="8"/>
  <c r="N842" i="8"/>
  <c r="M842" i="8"/>
  <c r="B842" i="8"/>
  <c r="P841" i="8"/>
  <c r="O841" i="8"/>
  <c r="N841" i="8"/>
  <c r="M841" i="8"/>
  <c r="B841" i="8"/>
  <c r="P840" i="8"/>
  <c r="O840" i="8"/>
  <c r="N840" i="8"/>
  <c r="M840" i="8"/>
  <c r="B840" i="8"/>
  <c r="P839" i="8"/>
  <c r="O839" i="8"/>
  <c r="N839" i="8"/>
  <c r="M839" i="8"/>
  <c r="B839" i="8"/>
  <c r="P838" i="8"/>
  <c r="O838" i="8"/>
  <c r="N838" i="8"/>
  <c r="M838" i="8"/>
  <c r="B838" i="8"/>
  <c r="P837" i="8"/>
  <c r="O837" i="8"/>
  <c r="N837" i="8"/>
  <c r="M837" i="8"/>
  <c r="B837" i="8"/>
  <c r="P836" i="8"/>
  <c r="O836" i="8"/>
  <c r="N836" i="8"/>
  <c r="M836" i="8"/>
  <c r="B836" i="8"/>
  <c r="P835" i="8"/>
  <c r="O835" i="8"/>
  <c r="N835" i="8"/>
  <c r="M835" i="8"/>
  <c r="B835" i="8"/>
  <c r="P834" i="8"/>
  <c r="O834" i="8"/>
  <c r="N834" i="8"/>
  <c r="M834" i="8"/>
  <c r="B834" i="8"/>
  <c r="P833" i="8"/>
  <c r="O833" i="8"/>
  <c r="N833" i="8"/>
  <c r="M833" i="8"/>
  <c r="B833" i="8"/>
  <c r="P832" i="8"/>
  <c r="O832" i="8"/>
  <c r="N832" i="8"/>
  <c r="M832" i="8"/>
  <c r="B832" i="8"/>
  <c r="P831" i="8"/>
  <c r="O831" i="8"/>
  <c r="N831" i="8"/>
  <c r="M831" i="8"/>
  <c r="B831" i="8"/>
  <c r="P830" i="8"/>
  <c r="O830" i="8"/>
  <c r="N830" i="8"/>
  <c r="M830" i="8"/>
  <c r="B830" i="8"/>
  <c r="P829" i="8"/>
  <c r="O829" i="8"/>
  <c r="N829" i="8"/>
  <c r="M829" i="8"/>
  <c r="B829" i="8"/>
  <c r="P828" i="8"/>
  <c r="O828" i="8"/>
  <c r="N828" i="8"/>
  <c r="M828" i="8"/>
  <c r="B828" i="8"/>
  <c r="P827" i="8"/>
  <c r="O827" i="8"/>
  <c r="N827" i="8"/>
  <c r="M827" i="8"/>
  <c r="B827" i="8"/>
  <c r="P826" i="8"/>
  <c r="O826" i="8"/>
  <c r="N826" i="8"/>
  <c r="M826" i="8"/>
  <c r="B826" i="8"/>
  <c r="P825" i="8"/>
  <c r="O825" i="8"/>
  <c r="N825" i="8"/>
  <c r="M825" i="8"/>
  <c r="B825" i="8"/>
  <c r="P824" i="8"/>
  <c r="O824" i="8"/>
  <c r="N824" i="8"/>
  <c r="M824" i="8"/>
  <c r="B824" i="8"/>
  <c r="P823" i="8"/>
  <c r="O823" i="8"/>
  <c r="N823" i="8"/>
  <c r="M823" i="8"/>
  <c r="B823" i="8"/>
  <c r="P822" i="8"/>
  <c r="O822" i="8"/>
  <c r="N822" i="8"/>
  <c r="M822" i="8"/>
  <c r="B822" i="8"/>
  <c r="P821" i="8"/>
  <c r="O821" i="8"/>
  <c r="N821" i="8"/>
  <c r="M821" i="8"/>
  <c r="B821" i="8"/>
  <c r="P820" i="8"/>
  <c r="O820" i="8"/>
  <c r="N820" i="8"/>
  <c r="M820" i="8"/>
  <c r="B820" i="8"/>
  <c r="P819" i="8"/>
  <c r="O819" i="8"/>
  <c r="N819" i="8"/>
  <c r="M819" i="8"/>
  <c r="B819" i="8"/>
  <c r="P818" i="8"/>
  <c r="O818" i="8"/>
  <c r="N818" i="8"/>
  <c r="M818" i="8"/>
  <c r="B818" i="8"/>
  <c r="P817" i="8"/>
  <c r="O817" i="8"/>
  <c r="N817" i="8"/>
  <c r="M817" i="8"/>
  <c r="B817" i="8"/>
  <c r="P816" i="8"/>
  <c r="O816" i="8"/>
  <c r="N816" i="8"/>
  <c r="M816" i="8"/>
  <c r="B816" i="8"/>
  <c r="P815" i="8"/>
  <c r="O815" i="8"/>
  <c r="N815" i="8"/>
  <c r="M815" i="8"/>
  <c r="B815" i="8"/>
  <c r="P814" i="8"/>
  <c r="O814" i="8"/>
  <c r="N814" i="8"/>
  <c r="M814" i="8"/>
  <c r="B814" i="8"/>
  <c r="P813" i="8"/>
  <c r="O813" i="8"/>
  <c r="N813" i="8"/>
  <c r="M813" i="8"/>
  <c r="B813" i="8"/>
  <c r="P812" i="8"/>
  <c r="O812" i="8"/>
  <c r="N812" i="8"/>
  <c r="M812" i="8"/>
  <c r="B812" i="8"/>
  <c r="P811" i="8"/>
  <c r="O811" i="8"/>
  <c r="N811" i="8"/>
  <c r="M811" i="8"/>
  <c r="B811" i="8"/>
  <c r="P810" i="8"/>
  <c r="O810" i="8"/>
  <c r="N810" i="8"/>
  <c r="M810" i="8"/>
  <c r="B810" i="8"/>
  <c r="P809" i="8"/>
  <c r="O809" i="8"/>
  <c r="N809" i="8"/>
  <c r="M809" i="8"/>
  <c r="B809" i="8"/>
  <c r="P808" i="8"/>
  <c r="O808" i="8"/>
  <c r="N808" i="8"/>
  <c r="M808" i="8"/>
  <c r="B808" i="8"/>
  <c r="P807" i="8"/>
  <c r="O807" i="8"/>
  <c r="N807" i="8"/>
  <c r="M807" i="8"/>
  <c r="B807" i="8"/>
  <c r="P806" i="8"/>
  <c r="O806" i="8"/>
  <c r="N806" i="8"/>
  <c r="M806" i="8"/>
  <c r="B806" i="8"/>
  <c r="P805" i="8"/>
  <c r="O805" i="8"/>
  <c r="N805" i="8"/>
  <c r="M805" i="8"/>
  <c r="B805" i="8"/>
  <c r="P804" i="8"/>
  <c r="O804" i="8"/>
  <c r="N804" i="8"/>
  <c r="M804" i="8"/>
  <c r="B804" i="8"/>
  <c r="P803" i="8"/>
  <c r="O803" i="8"/>
  <c r="N803" i="8"/>
  <c r="M803" i="8"/>
  <c r="B803" i="8"/>
  <c r="P802" i="8"/>
  <c r="O802" i="8"/>
  <c r="N802" i="8"/>
  <c r="M802" i="8"/>
  <c r="B802" i="8"/>
  <c r="P801" i="8"/>
  <c r="O801" i="8"/>
  <c r="N801" i="8"/>
  <c r="M801" i="8"/>
  <c r="B801" i="8"/>
  <c r="P800" i="8"/>
  <c r="O800" i="8"/>
  <c r="N800" i="8"/>
  <c r="M800" i="8"/>
  <c r="B800" i="8"/>
  <c r="P799" i="8"/>
  <c r="O799" i="8"/>
  <c r="N799" i="8"/>
  <c r="M799" i="8"/>
  <c r="B799" i="8"/>
  <c r="P798" i="8"/>
  <c r="O798" i="8"/>
  <c r="N798" i="8"/>
  <c r="M798" i="8"/>
  <c r="B798" i="8"/>
  <c r="P797" i="8"/>
  <c r="O797" i="8"/>
  <c r="N797" i="8"/>
  <c r="M797" i="8"/>
  <c r="B797" i="8"/>
  <c r="P796" i="8"/>
  <c r="O796" i="8"/>
  <c r="N796" i="8"/>
  <c r="M796" i="8"/>
  <c r="B796" i="8"/>
  <c r="P795" i="8"/>
  <c r="O795" i="8"/>
  <c r="N795" i="8"/>
  <c r="M795" i="8"/>
  <c r="B795" i="8"/>
  <c r="P794" i="8"/>
  <c r="O794" i="8"/>
  <c r="N794" i="8"/>
  <c r="M794" i="8"/>
  <c r="B794" i="8"/>
  <c r="P793" i="8"/>
  <c r="O793" i="8"/>
  <c r="N793" i="8"/>
  <c r="M793" i="8"/>
  <c r="B793" i="8"/>
  <c r="P792" i="8"/>
  <c r="O792" i="8"/>
  <c r="N792" i="8"/>
  <c r="M792" i="8"/>
  <c r="B792" i="8"/>
  <c r="P791" i="8"/>
  <c r="O791" i="8"/>
  <c r="N791" i="8"/>
  <c r="M791" i="8"/>
  <c r="B791" i="8"/>
  <c r="P790" i="8"/>
  <c r="O790" i="8"/>
  <c r="N790" i="8"/>
  <c r="M790" i="8"/>
  <c r="B790" i="8"/>
  <c r="P789" i="8"/>
  <c r="O789" i="8"/>
  <c r="N789" i="8"/>
  <c r="M789" i="8"/>
  <c r="B789" i="8"/>
  <c r="P788" i="8"/>
  <c r="O788" i="8"/>
  <c r="N788" i="8"/>
  <c r="M788" i="8"/>
  <c r="B788" i="8"/>
  <c r="P787" i="8"/>
  <c r="O787" i="8"/>
  <c r="N787" i="8"/>
  <c r="M787" i="8"/>
  <c r="B787" i="8"/>
  <c r="P786" i="8"/>
  <c r="O786" i="8"/>
  <c r="N786" i="8"/>
  <c r="M786" i="8"/>
  <c r="B786" i="8"/>
  <c r="P785" i="8"/>
  <c r="O785" i="8"/>
  <c r="N785" i="8"/>
  <c r="M785" i="8"/>
  <c r="B785" i="8"/>
  <c r="P784" i="8"/>
  <c r="O784" i="8"/>
  <c r="N784" i="8"/>
  <c r="M784" i="8"/>
  <c r="B784" i="8"/>
  <c r="P783" i="8"/>
  <c r="O783" i="8"/>
  <c r="N783" i="8"/>
  <c r="M783" i="8"/>
  <c r="B783" i="8"/>
  <c r="P782" i="8"/>
  <c r="O782" i="8"/>
  <c r="N782" i="8"/>
  <c r="M782" i="8"/>
  <c r="B782" i="8"/>
  <c r="P781" i="8"/>
  <c r="O781" i="8"/>
  <c r="N781" i="8"/>
  <c r="M781" i="8"/>
  <c r="B781" i="8"/>
  <c r="P780" i="8"/>
  <c r="O780" i="8"/>
  <c r="N780" i="8"/>
  <c r="M780" i="8"/>
  <c r="B780" i="8"/>
  <c r="P779" i="8"/>
  <c r="O779" i="8"/>
  <c r="N779" i="8"/>
  <c r="M779" i="8"/>
  <c r="B779" i="8"/>
  <c r="P778" i="8"/>
  <c r="O778" i="8"/>
  <c r="N778" i="8"/>
  <c r="M778" i="8"/>
  <c r="B778" i="8"/>
  <c r="P777" i="8"/>
  <c r="O777" i="8"/>
  <c r="N777" i="8"/>
  <c r="M777" i="8"/>
  <c r="B777" i="8"/>
  <c r="P776" i="8"/>
  <c r="O776" i="8"/>
  <c r="N776" i="8"/>
  <c r="M776" i="8"/>
  <c r="B776" i="8"/>
  <c r="P775" i="8"/>
  <c r="O775" i="8"/>
  <c r="N775" i="8"/>
  <c r="M775" i="8"/>
  <c r="B775" i="8"/>
  <c r="P774" i="8"/>
  <c r="O774" i="8"/>
  <c r="N774" i="8"/>
  <c r="M774" i="8"/>
  <c r="B774" i="8"/>
  <c r="P773" i="8"/>
  <c r="O773" i="8"/>
  <c r="N773" i="8"/>
  <c r="M773" i="8"/>
  <c r="B773" i="8"/>
  <c r="P772" i="8"/>
  <c r="O772" i="8"/>
  <c r="N772" i="8"/>
  <c r="M772" i="8"/>
  <c r="B772" i="8"/>
  <c r="P771" i="8"/>
  <c r="O771" i="8"/>
  <c r="N771" i="8"/>
  <c r="M771" i="8"/>
  <c r="B771" i="8"/>
  <c r="P770" i="8"/>
  <c r="O770" i="8"/>
  <c r="N770" i="8"/>
  <c r="M770" i="8"/>
  <c r="B770" i="8"/>
  <c r="P769" i="8"/>
  <c r="O769" i="8"/>
  <c r="N769" i="8"/>
  <c r="M769" i="8"/>
  <c r="B769" i="8"/>
  <c r="P768" i="8"/>
  <c r="O768" i="8"/>
  <c r="N768" i="8"/>
  <c r="M768" i="8"/>
  <c r="B768" i="8"/>
  <c r="P767" i="8"/>
  <c r="O767" i="8"/>
  <c r="N767" i="8"/>
  <c r="M767" i="8"/>
  <c r="B767" i="8"/>
  <c r="P766" i="8"/>
  <c r="O766" i="8"/>
  <c r="N766" i="8"/>
  <c r="M766" i="8"/>
  <c r="B766" i="8"/>
  <c r="P765" i="8"/>
  <c r="O765" i="8"/>
  <c r="N765" i="8"/>
  <c r="M765" i="8"/>
  <c r="B765" i="8"/>
  <c r="P764" i="8"/>
  <c r="O764" i="8"/>
  <c r="N764" i="8"/>
  <c r="M764" i="8"/>
  <c r="B764" i="8"/>
  <c r="P763" i="8"/>
  <c r="O763" i="8"/>
  <c r="N763" i="8"/>
  <c r="M763" i="8"/>
  <c r="B763" i="8"/>
  <c r="P762" i="8"/>
  <c r="O762" i="8"/>
  <c r="N762" i="8"/>
  <c r="M762" i="8"/>
  <c r="B762" i="8"/>
  <c r="P761" i="8"/>
  <c r="O761" i="8"/>
  <c r="N761" i="8"/>
  <c r="M761" i="8"/>
  <c r="B761" i="8"/>
  <c r="P760" i="8"/>
  <c r="O760" i="8"/>
  <c r="N760" i="8"/>
  <c r="M760" i="8"/>
  <c r="B760" i="8"/>
  <c r="P759" i="8"/>
  <c r="O759" i="8"/>
  <c r="N759" i="8"/>
  <c r="M759" i="8"/>
  <c r="B759" i="8"/>
  <c r="P758" i="8"/>
  <c r="O758" i="8"/>
  <c r="N758" i="8"/>
  <c r="M758" i="8"/>
  <c r="B758" i="8"/>
  <c r="P757" i="8"/>
  <c r="O757" i="8"/>
  <c r="N757" i="8"/>
  <c r="M757" i="8"/>
  <c r="B757" i="8"/>
  <c r="P756" i="8"/>
  <c r="O756" i="8"/>
  <c r="N756" i="8"/>
  <c r="M756" i="8"/>
  <c r="B756" i="8"/>
  <c r="P755" i="8"/>
  <c r="O755" i="8"/>
  <c r="N755" i="8"/>
  <c r="M755" i="8"/>
  <c r="B755" i="8"/>
  <c r="P754" i="8"/>
  <c r="O754" i="8"/>
  <c r="N754" i="8"/>
  <c r="M754" i="8"/>
  <c r="B754" i="8"/>
  <c r="P753" i="8"/>
  <c r="O753" i="8"/>
  <c r="N753" i="8"/>
  <c r="M753" i="8"/>
  <c r="B753" i="8"/>
  <c r="P752" i="8"/>
  <c r="O752" i="8"/>
  <c r="N752" i="8"/>
  <c r="M752" i="8"/>
  <c r="B752" i="8"/>
  <c r="P751" i="8"/>
  <c r="O751" i="8"/>
  <c r="N751" i="8"/>
  <c r="M751" i="8"/>
  <c r="B751" i="8"/>
  <c r="P750" i="8"/>
  <c r="O750" i="8"/>
  <c r="N750" i="8"/>
  <c r="M750" i="8"/>
  <c r="B750" i="8"/>
  <c r="P749" i="8"/>
  <c r="O749" i="8"/>
  <c r="N749" i="8"/>
  <c r="M749" i="8"/>
  <c r="B749" i="8"/>
  <c r="P748" i="8"/>
  <c r="O748" i="8"/>
  <c r="N748" i="8"/>
  <c r="M748" i="8"/>
  <c r="B748" i="8"/>
  <c r="P747" i="8"/>
  <c r="O747" i="8"/>
  <c r="N747" i="8"/>
  <c r="M747" i="8"/>
  <c r="B747" i="8"/>
  <c r="P746" i="8"/>
  <c r="O746" i="8"/>
  <c r="N746" i="8"/>
  <c r="M746" i="8"/>
  <c r="B746" i="8"/>
  <c r="P745" i="8"/>
  <c r="O745" i="8"/>
  <c r="N745" i="8"/>
  <c r="M745" i="8"/>
  <c r="B745" i="8"/>
  <c r="P744" i="8"/>
  <c r="O744" i="8"/>
  <c r="N744" i="8"/>
  <c r="M744" i="8"/>
  <c r="B744" i="8"/>
  <c r="P743" i="8"/>
  <c r="O743" i="8"/>
  <c r="N743" i="8"/>
  <c r="M743" i="8"/>
  <c r="B743" i="8"/>
  <c r="P742" i="8"/>
  <c r="O742" i="8"/>
  <c r="N742" i="8"/>
  <c r="M742" i="8"/>
  <c r="B742" i="8"/>
  <c r="P741" i="8"/>
  <c r="O741" i="8"/>
  <c r="N741" i="8"/>
  <c r="M741" i="8"/>
  <c r="B741" i="8"/>
  <c r="P740" i="8"/>
  <c r="O740" i="8"/>
  <c r="N740" i="8"/>
  <c r="M740" i="8"/>
  <c r="B740" i="8"/>
  <c r="P739" i="8"/>
  <c r="O739" i="8"/>
  <c r="N739" i="8"/>
  <c r="M739" i="8"/>
  <c r="B739" i="8"/>
  <c r="P738" i="8"/>
  <c r="O738" i="8"/>
  <c r="N738" i="8"/>
  <c r="M738" i="8"/>
  <c r="B738" i="8"/>
  <c r="P737" i="8"/>
  <c r="O737" i="8"/>
  <c r="N737" i="8"/>
  <c r="M737" i="8"/>
  <c r="B737" i="8"/>
  <c r="P736" i="8"/>
  <c r="O736" i="8"/>
  <c r="N736" i="8"/>
  <c r="M736" i="8"/>
  <c r="B736" i="8"/>
  <c r="P735" i="8"/>
  <c r="O735" i="8"/>
  <c r="N735" i="8"/>
  <c r="M735" i="8"/>
  <c r="B735" i="8"/>
  <c r="P734" i="8"/>
  <c r="O734" i="8"/>
  <c r="N734" i="8"/>
  <c r="M734" i="8"/>
  <c r="B734" i="8"/>
  <c r="P733" i="8"/>
  <c r="O733" i="8"/>
  <c r="N733" i="8"/>
  <c r="M733" i="8"/>
  <c r="B733" i="8"/>
  <c r="P732" i="8"/>
  <c r="O732" i="8"/>
  <c r="N732" i="8"/>
  <c r="M732" i="8"/>
  <c r="B732" i="8"/>
  <c r="P731" i="8"/>
  <c r="O731" i="8"/>
  <c r="N731" i="8"/>
  <c r="M731" i="8"/>
  <c r="B731" i="8"/>
  <c r="P730" i="8"/>
  <c r="O730" i="8"/>
  <c r="N730" i="8"/>
  <c r="M730" i="8"/>
  <c r="B730" i="8"/>
  <c r="P729" i="8"/>
  <c r="O729" i="8"/>
  <c r="N729" i="8"/>
  <c r="M729" i="8"/>
  <c r="B729" i="8"/>
  <c r="P728" i="8"/>
  <c r="O728" i="8"/>
  <c r="N728" i="8"/>
  <c r="M728" i="8"/>
  <c r="B728" i="8"/>
  <c r="P727" i="8"/>
  <c r="O727" i="8"/>
  <c r="N727" i="8"/>
  <c r="M727" i="8"/>
  <c r="B727" i="8"/>
  <c r="P726" i="8"/>
  <c r="O726" i="8"/>
  <c r="N726" i="8"/>
  <c r="M726" i="8"/>
  <c r="B726" i="8"/>
  <c r="P725" i="8"/>
  <c r="O725" i="8"/>
  <c r="N725" i="8"/>
  <c r="M725" i="8"/>
  <c r="B725" i="8"/>
  <c r="P724" i="8"/>
  <c r="O724" i="8"/>
  <c r="N724" i="8"/>
  <c r="M724" i="8"/>
  <c r="B724" i="8"/>
  <c r="P723" i="8"/>
  <c r="O723" i="8"/>
  <c r="N723" i="8"/>
  <c r="M723" i="8"/>
  <c r="B723" i="8"/>
  <c r="P722" i="8"/>
  <c r="O722" i="8"/>
  <c r="N722" i="8"/>
  <c r="M722" i="8"/>
  <c r="B722" i="8"/>
  <c r="P721" i="8"/>
  <c r="O721" i="8"/>
  <c r="N721" i="8"/>
  <c r="M721" i="8"/>
  <c r="B721" i="8"/>
  <c r="P720" i="8"/>
  <c r="O720" i="8"/>
  <c r="N720" i="8"/>
  <c r="M720" i="8"/>
  <c r="B720" i="8"/>
  <c r="P719" i="8"/>
  <c r="O719" i="8"/>
  <c r="N719" i="8"/>
  <c r="M719" i="8"/>
  <c r="B719" i="8"/>
  <c r="P718" i="8"/>
  <c r="O718" i="8"/>
  <c r="N718" i="8"/>
  <c r="M718" i="8"/>
  <c r="B718" i="8"/>
  <c r="P717" i="8"/>
  <c r="O717" i="8"/>
  <c r="N717" i="8"/>
  <c r="M717" i="8"/>
  <c r="B717" i="8"/>
  <c r="P716" i="8"/>
  <c r="O716" i="8"/>
  <c r="N716" i="8"/>
  <c r="M716" i="8"/>
  <c r="B716" i="8"/>
  <c r="P715" i="8"/>
  <c r="O715" i="8"/>
  <c r="N715" i="8"/>
  <c r="M715" i="8"/>
  <c r="B715" i="8"/>
  <c r="P714" i="8"/>
  <c r="O714" i="8"/>
  <c r="N714" i="8"/>
  <c r="M714" i="8"/>
  <c r="B714" i="8"/>
  <c r="P713" i="8"/>
  <c r="O713" i="8"/>
  <c r="N713" i="8"/>
  <c r="M713" i="8"/>
  <c r="B713" i="8"/>
  <c r="P712" i="8"/>
  <c r="O712" i="8"/>
  <c r="N712" i="8"/>
  <c r="M712" i="8"/>
  <c r="B712" i="8"/>
  <c r="P711" i="8"/>
  <c r="O711" i="8"/>
  <c r="N711" i="8"/>
  <c r="M711" i="8"/>
  <c r="B711" i="8"/>
  <c r="P710" i="8"/>
  <c r="O710" i="8"/>
  <c r="N710" i="8"/>
  <c r="M710" i="8"/>
  <c r="B710" i="8"/>
  <c r="P709" i="8"/>
  <c r="O709" i="8"/>
  <c r="N709" i="8"/>
  <c r="M709" i="8"/>
  <c r="B709" i="8"/>
  <c r="P708" i="8"/>
  <c r="O708" i="8"/>
  <c r="N708" i="8"/>
  <c r="M708" i="8"/>
  <c r="B708" i="8"/>
  <c r="P707" i="8"/>
  <c r="O707" i="8"/>
  <c r="N707" i="8"/>
  <c r="M707" i="8"/>
  <c r="B707" i="8"/>
  <c r="P706" i="8"/>
  <c r="O706" i="8"/>
  <c r="N706" i="8"/>
  <c r="M706" i="8"/>
  <c r="B706" i="8"/>
  <c r="P705" i="8"/>
  <c r="O705" i="8"/>
  <c r="N705" i="8"/>
  <c r="M705" i="8"/>
  <c r="B705" i="8"/>
  <c r="P704" i="8"/>
  <c r="O704" i="8"/>
  <c r="N704" i="8"/>
  <c r="M704" i="8"/>
  <c r="B704" i="8"/>
  <c r="P703" i="8"/>
  <c r="O703" i="8"/>
  <c r="N703" i="8"/>
  <c r="M703" i="8"/>
  <c r="B703" i="8"/>
  <c r="P702" i="8"/>
  <c r="O702" i="8"/>
  <c r="N702" i="8"/>
  <c r="M702" i="8"/>
  <c r="B702" i="8"/>
  <c r="P701" i="8"/>
  <c r="O701" i="8"/>
  <c r="N701" i="8"/>
  <c r="M701" i="8"/>
  <c r="B701" i="8"/>
  <c r="P700" i="8"/>
  <c r="O700" i="8"/>
  <c r="N700" i="8"/>
  <c r="M700" i="8"/>
  <c r="B700" i="8"/>
  <c r="P699" i="8"/>
  <c r="O699" i="8"/>
  <c r="N699" i="8"/>
  <c r="M699" i="8"/>
  <c r="B699" i="8"/>
  <c r="P698" i="8"/>
  <c r="O698" i="8"/>
  <c r="N698" i="8"/>
  <c r="M698" i="8"/>
  <c r="B698" i="8"/>
  <c r="P697" i="8"/>
  <c r="O697" i="8"/>
  <c r="N697" i="8"/>
  <c r="M697" i="8"/>
  <c r="B697" i="8"/>
  <c r="P696" i="8"/>
  <c r="O696" i="8"/>
  <c r="N696" i="8"/>
  <c r="M696" i="8"/>
  <c r="B696" i="8"/>
  <c r="P695" i="8"/>
  <c r="O695" i="8"/>
  <c r="N695" i="8"/>
  <c r="M695" i="8"/>
  <c r="B695" i="8"/>
  <c r="P694" i="8"/>
  <c r="O694" i="8"/>
  <c r="N694" i="8"/>
  <c r="M694" i="8"/>
  <c r="B694" i="8"/>
  <c r="P693" i="8"/>
  <c r="O693" i="8"/>
  <c r="N693" i="8"/>
  <c r="M693" i="8"/>
  <c r="B693" i="8"/>
  <c r="P692" i="8"/>
  <c r="O692" i="8"/>
  <c r="N692" i="8"/>
  <c r="M692" i="8"/>
  <c r="B692" i="8"/>
  <c r="P691" i="8"/>
  <c r="O691" i="8"/>
  <c r="N691" i="8"/>
  <c r="M691" i="8"/>
  <c r="B691" i="8"/>
  <c r="P690" i="8"/>
  <c r="O690" i="8"/>
  <c r="N690" i="8"/>
  <c r="M690" i="8"/>
  <c r="B690" i="8"/>
  <c r="P689" i="8"/>
  <c r="O689" i="8"/>
  <c r="N689" i="8"/>
  <c r="M689" i="8"/>
  <c r="B689" i="8"/>
  <c r="P688" i="8"/>
  <c r="O688" i="8"/>
  <c r="N688" i="8"/>
  <c r="M688" i="8"/>
  <c r="B688" i="8"/>
  <c r="P687" i="8"/>
  <c r="O687" i="8"/>
  <c r="N687" i="8"/>
  <c r="M687" i="8"/>
  <c r="B687" i="8"/>
  <c r="P686" i="8"/>
  <c r="O686" i="8"/>
  <c r="N686" i="8"/>
  <c r="M686" i="8"/>
  <c r="B686" i="8"/>
  <c r="P685" i="8"/>
  <c r="O685" i="8"/>
  <c r="N685" i="8"/>
  <c r="M685" i="8"/>
  <c r="B685" i="8"/>
  <c r="P684" i="8"/>
  <c r="O684" i="8"/>
  <c r="N684" i="8"/>
  <c r="M684" i="8"/>
  <c r="B684" i="8"/>
  <c r="P683" i="8"/>
  <c r="O683" i="8"/>
  <c r="N683" i="8"/>
  <c r="M683" i="8"/>
  <c r="B683" i="8"/>
  <c r="P682" i="8"/>
  <c r="O682" i="8"/>
  <c r="N682" i="8"/>
  <c r="M682" i="8"/>
  <c r="B682" i="8"/>
  <c r="P681" i="8"/>
  <c r="O681" i="8"/>
  <c r="N681" i="8"/>
  <c r="M681" i="8"/>
  <c r="B681" i="8"/>
  <c r="P680" i="8"/>
  <c r="O680" i="8"/>
  <c r="N680" i="8"/>
  <c r="M680" i="8"/>
  <c r="B680" i="8"/>
  <c r="P679" i="8"/>
  <c r="O679" i="8"/>
  <c r="N679" i="8"/>
  <c r="M679" i="8"/>
  <c r="B679" i="8"/>
  <c r="P678" i="8"/>
  <c r="O678" i="8"/>
  <c r="N678" i="8"/>
  <c r="M678" i="8"/>
  <c r="B678" i="8"/>
  <c r="P677" i="8"/>
  <c r="O677" i="8"/>
  <c r="N677" i="8"/>
  <c r="M677" i="8"/>
  <c r="B677" i="8"/>
  <c r="P676" i="8"/>
  <c r="O676" i="8"/>
  <c r="N676" i="8"/>
  <c r="M676" i="8"/>
  <c r="B676" i="8"/>
  <c r="P675" i="8"/>
  <c r="O675" i="8"/>
  <c r="N675" i="8"/>
  <c r="M675" i="8"/>
  <c r="B675" i="8"/>
  <c r="P674" i="8"/>
  <c r="O674" i="8"/>
  <c r="N674" i="8"/>
  <c r="M674" i="8"/>
  <c r="B674" i="8"/>
  <c r="P673" i="8"/>
  <c r="O673" i="8"/>
  <c r="N673" i="8"/>
  <c r="M673" i="8"/>
  <c r="B673" i="8"/>
  <c r="P672" i="8"/>
  <c r="O672" i="8"/>
  <c r="N672" i="8"/>
  <c r="M672" i="8"/>
  <c r="B672" i="8"/>
  <c r="P671" i="8"/>
  <c r="O671" i="8"/>
  <c r="N671" i="8"/>
  <c r="M671" i="8"/>
  <c r="B671" i="8"/>
  <c r="P670" i="8"/>
  <c r="O670" i="8"/>
  <c r="N670" i="8"/>
  <c r="M670" i="8"/>
  <c r="B670" i="8"/>
  <c r="P669" i="8"/>
  <c r="O669" i="8"/>
  <c r="N669" i="8"/>
  <c r="M669" i="8"/>
  <c r="B669" i="8"/>
  <c r="P668" i="8"/>
  <c r="O668" i="8"/>
  <c r="N668" i="8"/>
  <c r="M668" i="8"/>
  <c r="B668" i="8"/>
  <c r="P667" i="8"/>
  <c r="O667" i="8"/>
  <c r="N667" i="8"/>
  <c r="M667" i="8"/>
  <c r="B667" i="8"/>
  <c r="P666" i="8"/>
  <c r="O666" i="8"/>
  <c r="N666" i="8"/>
  <c r="M666" i="8"/>
  <c r="B666" i="8"/>
  <c r="P665" i="8"/>
  <c r="O665" i="8"/>
  <c r="N665" i="8"/>
  <c r="M665" i="8"/>
  <c r="B665" i="8"/>
  <c r="P664" i="8"/>
  <c r="O664" i="8"/>
  <c r="N664" i="8"/>
  <c r="M664" i="8"/>
  <c r="B664" i="8"/>
  <c r="P663" i="8"/>
  <c r="O663" i="8"/>
  <c r="N663" i="8"/>
  <c r="M663" i="8"/>
  <c r="B663" i="8"/>
  <c r="P662" i="8"/>
  <c r="O662" i="8"/>
  <c r="N662" i="8"/>
  <c r="M662" i="8"/>
  <c r="B662" i="8"/>
  <c r="P661" i="8"/>
  <c r="O661" i="8"/>
  <c r="N661" i="8"/>
  <c r="M661" i="8"/>
  <c r="B661" i="8"/>
  <c r="P660" i="8"/>
  <c r="O660" i="8"/>
  <c r="N660" i="8"/>
  <c r="M660" i="8"/>
  <c r="B660" i="8"/>
  <c r="P659" i="8"/>
  <c r="O659" i="8"/>
  <c r="N659" i="8"/>
  <c r="M659" i="8"/>
  <c r="B659" i="8"/>
  <c r="P658" i="8"/>
  <c r="O658" i="8"/>
  <c r="N658" i="8"/>
  <c r="M658" i="8"/>
  <c r="B658" i="8"/>
  <c r="P657" i="8"/>
  <c r="O657" i="8"/>
  <c r="N657" i="8"/>
  <c r="M657" i="8"/>
  <c r="B657" i="8"/>
  <c r="P656" i="8"/>
  <c r="O656" i="8"/>
  <c r="N656" i="8"/>
  <c r="M656" i="8"/>
  <c r="B656" i="8"/>
  <c r="P655" i="8"/>
  <c r="O655" i="8"/>
  <c r="N655" i="8"/>
  <c r="M655" i="8"/>
  <c r="B655" i="8"/>
  <c r="P654" i="8"/>
  <c r="O654" i="8"/>
  <c r="N654" i="8"/>
  <c r="M654" i="8"/>
  <c r="B654" i="8"/>
  <c r="P653" i="8"/>
  <c r="O653" i="8"/>
  <c r="N653" i="8"/>
  <c r="M653" i="8"/>
  <c r="B653" i="8"/>
  <c r="P652" i="8"/>
  <c r="O652" i="8"/>
  <c r="N652" i="8"/>
  <c r="M652" i="8"/>
  <c r="B652" i="8"/>
  <c r="P651" i="8"/>
  <c r="O651" i="8"/>
  <c r="N651" i="8"/>
  <c r="M651" i="8"/>
  <c r="B651" i="8"/>
  <c r="P650" i="8"/>
  <c r="O650" i="8"/>
  <c r="N650" i="8"/>
  <c r="M650" i="8"/>
  <c r="B650" i="8"/>
  <c r="P649" i="8"/>
  <c r="O649" i="8"/>
  <c r="N649" i="8"/>
  <c r="M649" i="8"/>
  <c r="B649" i="8"/>
  <c r="P648" i="8"/>
  <c r="O648" i="8"/>
  <c r="N648" i="8"/>
  <c r="M648" i="8"/>
  <c r="B648" i="8"/>
  <c r="P647" i="8"/>
  <c r="O647" i="8"/>
  <c r="N647" i="8"/>
  <c r="M647" i="8"/>
  <c r="B647" i="8"/>
  <c r="P646" i="8"/>
  <c r="O646" i="8"/>
  <c r="N646" i="8"/>
  <c r="M646" i="8"/>
  <c r="B646" i="8"/>
  <c r="P645" i="8"/>
  <c r="O645" i="8"/>
  <c r="N645" i="8"/>
  <c r="M645" i="8"/>
  <c r="B645" i="8"/>
  <c r="P644" i="8"/>
  <c r="O644" i="8"/>
  <c r="N644" i="8"/>
  <c r="M644" i="8"/>
  <c r="B644" i="8"/>
  <c r="P643" i="8"/>
  <c r="O643" i="8"/>
  <c r="N643" i="8"/>
  <c r="M643" i="8"/>
  <c r="B643" i="8"/>
  <c r="P642" i="8"/>
  <c r="O642" i="8"/>
  <c r="N642" i="8"/>
  <c r="M642" i="8"/>
  <c r="B642" i="8"/>
  <c r="P641" i="8"/>
  <c r="O641" i="8"/>
  <c r="N641" i="8"/>
  <c r="M641" i="8"/>
  <c r="B641" i="8"/>
  <c r="P640" i="8"/>
  <c r="O640" i="8"/>
  <c r="N640" i="8"/>
  <c r="M640" i="8"/>
  <c r="B640" i="8"/>
  <c r="P639" i="8"/>
  <c r="O639" i="8"/>
  <c r="N639" i="8"/>
  <c r="M639" i="8"/>
  <c r="B639" i="8"/>
  <c r="P638" i="8"/>
  <c r="O638" i="8"/>
  <c r="N638" i="8"/>
  <c r="M638" i="8"/>
  <c r="B638" i="8"/>
  <c r="P637" i="8"/>
  <c r="O637" i="8"/>
  <c r="N637" i="8"/>
  <c r="M637" i="8"/>
  <c r="B637" i="8"/>
  <c r="P636" i="8"/>
  <c r="O636" i="8"/>
  <c r="N636" i="8"/>
  <c r="M636" i="8"/>
  <c r="B636" i="8"/>
  <c r="P635" i="8"/>
  <c r="O635" i="8"/>
  <c r="N635" i="8"/>
  <c r="M635" i="8"/>
  <c r="B635" i="8"/>
  <c r="P634" i="8"/>
  <c r="O634" i="8"/>
  <c r="N634" i="8"/>
  <c r="M634" i="8"/>
  <c r="B634" i="8"/>
  <c r="P633" i="8"/>
  <c r="O633" i="8"/>
  <c r="N633" i="8"/>
  <c r="M633" i="8"/>
  <c r="B633" i="8"/>
  <c r="P632" i="8"/>
  <c r="O632" i="8"/>
  <c r="N632" i="8"/>
  <c r="M632" i="8"/>
  <c r="B632" i="8"/>
  <c r="P631" i="8"/>
  <c r="O631" i="8"/>
  <c r="N631" i="8"/>
  <c r="M631" i="8"/>
  <c r="B631" i="8"/>
  <c r="P630" i="8"/>
  <c r="O630" i="8"/>
  <c r="N630" i="8"/>
  <c r="M630" i="8"/>
  <c r="B630" i="8"/>
  <c r="P629" i="8"/>
  <c r="O629" i="8"/>
  <c r="N629" i="8"/>
  <c r="M629" i="8"/>
  <c r="B629" i="8"/>
  <c r="P628" i="8"/>
  <c r="O628" i="8"/>
  <c r="N628" i="8"/>
  <c r="M628" i="8"/>
  <c r="B628" i="8"/>
  <c r="P627" i="8"/>
  <c r="O627" i="8"/>
  <c r="N627" i="8"/>
  <c r="M627" i="8"/>
  <c r="B627" i="8"/>
  <c r="P626" i="8"/>
  <c r="O626" i="8"/>
  <c r="N626" i="8"/>
  <c r="M626" i="8"/>
  <c r="B626" i="8"/>
  <c r="P625" i="8"/>
  <c r="O625" i="8"/>
  <c r="N625" i="8"/>
  <c r="M625" i="8"/>
  <c r="B625" i="8"/>
  <c r="P624" i="8"/>
  <c r="O624" i="8"/>
  <c r="N624" i="8"/>
  <c r="M624" i="8"/>
  <c r="B624" i="8"/>
  <c r="P623" i="8"/>
  <c r="O623" i="8"/>
  <c r="N623" i="8"/>
  <c r="M623" i="8"/>
  <c r="B623" i="8"/>
  <c r="P622" i="8"/>
  <c r="O622" i="8"/>
  <c r="N622" i="8"/>
  <c r="M622" i="8"/>
  <c r="B622" i="8"/>
  <c r="P621" i="8"/>
  <c r="O621" i="8"/>
  <c r="N621" i="8"/>
  <c r="M621" i="8"/>
  <c r="B621" i="8"/>
  <c r="P620" i="8"/>
  <c r="O620" i="8"/>
  <c r="N620" i="8"/>
  <c r="M620" i="8"/>
  <c r="B620" i="8"/>
  <c r="P619" i="8"/>
  <c r="O619" i="8"/>
  <c r="N619" i="8"/>
  <c r="M619" i="8"/>
  <c r="B619" i="8"/>
  <c r="P618" i="8"/>
  <c r="O618" i="8"/>
  <c r="N618" i="8"/>
  <c r="M618" i="8"/>
  <c r="B618" i="8"/>
  <c r="P617" i="8"/>
  <c r="O617" i="8"/>
  <c r="N617" i="8"/>
  <c r="M617" i="8"/>
  <c r="B617" i="8"/>
  <c r="P616" i="8"/>
  <c r="O616" i="8"/>
  <c r="N616" i="8"/>
  <c r="M616" i="8"/>
  <c r="B616" i="8"/>
  <c r="P615" i="8"/>
  <c r="O615" i="8"/>
  <c r="N615" i="8"/>
  <c r="M615" i="8"/>
  <c r="B615" i="8"/>
  <c r="P614" i="8"/>
  <c r="O614" i="8"/>
  <c r="N614" i="8"/>
  <c r="M614" i="8"/>
  <c r="B614" i="8"/>
  <c r="P613" i="8"/>
  <c r="O613" i="8"/>
  <c r="N613" i="8"/>
  <c r="M613" i="8"/>
  <c r="B613" i="8"/>
  <c r="P612" i="8"/>
  <c r="O612" i="8"/>
  <c r="N612" i="8"/>
  <c r="M612" i="8"/>
  <c r="B612" i="8"/>
  <c r="P611" i="8"/>
  <c r="O611" i="8"/>
  <c r="N611" i="8"/>
  <c r="M611" i="8"/>
  <c r="B611" i="8"/>
  <c r="P610" i="8"/>
  <c r="O610" i="8"/>
  <c r="N610" i="8"/>
  <c r="M610" i="8"/>
  <c r="B610" i="8"/>
  <c r="P609" i="8"/>
  <c r="O609" i="8"/>
  <c r="N609" i="8"/>
  <c r="M609" i="8"/>
  <c r="B609" i="8"/>
  <c r="P608" i="8"/>
  <c r="O608" i="8"/>
  <c r="N608" i="8"/>
  <c r="M608" i="8"/>
  <c r="B608" i="8"/>
  <c r="P607" i="8"/>
  <c r="O607" i="8"/>
  <c r="N607" i="8"/>
  <c r="M607" i="8"/>
  <c r="B607" i="8"/>
  <c r="P606" i="8"/>
  <c r="O606" i="8"/>
  <c r="N606" i="8"/>
  <c r="M606" i="8"/>
  <c r="B606" i="8"/>
  <c r="P605" i="8"/>
  <c r="O605" i="8"/>
  <c r="N605" i="8"/>
  <c r="M605" i="8"/>
  <c r="B605" i="8"/>
  <c r="P604" i="8"/>
  <c r="O604" i="8"/>
  <c r="N604" i="8"/>
  <c r="M604" i="8"/>
  <c r="B604" i="8"/>
  <c r="P603" i="8"/>
  <c r="O603" i="8"/>
  <c r="N603" i="8"/>
  <c r="M603" i="8"/>
  <c r="B603" i="8"/>
  <c r="P602" i="8"/>
  <c r="O602" i="8"/>
  <c r="N602" i="8"/>
  <c r="M602" i="8"/>
  <c r="B602" i="8"/>
  <c r="P601" i="8"/>
  <c r="O601" i="8"/>
  <c r="N601" i="8"/>
  <c r="M601" i="8"/>
  <c r="B601" i="8"/>
  <c r="P600" i="8"/>
  <c r="O600" i="8"/>
  <c r="N600" i="8"/>
  <c r="M600" i="8"/>
  <c r="B600" i="8"/>
  <c r="P599" i="8"/>
  <c r="O599" i="8"/>
  <c r="N599" i="8"/>
  <c r="M599" i="8"/>
  <c r="B599" i="8"/>
  <c r="P598" i="8"/>
  <c r="O598" i="8"/>
  <c r="N598" i="8"/>
  <c r="M598" i="8"/>
  <c r="B598" i="8"/>
  <c r="P597" i="8"/>
  <c r="O597" i="8"/>
  <c r="N597" i="8"/>
  <c r="M597" i="8"/>
  <c r="B597" i="8"/>
  <c r="P596" i="8"/>
  <c r="O596" i="8"/>
  <c r="N596" i="8"/>
  <c r="M596" i="8"/>
  <c r="B596" i="8"/>
  <c r="P595" i="8"/>
  <c r="O595" i="8"/>
  <c r="N595" i="8"/>
  <c r="M595" i="8"/>
  <c r="B595" i="8"/>
  <c r="P594" i="8"/>
  <c r="O594" i="8"/>
  <c r="N594" i="8"/>
  <c r="M594" i="8"/>
  <c r="B594" i="8"/>
  <c r="P593" i="8"/>
  <c r="O593" i="8"/>
  <c r="N593" i="8"/>
  <c r="M593" i="8"/>
  <c r="B593" i="8"/>
  <c r="P592" i="8"/>
  <c r="O592" i="8"/>
  <c r="N592" i="8"/>
  <c r="M592" i="8"/>
  <c r="B592" i="8"/>
  <c r="P591" i="8"/>
  <c r="O591" i="8"/>
  <c r="N591" i="8"/>
  <c r="M591" i="8"/>
  <c r="B591" i="8"/>
  <c r="P590" i="8"/>
  <c r="O590" i="8"/>
  <c r="N590" i="8"/>
  <c r="M590" i="8"/>
  <c r="B590" i="8"/>
  <c r="P589" i="8"/>
  <c r="O589" i="8"/>
  <c r="N589" i="8"/>
  <c r="M589" i="8"/>
  <c r="B589" i="8"/>
  <c r="P588" i="8"/>
  <c r="O588" i="8"/>
  <c r="N588" i="8"/>
  <c r="M588" i="8"/>
  <c r="B588" i="8"/>
  <c r="P587" i="8"/>
  <c r="O587" i="8"/>
  <c r="N587" i="8"/>
  <c r="M587" i="8"/>
  <c r="B587" i="8"/>
  <c r="P586" i="8"/>
  <c r="O586" i="8"/>
  <c r="N586" i="8"/>
  <c r="M586" i="8"/>
  <c r="B586" i="8"/>
  <c r="P585" i="8"/>
  <c r="O585" i="8"/>
  <c r="N585" i="8"/>
  <c r="M585" i="8"/>
  <c r="B585" i="8"/>
  <c r="P584" i="8"/>
  <c r="O584" i="8"/>
  <c r="N584" i="8"/>
  <c r="M584" i="8"/>
  <c r="B584" i="8"/>
  <c r="P583" i="8"/>
  <c r="O583" i="8"/>
  <c r="N583" i="8"/>
  <c r="M583" i="8"/>
  <c r="B583" i="8"/>
  <c r="P582" i="8"/>
  <c r="O582" i="8"/>
  <c r="N582" i="8"/>
  <c r="M582" i="8"/>
  <c r="B582" i="8"/>
  <c r="P581" i="8"/>
  <c r="O581" i="8"/>
  <c r="N581" i="8"/>
  <c r="M581" i="8"/>
  <c r="B581" i="8"/>
  <c r="P580" i="8"/>
  <c r="O580" i="8"/>
  <c r="N580" i="8"/>
  <c r="M580" i="8"/>
  <c r="B580" i="8"/>
  <c r="P579" i="8"/>
  <c r="O579" i="8"/>
  <c r="N579" i="8"/>
  <c r="M579" i="8"/>
  <c r="B579" i="8"/>
  <c r="P578" i="8"/>
  <c r="O578" i="8"/>
  <c r="N578" i="8"/>
  <c r="M578" i="8"/>
  <c r="B578" i="8"/>
  <c r="P577" i="8"/>
  <c r="O577" i="8"/>
  <c r="N577" i="8"/>
  <c r="M577" i="8"/>
  <c r="B577" i="8"/>
  <c r="P576" i="8"/>
  <c r="O576" i="8"/>
  <c r="N576" i="8"/>
  <c r="M576" i="8"/>
  <c r="B576" i="8"/>
  <c r="P575" i="8"/>
  <c r="O575" i="8"/>
  <c r="N575" i="8"/>
  <c r="M575" i="8"/>
  <c r="B575" i="8"/>
  <c r="P574" i="8"/>
  <c r="O574" i="8"/>
  <c r="N574" i="8"/>
  <c r="M574" i="8"/>
  <c r="B574" i="8"/>
  <c r="P573" i="8"/>
  <c r="O573" i="8"/>
  <c r="N573" i="8"/>
  <c r="M573" i="8"/>
  <c r="B573" i="8"/>
  <c r="P572" i="8"/>
  <c r="O572" i="8"/>
  <c r="N572" i="8"/>
  <c r="M572" i="8"/>
  <c r="B572" i="8"/>
  <c r="P571" i="8"/>
  <c r="O571" i="8"/>
  <c r="N571" i="8"/>
  <c r="M571" i="8"/>
  <c r="B571" i="8"/>
  <c r="P570" i="8"/>
  <c r="O570" i="8"/>
  <c r="N570" i="8"/>
  <c r="M570" i="8"/>
  <c r="B570" i="8"/>
  <c r="P569" i="8"/>
  <c r="O569" i="8"/>
  <c r="N569" i="8"/>
  <c r="M569" i="8"/>
  <c r="B569" i="8"/>
  <c r="P568" i="8"/>
  <c r="O568" i="8"/>
  <c r="N568" i="8"/>
  <c r="M568" i="8"/>
  <c r="B568" i="8"/>
  <c r="P567" i="8"/>
  <c r="O567" i="8"/>
  <c r="N567" i="8"/>
  <c r="M567" i="8"/>
  <c r="B567" i="8"/>
  <c r="P566" i="8"/>
  <c r="O566" i="8"/>
  <c r="N566" i="8"/>
  <c r="M566" i="8"/>
  <c r="B566" i="8"/>
  <c r="P565" i="8"/>
  <c r="O565" i="8"/>
  <c r="N565" i="8"/>
  <c r="M565" i="8"/>
  <c r="B565" i="8"/>
  <c r="P564" i="8"/>
  <c r="O564" i="8"/>
  <c r="N564" i="8"/>
  <c r="M564" i="8"/>
  <c r="B564" i="8"/>
  <c r="P563" i="8"/>
  <c r="O563" i="8"/>
  <c r="N563" i="8"/>
  <c r="M563" i="8"/>
  <c r="B563" i="8"/>
  <c r="P562" i="8"/>
  <c r="O562" i="8"/>
  <c r="N562" i="8"/>
  <c r="M562" i="8"/>
  <c r="B562" i="8"/>
  <c r="P561" i="8"/>
  <c r="O561" i="8"/>
  <c r="N561" i="8"/>
  <c r="M561" i="8"/>
  <c r="B561" i="8"/>
  <c r="P560" i="8"/>
  <c r="O560" i="8"/>
  <c r="N560" i="8"/>
  <c r="M560" i="8"/>
  <c r="B560" i="8"/>
  <c r="P559" i="8"/>
  <c r="O559" i="8"/>
  <c r="N559" i="8"/>
  <c r="M559" i="8"/>
  <c r="B559" i="8"/>
  <c r="P558" i="8"/>
  <c r="O558" i="8"/>
  <c r="N558" i="8"/>
  <c r="M558" i="8"/>
  <c r="B558" i="8"/>
  <c r="P557" i="8"/>
  <c r="O557" i="8"/>
  <c r="N557" i="8"/>
  <c r="M557" i="8"/>
  <c r="B557" i="8"/>
  <c r="P556" i="8"/>
  <c r="O556" i="8"/>
  <c r="N556" i="8"/>
  <c r="M556" i="8"/>
  <c r="B556" i="8"/>
  <c r="P555" i="8"/>
  <c r="O555" i="8"/>
  <c r="N555" i="8"/>
  <c r="M555" i="8"/>
  <c r="B555" i="8"/>
  <c r="P554" i="8"/>
  <c r="O554" i="8"/>
  <c r="N554" i="8"/>
  <c r="M554" i="8"/>
  <c r="B554" i="8"/>
  <c r="P553" i="8"/>
  <c r="O553" i="8"/>
  <c r="N553" i="8"/>
  <c r="M553" i="8"/>
  <c r="B553" i="8"/>
  <c r="P552" i="8"/>
  <c r="O552" i="8"/>
  <c r="N552" i="8"/>
  <c r="M552" i="8"/>
  <c r="B552" i="8"/>
  <c r="P551" i="8"/>
  <c r="O551" i="8"/>
  <c r="N551" i="8"/>
  <c r="M551" i="8"/>
  <c r="B551" i="8"/>
  <c r="P550" i="8"/>
  <c r="O550" i="8"/>
  <c r="N550" i="8"/>
  <c r="M550" i="8"/>
  <c r="B550" i="8"/>
  <c r="P549" i="8"/>
  <c r="O549" i="8"/>
  <c r="N549" i="8"/>
  <c r="M549" i="8"/>
  <c r="B549" i="8"/>
  <c r="P548" i="8"/>
  <c r="O548" i="8"/>
  <c r="N548" i="8"/>
  <c r="M548" i="8"/>
  <c r="B548" i="8"/>
  <c r="P547" i="8"/>
  <c r="O547" i="8"/>
  <c r="N547" i="8"/>
  <c r="M547" i="8"/>
  <c r="B547" i="8"/>
  <c r="P546" i="8"/>
  <c r="O546" i="8"/>
  <c r="N546" i="8"/>
  <c r="M546" i="8"/>
  <c r="B546" i="8"/>
  <c r="P545" i="8"/>
  <c r="O545" i="8"/>
  <c r="N545" i="8"/>
  <c r="M545" i="8"/>
  <c r="B545" i="8"/>
  <c r="P544" i="8"/>
  <c r="O544" i="8"/>
  <c r="N544" i="8"/>
  <c r="M544" i="8"/>
  <c r="B544" i="8"/>
  <c r="P543" i="8"/>
  <c r="O543" i="8"/>
  <c r="N543" i="8"/>
  <c r="M543" i="8"/>
  <c r="B543" i="8"/>
  <c r="P542" i="8"/>
  <c r="O542" i="8"/>
  <c r="N542" i="8"/>
  <c r="M542" i="8"/>
  <c r="B542" i="8"/>
  <c r="P541" i="8"/>
  <c r="O541" i="8"/>
  <c r="N541" i="8"/>
  <c r="M541" i="8"/>
  <c r="B541" i="8"/>
  <c r="P540" i="8"/>
  <c r="O540" i="8"/>
  <c r="N540" i="8"/>
  <c r="M540" i="8"/>
  <c r="B540" i="8"/>
  <c r="P539" i="8"/>
  <c r="O539" i="8"/>
  <c r="N539" i="8"/>
  <c r="M539" i="8"/>
  <c r="B539" i="8"/>
  <c r="P538" i="8"/>
  <c r="O538" i="8"/>
  <c r="N538" i="8"/>
  <c r="M538" i="8"/>
  <c r="B538" i="8"/>
  <c r="P537" i="8"/>
  <c r="O537" i="8"/>
  <c r="N537" i="8"/>
  <c r="M537" i="8"/>
  <c r="B537" i="8"/>
  <c r="P536" i="8"/>
  <c r="O536" i="8"/>
  <c r="N536" i="8"/>
  <c r="M536" i="8"/>
  <c r="B536" i="8"/>
  <c r="P535" i="8"/>
  <c r="O535" i="8"/>
  <c r="N535" i="8"/>
  <c r="M535" i="8"/>
  <c r="B535" i="8"/>
  <c r="P534" i="8"/>
  <c r="O534" i="8"/>
  <c r="N534" i="8"/>
  <c r="M534" i="8"/>
  <c r="B534" i="8"/>
  <c r="P533" i="8"/>
  <c r="O533" i="8"/>
  <c r="N533" i="8"/>
  <c r="M533" i="8"/>
  <c r="B533" i="8"/>
  <c r="P532" i="8"/>
  <c r="O532" i="8"/>
  <c r="N532" i="8"/>
  <c r="M532" i="8"/>
  <c r="B532" i="8"/>
  <c r="P531" i="8"/>
  <c r="O531" i="8"/>
  <c r="N531" i="8"/>
  <c r="M531" i="8"/>
  <c r="B531" i="8"/>
  <c r="P530" i="8"/>
  <c r="O530" i="8"/>
  <c r="N530" i="8"/>
  <c r="M530" i="8"/>
  <c r="B530" i="8"/>
  <c r="P529" i="8"/>
  <c r="O529" i="8"/>
  <c r="N529" i="8"/>
  <c r="M529" i="8"/>
  <c r="B529" i="8"/>
  <c r="P528" i="8"/>
  <c r="O528" i="8"/>
  <c r="N528" i="8"/>
  <c r="M528" i="8"/>
  <c r="B528" i="8"/>
  <c r="P527" i="8"/>
  <c r="O527" i="8"/>
  <c r="N527" i="8"/>
  <c r="M527" i="8"/>
  <c r="B527" i="8"/>
  <c r="P526" i="8"/>
  <c r="O526" i="8"/>
  <c r="N526" i="8"/>
  <c r="M526" i="8"/>
  <c r="B526" i="8"/>
  <c r="P525" i="8"/>
  <c r="O525" i="8"/>
  <c r="N525" i="8"/>
  <c r="M525" i="8"/>
  <c r="B525" i="8"/>
  <c r="P524" i="8"/>
  <c r="O524" i="8"/>
  <c r="N524" i="8"/>
  <c r="M524" i="8"/>
  <c r="B524" i="8"/>
  <c r="P523" i="8"/>
  <c r="O523" i="8"/>
  <c r="N523" i="8"/>
  <c r="M523" i="8"/>
  <c r="B523" i="8"/>
  <c r="P522" i="8"/>
  <c r="O522" i="8"/>
  <c r="N522" i="8"/>
  <c r="M522" i="8"/>
  <c r="B522" i="8"/>
  <c r="P521" i="8"/>
  <c r="O521" i="8"/>
  <c r="N521" i="8"/>
  <c r="M521" i="8"/>
  <c r="B521" i="8"/>
  <c r="P520" i="8"/>
  <c r="O520" i="8"/>
  <c r="N520" i="8"/>
  <c r="M520" i="8"/>
  <c r="B520" i="8"/>
  <c r="P519" i="8"/>
  <c r="O519" i="8"/>
  <c r="N519" i="8"/>
  <c r="M519" i="8"/>
  <c r="B519" i="8"/>
  <c r="P518" i="8"/>
  <c r="O518" i="8"/>
  <c r="N518" i="8"/>
  <c r="M518" i="8"/>
  <c r="B518" i="8"/>
  <c r="P517" i="8"/>
  <c r="O517" i="8"/>
  <c r="N517" i="8"/>
  <c r="M517" i="8"/>
  <c r="B517" i="8"/>
  <c r="P516" i="8"/>
  <c r="O516" i="8"/>
  <c r="N516" i="8"/>
  <c r="M516" i="8"/>
  <c r="B516" i="8"/>
  <c r="P515" i="8"/>
  <c r="O515" i="8"/>
  <c r="N515" i="8"/>
  <c r="M515" i="8"/>
  <c r="B515" i="8"/>
  <c r="P514" i="8"/>
  <c r="O514" i="8"/>
  <c r="N514" i="8"/>
  <c r="M514" i="8"/>
  <c r="B514" i="8"/>
  <c r="P513" i="8"/>
  <c r="O513" i="8"/>
  <c r="N513" i="8"/>
  <c r="M513" i="8"/>
  <c r="B513" i="8"/>
  <c r="P512" i="8"/>
  <c r="O512" i="8"/>
  <c r="N512" i="8"/>
  <c r="M512" i="8"/>
  <c r="B512" i="8"/>
  <c r="P511" i="8"/>
  <c r="O511" i="8"/>
  <c r="N511" i="8"/>
  <c r="M511" i="8"/>
  <c r="B511" i="8"/>
  <c r="P510" i="8"/>
  <c r="O510" i="8"/>
  <c r="N510" i="8"/>
  <c r="M510" i="8"/>
  <c r="B510" i="8"/>
  <c r="P509" i="8"/>
  <c r="O509" i="8"/>
  <c r="N509" i="8"/>
  <c r="M509" i="8"/>
  <c r="B509" i="8"/>
  <c r="P508" i="8"/>
  <c r="O508" i="8"/>
  <c r="N508" i="8"/>
  <c r="M508" i="8"/>
  <c r="B508" i="8"/>
  <c r="P507" i="8"/>
  <c r="O507" i="8"/>
  <c r="N507" i="8"/>
  <c r="M507" i="8"/>
  <c r="B507" i="8"/>
  <c r="P506" i="8"/>
  <c r="O506" i="8"/>
  <c r="N506" i="8"/>
  <c r="M506" i="8"/>
  <c r="B506" i="8"/>
  <c r="P505" i="8"/>
  <c r="O505" i="8"/>
  <c r="N505" i="8"/>
  <c r="M505" i="8"/>
  <c r="B505" i="8"/>
  <c r="P504" i="8"/>
  <c r="O504" i="8"/>
  <c r="N504" i="8"/>
  <c r="M504" i="8"/>
  <c r="B504" i="8"/>
  <c r="P503" i="8"/>
  <c r="O503" i="8"/>
  <c r="N503" i="8"/>
  <c r="M503" i="8"/>
  <c r="B503" i="8"/>
  <c r="P502" i="8"/>
  <c r="O502" i="8"/>
  <c r="N502" i="8"/>
  <c r="M502" i="8"/>
  <c r="B502" i="8"/>
  <c r="P501" i="8"/>
  <c r="O501" i="8"/>
  <c r="N501" i="8"/>
  <c r="M501" i="8"/>
  <c r="B501" i="8"/>
  <c r="P500" i="8"/>
  <c r="O500" i="8"/>
  <c r="N500" i="8"/>
  <c r="M500" i="8"/>
  <c r="B500" i="8"/>
  <c r="P499" i="8"/>
  <c r="O499" i="8"/>
  <c r="N499" i="8"/>
  <c r="M499" i="8"/>
  <c r="B499" i="8"/>
  <c r="P498" i="8"/>
  <c r="O498" i="8"/>
  <c r="N498" i="8"/>
  <c r="M498" i="8"/>
  <c r="B498" i="8"/>
  <c r="P497" i="8"/>
  <c r="O497" i="8"/>
  <c r="N497" i="8"/>
  <c r="M497" i="8"/>
  <c r="B497" i="8"/>
  <c r="P496" i="8"/>
  <c r="O496" i="8"/>
  <c r="N496" i="8"/>
  <c r="M496" i="8"/>
  <c r="B496" i="8"/>
  <c r="P495" i="8"/>
  <c r="O495" i="8"/>
  <c r="N495" i="8"/>
  <c r="M495" i="8"/>
  <c r="B495" i="8"/>
  <c r="P494" i="8"/>
  <c r="O494" i="8"/>
  <c r="N494" i="8"/>
  <c r="M494" i="8"/>
  <c r="B494" i="8"/>
  <c r="P493" i="8"/>
  <c r="O493" i="8"/>
  <c r="N493" i="8"/>
  <c r="M493" i="8"/>
  <c r="B493" i="8"/>
  <c r="P492" i="8"/>
  <c r="O492" i="8"/>
  <c r="N492" i="8"/>
  <c r="M492" i="8"/>
  <c r="B492" i="8"/>
  <c r="P491" i="8"/>
  <c r="O491" i="8"/>
  <c r="N491" i="8"/>
  <c r="M491" i="8"/>
  <c r="B491" i="8"/>
  <c r="P490" i="8"/>
  <c r="O490" i="8"/>
  <c r="N490" i="8"/>
  <c r="M490" i="8"/>
  <c r="B490" i="8"/>
  <c r="P489" i="8"/>
  <c r="O489" i="8"/>
  <c r="N489" i="8"/>
  <c r="M489" i="8"/>
  <c r="B489" i="8"/>
  <c r="P488" i="8"/>
  <c r="O488" i="8"/>
  <c r="N488" i="8"/>
  <c r="M488" i="8"/>
  <c r="B488" i="8"/>
  <c r="P487" i="8"/>
  <c r="O487" i="8"/>
  <c r="N487" i="8"/>
  <c r="M487" i="8"/>
  <c r="B487" i="8"/>
  <c r="P486" i="8"/>
  <c r="O486" i="8"/>
  <c r="N486" i="8"/>
  <c r="M486" i="8"/>
  <c r="B486" i="8"/>
  <c r="P485" i="8"/>
  <c r="O485" i="8"/>
  <c r="N485" i="8"/>
  <c r="M485" i="8"/>
  <c r="B485" i="8"/>
  <c r="P484" i="8"/>
  <c r="O484" i="8"/>
  <c r="N484" i="8"/>
  <c r="M484" i="8"/>
  <c r="B484" i="8"/>
  <c r="P483" i="8"/>
  <c r="O483" i="8"/>
  <c r="N483" i="8"/>
  <c r="M483" i="8"/>
  <c r="B483" i="8"/>
  <c r="P482" i="8"/>
  <c r="O482" i="8"/>
  <c r="N482" i="8"/>
  <c r="M482" i="8"/>
  <c r="B482" i="8"/>
  <c r="P481" i="8"/>
  <c r="O481" i="8"/>
  <c r="N481" i="8"/>
  <c r="M481" i="8"/>
  <c r="B481" i="8"/>
  <c r="P480" i="8"/>
  <c r="O480" i="8"/>
  <c r="N480" i="8"/>
  <c r="M480" i="8"/>
  <c r="B480" i="8"/>
  <c r="P479" i="8"/>
  <c r="O479" i="8"/>
  <c r="N479" i="8"/>
  <c r="M479" i="8"/>
  <c r="B479" i="8"/>
  <c r="P478" i="8"/>
  <c r="O478" i="8"/>
  <c r="N478" i="8"/>
  <c r="M478" i="8"/>
  <c r="B478" i="8"/>
  <c r="P477" i="8"/>
  <c r="O477" i="8"/>
  <c r="N477" i="8"/>
  <c r="M477" i="8"/>
  <c r="B477" i="8"/>
  <c r="P476" i="8"/>
  <c r="O476" i="8"/>
  <c r="N476" i="8"/>
  <c r="M476" i="8"/>
  <c r="B476" i="8"/>
  <c r="P475" i="8"/>
  <c r="O475" i="8"/>
  <c r="N475" i="8"/>
  <c r="M475" i="8"/>
  <c r="B475" i="8"/>
  <c r="P474" i="8"/>
  <c r="O474" i="8"/>
  <c r="N474" i="8"/>
  <c r="M474" i="8"/>
  <c r="B474" i="8"/>
  <c r="P473" i="8"/>
  <c r="O473" i="8"/>
  <c r="N473" i="8"/>
  <c r="M473" i="8"/>
  <c r="B473" i="8"/>
  <c r="P472" i="8"/>
  <c r="O472" i="8"/>
  <c r="N472" i="8"/>
  <c r="M472" i="8"/>
  <c r="B472" i="8"/>
  <c r="P471" i="8"/>
  <c r="O471" i="8"/>
  <c r="N471" i="8"/>
  <c r="M471" i="8"/>
  <c r="B471" i="8"/>
  <c r="P470" i="8"/>
  <c r="O470" i="8"/>
  <c r="N470" i="8"/>
  <c r="M470" i="8"/>
  <c r="B470" i="8"/>
  <c r="P469" i="8"/>
  <c r="O469" i="8"/>
  <c r="N469" i="8"/>
  <c r="M469" i="8"/>
  <c r="B469" i="8"/>
  <c r="P468" i="8"/>
  <c r="O468" i="8"/>
  <c r="N468" i="8"/>
  <c r="M468" i="8"/>
  <c r="B468" i="8"/>
  <c r="P467" i="8"/>
  <c r="O467" i="8"/>
  <c r="N467" i="8"/>
  <c r="M467" i="8"/>
  <c r="B467" i="8"/>
  <c r="P466" i="8"/>
  <c r="O466" i="8"/>
  <c r="N466" i="8"/>
  <c r="M466" i="8"/>
  <c r="B466" i="8"/>
  <c r="P465" i="8"/>
  <c r="O465" i="8"/>
  <c r="N465" i="8"/>
  <c r="M465" i="8"/>
  <c r="B465" i="8"/>
  <c r="P464" i="8"/>
  <c r="O464" i="8"/>
  <c r="N464" i="8"/>
  <c r="M464" i="8"/>
  <c r="B464" i="8"/>
  <c r="P463" i="8"/>
  <c r="O463" i="8"/>
  <c r="N463" i="8"/>
  <c r="M463" i="8"/>
  <c r="B463" i="8"/>
  <c r="P462" i="8"/>
  <c r="O462" i="8"/>
  <c r="N462" i="8"/>
  <c r="M462" i="8"/>
  <c r="B462" i="8"/>
  <c r="P461" i="8"/>
  <c r="O461" i="8"/>
  <c r="N461" i="8"/>
  <c r="M461" i="8"/>
  <c r="B461" i="8"/>
  <c r="P460" i="8"/>
  <c r="O460" i="8"/>
  <c r="N460" i="8"/>
  <c r="M460" i="8"/>
  <c r="B460" i="8"/>
  <c r="P459" i="8"/>
  <c r="O459" i="8"/>
  <c r="N459" i="8"/>
  <c r="M459" i="8"/>
  <c r="B459" i="8"/>
  <c r="P458" i="8"/>
  <c r="O458" i="8"/>
  <c r="N458" i="8"/>
  <c r="M458" i="8"/>
  <c r="B458" i="8"/>
  <c r="P457" i="8"/>
  <c r="O457" i="8"/>
  <c r="N457" i="8"/>
  <c r="M457" i="8"/>
  <c r="B457" i="8"/>
  <c r="P456" i="8"/>
  <c r="O456" i="8"/>
  <c r="N456" i="8"/>
  <c r="M456" i="8"/>
  <c r="B456" i="8"/>
  <c r="P455" i="8"/>
  <c r="O455" i="8"/>
  <c r="N455" i="8"/>
  <c r="M455" i="8"/>
  <c r="B455" i="8"/>
  <c r="P454" i="8"/>
  <c r="O454" i="8"/>
  <c r="N454" i="8"/>
  <c r="M454" i="8"/>
  <c r="B454" i="8"/>
  <c r="P453" i="8"/>
  <c r="O453" i="8"/>
  <c r="N453" i="8"/>
  <c r="M453" i="8"/>
  <c r="B453" i="8"/>
  <c r="P452" i="8"/>
  <c r="O452" i="8"/>
  <c r="N452" i="8"/>
  <c r="M452" i="8"/>
  <c r="B452" i="8"/>
  <c r="P451" i="8"/>
  <c r="O451" i="8"/>
  <c r="N451" i="8"/>
  <c r="M451" i="8"/>
  <c r="B451" i="8"/>
  <c r="P450" i="8"/>
  <c r="O450" i="8"/>
  <c r="N450" i="8"/>
  <c r="M450" i="8"/>
  <c r="B450" i="8"/>
  <c r="P449" i="8"/>
  <c r="O449" i="8"/>
  <c r="N449" i="8"/>
  <c r="M449" i="8"/>
  <c r="B449" i="8"/>
  <c r="P448" i="8"/>
  <c r="O448" i="8"/>
  <c r="N448" i="8"/>
  <c r="M448" i="8"/>
  <c r="B448" i="8"/>
  <c r="P447" i="8"/>
  <c r="O447" i="8"/>
  <c r="N447" i="8"/>
  <c r="M447" i="8"/>
  <c r="B447" i="8"/>
  <c r="P446" i="8"/>
  <c r="O446" i="8"/>
  <c r="N446" i="8"/>
  <c r="M446" i="8"/>
  <c r="B446" i="8"/>
  <c r="P445" i="8"/>
  <c r="O445" i="8"/>
  <c r="N445" i="8"/>
  <c r="M445" i="8"/>
  <c r="B445" i="8"/>
  <c r="P444" i="8"/>
  <c r="O444" i="8"/>
  <c r="N444" i="8"/>
  <c r="M444" i="8"/>
  <c r="B444" i="8"/>
  <c r="P443" i="8"/>
  <c r="O443" i="8"/>
  <c r="N443" i="8"/>
  <c r="M443" i="8"/>
  <c r="B443" i="8"/>
  <c r="P442" i="8"/>
  <c r="O442" i="8"/>
  <c r="N442" i="8"/>
  <c r="M442" i="8"/>
  <c r="B442" i="8"/>
  <c r="P441" i="8"/>
  <c r="O441" i="8"/>
  <c r="N441" i="8"/>
  <c r="M441" i="8"/>
  <c r="B441" i="8"/>
  <c r="P440" i="8"/>
  <c r="O440" i="8"/>
  <c r="N440" i="8"/>
  <c r="M440" i="8"/>
  <c r="B440" i="8"/>
  <c r="P439" i="8"/>
  <c r="O439" i="8"/>
  <c r="N439" i="8"/>
  <c r="M439" i="8"/>
  <c r="B439" i="8"/>
  <c r="P438" i="8"/>
  <c r="O438" i="8"/>
  <c r="N438" i="8"/>
  <c r="M438" i="8"/>
  <c r="B438" i="8"/>
  <c r="P437" i="8"/>
  <c r="O437" i="8"/>
  <c r="N437" i="8"/>
  <c r="M437" i="8"/>
  <c r="B437" i="8"/>
  <c r="P436" i="8"/>
  <c r="O436" i="8"/>
  <c r="N436" i="8"/>
  <c r="M436" i="8"/>
  <c r="B436" i="8"/>
  <c r="P435" i="8"/>
  <c r="O435" i="8"/>
  <c r="N435" i="8"/>
  <c r="M435" i="8"/>
  <c r="B435" i="8"/>
  <c r="P434" i="8"/>
  <c r="O434" i="8"/>
  <c r="N434" i="8"/>
  <c r="M434" i="8"/>
  <c r="B434" i="8"/>
  <c r="P433" i="8"/>
  <c r="O433" i="8"/>
  <c r="N433" i="8"/>
  <c r="M433" i="8"/>
  <c r="B433" i="8"/>
  <c r="P432" i="8"/>
  <c r="O432" i="8"/>
  <c r="N432" i="8"/>
  <c r="M432" i="8"/>
  <c r="B432" i="8"/>
  <c r="P431" i="8"/>
  <c r="O431" i="8"/>
  <c r="N431" i="8"/>
  <c r="M431" i="8"/>
  <c r="B431" i="8"/>
  <c r="P430" i="8"/>
  <c r="O430" i="8"/>
  <c r="N430" i="8"/>
  <c r="M430" i="8"/>
  <c r="B430" i="8"/>
  <c r="P429" i="8"/>
  <c r="O429" i="8"/>
  <c r="N429" i="8"/>
  <c r="M429" i="8"/>
  <c r="B429" i="8"/>
  <c r="P428" i="8"/>
  <c r="O428" i="8"/>
  <c r="N428" i="8"/>
  <c r="M428" i="8"/>
  <c r="B428" i="8"/>
  <c r="P427" i="8"/>
  <c r="O427" i="8"/>
  <c r="N427" i="8"/>
  <c r="M427" i="8"/>
  <c r="B427" i="8"/>
  <c r="P426" i="8"/>
  <c r="O426" i="8"/>
  <c r="N426" i="8"/>
  <c r="M426" i="8"/>
  <c r="B426" i="8"/>
  <c r="P425" i="8"/>
  <c r="O425" i="8"/>
  <c r="N425" i="8"/>
  <c r="M425" i="8"/>
  <c r="B425" i="8"/>
  <c r="P424" i="8"/>
  <c r="O424" i="8"/>
  <c r="N424" i="8"/>
  <c r="M424" i="8"/>
  <c r="B424" i="8"/>
  <c r="P423" i="8"/>
  <c r="O423" i="8"/>
  <c r="N423" i="8"/>
  <c r="M423" i="8"/>
  <c r="B423" i="8"/>
  <c r="P422" i="8"/>
  <c r="O422" i="8"/>
  <c r="N422" i="8"/>
  <c r="M422" i="8"/>
  <c r="B422" i="8"/>
  <c r="P421" i="8"/>
  <c r="O421" i="8"/>
  <c r="N421" i="8"/>
  <c r="M421" i="8"/>
  <c r="B421" i="8"/>
  <c r="P420" i="8"/>
  <c r="O420" i="8"/>
  <c r="N420" i="8"/>
  <c r="M420" i="8"/>
  <c r="B420" i="8"/>
  <c r="P419" i="8"/>
  <c r="O419" i="8"/>
  <c r="N419" i="8"/>
  <c r="M419" i="8"/>
  <c r="B419" i="8"/>
  <c r="P418" i="8"/>
  <c r="O418" i="8"/>
  <c r="N418" i="8"/>
  <c r="M418" i="8"/>
  <c r="B418" i="8"/>
  <c r="P417" i="8"/>
  <c r="O417" i="8"/>
  <c r="N417" i="8"/>
  <c r="M417" i="8"/>
  <c r="B417" i="8"/>
  <c r="P416" i="8"/>
  <c r="O416" i="8"/>
  <c r="N416" i="8"/>
  <c r="M416" i="8"/>
  <c r="B416" i="8"/>
  <c r="P415" i="8"/>
  <c r="O415" i="8"/>
  <c r="N415" i="8"/>
  <c r="M415" i="8"/>
  <c r="B415" i="8"/>
  <c r="P414" i="8"/>
  <c r="O414" i="8"/>
  <c r="N414" i="8"/>
  <c r="M414" i="8"/>
  <c r="B414" i="8"/>
  <c r="P413" i="8"/>
  <c r="O413" i="8"/>
  <c r="N413" i="8"/>
  <c r="M413" i="8"/>
  <c r="B413" i="8"/>
  <c r="P412" i="8"/>
  <c r="O412" i="8"/>
  <c r="N412" i="8"/>
  <c r="M412" i="8"/>
  <c r="B412" i="8"/>
  <c r="P411" i="8"/>
  <c r="O411" i="8"/>
  <c r="N411" i="8"/>
  <c r="M411" i="8"/>
  <c r="B411" i="8"/>
  <c r="P410" i="8"/>
  <c r="O410" i="8"/>
  <c r="N410" i="8"/>
  <c r="M410" i="8"/>
  <c r="B410" i="8"/>
  <c r="P409" i="8"/>
  <c r="O409" i="8"/>
  <c r="N409" i="8"/>
  <c r="M409" i="8"/>
  <c r="B409" i="8"/>
  <c r="P408" i="8"/>
  <c r="O408" i="8"/>
  <c r="N408" i="8"/>
  <c r="M408" i="8"/>
  <c r="B408" i="8"/>
  <c r="P407" i="8"/>
  <c r="O407" i="8"/>
  <c r="N407" i="8"/>
  <c r="M407" i="8"/>
  <c r="B407" i="8"/>
  <c r="P406" i="8"/>
  <c r="O406" i="8"/>
  <c r="N406" i="8"/>
  <c r="M406" i="8"/>
  <c r="B406" i="8"/>
  <c r="P405" i="8"/>
  <c r="O405" i="8"/>
  <c r="N405" i="8"/>
  <c r="M405" i="8"/>
  <c r="B405" i="8"/>
  <c r="P404" i="8"/>
  <c r="O404" i="8"/>
  <c r="N404" i="8"/>
  <c r="M404" i="8"/>
  <c r="B404" i="8"/>
  <c r="P403" i="8"/>
  <c r="O403" i="8"/>
  <c r="N403" i="8"/>
  <c r="M403" i="8"/>
  <c r="B403" i="8"/>
  <c r="P402" i="8"/>
  <c r="O402" i="8"/>
  <c r="N402" i="8"/>
  <c r="M402" i="8"/>
  <c r="B402" i="8"/>
  <c r="P401" i="8"/>
  <c r="O401" i="8"/>
  <c r="N401" i="8"/>
  <c r="M401" i="8"/>
  <c r="B401" i="8"/>
  <c r="P400" i="8"/>
  <c r="O400" i="8"/>
  <c r="N400" i="8"/>
  <c r="M400" i="8"/>
  <c r="B400" i="8"/>
  <c r="P399" i="8"/>
  <c r="O399" i="8"/>
  <c r="N399" i="8"/>
  <c r="M399" i="8"/>
  <c r="B399" i="8"/>
  <c r="P398" i="8"/>
  <c r="O398" i="8"/>
  <c r="N398" i="8"/>
  <c r="M398" i="8"/>
  <c r="B398" i="8"/>
  <c r="P397" i="8"/>
  <c r="O397" i="8"/>
  <c r="N397" i="8"/>
  <c r="M397" i="8"/>
  <c r="B397" i="8"/>
  <c r="P396" i="8"/>
  <c r="O396" i="8"/>
  <c r="N396" i="8"/>
  <c r="M396" i="8"/>
  <c r="B396" i="8"/>
  <c r="P395" i="8"/>
  <c r="O395" i="8"/>
  <c r="N395" i="8"/>
  <c r="M395" i="8"/>
  <c r="B395" i="8"/>
  <c r="P394" i="8"/>
  <c r="O394" i="8"/>
  <c r="N394" i="8"/>
  <c r="M394" i="8"/>
  <c r="B394" i="8"/>
  <c r="P393" i="8"/>
  <c r="O393" i="8"/>
  <c r="N393" i="8"/>
  <c r="M393" i="8"/>
  <c r="B393" i="8"/>
  <c r="P392" i="8"/>
  <c r="O392" i="8"/>
  <c r="N392" i="8"/>
  <c r="M392" i="8"/>
  <c r="B392" i="8"/>
  <c r="P391" i="8"/>
  <c r="O391" i="8"/>
  <c r="N391" i="8"/>
  <c r="M391" i="8"/>
  <c r="B391" i="8"/>
  <c r="P390" i="8"/>
  <c r="O390" i="8"/>
  <c r="N390" i="8"/>
  <c r="M390" i="8"/>
  <c r="B390" i="8"/>
  <c r="P389" i="8"/>
  <c r="O389" i="8"/>
  <c r="N389" i="8"/>
  <c r="M389" i="8"/>
  <c r="B389" i="8"/>
  <c r="P388" i="8"/>
  <c r="O388" i="8"/>
  <c r="N388" i="8"/>
  <c r="M388" i="8"/>
  <c r="B388" i="8"/>
  <c r="P387" i="8"/>
  <c r="O387" i="8"/>
  <c r="N387" i="8"/>
  <c r="M387" i="8"/>
  <c r="B387" i="8"/>
  <c r="P386" i="8"/>
  <c r="O386" i="8"/>
  <c r="N386" i="8"/>
  <c r="M386" i="8"/>
  <c r="B386" i="8"/>
  <c r="P385" i="8"/>
  <c r="O385" i="8"/>
  <c r="N385" i="8"/>
  <c r="M385" i="8"/>
  <c r="B385" i="8"/>
  <c r="P384" i="8"/>
  <c r="O384" i="8"/>
  <c r="N384" i="8"/>
  <c r="M384" i="8"/>
  <c r="B384" i="8"/>
  <c r="P383" i="8"/>
  <c r="O383" i="8"/>
  <c r="N383" i="8"/>
  <c r="M383" i="8"/>
  <c r="B383" i="8"/>
  <c r="P382" i="8"/>
  <c r="O382" i="8"/>
  <c r="N382" i="8"/>
  <c r="M382" i="8"/>
  <c r="B382" i="8"/>
  <c r="P381" i="8"/>
  <c r="O381" i="8"/>
  <c r="N381" i="8"/>
  <c r="M381" i="8"/>
  <c r="B381" i="8"/>
  <c r="P380" i="8"/>
  <c r="O380" i="8"/>
  <c r="N380" i="8"/>
  <c r="M380" i="8"/>
  <c r="B380" i="8"/>
  <c r="P379" i="8"/>
  <c r="O379" i="8"/>
  <c r="N379" i="8"/>
  <c r="M379" i="8"/>
  <c r="B379" i="8"/>
  <c r="P378" i="8"/>
  <c r="O378" i="8"/>
  <c r="N378" i="8"/>
  <c r="M378" i="8"/>
  <c r="B378" i="8"/>
  <c r="P377" i="8"/>
  <c r="O377" i="8"/>
  <c r="N377" i="8"/>
  <c r="M377" i="8"/>
  <c r="B377" i="8"/>
  <c r="P376" i="8"/>
  <c r="O376" i="8"/>
  <c r="N376" i="8"/>
  <c r="M376" i="8"/>
  <c r="B376" i="8"/>
  <c r="P375" i="8"/>
  <c r="O375" i="8"/>
  <c r="N375" i="8"/>
  <c r="M375" i="8"/>
  <c r="B375" i="8"/>
  <c r="P374" i="8"/>
  <c r="O374" i="8"/>
  <c r="N374" i="8"/>
  <c r="M374" i="8"/>
  <c r="B374" i="8"/>
  <c r="P373" i="8"/>
  <c r="O373" i="8"/>
  <c r="N373" i="8"/>
  <c r="M373" i="8"/>
  <c r="B373" i="8"/>
  <c r="P372" i="8"/>
  <c r="O372" i="8"/>
  <c r="N372" i="8"/>
  <c r="M372" i="8"/>
  <c r="B372" i="8"/>
  <c r="P371" i="8"/>
  <c r="O371" i="8"/>
  <c r="N371" i="8"/>
  <c r="M371" i="8"/>
  <c r="B371" i="8"/>
  <c r="P370" i="8"/>
  <c r="O370" i="8"/>
  <c r="N370" i="8"/>
  <c r="M370" i="8"/>
  <c r="B370" i="8"/>
  <c r="P369" i="8"/>
  <c r="O369" i="8"/>
  <c r="N369" i="8"/>
  <c r="M369" i="8"/>
  <c r="B369" i="8"/>
  <c r="P368" i="8"/>
  <c r="O368" i="8"/>
  <c r="N368" i="8"/>
  <c r="M368" i="8"/>
  <c r="B368" i="8"/>
  <c r="P367" i="8"/>
  <c r="O367" i="8"/>
  <c r="N367" i="8"/>
  <c r="M367" i="8"/>
  <c r="B367" i="8"/>
  <c r="P366" i="8"/>
  <c r="O366" i="8"/>
  <c r="N366" i="8"/>
  <c r="M366" i="8"/>
  <c r="B366" i="8"/>
  <c r="P365" i="8"/>
  <c r="O365" i="8"/>
  <c r="N365" i="8"/>
  <c r="M365" i="8"/>
  <c r="B365" i="8"/>
  <c r="P364" i="8"/>
  <c r="O364" i="8"/>
  <c r="N364" i="8"/>
  <c r="M364" i="8"/>
  <c r="B364" i="8"/>
  <c r="P363" i="8"/>
  <c r="O363" i="8"/>
  <c r="N363" i="8"/>
  <c r="M363" i="8"/>
  <c r="B363" i="8"/>
  <c r="P362" i="8"/>
  <c r="O362" i="8"/>
  <c r="N362" i="8"/>
  <c r="M362" i="8"/>
  <c r="B362" i="8"/>
  <c r="P361" i="8"/>
  <c r="O361" i="8"/>
  <c r="N361" i="8"/>
  <c r="M361" i="8"/>
  <c r="B361" i="8"/>
  <c r="P360" i="8"/>
  <c r="O360" i="8"/>
  <c r="N360" i="8"/>
  <c r="M360" i="8"/>
  <c r="B360" i="8"/>
  <c r="P359" i="8"/>
  <c r="O359" i="8"/>
  <c r="N359" i="8"/>
  <c r="M359" i="8"/>
  <c r="B359" i="8"/>
  <c r="P358" i="8"/>
  <c r="O358" i="8"/>
  <c r="N358" i="8"/>
  <c r="M358" i="8"/>
  <c r="B358" i="8"/>
  <c r="P357" i="8"/>
  <c r="O357" i="8"/>
  <c r="N357" i="8"/>
  <c r="M357" i="8"/>
  <c r="B357" i="8"/>
  <c r="P356" i="8"/>
  <c r="O356" i="8"/>
  <c r="N356" i="8"/>
  <c r="M356" i="8"/>
  <c r="B356" i="8"/>
  <c r="P355" i="8"/>
  <c r="O355" i="8"/>
  <c r="N355" i="8"/>
  <c r="M355" i="8"/>
  <c r="B355" i="8"/>
  <c r="P354" i="8"/>
  <c r="O354" i="8"/>
  <c r="N354" i="8"/>
  <c r="M354" i="8"/>
  <c r="B354" i="8"/>
  <c r="P353" i="8"/>
  <c r="O353" i="8"/>
  <c r="N353" i="8"/>
  <c r="M353" i="8"/>
  <c r="B353" i="8"/>
  <c r="P352" i="8"/>
  <c r="O352" i="8"/>
  <c r="N352" i="8"/>
  <c r="M352" i="8"/>
  <c r="B352" i="8"/>
  <c r="P351" i="8"/>
  <c r="O351" i="8"/>
  <c r="N351" i="8"/>
  <c r="M351" i="8"/>
  <c r="B351" i="8"/>
  <c r="P350" i="8"/>
  <c r="O350" i="8"/>
  <c r="N350" i="8"/>
  <c r="M350" i="8"/>
  <c r="B350" i="8"/>
  <c r="P349" i="8"/>
  <c r="O349" i="8"/>
  <c r="N349" i="8"/>
  <c r="M349" i="8"/>
  <c r="B349" i="8"/>
  <c r="P348" i="8"/>
  <c r="O348" i="8"/>
  <c r="N348" i="8"/>
  <c r="M348" i="8"/>
  <c r="B348" i="8"/>
  <c r="P347" i="8"/>
  <c r="O347" i="8"/>
  <c r="N347" i="8"/>
  <c r="M347" i="8"/>
  <c r="B347" i="8"/>
  <c r="P346" i="8"/>
  <c r="O346" i="8"/>
  <c r="N346" i="8"/>
  <c r="M346" i="8"/>
  <c r="B346" i="8"/>
  <c r="P345" i="8"/>
  <c r="O345" i="8"/>
  <c r="N345" i="8"/>
  <c r="M345" i="8"/>
  <c r="B345" i="8"/>
  <c r="P344" i="8"/>
  <c r="O344" i="8"/>
  <c r="N344" i="8"/>
  <c r="M344" i="8"/>
  <c r="B344" i="8"/>
  <c r="P343" i="8"/>
  <c r="O343" i="8"/>
  <c r="N343" i="8"/>
  <c r="M343" i="8"/>
  <c r="B343" i="8"/>
  <c r="P342" i="8"/>
  <c r="O342" i="8"/>
  <c r="N342" i="8"/>
  <c r="M342" i="8"/>
  <c r="B342" i="8"/>
  <c r="P341" i="8"/>
  <c r="O341" i="8"/>
  <c r="N341" i="8"/>
  <c r="M341" i="8"/>
  <c r="B341" i="8"/>
  <c r="P340" i="8"/>
  <c r="O340" i="8"/>
  <c r="N340" i="8"/>
  <c r="M340" i="8"/>
  <c r="B340" i="8"/>
  <c r="P339" i="8"/>
  <c r="O339" i="8"/>
  <c r="N339" i="8"/>
  <c r="M339" i="8"/>
  <c r="B339" i="8"/>
  <c r="P338" i="8"/>
  <c r="O338" i="8"/>
  <c r="N338" i="8"/>
  <c r="M338" i="8"/>
  <c r="B338" i="8"/>
  <c r="P337" i="8"/>
  <c r="O337" i="8"/>
  <c r="N337" i="8"/>
  <c r="M337" i="8"/>
  <c r="B337" i="8"/>
  <c r="P336" i="8"/>
  <c r="O336" i="8"/>
  <c r="N336" i="8"/>
  <c r="M336" i="8"/>
  <c r="B336" i="8"/>
  <c r="P335" i="8"/>
  <c r="O335" i="8"/>
  <c r="N335" i="8"/>
  <c r="M335" i="8"/>
  <c r="B335" i="8"/>
  <c r="P334" i="8"/>
  <c r="O334" i="8"/>
  <c r="N334" i="8"/>
  <c r="M334" i="8"/>
  <c r="B334" i="8"/>
  <c r="P333" i="8"/>
  <c r="O333" i="8"/>
  <c r="N333" i="8"/>
  <c r="M333" i="8"/>
  <c r="B333" i="8"/>
  <c r="P332" i="8"/>
  <c r="O332" i="8"/>
  <c r="N332" i="8"/>
  <c r="M332" i="8"/>
  <c r="B332" i="8"/>
  <c r="P331" i="8"/>
  <c r="O331" i="8"/>
  <c r="N331" i="8"/>
  <c r="M331" i="8"/>
  <c r="B331" i="8"/>
  <c r="P330" i="8"/>
  <c r="O330" i="8"/>
  <c r="N330" i="8"/>
  <c r="M330" i="8"/>
  <c r="B330" i="8"/>
  <c r="P329" i="8"/>
  <c r="O329" i="8"/>
  <c r="N329" i="8"/>
  <c r="M329" i="8"/>
  <c r="B329" i="8"/>
  <c r="P328" i="8"/>
  <c r="O328" i="8"/>
  <c r="N328" i="8"/>
  <c r="M328" i="8"/>
  <c r="B328" i="8"/>
  <c r="P327" i="8"/>
  <c r="O327" i="8"/>
  <c r="N327" i="8"/>
  <c r="M327" i="8"/>
  <c r="B327" i="8"/>
  <c r="P326" i="8"/>
  <c r="O326" i="8"/>
  <c r="N326" i="8"/>
  <c r="M326" i="8"/>
  <c r="B326" i="8"/>
  <c r="P325" i="8"/>
  <c r="O325" i="8"/>
  <c r="N325" i="8"/>
  <c r="M325" i="8"/>
  <c r="B325" i="8"/>
  <c r="P324" i="8"/>
  <c r="O324" i="8"/>
  <c r="N324" i="8"/>
  <c r="M324" i="8"/>
  <c r="B324" i="8"/>
  <c r="P323" i="8"/>
  <c r="O323" i="8"/>
  <c r="N323" i="8"/>
  <c r="M323" i="8"/>
  <c r="B323" i="8"/>
  <c r="P322" i="8"/>
  <c r="O322" i="8"/>
  <c r="N322" i="8"/>
  <c r="M322" i="8"/>
  <c r="B322" i="8"/>
  <c r="P321" i="8"/>
  <c r="O321" i="8"/>
  <c r="N321" i="8"/>
  <c r="M321" i="8"/>
  <c r="B321" i="8"/>
  <c r="P320" i="8"/>
  <c r="O320" i="8"/>
  <c r="N320" i="8"/>
  <c r="M320" i="8"/>
  <c r="B320" i="8"/>
  <c r="P319" i="8"/>
  <c r="O319" i="8"/>
  <c r="N319" i="8"/>
  <c r="M319" i="8"/>
  <c r="B319" i="8"/>
  <c r="P318" i="8"/>
  <c r="O318" i="8"/>
  <c r="N318" i="8"/>
  <c r="M318" i="8"/>
  <c r="B318" i="8"/>
  <c r="P317" i="8"/>
  <c r="O317" i="8"/>
  <c r="N317" i="8"/>
  <c r="M317" i="8"/>
  <c r="B317" i="8"/>
  <c r="P316" i="8"/>
  <c r="O316" i="8"/>
  <c r="N316" i="8"/>
  <c r="M316" i="8"/>
  <c r="B316" i="8"/>
  <c r="P315" i="8"/>
  <c r="O315" i="8"/>
  <c r="N315" i="8"/>
  <c r="M315" i="8"/>
  <c r="B315" i="8"/>
  <c r="P314" i="8"/>
  <c r="O314" i="8"/>
  <c r="N314" i="8"/>
  <c r="M314" i="8"/>
  <c r="B314" i="8"/>
  <c r="P313" i="8"/>
  <c r="O313" i="8"/>
  <c r="N313" i="8"/>
  <c r="M313" i="8"/>
  <c r="B313" i="8"/>
  <c r="P312" i="8"/>
  <c r="O312" i="8"/>
  <c r="N312" i="8"/>
  <c r="M312" i="8"/>
  <c r="B312" i="8"/>
  <c r="P311" i="8"/>
  <c r="O311" i="8"/>
  <c r="N311" i="8"/>
  <c r="M311" i="8"/>
  <c r="B311" i="8"/>
  <c r="P310" i="8"/>
  <c r="O310" i="8"/>
  <c r="N310" i="8"/>
  <c r="M310" i="8"/>
  <c r="B310" i="8"/>
  <c r="P309" i="8"/>
  <c r="O309" i="8"/>
  <c r="N309" i="8"/>
  <c r="M309" i="8"/>
  <c r="B309" i="8"/>
  <c r="P308" i="8"/>
  <c r="O308" i="8"/>
  <c r="N308" i="8"/>
  <c r="M308" i="8"/>
  <c r="B308" i="8"/>
  <c r="P307" i="8"/>
  <c r="O307" i="8"/>
  <c r="N307" i="8"/>
  <c r="M307" i="8"/>
  <c r="B307" i="8"/>
  <c r="P306" i="8"/>
  <c r="O306" i="8"/>
  <c r="N306" i="8"/>
  <c r="M306" i="8"/>
  <c r="B306" i="8"/>
  <c r="P305" i="8"/>
  <c r="O305" i="8"/>
  <c r="N305" i="8"/>
  <c r="M305" i="8"/>
  <c r="B305" i="8"/>
  <c r="P304" i="8"/>
  <c r="O304" i="8"/>
  <c r="N304" i="8"/>
  <c r="M304" i="8"/>
  <c r="B304" i="8"/>
  <c r="P303" i="8"/>
  <c r="O303" i="8"/>
  <c r="N303" i="8"/>
  <c r="M303" i="8"/>
  <c r="B303" i="8"/>
  <c r="P302" i="8"/>
  <c r="O302" i="8"/>
  <c r="N302" i="8"/>
  <c r="M302" i="8"/>
  <c r="B302" i="8"/>
  <c r="P301" i="8"/>
  <c r="O301" i="8"/>
  <c r="N301" i="8"/>
  <c r="M301" i="8"/>
  <c r="B301" i="8"/>
  <c r="R300" i="8"/>
  <c r="Q300" i="8"/>
  <c r="P300" i="8"/>
  <c r="O300" i="8"/>
  <c r="N300" i="8"/>
  <c r="M300" i="8"/>
  <c r="B300" i="8"/>
  <c r="R299" i="8"/>
  <c r="Q299" i="8"/>
  <c r="P299" i="8"/>
  <c r="O299" i="8"/>
  <c r="N299" i="8"/>
  <c r="M299" i="8"/>
  <c r="B299" i="8"/>
  <c r="R298" i="8"/>
  <c r="Q298" i="8"/>
  <c r="P298" i="8"/>
  <c r="O298" i="8"/>
  <c r="N298" i="8"/>
  <c r="M298" i="8"/>
  <c r="B298" i="8"/>
  <c r="R297" i="8"/>
  <c r="Q297" i="8"/>
  <c r="P297" i="8"/>
  <c r="O297" i="8"/>
  <c r="N297" i="8"/>
  <c r="M297" i="8"/>
  <c r="B297" i="8"/>
  <c r="R296" i="8"/>
  <c r="Q296" i="8"/>
  <c r="P296" i="8"/>
  <c r="O296" i="8"/>
  <c r="N296" i="8"/>
  <c r="M296" i="8"/>
  <c r="B296" i="8"/>
  <c r="R295" i="8"/>
  <c r="Q295" i="8"/>
  <c r="P295" i="8"/>
  <c r="O295" i="8"/>
  <c r="N295" i="8"/>
  <c r="M295" i="8"/>
  <c r="B295" i="8"/>
  <c r="R294" i="8"/>
  <c r="Q294" i="8"/>
  <c r="P294" i="8"/>
  <c r="O294" i="8"/>
  <c r="N294" i="8"/>
  <c r="M294" i="8"/>
  <c r="B294" i="8"/>
  <c r="R293" i="8"/>
  <c r="Q293" i="8"/>
  <c r="P293" i="8"/>
  <c r="O293" i="8"/>
  <c r="N293" i="8"/>
  <c r="M293" i="8"/>
  <c r="B293" i="8"/>
  <c r="R292" i="8"/>
  <c r="Q292" i="8"/>
  <c r="P292" i="8"/>
  <c r="O292" i="8"/>
  <c r="N292" i="8"/>
  <c r="M292" i="8"/>
  <c r="B292" i="8"/>
  <c r="R291" i="8"/>
  <c r="Q291" i="8"/>
  <c r="P291" i="8"/>
  <c r="O291" i="8"/>
  <c r="N291" i="8"/>
  <c r="M291" i="8"/>
  <c r="B291" i="8"/>
  <c r="R290" i="8"/>
  <c r="Q290" i="8"/>
  <c r="P290" i="8"/>
  <c r="O290" i="8"/>
  <c r="N290" i="8"/>
  <c r="M290" i="8"/>
  <c r="B290" i="8"/>
  <c r="R289" i="8"/>
  <c r="Q289" i="8"/>
  <c r="P289" i="8"/>
  <c r="O289" i="8"/>
  <c r="N289" i="8"/>
  <c r="M289" i="8"/>
  <c r="B289" i="8"/>
  <c r="R288" i="8"/>
  <c r="Q288" i="8"/>
  <c r="P288" i="8"/>
  <c r="O288" i="8"/>
  <c r="N288" i="8"/>
  <c r="M288" i="8"/>
  <c r="B288" i="8"/>
  <c r="R287" i="8"/>
  <c r="Q287" i="8"/>
  <c r="P287" i="8"/>
  <c r="O287" i="8"/>
  <c r="N287" i="8"/>
  <c r="M287" i="8"/>
  <c r="B287" i="8"/>
  <c r="R286" i="8"/>
  <c r="Q286" i="8"/>
  <c r="P286" i="8"/>
  <c r="O286" i="8"/>
  <c r="N286" i="8"/>
  <c r="M286" i="8"/>
  <c r="B286" i="8"/>
  <c r="R285" i="8"/>
  <c r="Q285" i="8"/>
  <c r="P285" i="8"/>
  <c r="O285" i="8"/>
  <c r="N285" i="8"/>
  <c r="M285" i="8"/>
  <c r="B285" i="8"/>
  <c r="R284" i="8"/>
  <c r="Q284" i="8"/>
  <c r="P284" i="8"/>
  <c r="O284" i="8"/>
  <c r="N284" i="8"/>
  <c r="M284" i="8"/>
  <c r="B284" i="8"/>
  <c r="R283" i="8"/>
  <c r="Q283" i="8"/>
  <c r="P283" i="8"/>
  <c r="O283" i="8"/>
  <c r="N283" i="8"/>
  <c r="M283" i="8"/>
  <c r="B283" i="8"/>
  <c r="R282" i="8"/>
  <c r="Q282" i="8"/>
  <c r="P282" i="8"/>
  <c r="O282" i="8"/>
  <c r="N282" i="8"/>
  <c r="M282" i="8"/>
  <c r="B282" i="8"/>
  <c r="R281" i="8"/>
  <c r="Q281" i="8"/>
  <c r="P281" i="8"/>
  <c r="O281" i="8"/>
  <c r="N281" i="8"/>
  <c r="M281" i="8"/>
  <c r="B281" i="8"/>
  <c r="R280" i="8"/>
  <c r="Q280" i="8"/>
  <c r="P280" i="8"/>
  <c r="O280" i="8"/>
  <c r="N280" i="8"/>
  <c r="M280" i="8"/>
  <c r="B280" i="8"/>
  <c r="R279" i="8"/>
  <c r="Q279" i="8"/>
  <c r="P279" i="8"/>
  <c r="O279" i="8"/>
  <c r="N279" i="8"/>
  <c r="M279" i="8"/>
  <c r="B279" i="8"/>
  <c r="R278" i="8"/>
  <c r="Q278" i="8"/>
  <c r="P278" i="8"/>
  <c r="O278" i="8"/>
  <c r="N278" i="8"/>
  <c r="M278" i="8"/>
  <c r="B278" i="8"/>
  <c r="R277" i="8"/>
  <c r="Q277" i="8"/>
  <c r="P277" i="8"/>
  <c r="O277" i="8"/>
  <c r="N277" i="8"/>
  <c r="M277" i="8"/>
  <c r="B277" i="8"/>
  <c r="R276" i="8"/>
  <c r="Q276" i="8"/>
  <c r="P276" i="8"/>
  <c r="O276" i="8"/>
  <c r="N276" i="8"/>
  <c r="M276" i="8"/>
  <c r="B276" i="8"/>
  <c r="R275" i="8"/>
  <c r="Q275" i="8"/>
  <c r="P275" i="8"/>
  <c r="O275" i="8"/>
  <c r="N275" i="8"/>
  <c r="M275" i="8"/>
  <c r="B275" i="8"/>
  <c r="R274" i="8"/>
  <c r="Q274" i="8"/>
  <c r="P274" i="8"/>
  <c r="O274" i="8"/>
  <c r="N274" i="8"/>
  <c r="M274" i="8"/>
  <c r="B274" i="8"/>
  <c r="R273" i="8"/>
  <c r="Q273" i="8"/>
  <c r="P273" i="8"/>
  <c r="O273" i="8"/>
  <c r="N273" i="8"/>
  <c r="M273" i="8"/>
  <c r="B273" i="8"/>
  <c r="R272" i="8"/>
  <c r="Q272" i="8"/>
  <c r="P272" i="8"/>
  <c r="O272" i="8"/>
  <c r="N272" i="8"/>
  <c r="M272" i="8"/>
  <c r="B272" i="8"/>
  <c r="R271" i="8"/>
  <c r="Q271" i="8"/>
  <c r="P271" i="8"/>
  <c r="O271" i="8"/>
  <c r="N271" i="8"/>
  <c r="M271" i="8"/>
  <c r="B271" i="8"/>
  <c r="R270" i="8"/>
  <c r="Q270" i="8"/>
  <c r="P270" i="8"/>
  <c r="O270" i="8"/>
  <c r="N270" i="8"/>
  <c r="M270" i="8"/>
  <c r="B270" i="8"/>
  <c r="R269" i="8"/>
  <c r="Q269" i="8"/>
  <c r="P269" i="8"/>
  <c r="O269" i="8"/>
  <c r="N269" i="8"/>
  <c r="M269" i="8"/>
  <c r="B269" i="8"/>
  <c r="R268" i="8"/>
  <c r="Q268" i="8"/>
  <c r="P268" i="8"/>
  <c r="O268" i="8"/>
  <c r="N268" i="8"/>
  <c r="M268" i="8"/>
  <c r="B268" i="8"/>
  <c r="R267" i="8"/>
  <c r="Q267" i="8"/>
  <c r="P267" i="8"/>
  <c r="O267" i="8"/>
  <c r="N267" i="8"/>
  <c r="M267" i="8"/>
  <c r="B267" i="8"/>
  <c r="R266" i="8"/>
  <c r="Q266" i="8"/>
  <c r="P266" i="8"/>
  <c r="O266" i="8"/>
  <c r="N266" i="8"/>
  <c r="M266" i="8"/>
  <c r="B266" i="8"/>
  <c r="R265" i="8"/>
  <c r="Q265" i="8"/>
  <c r="P265" i="8"/>
  <c r="O265" i="8"/>
  <c r="N265" i="8"/>
  <c r="M265" i="8"/>
  <c r="B265" i="8"/>
  <c r="R264" i="8"/>
  <c r="Q264" i="8"/>
  <c r="P264" i="8"/>
  <c r="O264" i="8"/>
  <c r="N264" i="8"/>
  <c r="M264" i="8"/>
  <c r="B264" i="8"/>
  <c r="R263" i="8"/>
  <c r="Q263" i="8"/>
  <c r="P263" i="8"/>
  <c r="O263" i="8"/>
  <c r="N263" i="8"/>
  <c r="M263" i="8"/>
  <c r="B263" i="8"/>
  <c r="R262" i="8"/>
  <c r="Q262" i="8"/>
  <c r="P262" i="8"/>
  <c r="O262" i="8"/>
  <c r="N262" i="8"/>
  <c r="M262" i="8"/>
  <c r="B262" i="8"/>
  <c r="R261" i="8"/>
  <c r="Q261" i="8"/>
  <c r="P261" i="8"/>
  <c r="O261" i="8"/>
  <c r="N261" i="8"/>
  <c r="M261" i="8"/>
  <c r="B261" i="8"/>
  <c r="R260" i="8"/>
  <c r="Q260" i="8"/>
  <c r="P260" i="8"/>
  <c r="O260" i="8"/>
  <c r="N260" i="8"/>
  <c r="M260" i="8"/>
  <c r="B260" i="8"/>
  <c r="R259" i="8"/>
  <c r="Q259" i="8"/>
  <c r="P259" i="8"/>
  <c r="O259" i="8"/>
  <c r="N259" i="8"/>
  <c r="M259" i="8"/>
  <c r="B259" i="8"/>
  <c r="R258" i="8"/>
  <c r="Q258" i="8"/>
  <c r="P258" i="8"/>
  <c r="O258" i="8"/>
  <c r="N258" i="8"/>
  <c r="M258" i="8"/>
  <c r="B258" i="8"/>
  <c r="R257" i="8"/>
  <c r="Q257" i="8"/>
  <c r="P257" i="8"/>
  <c r="O257" i="8"/>
  <c r="N257" i="8"/>
  <c r="M257" i="8"/>
  <c r="B257" i="8"/>
  <c r="R256" i="8"/>
  <c r="Q256" i="8"/>
  <c r="P256" i="8"/>
  <c r="O256" i="8"/>
  <c r="N256" i="8"/>
  <c r="M256" i="8"/>
  <c r="B256" i="8"/>
  <c r="R255" i="8"/>
  <c r="Q255" i="8"/>
  <c r="P255" i="8"/>
  <c r="O255" i="8"/>
  <c r="N255" i="8"/>
  <c r="M255" i="8"/>
  <c r="B255" i="8"/>
  <c r="R254" i="8"/>
  <c r="Q254" i="8"/>
  <c r="P254" i="8"/>
  <c r="O254" i="8"/>
  <c r="N254" i="8"/>
  <c r="M254" i="8"/>
  <c r="B254" i="8"/>
  <c r="R253" i="8"/>
  <c r="Q253" i="8"/>
  <c r="P253" i="8"/>
  <c r="O253" i="8"/>
  <c r="N253" i="8"/>
  <c r="M253" i="8"/>
  <c r="B253" i="8"/>
  <c r="R252" i="8"/>
  <c r="Q252" i="8"/>
  <c r="P252" i="8"/>
  <c r="O252" i="8"/>
  <c r="N252" i="8"/>
  <c r="M252" i="8"/>
  <c r="B252" i="8"/>
  <c r="R251" i="8"/>
  <c r="Q251" i="8"/>
  <c r="P251" i="8"/>
  <c r="O251" i="8"/>
  <c r="N251" i="8"/>
  <c r="M251" i="8"/>
  <c r="B251" i="8"/>
  <c r="R250" i="8"/>
  <c r="Q250" i="8"/>
  <c r="P250" i="8"/>
  <c r="O250" i="8"/>
  <c r="N250" i="8"/>
  <c r="M250" i="8"/>
  <c r="B250" i="8"/>
  <c r="R249" i="8"/>
  <c r="Q249" i="8"/>
  <c r="P249" i="8"/>
  <c r="O249" i="8"/>
  <c r="N249" i="8"/>
  <c r="M249" i="8"/>
  <c r="B249" i="8"/>
  <c r="R248" i="8"/>
  <c r="Q248" i="8"/>
  <c r="P248" i="8"/>
  <c r="O248" i="8"/>
  <c r="N248" i="8"/>
  <c r="M248" i="8"/>
  <c r="B248" i="8"/>
  <c r="R247" i="8"/>
  <c r="Q247" i="8"/>
  <c r="P247" i="8"/>
  <c r="O247" i="8"/>
  <c r="N247" i="8"/>
  <c r="M247" i="8"/>
  <c r="B247" i="8"/>
  <c r="R246" i="8"/>
  <c r="Q246" i="8"/>
  <c r="P246" i="8"/>
  <c r="O246" i="8"/>
  <c r="N246" i="8"/>
  <c r="M246" i="8"/>
  <c r="B246" i="8"/>
  <c r="R245" i="8"/>
  <c r="Q245" i="8"/>
  <c r="P245" i="8"/>
  <c r="O245" i="8"/>
  <c r="N245" i="8"/>
  <c r="M245" i="8"/>
  <c r="B245" i="8"/>
  <c r="R244" i="8"/>
  <c r="Q244" i="8"/>
  <c r="P244" i="8"/>
  <c r="O244" i="8"/>
  <c r="N244" i="8"/>
  <c r="M244" i="8"/>
  <c r="B244" i="8"/>
  <c r="R243" i="8"/>
  <c r="Q243" i="8"/>
  <c r="P243" i="8"/>
  <c r="O243" i="8"/>
  <c r="N243" i="8"/>
  <c r="M243" i="8"/>
  <c r="B243" i="8"/>
  <c r="R242" i="8"/>
  <c r="Q242" i="8"/>
  <c r="P242" i="8"/>
  <c r="O242" i="8"/>
  <c r="N242" i="8"/>
  <c r="M242" i="8"/>
  <c r="B242" i="8"/>
  <c r="R241" i="8"/>
  <c r="Q241" i="8"/>
  <c r="P241" i="8"/>
  <c r="O241" i="8"/>
  <c r="N241" i="8"/>
  <c r="M241" i="8"/>
  <c r="B241" i="8"/>
  <c r="R240" i="8"/>
  <c r="Q240" i="8"/>
  <c r="P240" i="8"/>
  <c r="O240" i="8"/>
  <c r="N240" i="8"/>
  <c r="M240" i="8"/>
  <c r="B240" i="8"/>
  <c r="R239" i="8"/>
  <c r="Q239" i="8"/>
  <c r="P239" i="8"/>
  <c r="O239" i="8"/>
  <c r="N239" i="8"/>
  <c r="M239" i="8"/>
  <c r="B239" i="8"/>
  <c r="R238" i="8"/>
  <c r="Q238" i="8"/>
  <c r="P238" i="8"/>
  <c r="O238" i="8"/>
  <c r="N238" i="8"/>
  <c r="M238" i="8"/>
  <c r="B238" i="8"/>
  <c r="R237" i="8"/>
  <c r="Q237" i="8"/>
  <c r="P237" i="8"/>
  <c r="O237" i="8"/>
  <c r="N237" i="8"/>
  <c r="M237" i="8"/>
  <c r="B237" i="8"/>
  <c r="R236" i="8"/>
  <c r="Q236" i="8"/>
  <c r="P236" i="8"/>
  <c r="O236" i="8"/>
  <c r="N236" i="8"/>
  <c r="M236" i="8"/>
  <c r="B236" i="8"/>
  <c r="R235" i="8"/>
  <c r="Q235" i="8"/>
  <c r="P235" i="8"/>
  <c r="O235" i="8"/>
  <c r="N235" i="8"/>
  <c r="M235" i="8"/>
  <c r="B235" i="8"/>
  <c r="R234" i="8"/>
  <c r="Q234" i="8"/>
  <c r="P234" i="8"/>
  <c r="O234" i="8"/>
  <c r="N234" i="8"/>
  <c r="M234" i="8"/>
  <c r="B234" i="8"/>
  <c r="R233" i="8"/>
  <c r="Q233" i="8"/>
  <c r="P233" i="8"/>
  <c r="O233" i="8"/>
  <c r="N233" i="8"/>
  <c r="M233" i="8"/>
  <c r="B233" i="8"/>
  <c r="R232" i="8"/>
  <c r="Q232" i="8"/>
  <c r="P232" i="8"/>
  <c r="O232" i="8"/>
  <c r="N232" i="8"/>
  <c r="M232" i="8"/>
  <c r="B232" i="8"/>
  <c r="R231" i="8"/>
  <c r="Q231" i="8"/>
  <c r="P231" i="8"/>
  <c r="O231" i="8"/>
  <c r="N231" i="8"/>
  <c r="M231" i="8"/>
  <c r="B231" i="8"/>
  <c r="R230" i="8"/>
  <c r="Q230" i="8"/>
  <c r="P230" i="8"/>
  <c r="O230" i="8"/>
  <c r="N230" i="8"/>
  <c r="M230" i="8"/>
  <c r="B230" i="8"/>
  <c r="R229" i="8"/>
  <c r="Q229" i="8"/>
  <c r="P229" i="8"/>
  <c r="O229" i="8"/>
  <c r="N229" i="8"/>
  <c r="M229" i="8"/>
  <c r="B229" i="8"/>
  <c r="R228" i="8"/>
  <c r="Q228" i="8"/>
  <c r="P228" i="8"/>
  <c r="O228" i="8"/>
  <c r="N228" i="8"/>
  <c r="M228" i="8"/>
  <c r="B228" i="8"/>
  <c r="R227" i="8"/>
  <c r="Q227" i="8"/>
  <c r="P227" i="8"/>
  <c r="O227" i="8"/>
  <c r="N227" i="8"/>
  <c r="M227" i="8"/>
  <c r="B227" i="8"/>
  <c r="R226" i="8"/>
  <c r="Q226" i="8"/>
  <c r="P226" i="8"/>
  <c r="O226" i="8"/>
  <c r="N226" i="8"/>
  <c r="M226" i="8"/>
  <c r="B226" i="8"/>
  <c r="E37" i="17" s="1"/>
  <c r="R225" i="8"/>
  <c r="P225" i="8" s="1"/>
  <c r="Q225" i="8"/>
  <c r="O225" i="8"/>
  <c r="N225" i="8"/>
  <c r="M225" i="8"/>
  <c r="R224" i="8"/>
  <c r="Q224" i="8"/>
  <c r="P224" i="8"/>
  <c r="O224" i="8"/>
  <c r="N224" i="8"/>
  <c r="M224" i="8"/>
  <c r="R223" i="8"/>
  <c r="Q223" i="8"/>
  <c r="P223" i="8"/>
  <c r="O223" i="8"/>
  <c r="N223" i="8"/>
  <c r="M223" i="8"/>
  <c r="R222" i="8"/>
  <c r="P222" i="8" s="1"/>
  <c r="Q222" i="8"/>
  <c r="O222" i="8"/>
  <c r="N222" i="8"/>
  <c r="M222" i="8"/>
  <c r="R221" i="8"/>
  <c r="Q221" i="8"/>
  <c r="P221" i="8"/>
  <c r="O221" i="8"/>
  <c r="N221" i="8"/>
  <c r="M221" i="8"/>
  <c r="R220" i="8"/>
  <c r="P220" i="8" s="1"/>
  <c r="Q220" i="8"/>
  <c r="O220" i="8"/>
  <c r="N220" i="8"/>
  <c r="M220" i="8"/>
  <c r="R219" i="8"/>
  <c r="Q219" i="8"/>
  <c r="P219" i="8"/>
  <c r="O219" i="8"/>
  <c r="N219" i="8"/>
  <c r="M219" i="8"/>
  <c r="R218" i="8"/>
  <c r="Q218" i="8"/>
  <c r="P218" i="8"/>
  <c r="O218" i="8"/>
  <c r="N218" i="8"/>
  <c r="M218" i="8"/>
  <c r="R217" i="8"/>
  <c r="P217" i="8" s="1"/>
  <c r="Q217" i="8"/>
  <c r="O217" i="8"/>
  <c r="N217" i="8"/>
  <c r="M217" i="8"/>
  <c r="R216" i="8"/>
  <c r="Q216" i="8"/>
  <c r="P216" i="8"/>
  <c r="O216" i="8"/>
  <c r="N216" i="8"/>
  <c r="M216" i="8"/>
  <c r="R215" i="8"/>
  <c r="P215" i="8" s="1"/>
  <c r="Q215" i="8"/>
  <c r="O215" i="8"/>
  <c r="N215" i="8"/>
  <c r="M215" i="8"/>
  <c r="R214" i="8"/>
  <c r="Q214" i="8"/>
  <c r="P214" i="8"/>
  <c r="O214" i="8"/>
  <c r="N214" i="8"/>
  <c r="M214" i="8"/>
  <c r="R213" i="8"/>
  <c r="Q213" i="8"/>
  <c r="P213" i="8"/>
  <c r="O213" i="8"/>
  <c r="N213" i="8"/>
  <c r="M213" i="8"/>
  <c r="R212" i="8"/>
  <c r="P212" i="8" s="1"/>
  <c r="Q212" i="8"/>
  <c r="O212" i="8"/>
  <c r="N212" i="8"/>
  <c r="M212" i="8"/>
  <c r="R211" i="8"/>
  <c r="Q211" i="8"/>
  <c r="P211" i="8"/>
  <c r="O211" i="8"/>
  <c r="N211" i="8"/>
  <c r="M211" i="8"/>
  <c r="R210" i="8"/>
  <c r="P210" i="8" s="1"/>
  <c r="Q210" i="8"/>
  <c r="O210" i="8"/>
  <c r="N210" i="8"/>
  <c r="M210" i="8"/>
  <c r="R209" i="8"/>
  <c r="Q209" i="8"/>
  <c r="P209" i="8"/>
  <c r="O209" i="8"/>
  <c r="N209" i="8"/>
  <c r="M209" i="8"/>
  <c r="R208" i="8"/>
  <c r="Q208" i="8"/>
  <c r="P208" i="8"/>
  <c r="O208" i="8"/>
  <c r="N208" i="8"/>
  <c r="M208" i="8"/>
  <c r="R207" i="8"/>
  <c r="Q207" i="8"/>
  <c r="P207" i="8"/>
  <c r="O207" i="8"/>
  <c r="N207" i="8"/>
  <c r="M207" i="8"/>
  <c r="R206" i="8"/>
  <c r="Q206" i="8"/>
  <c r="P206" i="8"/>
  <c r="O206" i="8"/>
  <c r="N206" i="8"/>
  <c r="M206" i="8"/>
  <c r="R205" i="8"/>
  <c r="Q205" i="8"/>
  <c r="P205" i="8"/>
  <c r="O205" i="8"/>
  <c r="N205" i="8"/>
  <c r="M205" i="8"/>
  <c r="R204" i="8"/>
  <c r="Q204" i="8"/>
  <c r="P204" i="8"/>
  <c r="O204" i="8"/>
  <c r="N204" i="8"/>
  <c r="M204" i="8"/>
  <c r="R203" i="8"/>
  <c r="Q203" i="8"/>
  <c r="P203" i="8"/>
  <c r="O203" i="8"/>
  <c r="N203" i="8"/>
  <c r="M203" i="8"/>
  <c r="R202" i="8"/>
  <c r="Q202" i="8"/>
  <c r="P202" i="8"/>
  <c r="O202" i="8"/>
  <c r="N202" i="8"/>
  <c r="M202" i="8"/>
  <c r="R201" i="8"/>
  <c r="Q201" i="8"/>
  <c r="P201" i="8"/>
  <c r="O201" i="8"/>
  <c r="N201" i="8"/>
  <c r="M201" i="8"/>
  <c r="R200" i="8"/>
  <c r="Q200" i="8"/>
  <c r="P200" i="8"/>
  <c r="O200" i="8"/>
  <c r="N200" i="8"/>
  <c r="M200" i="8"/>
  <c r="R199" i="8"/>
  <c r="Q199" i="8"/>
  <c r="P199" i="8"/>
  <c r="O199" i="8"/>
  <c r="N199" i="8"/>
  <c r="M199" i="8"/>
  <c r="R198" i="8"/>
  <c r="Q198" i="8"/>
  <c r="P198" i="8"/>
  <c r="O198" i="8"/>
  <c r="N198" i="8"/>
  <c r="M198" i="8"/>
  <c r="R197" i="8"/>
  <c r="Q197" i="8"/>
  <c r="P197" i="8"/>
  <c r="O197" i="8"/>
  <c r="N197" i="8"/>
  <c r="M197" i="8"/>
  <c r="R196" i="8"/>
  <c r="Q196" i="8"/>
  <c r="P196" i="8"/>
  <c r="O196" i="8"/>
  <c r="N196" i="8"/>
  <c r="M196" i="8"/>
  <c r="R195" i="8"/>
  <c r="Q195" i="8"/>
  <c r="P195" i="8"/>
  <c r="O195" i="8"/>
  <c r="N195" i="8"/>
  <c r="M195" i="8"/>
  <c r="R194" i="8"/>
  <c r="Q194" i="8"/>
  <c r="P194" i="8"/>
  <c r="O194" i="8"/>
  <c r="N194" i="8"/>
  <c r="M194" i="8"/>
  <c r="R193" i="8"/>
  <c r="Q193" i="8"/>
  <c r="P193" i="8"/>
  <c r="O193" i="8"/>
  <c r="N193" i="8"/>
  <c r="M193" i="8"/>
  <c r="R192" i="8"/>
  <c r="Q192" i="8"/>
  <c r="P192" i="8"/>
  <c r="O192" i="8"/>
  <c r="N192" i="8"/>
  <c r="M192" i="8"/>
  <c r="R191" i="8"/>
  <c r="Q191" i="8"/>
  <c r="P191" i="8"/>
  <c r="O191" i="8"/>
  <c r="N191" i="8"/>
  <c r="M191" i="8"/>
  <c r="R190" i="8"/>
  <c r="Q190" i="8"/>
  <c r="P190" i="8"/>
  <c r="O190" i="8"/>
  <c r="N190" i="8"/>
  <c r="M190" i="8"/>
  <c r="R189" i="8"/>
  <c r="Q189" i="8"/>
  <c r="P189" i="8"/>
  <c r="O189" i="8"/>
  <c r="N189" i="8"/>
  <c r="M189" i="8"/>
  <c r="R188" i="8"/>
  <c r="Q188" i="8"/>
  <c r="P188" i="8"/>
  <c r="O188" i="8"/>
  <c r="N188" i="8"/>
  <c r="M188" i="8"/>
  <c r="R187" i="8"/>
  <c r="Q187" i="8"/>
  <c r="P187" i="8"/>
  <c r="O187" i="8"/>
  <c r="N187" i="8"/>
  <c r="M187" i="8"/>
  <c r="R186" i="8"/>
  <c r="Q186" i="8"/>
  <c r="P186" i="8"/>
  <c r="O186" i="8"/>
  <c r="N186" i="8"/>
  <c r="M186" i="8"/>
  <c r="R185" i="8"/>
  <c r="Q185" i="8"/>
  <c r="P185" i="8"/>
  <c r="O185" i="8"/>
  <c r="N185" i="8"/>
  <c r="M185" i="8"/>
  <c r="R184" i="8"/>
  <c r="Q184" i="8"/>
  <c r="P184" i="8"/>
  <c r="O184" i="8"/>
  <c r="N184" i="8"/>
  <c r="M184" i="8"/>
  <c r="R183" i="8"/>
  <c r="Q183" i="8"/>
  <c r="P183" i="8"/>
  <c r="O183" i="8"/>
  <c r="N183" i="8"/>
  <c r="M183" i="8"/>
  <c r="R182" i="8"/>
  <c r="Q182" i="8"/>
  <c r="P182" i="8"/>
  <c r="O182" i="8"/>
  <c r="N182" i="8"/>
  <c r="M182" i="8"/>
  <c r="R181" i="8"/>
  <c r="Q181" i="8"/>
  <c r="P181" i="8"/>
  <c r="O181" i="8"/>
  <c r="N181" i="8"/>
  <c r="M181" i="8"/>
  <c r="R180" i="8"/>
  <c r="Q180" i="8"/>
  <c r="P180" i="8"/>
  <c r="O180" i="8"/>
  <c r="N180" i="8"/>
  <c r="M180" i="8"/>
  <c r="R179" i="8"/>
  <c r="Q179" i="8"/>
  <c r="P179" i="8"/>
  <c r="O179" i="8"/>
  <c r="N179" i="8"/>
  <c r="M179" i="8"/>
  <c r="R178" i="8"/>
  <c r="Q178" i="8"/>
  <c r="P178" i="8"/>
  <c r="O178" i="8"/>
  <c r="N178" i="8"/>
  <c r="M178" i="8"/>
  <c r="R177" i="8"/>
  <c r="Q177" i="8"/>
  <c r="P177" i="8"/>
  <c r="O177" i="8"/>
  <c r="N177" i="8"/>
  <c r="M177" i="8"/>
  <c r="R176" i="8"/>
  <c r="Q176" i="8"/>
  <c r="P176" i="8"/>
  <c r="O176" i="8"/>
  <c r="N176" i="8"/>
  <c r="M176" i="8"/>
  <c r="R175" i="8"/>
  <c r="Q175" i="8"/>
  <c r="P175" i="8"/>
  <c r="O175" i="8"/>
  <c r="N175" i="8"/>
  <c r="M175" i="8"/>
  <c r="R174" i="8"/>
  <c r="Q174" i="8"/>
  <c r="P174" i="8"/>
  <c r="O174" i="8"/>
  <c r="N174" i="8"/>
  <c r="M174" i="8"/>
  <c r="R173" i="8"/>
  <c r="Q173" i="8"/>
  <c r="P173" i="8"/>
  <c r="O173" i="8"/>
  <c r="N173" i="8"/>
  <c r="M173" i="8"/>
  <c r="R172" i="8"/>
  <c r="Q172" i="8"/>
  <c r="P172" i="8"/>
  <c r="O172" i="8"/>
  <c r="N172" i="8"/>
  <c r="M172" i="8"/>
  <c r="R171" i="8"/>
  <c r="Q171" i="8"/>
  <c r="P171" i="8"/>
  <c r="O171" i="8"/>
  <c r="N171" i="8"/>
  <c r="M171" i="8"/>
  <c r="R170" i="8"/>
  <c r="Q170" i="8"/>
  <c r="P170" i="8"/>
  <c r="O170" i="8"/>
  <c r="N170" i="8"/>
  <c r="M170" i="8"/>
  <c r="R169" i="8"/>
  <c r="Q169" i="8"/>
  <c r="P169" i="8"/>
  <c r="O169" i="8"/>
  <c r="N169" i="8"/>
  <c r="M169" i="8"/>
  <c r="R168" i="8"/>
  <c r="Q168" i="8"/>
  <c r="P168" i="8"/>
  <c r="O168" i="8"/>
  <c r="N168" i="8"/>
  <c r="M168" i="8"/>
  <c r="R167" i="8"/>
  <c r="Q167" i="8"/>
  <c r="P167" i="8"/>
  <c r="O167" i="8"/>
  <c r="N167" i="8"/>
  <c r="M167" i="8"/>
  <c r="R166" i="8"/>
  <c r="Q166" i="8"/>
  <c r="P166" i="8"/>
  <c r="O166" i="8"/>
  <c r="N166" i="8"/>
  <c r="M166" i="8"/>
  <c r="R165" i="8"/>
  <c r="Q165" i="8"/>
  <c r="P165" i="8"/>
  <c r="O165" i="8"/>
  <c r="N165" i="8"/>
  <c r="M165" i="8"/>
  <c r="R164" i="8"/>
  <c r="Q164" i="8"/>
  <c r="P164" i="8"/>
  <c r="O164" i="8"/>
  <c r="N164" i="8"/>
  <c r="M164" i="8"/>
  <c r="R163" i="8"/>
  <c r="Q163" i="8"/>
  <c r="P163" i="8"/>
  <c r="O163" i="8"/>
  <c r="N163" i="8"/>
  <c r="M163" i="8"/>
  <c r="R162" i="8"/>
  <c r="Q162" i="8"/>
  <c r="P162" i="8"/>
  <c r="O162" i="8"/>
  <c r="N162" i="8"/>
  <c r="M162" i="8"/>
  <c r="R161" i="8"/>
  <c r="Q161" i="8"/>
  <c r="P161" i="8"/>
  <c r="O161" i="8"/>
  <c r="N161" i="8"/>
  <c r="M161" i="8"/>
  <c r="R160" i="8"/>
  <c r="Q160" i="8"/>
  <c r="P160" i="8"/>
  <c r="O160" i="8"/>
  <c r="N160" i="8"/>
  <c r="M160" i="8"/>
  <c r="R159" i="8"/>
  <c r="Q159" i="8"/>
  <c r="P159" i="8"/>
  <c r="O159" i="8"/>
  <c r="N159" i="8"/>
  <c r="M159" i="8"/>
  <c r="R158" i="8"/>
  <c r="Q158" i="8"/>
  <c r="P158" i="8"/>
  <c r="O158" i="8"/>
  <c r="N158" i="8"/>
  <c r="M158" i="8"/>
  <c r="R157" i="8"/>
  <c r="Q157" i="8"/>
  <c r="P157" i="8"/>
  <c r="O157" i="8"/>
  <c r="N157" i="8"/>
  <c r="M157" i="8"/>
  <c r="R156" i="8"/>
  <c r="Q156" i="8"/>
  <c r="P156" i="8"/>
  <c r="O156" i="8"/>
  <c r="N156" i="8"/>
  <c r="M156" i="8"/>
  <c r="R155" i="8"/>
  <c r="Q155" i="8"/>
  <c r="P155" i="8"/>
  <c r="O155" i="8"/>
  <c r="N155" i="8"/>
  <c r="M155" i="8"/>
  <c r="R154" i="8"/>
  <c r="Q154" i="8"/>
  <c r="P154" i="8"/>
  <c r="O154" i="8"/>
  <c r="N154" i="8"/>
  <c r="M154" i="8"/>
  <c r="R153" i="8"/>
  <c r="Q153" i="8"/>
  <c r="P153" i="8"/>
  <c r="O153" i="8"/>
  <c r="N153" i="8"/>
  <c r="M153" i="8"/>
  <c r="R152" i="8"/>
  <c r="Q152" i="8"/>
  <c r="P152" i="8"/>
  <c r="O152" i="8"/>
  <c r="N152" i="8"/>
  <c r="M152" i="8"/>
  <c r="R151" i="8"/>
  <c r="Q151" i="8"/>
  <c r="P151" i="8"/>
  <c r="O151" i="8"/>
  <c r="N151" i="8"/>
  <c r="M151" i="8"/>
  <c r="R150" i="8"/>
  <c r="Q150" i="8"/>
  <c r="P150" i="8"/>
  <c r="O150" i="8"/>
  <c r="N150" i="8"/>
  <c r="M150" i="8"/>
  <c r="R149" i="8"/>
  <c r="Q149" i="8"/>
  <c r="P149" i="8"/>
  <c r="O149" i="8"/>
  <c r="N149" i="8"/>
  <c r="M149" i="8"/>
  <c r="R148" i="8"/>
  <c r="Q148" i="8"/>
  <c r="P148" i="8"/>
  <c r="O148" i="8"/>
  <c r="N148" i="8"/>
  <c r="M148" i="8"/>
  <c r="R147" i="8"/>
  <c r="Q147" i="8"/>
  <c r="P147" i="8"/>
  <c r="O147" i="8"/>
  <c r="N147" i="8"/>
  <c r="M147" i="8"/>
  <c r="R146" i="8"/>
  <c r="Q146" i="8"/>
  <c r="P146" i="8"/>
  <c r="O146" i="8"/>
  <c r="N146" i="8"/>
  <c r="M146" i="8"/>
  <c r="R145" i="8"/>
  <c r="Q145" i="8"/>
  <c r="P145" i="8"/>
  <c r="O145" i="8"/>
  <c r="N145" i="8"/>
  <c r="M145" i="8"/>
  <c r="R144" i="8"/>
  <c r="Q144" i="8"/>
  <c r="P144" i="8"/>
  <c r="O144" i="8"/>
  <c r="N144" i="8"/>
  <c r="M144" i="8"/>
  <c r="R143" i="8"/>
  <c r="Q143" i="8"/>
  <c r="P143" i="8"/>
  <c r="O143" i="8"/>
  <c r="N143" i="8"/>
  <c r="M143" i="8"/>
  <c r="R142" i="8"/>
  <c r="Q142" i="8"/>
  <c r="P142" i="8"/>
  <c r="O142" i="8"/>
  <c r="N142" i="8"/>
  <c r="M142" i="8"/>
  <c r="R141" i="8"/>
  <c r="Q141" i="8"/>
  <c r="P141" i="8"/>
  <c r="O141" i="8"/>
  <c r="N141" i="8"/>
  <c r="M141" i="8"/>
  <c r="R140" i="8"/>
  <c r="Q140" i="8"/>
  <c r="P140" i="8"/>
  <c r="O140" i="8"/>
  <c r="N140" i="8"/>
  <c r="M140" i="8"/>
  <c r="R139" i="8"/>
  <c r="Q139" i="8"/>
  <c r="P139" i="8"/>
  <c r="O139" i="8"/>
  <c r="N139" i="8"/>
  <c r="M139" i="8"/>
  <c r="R138" i="8"/>
  <c r="Q138" i="8"/>
  <c r="P138" i="8"/>
  <c r="O138" i="8"/>
  <c r="N138" i="8"/>
  <c r="M138" i="8"/>
  <c r="R137" i="8"/>
  <c r="Q137" i="8"/>
  <c r="P137" i="8"/>
  <c r="O137" i="8"/>
  <c r="N137" i="8"/>
  <c r="M137" i="8"/>
  <c r="R136" i="8"/>
  <c r="Q136" i="8"/>
  <c r="P136" i="8"/>
  <c r="O136" i="8"/>
  <c r="N136" i="8"/>
  <c r="M136" i="8"/>
  <c r="R135" i="8"/>
  <c r="Q135" i="8"/>
  <c r="P135" i="8"/>
  <c r="O135" i="8"/>
  <c r="N135" i="8"/>
  <c r="M135" i="8"/>
  <c r="R134" i="8"/>
  <c r="Q134" i="8"/>
  <c r="P134" i="8"/>
  <c r="O134" i="8"/>
  <c r="N134" i="8"/>
  <c r="M134" i="8"/>
  <c r="R133" i="8"/>
  <c r="Q133" i="8"/>
  <c r="P133" i="8"/>
  <c r="O133" i="8"/>
  <c r="N133" i="8"/>
  <c r="M133" i="8"/>
  <c r="R132" i="8"/>
  <c r="Q132" i="8"/>
  <c r="P132" i="8"/>
  <c r="O132" i="8"/>
  <c r="N132" i="8"/>
  <c r="M132" i="8"/>
  <c r="R131" i="8"/>
  <c r="Q131" i="8"/>
  <c r="P131" i="8"/>
  <c r="O131" i="8"/>
  <c r="N131" i="8"/>
  <c r="M131" i="8"/>
  <c r="R130" i="8"/>
  <c r="Q130" i="8"/>
  <c r="P130" i="8"/>
  <c r="O130" i="8"/>
  <c r="N130" i="8"/>
  <c r="M130" i="8"/>
  <c r="R129" i="8"/>
  <c r="Q129" i="8"/>
  <c r="P129" i="8"/>
  <c r="O129" i="8"/>
  <c r="N129" i="8"/>
  <c r="M129" i="8"/>
  <c r="R128" i="8"/>
  <c r="Q128" i="8"/>
  <c r="P128" i="8"/>
  <c r="O128" i="8"/>
  <c r="N128" i="8"/>
  <c r="M128" i="8"/>
  <c r="R127" i="8"/>
  <c r="Q127" i="8"/>
  <c r="P127" i="8"/>
  <c r="O127" i="8"/>
  <c r="N127" i="8"/>
  <c r="M127" i="8"/>
  <c r="R126" i="8"/>
  <c r="Q126" i="8"/>
  <c r="P126" i="8"/>
  <c r="O126" i="8"/>
  <c r="N126" i="8"/>
  <c r="M126" i="8"/>
  <c r="R125" i="8"/>
  <c r="Q125" i="8"/>
  <c r="P125" i="8"/>
  <c r="O125" i="8"/>
  <c r="N125" i="8"/>
  <c r="M125" i="8"/>
  <c r="R124" i="8"/>
  <c r="Q124" i="8"/>
  <c r="P124" i="8"/>
  <c r="O124" i="8"/>
  <c r="N124" i="8"/>
  <c r="M124" i="8"/>
  <c r="R123" i="8"/>
  <c r="Q123" i="8"/>
  <c r="P123" i="8"/>
  <c r="O123" i="8"/>
  <c r="N123" i="8"/>
  <c r="M123" i="8"/>
  <c r="R122" i="8"/>
  <c r="Q122" i="8"/>
  <c r="P122" i="8"/>
  <c r="O122" i="8"/>
  <c r="N122" i="8"/>
  <c r="M122" i="8"/>
  <c r="R121" i="8"/>
  <c r="Q121" i="8"/>
  <c r="P121" i="8"/>
  <c r="O121" i="8"/>
  <c r="N121" i="8"/>
  <c r="M121" i="8"/>
  <c r="R120" i="8"/>
  <c r="Q120" i="8"/>
  <c r="P120" i="8"/>
  <c r="O120" i="8"/>
  <c r="N120" i="8"/>
  <c r="M120" i="8"/>
  <c r="R119" i="8"/>
  <c r="Q119" i="8"/>
  <c r="P119" i="8"/>
  <c r="O119" i="8"/>
  <c r="N119" i="8"/>
  <c r="M119" i="8"/>
  <c r="R118" i="8"/>
  <c r="Q118" i="8"/>
  <c r="P118" i="8"/>
  <c r="O118" i="8"/>
  <c r="N118" i="8"/>
  <c r="M118" i="8"/>
  <c r="R117" i="8"/>
  <c r="Q117" i="8"/>
  <c r="P117" i="8"/>
  <c r="O117" i="8"/>
  <c r="N117" i="8"/>
  <c r="M117" i="8"/>
  <c r="R116" i="8"/>
  <c r="Q116" i="8"/>
  <c r="P116" i="8"/>
  <c r="O116" i="8"/>
  <c r="N116" i="8"/>
  <c r="M116" i="8"/>
  <c r="R115" i="8"/>
  <c r="Q115" i="8"/>
  <c r="P115" i="8"/>
  <c r="O115" i="8"/>
  <c r="N115" i="8"/>
  <c r="M115" i="8"/>
  <c r="R114" i="8"/>
  <c r="Q114" i="8"/>
  <c r="P114" i="8"/>
  <c r="O114" i="8"/>
  <c r="N114" i="8"/>
  <c r="M114" i="8"/>
  <c r="R113" i="8"/>
  <c r="Q113" i="8"/>
  <c r="P113" i="8"/>
  <c r="O113" i="8"/>
  <c r="N113" i="8"/>
  <c r="M113" i="8"/>
  <c r="R112" i="8"/>
  <c r="Q112" i="8"/>
  <c r="P112" i="8"/>
  <c r="O112" i="8"/>
  <c r="N112" i="8"/>
  <c r="M112" i="8"/>
  <c r="R111" i="8"/>
  <c r="Q111" i="8"/>
  <c r="P111" i="8"/>
  <c r="O111" i="8"/>
  <c r="N111" i="8"/>
  <c r="M111" i="8"/>
  <c r="R110" i="8"/>
  <c r="Q110" i="8"/>
  <c r="P110" i="8"/>
  <c r="O110" i="8"/>
  <c r="N110" i="8"/>
  <c r="M110" i="8"/>
  <c r="R109" i="8"/>
  <c r="Q109" i="8"/>
  <c r="P109" i="8"/>
  <c r="O109" i="8"/>
  <c r="N109" i="8"/>
  <c r="M109" i="8"/>
  <c r="R108" i="8"/>
  <c r="Q108" i="8"/>
  <c r="P108" i="8"/>
  <c r="O108" i="8"/>
  <c r="N108" i="8"/>
  <c r="M108" i="8"/>
  <c r="R107" i="8"/>
  <c r="Q107" i="8"/>
  <c r="P107" i="8"/>
  <c r="O107" i="8"/>
  <c r="N107" i="8"/>
  <c r="M107" i="8"/>
  <c r="R106" i="8"/>
  <c r="Q106" i="8"/>
  <c r="P106" i="8"/>
  <c r="O106" i="8"/>
  <c r="N106" i="8"/>
  <c r="M106" i="8"/>
  <c r="R105" i="8"/>
  <c r="Q105" i="8"/>
  <c r="P105" i="8"/>
  <c r="O105" i="8"/>
  <c r="N105" i="8"/>
  <c r="M105" i="8"/>
  <c r="R104" i="8"/>
  <c r="Q104" i="8"/>
  <c r="P104" i="8"/>
  <c r="O104" i="8"/>
  <c r="N104" i="8"/>
  <c r="M104" i="8"/>
  <c r="R103" i="8"/>
  <c r="Q103" i="8"/>
  <c r="P103" i="8"/>
  <c r="O103" i="8"/>
  <c r="N103" i="8"/>
  <c r="M103" i="8"/>
  <c r="R102" i="8"/>
  <c r="Q102" i="8"/>
  <c r="P102" i="8"/>
  <c r="O102" i="8"/>
  <c r="N102" i="8"/>
  <c r="M102" i="8"/>
  <c r="R101" i="8"/>
  <c r="Q101" i="8"/>
  <c r="P101" i="8"/>
  <c r="O101" i="8"/>
  <c r="N101" i="8"/>
  <c r="M101" i="8"/>
  <c r="R100" i="8"/>
  <c r="Q100" i="8"/>
  <c r="P100" i="8"/>
  <c r="O100" i="8"/>
  <c r="N100" i="8"/>
  <c r="M100" i="8"/>
  <c r="R99" i="8"/>
  <c r="Q99" i="8"/>
  <c r="P99" i="8"/>
  <c r="O99" i="8"/>
  <c r="N99" i="8"/>
  <c r="M99" i="8"/>
  <c r="R98" i="8"/>
  <c r="Q98" i="8"/>
  <c r="P98" i="8"/>
  <c r="O98" i="8"/>
  <c r="N98" i="8"/>
  <c r="M98" i="8"/>
  <c r="R97" i="8"/>
  <c r="Q97" i="8"/>
  <c r="P97" i="8"/>
  <c r="O97" i="8"/>
  <c r="N97" i="8"/>
  <c r="M97" i="8"/>
  <c r="R96" i="8"/>
  <c r="Q96" i="8"/>
  <c r="P96" i="8"/>
  <c r="O96" i="8"/>
  <c r="N96" i="8"/>
  <c r="M96" i="8"/>
  <c r="R95" i="8"/>
  <c r="Q95" i="8"/>
  <c r="P95" i="8"/>
  <c r="O95" i="8"/>
  <c r="N95" i="8"/>
  <c r="M95" i="8"/>
  <c r="R94" i="8"/>
  <c r="Q94" i="8"/>
  <c r="P94" i="8"/>
  <c r="O94" i="8"/>
  <c r="N94" i="8"/>
  <c r="M94" i="8"/>
  <c r="R93" i="8"/>
  <c r="Q93" i="8"/>
  <c r="P93" i="8"/>
  <c r="O93" i="8"/>
  <c r="N93" i="8"/>
  <c r="M93" i="8"/>
  <c r="R92" i="8"/>
  <c r="Q92" i="8"/>
  <c r="P92" i="8"/>
  <c r="O92" i="8"/>
  <c r="N92" i="8"/>
  <c r="M92" i="8"/>
  <c r="R91" i="8"/>
  <c r="Q91" i="8"/>
  <c r="P91" i="8"/>
  <c r="O91" i="8"/>
  <c r="N91" i="8"/>
  <c r="M91" i="8"/>
  <c r="R90" i="8"/>
  <c r="Q90" i="8"/>
  <c r="P90" i="8"/>
  <c r="O90" i="8"/>
  <c r="N90" i="8"/>
  <c r="M90" i="8"/>
  <c r="R89" i="8"/>
  <c r="Q89" i="8"/>
  <c r="P89" i="8"/>
  <c r="O89" i="8"/>
  <c r="N89" i="8"/>
  <c r="M89" i="8"/>
  <c r="R88" i="8"/>
  <c r="Q88" i="8"/>
  <c r="P88" i="8"/>
  <c r="O88" i="8"/>
  <c r="N88" i="8"/>
  <c r="M88" i="8"/>
  <c r="R87" i="8"/>
  <c r="Q87" i="8"/>
  <c r="P87" i="8"/>
  <c r="O87" i="8"/>
  <c r="N87" i="8"/>
  <c r="M87" i="8"/>
  <c r="R86" i="8"/>
  <c r="Q86" i="8"/>
  <c r="P86" i="8"/>
  <c r="O86" i="8"/>
  <c r="N86" i="8"/>
  <c r="M86" i="8"/>
  <c r="R85" i="8"/>
  <c r="Q85" i="8"/>
  <c r="P85" i="8"/>
  <c r="O85" i="8"/>
  <c r="N85" i="8"/>
  <c r="M85" i="8"/>
  <c r="R84" i="8"/>
  <c r="Q84" i="8"/>
  <c r="P84" i="8"/>
  <c r="O84" i="8"/>
  <c r="N84" i="8"/>
  <c r="M84" i="8"/>
  <c r="R83" i="8"/>
  <c r="Q83" i="8"/>
  <c r="P83" i="8"/>
  <c r="O83" i="8"/>
  <c r="N83" i="8"/>
  <c r="M83" i="8"/>
  <c r="R82" i="8"/>
  <c r="Q82" i="8"/>
  <c r="P82" i="8"/>
  <c r="O82" i="8"/>
  <c r="N82" i="8"/>
  <c r="M82" i="8"/>
  <c r="R81" i="8"/>
  <c r="Q81" i="8"/>
  <c r="P81" i="8"/>
  <c r="O81" i="8"/>
  <c r="N81" i="8"/>
  <c r="M81" i="8"/>
  <c r="R80" i="8"/>
  <c r="Q80" i="8"/>
  <c r="P80" i="8"/>
  <c r="O80" i="8"/>
  <c r="N80" i="8"/>
  <c r="M80" i="8"/>
  <c r="R79" i="8"/>
  <c r="Q79" i="8"/>
  <c r="P79" i="8"/>
  <c r="O79" i="8"/>
  <c r="N79" i="8"/>
  <c r="M79" i="8"/>
  <c r="R78" i="8"/>
  <c r="Q78" i="8"/>
  <c r="P78" i="8"/>
  <c r="O78" i="8"/>
  <c r="N78" i="8"/>
  <c r="M78" i="8"/>
  <c r="R77" i="8"/>
  <c r="Q77" i="8"/>
  <c r="P77" i="8"/>
  <c r="O77" i="8"/>
  <c r="N77" i="8"/>
  <c r="M77" i="8"/>
  <c r="R76" i="8"/>
  <c r="Q76" i="8"/>
  <c r="P76" i="8"/>
  <c r="O76" i="8"/>
  <c r="N76" i="8"/>
  <c r="M76" i="8"/>
  <c r="R75" i="8"/>
  <c r="Q75" i="8"/>
  <c r="P75" i="8"/>
  <c r="O75" i="8"/>
  <c r="N75" i="8"/>
  <c r="M75" i="8"/>
  <c r="R74" i="8"/>
  <c r="Q74" i="8"/>
  <c r="P74" i="8"/>
  <c r="O74" i="8"/>
  <c r="N74" i="8"/>
  <c r="M74" i="8"/>
  <c r="R73" i="8"/>
  <c r="Q73" i="8"/>
  <c r="P73" i="8"/>
  <c r="O73" i="8"/>
  <c r="N73" i="8"/>
  <c r="M73" i="8"/>
  <c r="R72" i="8"/>
  <c r="Q72" i="8"/>
  <c r="P72" i="8"/>
  <c r="O72" i="8"/>
  <c r="N72" i="8"/>
  <c r="M72" i="8"/>
  <c r="R71" i="8"/>
  <c r="Q71" i="8"/>
  <c r="P71" i="8"/>
  <c r="O71" i="8"/>
  <c r="N71" i="8"/>
  <c r="M71" i="8"/>
  <c r="R70" i="8"/>
  <c r="Q70" i="8"/>
  <c r="P70" i="8"/>
  <c r="O70" i="8"/>
  <c r="N70" i="8"/>
  <c r="M70" i="8"/>
  <c r="R69" i="8"/>
  <c r="Q69" i="8"/>
  <c r="P69" i="8"/>
  <c r="O69" i="8"/>
  <c r="N69" i="8"/>
  <c r="M69" i="8"/>
  <c r="R68" i="8"/>
  <c r="Q68" i="8"/>
  <c r="P68" i="8"/>
  <c r="O68" i="8"/>
  <c r="N68" i="8"/>
  <c r="M68" i="8"/>
  <c r="R67" i="8"/>
  <c r="Q67" i="8"/>
  <c r="P67" i="8"/>
  <c r="O67" i="8"/>
  <c r="N67" i="8"/>
  <c r="M67" i="8"/>
  <c r="R66" i="8"/>
  <c r="Q66" i="8"/>
  <c r="P66" i="8"/>
  <c r="O66" i="8"/>
  <c r="N66" i="8"/>
  <c r="M66" i="8"/>
  <c r="R65" i="8"/>
  <c r="Q65" i="8"/>
  <c r="P65" i="8"/>
  <c r="O65" i="8"/>
  <c r="N65" i="8"/>
  <c r="M65" i="8"/>
  <c r="R64" i="8"/>
  <c r="Q64" i="8"/>
  <c r="P64" i="8"/>
  <c r="O64" i="8"/>
  <c r="N64" i="8"/>
  <c r="M64" i="8"/>
  <c r="R63" i="8"/>
  <c r="Q63" i="8"/>
  <c r="P63" i="8"/>
  <c r="O63" i="8"/>
  <c r="N63" i="8"/>
  <c r="M63" i="8"/>
  <c r="R62" i="8"/>
  <c r="Q62" i="8"/>
  <c r="P62" i="8"/>
  <c r="O62" i="8"/>
  <c r="N62" i="8"/>
  <c r="M62" i="8"/>
  <c r="R61" i="8"/>
  <c r="Q61" i="8"/>
  <c r="P61" i="8"/>
  <c r="O61" i="8"/>
  <c r="N61" i="8"/>
  <c r="M61" i="8"/>
  <c r="R60" i="8"/>
  <c r="Q60" i="8"/>
  <c r="P60" i="8"/>
  <c r="O60" i="8"/>
  <c r="N60" i="8"/>
  <c r="M60" i="8"/>
  <c r="R59" i="8"/>
  <c r="Q59" i="8"/>
  <c r="P59" i="8"/>
  <c r="O59" i="8"/>
  <c r="N59" i="8"/>
  <c r="M59" i="8"/>
  <c r="R58" i="8"/>
  <c r="Q58" i="8"/>
  <c r="P58" i="8"/>
  <c r="O58" i="8"/>
  <c r="N58" i="8"/>
  <c r="M58" i="8"/>
  <c r="R57" i="8"/>
  <c r="Q57" i="8"/>
  <c r="P57" i="8"/>
  <c r="O57" i="8"/>
  <c r="N57" i="8"/>
  <c r="M57" i="8"/>
  <c r="R56" i="8"/>
  <c r="Q56" i="8"/>
  <c r="P56" i="8"/>
  <c r="O56" i="8"/>
  <c r="N56" i="8"/>
  <c r="M56" i="8"/>
  <c r="R55" i="8"/>
  <c r="Q55" i="8"/>
  <c r="P55" i="8"/>
  <c r="O55" i="8"/>
  <c r="N55" i="8"/>
  <c r="M55" i="8"/>
  <c r="R54" i="8"/>
  <c r="Q54" i="8"/>
  <c r="P54" i="8"/>
  <c r="O54" i="8"/>
  <c r="N54" i="8"/>
  <c r="M54" i="8"/>
  <c r="R53" i="8"/>
  <c r="Q53" i="8"/>
  <c r="P53" i="8"/>
  <c r="O53" i="8"/>
  <c r="N53" i="8"/>
  <c r="M53" i="8"/>
  <c r="R52" i="8"/>
  <c r="Q52" i="8"/>
  <c r="P52" i="8"/>
  <c r="O52" i="8"/>
  <c r="N52" i="8"/>
  <c r="M52" i="8"/>
  <c r="R51" i="8"/>
  <c r="Q51" i="8"/>
  <c r="P51" i="8"/>
  <c r="O51" i="8"/>
  <c r="N51" i="8"/>
  <c r="M51" i="8"/>
  <c r="R50" i="8"/>
  <c r="Q50" i="8"/>
  <c r="P50" i="8"/>
  <c r="O50" i="8"/>
  <c r="N50" i="8"/>
  <c r="M50" i="8"/>
  <c r="R49" i="8"/>
  <c r="Q49" i="8"/>
  <c r="P49" i="8"/>
  <c r="O49" i="8"/>
  <c r="N49" i="8"/>
  <c r="M49" i="8"/>
  <c r="R48" i="8"/>
  <c r="Q48" i="8"/>
  <c r="P48" i="8"/>
  <c r="O48" i="8"/>
  <c r="N48" i="8"/>
  <c r="M48" i="8"/>
  <c r="R47" i="8"/>
  <c r="Q47" i="8"/>
  <c r="P47" i="8"/>
  <c r="O47" i="8"/>
  <c r="N47" i="8"/>
  <c r="M47" i="8"/>
  <c r="R46" i="8"/>
  <c r="Q46" i="8"/>
  <c r="P46" i="8"/>
  <c r="O46" i="8"/>
  <c r="N46" i="8"/>
  <c r="M46" i="8"/>
  <c r="R45" i="8"/>
  <c r="Q45" i="8"/>
  <c r="P45" i="8"/>
  <c r="O45" i="8"/>
  <c r="N45" i="8"/>
  <c r="M45" i="8"/>
  <c r="R44" i="8"/>
  <c r="Q44" i="8"/>
  <c r="P44" i="8"/>
  <c r="O44" i="8"/>
  <c r="N44" i="8"/>
  <c r="M44" i="8"/>
  <c r="R43" i="8"/>
  <c r="Q43" i="8"/>
  <c r="P43" i="8"/>
  <c r="O43" i="8"/>
  <c r="N43" i="8"/>
  <c r="M43" i="8"/>
  <c r="R42" i="8"/>
  <c r="Q42" i="8"/>
  <c r="P42" i="8"/>
  <c r="O42" i="8"/>
  <c r="N42" i="8"/>
  <c r="M42" i="8"/>
  <c r="R41" i="8"/>
  <c r="Q41" i="8"/>
  <c r="P41" i="8"/>
  <c r="O41" i="8"/>
  <c r="N41" i="8"/>
  <c r="M41" i="8"/>
  <c r="R40" i="8"/>
  <c r="Q40" i="8"/>
  <c r="P40" i="8"/>
  <c r="O40" i="8"/>
  <c r="N40" i="8"/>
  <c r="M40" i="8"/>
  <c r="R39" i="8"/>
  <c r="Q39" i="8"/>
  <c r="P39" i="8"/>
  <c r="O39" i="8"/>
  <c r="N39" i="8"/>
  <c r="M39" i="8"/>
  <c r="R38" i="8"/>
  <c r="Q38" i="8"/>
  <c r="P38" i="8"/>
  <c r="O38" i="8"/>
  <c r="N38" i="8"/>
  <c r="M38" i="8"/>
  <c r="R37" i="8"/>
  <c r="Q37" i="8"/>
  <c r="P37" i="8"/>
  <c r="O37" i="8"/>
  <c r="N37" i="8"/>
  <c r="M37" i="8"/>
  <c r="R36" i="8"/>
  <c r="Q36" i="8"/>
  <c r="P36" i="8"/>
  <c r="O36" i="8"/>
  <c r="N36" i="8"/>
  <c r="M36" i="8"/>
  <c r="R35" i="8"/>
  <c r="Q35" i="8"/>
  <c r="P35" i="8"/>
  <c r="O35" i="8"/>
  <c r="N35" i="8"/>
  <c r="M35" i="8"/>
  <c r="R34" i="8"/>
  <c r="Q34" i="8"/>
  <c r="P34" i="8"/>
  <c r="O34" i="8"/>
  <c r="N34" i="8"/>
  <c r="M34" i="8"/>
  <c r="R33" i="8"/>
  <c r="Q33" i="8"/>
  <c r="P33" i="8"/>
  <c r="O33" i="8"/>
  <c r="N33" i="8"/>
  <c r="M33" i="8"/>
  <c r="R32" i="8"/>
  <c r="Q32" i="8"/>
  <c r="P32" i="8"/>
  <c r="O32" i="8"/>
  <c r="N32" i="8"/>
  <c r="M32" i="8"/>
  <c r="R31" i="8"/>
  <c r="Q31" i="8"/>
  <c r="P31" i="8"/>
  <c r="O31" i="8"/>
  <c r="N31" i="8"/>
  <c r="M31" i="8"/>
  <c r="R30" i="8"/>
  <c r="Q30" i="8"/>
  <c r="P30" i="8"/>
  <c r="O30" i="8"/>
  <c r="N30" i="8"/>
  <c r="M30" i="8"/>
  <c r="R29" i="8"/>
  <c r="Q29" i="8"/>
  <c r="P29" i="8"/>
  <c r="O29" i="8"/>
  <c r="N29" i="8"/>
  <c r="M29" i="8"/>
  <c r="R28" i="8"/>
  <c r="Q28" i="8"/>
  <c r="P28" i="8"/>
  <c r="O28" i="8"/>
  <c r="N28" i="8"/>
  <c r="M28" i="8"/>
  <c r="R27" i="8"/>
  <c r="Q27" i="8"/>
  <c r="P27" i="8"/>
  <c r="O27" i="8"/>
  <c r="N27" i="8"/>
  <c r="M27" i="8"/>
  <c r="R26" i="8"/>
  <c r="Q26" i="8"/>
  <c r="P26" i="8"/>
  <c r="O26" i="8"/>
  <c r="N26" i="8"/>
  <c r="M26" i="8"/>
  <c r="R25" i="8"/>
  <c r="Q25" i="8"/>
  <c r="P25" i="8"/>
  <c r="O25" i="8"/>
  <c r="N25" i="8"/>
  <c r="M25" i="8"/>
  <c r="R24" i="8"/>
  <c r="Q24" i="8"/>
  <c r="P24" i="8"/>
  <c r="O24" i="8"/>
  <c r="N24" i="8"/>
  <c r="M24" i="8"/>
  <c r="R23" i="8"/>
  <c r="Q23" i="8"/>
  <c r="P23" i="8"/>
  <c r="O23" i="8"/>
  <c r="N23" i="8"/>
  <c r="M23" i="8"/>
  <c r="R22" i="8"/>
  <c r="Q22" i="8"/>
  <c r="P22" i="8"/>
  <c r="O22" i="8"/>
  <c r="N22" i="8"/>
  <c r="M22" i="8"/>
  <c r="R21" i="8"/>
  <c r="Q21" i="8"/>
  <c r="P21" i="8"/>
  <c r="O21" i="8"/>
  <c r="N21" i="8"/>
  <c r="M21" i="8"/>
  <c r="R20" i="8"/>
  <c r="Q20" i="8"/>
  <c r="P20" i="8"/>
  <c r="O20" i="8"/>
  <c r="N20" i="8"/>
  <c r="M20" i="8"/>
  <c r="R19" i="8"/>
  <c r="Q19" i="8"/>
  <c r="P19" i="8"/>
  <c r="O19" i="8"/>
  <c r="N19" i="8"/>
  <c r="M19" i="8"/>
  <c r="R18" i="8"/>
  <c r="Q18" i="8"/>
  <c r="P18" i="8"/>
  <c r="O18" i="8"/>
  <c r="N18" i="8"/>
  <c r="M18" i="8"/>
  <c r="R17" i="8"/>
  <c r="Q17" i="8"/>
  <c r="P17" i="8"/>
  <c r="O17" i="8"/>
  <c r="N17" i="8"/>
  <c r="M17" i="8"/>
  <c r="R16" i="8"/>
  <c r="Q16" i="8"/>
  <c r="P16" i="8"/>
  <c r="O16" i="8"/>
  <c r="N16" i="8"/>
  <c r="M16" i="8"/>
  <c r="R15" i="8"/>
  <c r="Q15" i="8"/>
  <c r="P15" i="8"/>
  <c r="O15" i="8"/>
  <c r="N15" i="8"/>
  <c r="M15" i="8"/>
  <c r="R14" i="8"/>
  <c r="Q14" i="8"/>
  <c r="P14" i="8"/>
  <c r="O14" i="8"/>
  <c r="N14" i="8"/>
  <c r="M14" i="8"/>
  <c r="R13" i="8"/>
  <c r="Q13" i="8"/>
  <c r="P13" i="8"/>
  <c r="O13" i="8"/>
  <c r="N13" i="8"/>
  <c r="M13" i="8"/>
  <c r="R12" i="8"/>
  <c r="Q12" i="8"/>
  <c r="P12" i="8"/>
  <c r="O12" i="8"/>
  <c r="N12" i="8"/>
  <c r="M12" i="8"/>
  <c r="R11" i="8"/>
  <c r="Q11" i="8"/>
  <c r="P11" i="8"/>
  <c r="O11" i="8"/>
  <c r="N11" i="8"/>
  <c r="M11" i="8"/>
  <c r="R10" i="8"/>
  <c r="Q10" i="8"/>
  <c r="P10" i="8"/>
  <c r="O10" i="8"/>
  <c r="N10" i="8"/>
  <c r="M10" i="8"/>
  <c r="R9" i="8"/>
  <c r="Q9" i="8"/>
  <c r="P9" i="8"/>
  <c r="O9" i="8"/>
  <c r="N9" i="8"/>
  <c r="M9" i="8"/>
  <c r="R8" i="8"/>
  <c r="Q8" i="8"/>
  <c r="P8" i="8"/>
  <c r="O8" i="8"/>
  <c r="N8" i="8"/>
  <c r="M8" i="8"/>
  <c r="R7" i="8"/>
  <c r="Q7" i="8"/>
  <c r="P7" i="8"/>
  <c r="O7" i="8"/>
  <c r="N7" i="8"/>
  <c r="M7" i="8"/>
  <c r="I5" i="8"/>
  <c r="F5" i="8"/>
  <c r="C5" i="8"/>
  <c r="N4" i="8"/>
  <c r="L4" i="8"/>
  <c r="J4" i="8"/>
  <c r="H4" i="8"/>
  <c r="A4" i="8"/>
  <c r="B1" i="8"/>
  <c r="A1" i="8"/>
  <c r="M1006" i="7"/>
  <c r="L1006" i="7"/>
  <c r="B1006" i="7"/>
  <c r="M1005" i="7"/>
  <c r="L1005" i="7"/>
  <c r="B1005" i="7"/>
  <c r="M1004" i="7"/>
  <c r="L1004" i="7"/>
  <c r="B1004" i="7"/>
  <c r="M1003" i="7"/>
  <c r="L1003" i="7"/>
  <c r="B1003" i="7"/>
  <c r="M1002" i="7"/>
  <c r="L1002" i="7"/>
  <c r="B1002" i="7"/>
  <c r="M1001" i="7"/>
  <c r="L1001" i="7"/>
  <c r="B1001" i="7"/>
  <c r="M1000" i="7"/>
  <c r="L1000" i="7"/>
  <c r="B1000" i="7"/>
  <c r="M999" i="7"/>
  <c r="L999" i="7"/>
  <c r="B999" i="7"/>
  <c r="M998" i="7"/>
  <c r="L998" i="7"/>
  <c r="B998" i="7"/>
  <c r="M997" i="7"/>
  <c r="L997" i="7"/>
  <c r="B997" i="7"/>
  <c r="M996" i="7"/>
  <c r="L996" i="7"/>
  <c r="B996" i="7"/>
  <c r="M995" i="7"/>
  <c r="L995" i="7"/>
  <c r="B995" i="7"/>
  <c r="M994" i="7"/>
  <c r="L994" i="7"/>
  <c r="B994" i="7"/>
  <c r="M993" i="7"/>
  <c r="L993" i="7"/>
  <c r="B993" i="7"/>
  <c r="M992" i="7"/>
  <c r="L992" i="7"/>
  <c r="B992" i="7"/>
  <c r="M991" i="7"/>
  <c r="L991" i="7"/>
  <c r="B991" i="7"/>
  <c r="M990" i="7"/>
  <c r="L990" i="7"/>
  <c r="B990" i="7"/>
  <c r="M989" i="7"/>
  <c r="L989" i="7"/>
  <c r="B989" i="7"/>
  <c r="M988" i="7"/>
  <c r="L988" i="7"/>
  <c r="B988" i="7"/>
  <c r="M987" i="7"/>
  <c r="L987" i="7"/>
  <c r="B987" i="7"/>
  <c r="M986" i="7"/>
  <c r="L986" i="7"/>
  <c r="B986" i="7"/>
  <c r="M985" i="7"/>
  <c r="L985" i="7"/>
  <c r="B985" i="7"/>
  <c r="M984" i="7"/>
  <c r="L984" i="7"/>
  <c r="B984" i="7"/>
  <c r="M983" i="7"/>
  <c r="L983" i="7"/>
  <c r="B983" i="7"/>
  <c r="M982" i="7"/>
  <c r="L982" i="7"/>
  <c r="B982" i="7"/>
  <c r="M981" i="7"/>
  <c r="L981" i="7"/>
  <c r="B981" i="7"/>
  <c r="M980" i="7"/>
  <c r="L980" i="7"/>
  <c r="B980" i="7"/>
  <c r="M979" i="7"/>
  <c r="L979" i="7"/>
  <c r="B979" i="7"/>
  <c r="M978" i="7"/>
  <c r="L978" i="7"/>
  <c r="B978" i="7"/>
  <c r="M977" i="7"/>
  <c r="L977" i="7"/>
  <c r="B977" i="7"/>
  <c r="M976" i="7"/>
  <c r="L976" i="7"/>
  <c r="B976" i="7"/>
  <c r="M975" i="7"/>
  <c r="L975" i="7"/>
  <c r="B975" i="7"/>
  <c r="M974" i="7"/>
  <c r="L974" i="7"/>
  <c r="B974" i="7"/>
  <c r="M973" i="7"/>
  <c r="L973" i="7"/>
  <c r="B973" i="7"/>
  <c r="M972" i="7"/>
  <c r="L972" i="7"/>
  <c r="B972" i="7"/>
  <c r="M971" i="7"/>
  <c r="L971" i="7"/>
  <c r="B971" i="7"/>
  <c r="M970" i="7"/>
  <c r="L970" i="7"/>
  <c r="B970" i="7"/>
  <c r="M969" i="7"/>
  <c r="L969" i="7"/>
  <c r="B969" i="7"/>
  <c r="M968" i="7"/>
  <c r="L968" i="7"/>
  <c r="B968" i="7"/>
  <c r="M967" i="7"/>
  <c r="L967" i="7"/>
  <c r="B967" i="7"/>
  <c r="M966" i="7"/>
  <c r="L966" i="7"/>
  <c r="B966" i="7"/>
  <c r="M965" i="7"/>
  <c r="L965" i="7"/>
  <c r="B965" i="7"/>
  <c r="M964" i="7"/>
  <c r="L964" i="7"/>
  <c r="B964" i="7"/>
  <c r="M963" i="7"/>
  <c r="L963" i="7"/>
  <c r="B963" i="7"/>
  <c r="M962" i="7"/>
  <c r="L962" i="7"/>
  <c r="B962" i="7"/>
  <c r="M961" i="7"/>
  <c r="L961" i="7"/>
  <c r="B961" i="7"/>
  <c r="M960" i="7"/>
  <c r="L960" i="7"/>
  <c r="B960" i="7"/>
  <c r="M959" i="7"/>
  <c r="L959" i="7"/>
  <c r="B959" i="7"/>
  <c r="M958" i="7"/>
  <c r="L958" i="7"/>
  <c r="B958" i="7"/>
  <c r="M957" i="7"/>
  <c r="L957" i="7"/>
  <c r="B957" i="7"/>
  <c r="M956" i="7"/>
  <c r="L956" i="7"/>
  <c r="B956" i="7"/>
  <c r="M955" i="7"/>
  <c r="L955" i="7"/>
  <c r="B955" i="7"/>
  <c r="M954" i="7"/>
  <c r="L954" i="7"/>
  <c r="B954" i="7"/>
  <c r="M953" i="7"/>
  <c r="L953" i="7"/>
  <c r="B953" i="7"/>
  <c r="M952" i="7"/>
  <c r="L952" i="7"/>
  <c r="B952" i="7"/>
  <c r="M951" i="7"/>
  <c r="L951" i="7"/>
  <c r="B951" i="7"/>
  <c r="M950" i="7"/>
  <c r="L950" i="7"/>
  <c r="B950" i="7"/>
  <c r="M949" i="7"/>
  <c r="L949" i="7"/>
  <c r="B949" i="7"/>
  <c r="M948" i="7"/>
  <c r="L948" i="7"/>
  <c r="B948" i="7"/>
  <c r="M947" i="7"/>
  <c r="L947" i="7"/>
  <c r="B947" i="7"/>
  <c r="M946" i="7"/>
  <c r="L946" i="7"/>
  <c r="B946" i="7"/>
  <c r="M945" i="7"/>
  <c r="L945" i="7"/>
  <c r="B945" i="7"/>
  <c r="M944" i="7"/>
  <c r="L944" i="7"/>
  <c r="B944" i="7"/>
  <c r="M943" i="7"/>
  <c r="L943" i="7"/>
  <c r="B943" i="7"/>
  <c r="M942" i="7"/>
  <c r="L942" i="7"/>
  <c r="B942" i="7"/>
  <c r="M941" i="7"/>
  <c r="L941" i="7"/>
  <c r="B941" i="7"/>
  <c r="M940" i="7"/>
  <c r="L940" i="7"/>
  <c r="B940" i="7"/>
  <c r="M939" i="7"/>
  <c r="L939" i="7"/>
  <c r="B939" i="7"/>
  <c r="M938" i="7"/>
  <c r="L938" i="7"/>
  <c r="B938" i="7"/>
  <c r="M937" i="7"/>
  <c r="L937" i="7"/>
  <c r="B937" i="7"/>
  <c r="M936" i="7"/>
  <c r="L936" i="7"/>
  <c r="B936" i="7"/>
  <c r="M935" i="7"/>
  <c r="L935" i="7"/>
  <c r="B935" i="7"/>
  <c r="M934" i="7"/>
  <c r="L934" i="7"/>
  <c r="B934" i="7"/>
  <c r="M933" i="7"/>
  <c r="L933" i="7"/>
  <c r="B933" i="7"/>
  <c r="M932" i="7"/>
  <c r="L932" i="7"/>
  <c r="B932" i="7"/>
  <c r="M931" i="7"/>
  <c r="L931" i="7"/>
  <c r="B931" i="7"/>
  <c r="M930" i="7"/>
  <c r="L930" i="7"/>
  <c r="B930" i="7"/>
  <c r="M929" i="7"/>
  <c r="L929" i="7"/>
  <c r="B929" i="7"/>
  <c r="M928" i="7"/>
  <c r="L928" i="7"/>
  <c r="B928" i="7"/>
  <c r="M927" i="7"/>
  <c r="L927" i="7"/>
  <c r="B927" i="7"/>
  <c r="M926" i="7"/>
  <c r="L926" i="7"/>
  <c r="B926" i="7"/>
  <c r="M925" i="7"/>
  <c r="L925" i="7"/>
  <c r="B925" i="7"/>
  <c r="M924" i="7"/>
  <c r="L924" i="7"/>
  <c r="B924" i="7"/>
  <c r="M923" i="7"/>
  <c r="L923" i="7"/>
  <c r="B923" i="7"/>
  <c r="M922" i="7"/>
  <c r="L922" i="7"/>
  <c r="B922" i="7"/>
  <c r="M921" i="7"/>
  <c r="L921" i="7"/>
  <c r="B921" i="7"/>
  <c r="M920" i="7"/>
  <c r="L920" i="7"/>
  <c r="B920" i="7"/>
  <c r="M919" i="7"/>
  <c r="L919" i="7"/>
  <c r="B919" i="7"/>
  <c r="M918" i="7"/>
  <c r="L918" i="7"/>
  <c r="B918" i="7"/>
  <c r="M917" i="7"/>
  <c r="L917" i="7"/>
  <c r="B917" i="7"/>
  <c r="M916" i="7"/>
  <c r="L916" i="7"/>
  <c r="B916" i="7"/>
  <c r="M915" i="7"/>
  <c r="L915" i="7"/>
  <c r="B915" i="7"/>
  <c r="M914" i="7"/>
  <c r="L914" i="7"/>
  <c r="B914" i="7"/>
  <c r="M913" i="7"/>
  <c r="L913" i="7"/>
  <c r="B913" i="7"/>
  <c r="M912" i="7"/>
  <c r="L912" i="7"/>
  <c r="B912" i="7"/>
  <c r="M911" i="7"/>
  <c r="L911" i="7"/>
  <c r="B911" i="7"/>
  <c r="M910" i="7"/>
  <c r="L910" i="7"/>
  <c r="B910" i="7"/>
  <c r="M909" i="7"/>
  <c r="L909" i="7"/>
  <c r="B909" i="7"/>
  <c r="M908" i="7"/>
  <c r="L908" i="7"/>
  <c r="B908" i="7"/>
  <c r="M907" i="7"/>
  <c r="L907" i="7"/>
  <c r="B907" i="7"/>
  <c r="M906" i="7"/>
  <c r="L906" i="7"/>
  <c r="B906" i="7"/>
  <c r="M905" i="7"/>
  <c r="L905" i="7"/>
  <c r="B905" i="7"/>
  <c r="M904" i="7"/>
  <c r="L904" i="7"/>
  <c r="B904" i="7"/>
  <c r="M903" i="7"/>
  <c r="L903" i="7"/>
  <c r="B903" i="7"/>
  <c r="M902" i="7"/>
  <c r="L902" i="7"/>
  <c r="B902" i="7"/>
  <c r="M901" i="7"/>
  <c r="L901" i="7"/>
  <c r="B901" i="7"/>
  <c r="M900" i="7"/>
  <c r="L900" i="7"/>
  <c r="B900" i="7"/>
  <c r="M899" i="7"/>
  <c r="L899" i="7"/>
  <c r="B899" i="7"/>
  <c r="M898" i="7"/>
  <c r="L898" i="7"/>
  <c r="B898" i="7"/>
  <c r="M897" i="7"/>
  <c r="L897" i="7"/>
  <c r="B897" i="7"/>
  <c r="M896" i="7"/>
  <c r="L896" i="7"/>
  <c r="B896" i="7"/>
  <c r="M895" i="7"/>
  <c r="L895" i="7"/>
  <c r="B895" i="7"/>
  <c r="M894" i="7"/>
  <c r="L894" i="7"/>
  <c r="B894" i="7"/>
  <c r="M893" i="7"/>
  <c r="L893" i="7"/>
  <c r="B893" i="7"/>
  <c r="M892" i="7"/>
  <c r="L892" i="7"/>
  <c r="B892" i="7"/>
  <c r="M891" i="7"/>
  <c r="L891" i="7"/>
  <c r="B891" i="7"/>
  <c r="M890" i="7"/>
  <c r="L890" i="7"/>
  <c r="B890" i="7"/>
  <c r="M889" i="7"/>
  <c r="L889" i="7"/>
  <c r="B889" i="7"/>
  <c r="M888" i="7"/>
  <c r="L888" i="7"/>
  <c r="B888" i="7"/>
  <c r="M887" i="7"/>
  <c r="L887" i="7"/>
  <c r="B887" i="7"/>
  <c r="M886" i="7"/>
  <c r="L886" i="7"/>
  <c r="B886" i="7"/>
  <c r="M885" i="7"/>
  <c r="L885" i="7"/>
  <c r="B885" i="7"/>
  <c r="M884" i="7"/>
  <c r="L884" i="7"/>
  <c r="B884" i="7"/>
  <c r="M883" i="7"/>
  <c r="L883" i="7"/>
  <c r="B883" i="7"/>
  <c r="M882" i="7"/>
  <c r="L882" i="7"/>
  <c r="B882" i="7"/>
  <c r="M881" i="7"/>
  <c r="L881" i="7"/>
  <c r="B881" i="7"/>
  <c r="M880" i="7"/>
  <c r="L880" i="7"/>
  <c r="B880" i="7"/>
  <c r="M879" i="7"/>
  <c r="L879" i="7"/>
  <c r="B879" i="7"/>
  <c r="M878" i="7"/>
  <c r="L878" i="7"/>
  <c r="B878" i="7"/>
  <c r="M877" i="7"/>
  <c r="L877" i="7"/>
  <c r="B877" i="7"/>
  <c r="M876" i="7"/>
  <c r="L876" i="7"/>
  <c r="B876" i="7"/>
  <c r="M875" i="7"/>
  <c r="L875" i="7"/>
  <c r="B875" i="7"/>
  <c r="M874" i="7"/>
  <c r="L874" i="7"/>
  <c r="B874" i="7"/>
  <c r="M873" i="7"/>
  <c r="L873" i="7"/>
  <c r="B873" i="7"/>
  <c r="M872" i="7"/>
  <c r="L872" i="7"/>
  <c r="B872" i="7"/>
  <c r="M871" i="7"/>
  <c r="L871" i="7"/>
  <c r="B871" i="7"/>
  <c r="M870" i="7"/>
  <c r="L870" i="7"/>
  <c r="B870" i="7"/>
  <c r="M869" i="7"/>
  <c r="L869" i="7"/>
  <c r="B869" i="7"/>
  <c r="M868" i="7"/>
  <c r="L868" i="7"/>
  <c r="B868" i="7"/>
  <c r="M867" i="7"/>
  <c r="L867" i="7"/>
  <c r="B867" i="7"/>
  <c r="M866" i="7"/>
  <c r="L866" i="7"/>
  <c r="B866" i="7"/>
  <c r="M865" i="7"/>
  <c r="L865" i="7"/>
  <c r="B865" i="7"/>
  <c r="M864" i="7"/>
  <c r="L864" i="7"/>
  <c r="B864" i="7"/>
  <c r="M863" i="7"/>
  <c r="L863" i="7"/>
  <c r="B863" i="7"/>
  <c r="M862" i="7"/>
  <c r="L862" i="7"/>
  <c r="B862" i="7"/>
  <c r="M861" i="7"/>
  <c r="L861" i="7"/>
  <c r="B861" i="7"/>
  <c r="M860" i="7"/>
  <c r="L860" i="7"/>
  <c r="B860" i="7"/>
  <c r="M859" i="7"/>
  <c r="L859" i="7"/>
  <c r="B859" i="7"/>
  <c r="M858" i="7"/>
  <c r="L858" i="7"/>
  <c r="B858" i="7"/>
  <c r="M857" i="7"/>
  <c r="L857" i="7"/>
  <c r="B857" i="7"/>
  <c r="M856" i="7"/>
  <c r="L856" i="7"/>
  <c r="B856" i="7"/>
  <c r="M855" i="7"/>
  <c r="L855" i="7"/>
  <c r="B855" i="7"/>
  <c r="M854" i="7"/>
  <c r="L854" i="7"/>
  <c r="B854" i="7"/>
  <c r="M853" i="7"/>
  <c r="L853" i="7"/>
  <c r="B853" i="7"/>
  <c r="M852" i="7"/>
  <c r="L852" i="7"/>
  <c r="B852" i="7"/>
  <c r="M851" i="7"/>
  <c r="L851" i="7"/>
  <c r="B851" i="7"/>
  <c r="M850" i="7"/>
  <c r="L850" i="7"/>
  <c r="B850" i="7"/>
  <c r="M849" i="7"/>
  <c r="L849" i="7"/>
  <c r="B849" i="7"/>
  <c r="M848" i="7"/>
  <c r="L848" i="7"/>
  <c r="B848" i="7"/>
  <c r="M847" i="7"/>
  <c r="L847" i="7"/>
  <c r="B847" i="7"/>
  <c r="M846" i="7"/>
  <c r="L846" i="7"/>
  <c r="B846" i="7"/>
  <c r="M845" i="7"/>
  <c r="L845" i="7"/>
  <c r="B845" i="7"/>
  <c r="M844" i="7"/>
  <c r="L844" i="7"/>
  <c r="B844" i="7"/>
  <c r="M843" i="7"/>
  <c r="L843" i="7"/>
  <c r="B843" i="7"/>
  <c r="M842" i="7"/>
  <c r="L842" i="7"/>
  <c r="B842" i="7"/>
  <c r="M841" i="7"/>
  <c r="L841" i="7"/>
  <c r="B841" i="7"/>
  <c r="M840" i="7"/>
  <c r="L840" i="7"/>
  <c r="B840" i="7"/>
  <c r="M839" i="7"/>
  <c r="L839" i="7"/>
  <c r="B839" i="7"/>
  <c r="M838" i="7"/>
  <c r="L838" i="7"/>
  <c r="B838" i="7"/>
  <c r="M837" i="7"/>
  <c r="L837" i="7"/>
  <c r="B837" i="7"/>
  <c r="M836" i="7"/>
  <c r="L836" i="7"/>
  <c r="B836" i="7"/>
  <c r="M835" i="7"/>
  <c r="L835" i="7"/>
  <c r="B835" i="7"/>
  <c r="M834" i="7"/>
  <c r="L834" i="7"/>
  <c r="B834" i="7"/>
  <c r="M833" i="7"/>
  <c r="L833" i="7"/>
  <c r="B833" i="7"/>
  <c r="M832" i="7"/>
  <c r="L832" i="7"/>
  <c r="B832" i="7"/>
  <c r="M831" i="7"/>
  <c r="L831" i="7"/>
  <c r="B831" i="7"/>
  <c r="M830" i="7"/>
  <c r="L830" i="7"/>
  <c r="B830" i="7"/>
  <c r="M829" i="7"/>
  <c r="L829" i="7"/>
  <c r="B829" i="7"/>
  <c r="M828" i="7"/>
  <c r="L828" i="7"/>
  <c r="B828" i="7"/>
  <c r="M827" i="7"/>
  <c r="L827" i="7"/>
  <c r="B827" i="7"/>
  <c r="M826" i="7"/>
  <c r="L826" i="7"/>
  <c r="B826" i="7"/>
  <c r="M825" i="7"/>
  <c r="L825" i="7"/>
  <c r="B825" i="7"/>
  <c r="M824" i="7"/>
  <c r="L824" i="7"/>
  <c r="B824" i="7"/>
  <c r="M823" i="7"/>
  <c r="L823" i="7"/>
  <c r="B823" i="7"/>
  <c r="M822" i="7"/>
  <c r="L822" i="7"/>
  <c r="B822" i="7"/>
  <c r="M821" i="7"/>
  <c r="L821" i="7"/>
  <c r="B821" i="7"/>
  <c r="M820" i="7"/>
  <c r="L820" i="7"/>
  <c r="B820" i="7"/>
  <c r="M819" i="7"/>
  <c r="L819" i="7"/>
  <c r="B819" i="7"/>
  <c r="M818" i="7"/>
  <c r="L818" i="7"/>
  <c r="B818" i="7"/>
  <c r="M817" i="7"/>
  <c r="L817" i="7"/>
  <c r="B817" i="7"/>
  <c r="M816" i="7"/>
  <c r="L816" i="7"/>
  <c r="B816" i="7"/>
  <c r="M815" i="7"/>
  <c r="L815" i="7"/>
  <c r="B815" i="7"/>
  <c r="M814" i="7"/>
  <c r="L814" i="7"/>
  <c r="B814" i="7"/>
  <c r="M813" i="7"/>
  <c r="L813" i="7"/>
  <c r="B813" i="7"/>
  <c r="M812" i="7"/>
  <c r="L812" i="7"/>
  <c r="B812" i="7"/>
  <c r="M811" i="7"/>
  <c r="L811" i="7"/>
  <c r="B811" i="7"/>
  <c r="M810" i="7"/>
  <c r="L810" i="7"/>
  <c r="B810" i="7"/>
  <c r="M809" i="7"/>
  <c r="L809" i="7"/>
  <c r="B809" i="7"/>
  <c r="M808" i="7"/>
  <c r="L808" i="7"/>
  <c r="B808" i="7"/>
  <c r="M807" i="7"/>
  <c r="L807" i="7"/>
  <c r="B807" i="7"/>
  <c r="M806" i="7"/>
  <c r="L806" i="7"/>
  <c r="B806" i="7"/>
  <c r="M805" i="7"/>
  <c r="L805" i="7"/>
  <c r="B805" i="7"/>
  <c r="M804" i="7"/>
  <c r="L804" i="7"/>
  <c r="B804" i="7"/>
  <c r="M803" i="7"/>
  <c r="L803" i="7"/>
  <c r="B803" i="7"/>
  <c r="M802" i="7"/>
  <c r="L802" i="7"/>
  <c r="B802" i="7"/>
  <c r="M801" i="7"/>
  <c r="L801" i="7"/>
  <c r="B801" i="7"/>
  <c r="M800" i="7"/>
  <c r="L800" i="7"/>
  <c r="B800" i="7"/>
  <c r="M799" i="7"/>
  <c r="L799" i="7"/>
  <c r="B799" i="7"/>
  <c r="M798" i="7"/>
  <c r="L798" i="7"/>
  <c r="B798" i="7"/>
  <c r="M797" i="7"/>
  <c r="L797" i="7"/>
  <c r="B797" i="7"/>
  <c r="M796" i="7"/>
  <c r="L796" i="7"/>
  <c r="B796" i="7"/>
  <c r="M795" i="7"/>
  <c r="L795" i="7"/>
  <c r="B795" i="7"/>
  <c r="M794" i="7"/>
  <c r="L794" i="7"/>
  <c r="B794" i="7"/>
  <c r="M793" i="7"/>
  <c r="L793" i="7"/>
  <c r="B793" i="7"/>
  <c r="M792" i="7"/>
  <c r="L792" i="7"/>
  <c r="B792" i="7"/>
  <c r="M791" i="7"/>
  <c r="L791" i="7"/>
  <c r="B791" i="7"/>
  <c r="M790" i="7"/>
  <c r="L790" i="7"/>
  <c r="B790" i="7"/>
  <c r="M789" i="7"/>
  <c r="L789" i="7"/>
  <c r="B789" i="7"/>
  <c r="M788" i="7"/>
  <c r="L788" i="7"/>
  <c r="B788" i="7"/>
  <c r="M787" i="7"/>
  <c r="L787" i="7"/>
  <c r="B787" i="7"/>
  <c r="M786" i="7"/>
  <c r="L786" i="7"/>
  <c r="B786" i="7"/>
  <c r="M785" i="7"/>
  <c r="L785" i="7"/>
  <c r="B785" i="7"/>
  <c r="M784" i="7"/>
  <c r="L784" i="7"/>
  <c r="B784" i="7"/>
  <c r="M783" i="7"/>
  <c r="L783" i="7"/>
  <c r="B783" i="7"/>
  <c r="M782" i="7"/>
  <c r="L782" i="7"/>
  <c r="B782" i="7"/>
  <c r="M781" i="7"/>
  <c r="L781" i="7"/>
  <c r="B781" i="7"/>
  <c r="M780" i="7"/>
  <c r="L780" i="7"/>
  <c r="B780" i="7"/>
  <c r="M779" i="7"/>
  <c r="L779" i="7"/>
  <c r="B779" i="7"/>
  <c r="M778" i="7"/>
  <c r="L778" i="7"/>
  <c r="B778" i="7"/>
  <c r="M777" i="7"/>
  <c r="L777" i="7"/>
  <c r="B777" i="7"/>
  <c r="M776" i="7"/>
  <c r="L776" i="7"/>
  <c r="B776" i="7"/>
  <c r="M775" i="7"/>
  <c r="L775" i="7"/>
  <c r="B775" i="7"/>
  <c r="M774" i="7"/>
  <c r="L774" i="7"/>
  <c r="B774" i="7"/>
  <c r="M773" i="7"/>
  <c r="L773" i="7"/>
  <c r="B773" i="7"/>
  <c r="M772" i="7"/>
  <c r="L772" i="7"/>
  <c r="B772" i="7"/>
  <c r="M771" i="7"/>
  <c r="L771" i="7"/>
  <c r="B771" i="7"/>
  <c r="M770" i="7"/>
  <c r="L770" i="7"/>
  <c r="B770" i="7"/>
  <c r="M769" i="7"/>
  <c r="L769" i="7"/>
  <c r="B769" i="7"/>
  <c r="M768" i="7"/>
  <c r="L768" i="7"/>
  <c r="B768" i="7"/>
  <c r="M767" i="7"/>
  <c r="L767" i="7"/>
  <c r="B767" i="7"/>
  <c r="M766" i="7"/>
  <c r="L766" i="7"/>
  <c r="B766" i="7"/>
  <c r="M765" i="7"/>
  <c r="L765" i="7"/>
  <c r="B765" i="7"/>
  <c r="M764" i="7"/>
  <c r="L764" i="7"/>
  <c r="B764" i="7"/>
  <c r="M763" i="7"/>
  <c r="L763" i="7"/>
  <c r="B763" i="7"/>
  <c r="M762" i="7"/>
  <c r="L762" i="7"/>
  <c r="B762" i="7"/>
  <c r="M761" i="7"/>
  <c r="L761" i="7"/>
  <c r="B761" i="7"/>
  <c r="M760" i="7"/>
  <c r="L760" i="7"/>
  <c r="B760" i="7"/>
  <c r="M759" i="7"/>
  <c r="L759" i="7"/>
  <c r="B759" i="7"/>
  <c r="M758" i="7"/>
  <c r="L758" i="7"/>
  <c r="B758" i="7"/>
  <c r="M757" i="7"/>
  <c r="L757" i="7"/>
  <c r="B757" i="7"/>
  <c r="M756" i="7"/>
  <c r="L756" i="7"/>
  <c r="B756" i="7"/>
  <c r="M755" i="7"/>
  <c r="L755" i="7"/>
  <c r="B755" i="7"/>
  <c r="M754" i="7"/>
  <c r="L754" i="7"/>
  <c r="B754" i="7"/>
  <c r="M753" i="7"/>
  <c r="L753" i="7"/>
  <c r="B753" i="7"/>
  <c r="M752" i="7"/>
  <c r="L752" i="7"/>
  <c r="B752" i="7"/>
  <c r="M751" i="7"/>
  <c r="L751" i="7"/>
  <c r="B751" i="7"/>
  <c r="M750" i="7"/>
  <c r="L750" i="7"/>
  <c r="B750" i="7"/>
  <c r="M749" i="7"/>
  <c r="L749" i="7"/>
  <c r="B749" i="7"/>
  <c r="M748" i="7"/>
  <c r="L748" i="7"/>
  <c r="B748" i="7"/>
  <c r="M747" i="7"/>
  <c r="L747" i="7"/>
  <c r="B747" i="7"/>
  <c r="M746" i="7"/>
  <c r="L746" i="7"/>
  <c r="B746" i="7"/>
  <c r="M745" i="7"/>
  <c r="L745" i="7"/>
  <c r="B745" i="7"/>
  <c r="M744" i="7"/>
  <c r="L744" i="7"/>
  <c r="B744" i="7"/>
  <c r="M743" i="7"/>
  <c r="L743" i="7"/>
  <c r="B743" i="7"/>
  <c r="M742" i="7"/>
  <c r="L742" i="7"/>
  <c r="B742" i="7"/>
  <c r="M741" i="7"/>
  <c r="L741" i="7"/>
  <c r="B741" i="7"/>
  <c r="M740" i="7"/>
  <c r="L740" i="7"/>
  <c r="B740" i="7"/>
  <c r="M739" i="7"/>
  <c r="L739" i="7"/>
  <c r="B739" i="7"/>
  <c r="M738" i="7"/>
  <c r="L738" i="7"/>
  <c r="B738" i="7"/>
  <c r="M737" i="7"/>
  <c r="L737" i="7"/>
  <c r="B737" i="7"/>
  <c r="M736" i="7"/>
  <c r="L736" i="7"/>
  <c r="B736" i="7"/>
  <c r="M735" i="7"/>
  <c r="L735" i="7"/>
  <c r="B735" i="7"/>
  <c r="M734" i="7"/>
  <c r="L734" i="7"/>
  <c r="B734" i="7"/>
  <c r="M733" i="7"/>
  <c r="L733" i="7"/>
  <c r="B733" i="7"/>
  <c r="M732" i="7"/>
  <c r="L732" i="7"/>
  <c r="B732" i="7"/>
  <c r="M731" i="7"/>
  <c r="L731" i="7"/>
  <c r="B731" i="7"/>
  <c r="M730" i="7"/>
  <c r="L730" i="7"/>
  <c r="B730" i="7"/>
  <c r="M729" i="7"/>
  <c r="L729" i="7"/>
  <c r="B729" i="7"/>
  <c r="M728" i="7"/>
  <c r="L728" i="7"/>
  <c r="B728" i="7"/>
  <c r="M727" i="7"/>
  <c r="L727" i="7"/>
  <c r="B727" i="7"/>
  <c r="M726" i="7"/>
  <c r="L726" i="7"/>
  <c r="B726" i="7"/>
  <c r="M725" i="7"/>
  <c r="L725" i="7"/>
  <c r="B725" i="7"/>
  <c r="M724" i="7"/>
  <c r="L724" i="7"/>
  <c r="B724" i="7"/>
  <c r="M723" i="7"/>
  <c r="L723" i="7"/>
  <c r="B723" i="7"/>
  <c r="M722" i="7"/>
  <c r="L722" i="7"/>
  <c r="B722" i="7"/>
  <c r="M721" i="7"/>
  <c r="L721" i="7"/>
  <c r="B721" i="7"/>
  <c r="M720" i="7"/>
  <c r="L720" i="7"/>
  <c r="B720" i="7"/>
  <c r="M719" i="7"/>
  <c r="L719" i="7"/>
  <c r="B719" i="7"/>
  <c r="M718" i="7"/>
  <c r="L718" i="7"/>
  <c r="B718" i="7"/>
  <c r="M717" i="7"/>
  <c r="L717" i="7"/>
  <c r="B717" i="7"/>
  <c r="M716" i="7"/>
  <c r="L716" i="7"/>
  <c r="B716" i="7"/>
  <c r="M715" i="7"/>
  <c r="L715" i="7"/>
  <c r="B715" i="7"/>
  <c r="M714" i="7"/>
  <c r="L714" i="7"/>
  <c r="B714" i="7"/>
  <c r="M713" i="7"/>
  <c r="L713" i="7"/>
  <c r="B713" i="7"/>
  <c r="M712" i="7"/>
  <c r="L712" i="7"/>
  <c r="B712" i="7"/>
  <c r="M711" i="7"/>
  <c r="L711" i="7"/>
  <c r="B711" i="7"/>
  <c r="M710" i="7"/>
  <c r="L710" i="7"/>
  <c r="B710" i="7"/>
  <c r="M709" i="7"/>
  <c r="L709" i="7"/>
  <c r="B709" i="7"/>
  <c r="M708" i="7"/>
  <c r="L708" i="7"/>
  <c r="B708" i="7"/>
  <c r="M707" i="7"/>
  <c r="L707" i="7"/>
  <c r="B707" i="7"/>
  <c r="M706" i="7"/>
  <c r="L706" i="7"/>
  <c r="B706" i="7"/>
  <c r="M705" i="7"/>
  <c r="L705" i="7"/>
  <c r="B705" i="7"/>
  <c r="M704" i="7"/>
  <c r="L704" i="7"/>
  <c r="B704" i="7"/>
  <c r="M703" i="7"/>
  <c r="L703" i="7"/>
  <c r="B703" i="7"/>
  <c r="M702" i="7"/>
  <c r="L702" i="7"/>
  <c r="B702" i="7"/>
  <c r="M701" i="7"/>
  <c r="L701" i="7"/>
  <c r="B701" i="7"/>
  <c r="M700" i="7"/>
  <c r="L700" i="7"/>
  <c r="B700" i="7"/>
  <c r="M699" i="7"/>
  <c r="L699" i="7"/>
  <c r="B699" i="7"/>
  <c r="M698" i="7"/>
  <c r="L698" i="7"/>
  <c r="B698" i="7"/>
  <c r="M697" i="7"/>
  <c r="L697" i="7"/>
  <c r="B697" i="7"/>
  <c r="M696" i="7"/>
  <c r="L696" i="7"/>
  <c r="B696" i="7"/>
  <c r="M695" i="7"/>
  <c r="L695" i="7"/>
  <c r="B695" i="7"/>
  <c r="M694" i="7"/>
  <c r="L694" i="7"/>
  <c r="B694" i="7"/>
  <c r="M693" i="7"/>
  <c r="L693" i="7"/>
  <c r="B693" i="7"/>
  <c r="M692" i="7"/>
  <c r="L692" i="7"/>
  <c r="B692" i="7"/>
  <c r="M691" i="7"/>
  <c r="L691" i="7"/>
  <c r="B691" i="7"/>
  <c r="M690" i="7"/>
  <c r="L690" i="7"/>
  <c r="B690" i="7"/>
  <c r="M689" i="7"/>
  <c r="L689" i="7"/>
  <c r="B689" i="7"/>
  <c r="M688" i="7"/>
  <c r="L688" i="7"/>
  <c r="B688" i="7"/>
  <c r="M687" i="7"/>
  <c r="L687" i="7"/>
  <c r="B687" i="7"/>
  <c r="M686" i="7"/>
  <c r="L686" i="7"/>
  <c r="B686" i="7"/>
  <c r="M685" i="7"/>
  <c r="L685" i="7"/>
  <c r="B685" i="7"/>
  <c r="M684" i="7"/>
  <c r="L684" i="7"/>
  <c r="B684" i="7"/>
  <c r="M683" i="7"/>
  <c r="L683" i="7"/>
  <c r="B683" i="7"/>
  <c r="M682" i="7"/>
  <c r="L682" i="7"/>
  <c r="B682" i="7"/>
  <c r="M681" i="7"/>
  <c r="L681" i="7"/>
  <c r="B681" i="7"/>
  <c r="M680" i="7"/>
  <c r="L680" i="7"/>
  <c r="B680" i="7"/>
  <c r="M679" i="7"/>
  <c r="L679" i="7"/>
  <c r="B679" i="7"/>
  <c r="M678" i="7"/>
  <c r="L678" i="7"/>
  <c r="B678" i="7"/>
  <c r="M677" i="7"/>
  <c r="L677" i="7"/>
  <c r="B677" i="7"/>
  <c r="M676" i="7"/>
  <c r="L676" i="7"/>
  <c r="B676" i="7"/>
  <c r="M675" i="7"/>
  <c r="L675" i="7"/>
  <c r="B675" i="7"/>
  <c r="M674" i="7"/>
  <c r="L674" i="7"/>
  <c r="B674" i="7"/>
  <c r="M673" i="7"/>
  <c r="L673" i="7"/>
  <c r="B673" i="7"/>
  <c r="M672" i="7"/>
  <c r="L672" i="7"/>
  <c r="B672" i="7"/>
  <c r="M671" i="7"/>
  <c r="L671" i="7"/>
  <c r="B671" i="7"/>
  <c r="M670" i="7"/>
  <c r="L670" i="7"/>
  <c r="B670" i="7"/>
  <c r="M669" i="7"/>
  <c r="L669" i="7"/>
  <c r="B669" i="7"/>
  <c r="M668" i="7"/>
  <c r="L668" i="7"/>
  <c r="B668" i="7"/>
  <c r="M667" i="7"/>
  <c r="L667" i="7"/>
  <c r="B667" i="7"/>
  <c r="M666" i="7"/>
  <c r="L666" i="7"/>
  <c r="B666" i="7"/>
  <c r="M665" i="7"/>
  <c r="L665" i="7"/>
  <c r="B665" i="7"/>
  <c r="M664" i="7"/>
  <c r="L664" i="7"/>
  <c r="B664" i="7"/>
  <c r="M663" i="7"/>
  <c r="L663" i="7"/>
  <c r="B663" i="7"/>
  <c r="M662" i="7"/>
  <c r="L662" i="7"/>
  <c r="B662" i="7"/>
  <c r="M661" i="7"/>
  <c r="L661" i="7"/>
  <c r="B661" i="7"/>
  <c r="M660" i="7"/>
  <c r="L660" i="7"/>
  <c r="B660" i="7"/>
  <c r="M659" i="7"/>
  <c r="L659" i="7"/>
  <c r="B659" i="7"/>
  <c r="M658" i="7"/>
  <c r="L658" i="7"/>
  <c r="B658" i="7"/>
  <c r="M657" i="7"/>
  <c r="L657" i="7"/>
  <c r="B657" i="7"/>
  <c r="M656" i="7"/>
  <c r="L656" i="7"/>
  <c r="B656" i="7"/>
  <c r="M655" i="7"/>
  <c r="L655" i="7"/>
  <c r="B655" i="7"/>
  <c r="F5" i="7" s="1"/>
  <c r="M654" i="7"/>
  <c r="L654" i="7"/>
  <c r="B654" i="7"/>
  <c r="M653" i="7"/>
  <c r="L653" i="7"/>
  <c r="B653" i="7"/>
  <c r="M652" i="7"/>
  <c r="L652" i="7"/>
  <c r="B652" i="7"/>
  <c r="M651" i="7"/>
  <c r="L651" i="7"/>
  <c r="B651" i="7"/>
  <c r="O650" i="7"/>
  <c r="N650" i="7"/>
  <c r="M650" i="7"/>
  <c r="L650" i="7"/>
  <c r="B650" i="7"/>
  <c r="O649" i="7"/>
  <c r="N649" i="7"/>
  <c r="M649" i="7"/>
  <c r="L649" i="7"/>
  <c r="B649" i="7"/>
  <c r="O648" i="7"/>
  <c r="N648" i="7"/>
  <c r="M648" i="7"/>
  <c r="L648" i="7"/>
  <c r="B648" i="7"/>
  <c r="O647" i="7"/>
  <c r="N647" i="7"/>
  <c r="M647" i="7"/>
  <c r="L647" i="7"/>
  <c r="B647" i="7"/>
  <c r="O646" i="7"/>
  <c r="N646" i="7"/>
  <c r="M646" i="7"/>
  <c r="L646" i="7"/>
  <c r="B646" i="7"/>
  <c r="O645" i="7"/>
  <c r="N645" i="7"/>
  <c r="M645" i="7"/>
  <c r="L645" i="7"/>
  <c r="B645" i="7"/>
  <c r="O644" i="7"/>
  <c r="N644" i="7"/>
  <c r="M644" i="7"/>
  <c r="L644" i="7"/>
  <c r="B644" i="7"/>
  <c r="O643" i="7"/>
  <c r="N643" i="7"/>
  <c r="M643" i="7"/>
  <c r="L643" i="7"/>
  <c r="B643" i="7"/>
  <c r="O642" i="7"/>
  <c r="N642" i="7"/>
  <c r="M642" i="7"/>
  <c r="L642" i="7"/>
  <c r="B642" i="7"/>
  <c r="O641" i="7"/>
  <c r="N641" i="7"/>
  <c r="M641" i="7"/>
  <c r="L641" i="7"/>
  <c r="B641" i="7"/>
  <c r="O640" i="7"/>
  <c r="N640" i="7"/>
  <c r="M640" i="7"/>
  <c r="L640" i="7"/>
  <c r="B640" i="7"/>
  <c r="O639" i="7"/>
  <c r="N639" i="7"/>
  <c r="M639" i="7"/>
  <c r="L639" i="7"/>
  <c r="B639" i="7"/>
  <c r="O638" i="7"/>
  <c r="N638" i="7"/>
  <c r="M638" i="7"/>
  <c r="L638" i="7"/>
  <c r="B638" i="7"/>
  <c r="O637" i="7"/>
  <c r="N637" i="7"/>
  <c r="M637" i="7"/>
  <c r="L637" i="7"/>
  <c r="B637" i="7"/>
  <c r="O636" i="7"/>
  <c r="N636" i="7"/>
  <c r="M636" i="7"/>
  <c r="L636" i="7"/>
  <c r="B636" i="7"/>
  <c r="O635" i="7"/>
  <c r="N635" i="7"/>
  <c r="M635" i="7"/>
  <c r="L635" i="7"/>
  <c r="B635" i="7"/>
  <c r="O634" i="7"/>
  <c r="N634" i="7"/>
  <c r="M634" i="7"/>
  <c r="L634" i="7"/>
  <c r="B634" i="7"/>
  <c r="O633" i="7"/>
  <c r="N633" i="7"/>
  <c r="M633" i="7"/>
  <c r="L633" i="7"/>
  <c r="B633" i="7"/>
  <c r="O632" i="7"/>
  <c r="N632" i="7"/>
  <c r="M632" i="7"/>
  <c r="L632" i="7"/>
  <c r="B632" i="7"/>
  <c r="O631" i="7"/>
  <c r="N631" i="7"/>
  <c r="M631" i="7"/>
  <c r="L631" i="7"/>
  <c r="B631" i="7"/>
  <c r="O630" i="7"/>
  <c r="N630" i="7"/>
  <c r="M630" i="7"/>
  <c r="L630" i="7"/>
  <c r="B630" i="7"/>
  <c r="O629" i="7"/>
  <c r="N629" i="7"/>
  <c r="M629" i="7"/>
  <c r="L629" i="7"/>
  <c r="B629" i="7"/>
  <c r="O628" i="7"/>
  <c r="N628" i="7"/>
  <c r="M628" i="7"/>
  <c r="L628" i="7"/>
  <c r="B628" i="7"/>
  <c r="O627" i="7"/>
  <c r="N627" i="7"/>
  <c r="M627" i="7"/>
  <c r="L627" i="7"/>
  <c r="B627" i="7"/>
  <c r="O626" i="7"/>
  <c r="N626" i="7"/>
  <c r="M626" i="7"/>
  <c r="L626" i="7"/>
  <c r="B626" i="7"/>
  <c r="O625" i="7"/>
  <c r="N625" i="7"/>
  <c r="M625" i="7"/>
  <c r="L625" i="7"/>
  <c r="B625" i="7"/>
  <c r="O624" i="7"/>
  <c r="N624" i="7"/>
  <c r="M624" i="7"/>
  <c r="L624" i="7"/>
  <c r="B624" i="7"/>
  <c r="O623" i="7"/>
  <c r="N623" i="7"/>
  <c r="M623" i="7"/>
  <c r="L623" i="7"/>
  <c r="B623" i="7"/>
  <c r="O622" i="7"/>
  <c r="N622" i="7"/>
  <c r="M622" i="7"/>
  <c r="L622" i="7"/>
  <c r="B622" i="7"/>
  <c r="O621" i="7"/>
  <c r="N621" i="7"/>
  <c r="M621" i="7"/>
  <c r="L621" i="7"/>
  <c r="B621" i="7"/>
  <c r="O620" i="7"/>
  <c r="N620" i="7"/>
  <c r="M620" i="7"/>
  <c r="L620" i="7"/>
  <c r="B620" i="7"/>
  <c r="O619" i="7"/>
  <c r="N619" i="7"/>
  <c r="M619" i="7"/>
  <c r="L619" i="7"/>
  <c r="B619" i="7"/>
  <c r="O618" i="7"/>
  <c r="N618" i="7"/>
  <c r="M618" i="7"/>
  <c r="L618" i="7"/>
  <c r="B618" i="7"/>
  <c r="O617" i="7"/>
  <c r="N617" i="7"/>
  <c r="M617" i="7"/>
  <c r="L617" i="7"/>
  <c r="B617" i="7"/>
  <c r="O616" i="7"/>
  <c r="N616" i="7"/>
  <c r="M616" i="7"/>
  <c r="L616" i="7"/>
  <c r="B616" i="7"/>
  <c r="O615" i="7"/>
  <c r="N615" i="7"/>
  <c r="M615" i="7"/>
  <c r="L615" i="7"/>
  <c r="B615" i="7"/>
  <c r="O614" i="7"/>
  <c r="N614" i="7"/>
  <c r="M614" i="7"/>
  <c r="L614" i="7"/>
  <c r="B614" i="7"/>
  <c r="O613" i="7"/>
  <c r="N613" i="7"/>
  <c r="M613" i="7"/>
  <c r="L613" i="7"/>
  <c r="B613" i="7"/>
  <c r="O612" i="7"/>
  <c r="N612" i="7"/>
  <c r="M612" i="7"/>
  <c r="L612" i="7"/>
  <c r="B612" i="7"/>
  <c r="O611" i="7"/>
  <c r="N611" i="7"/>
  <c r="M611" i="7"/>
  <c r="L611" i="7"/>
  <c r="B611" i="7"/>
  <c r="O610" i="7"/>
  <c r="N610" i="7"/>
  <c r="M610" i="7"/>
  <c r="L610" i="7"/>
  <c r="B610" i="7"/>
  <c r="O609" i="7"/>
  <c r="N609" i="7"/>
  <c r="M609" i="7"/>
  <c r="L609" i="7"/>
  <c r="B609" i="7"/>
  <c r="O608" i="7"/>
  <c r="N608" i="7"/>
  <c r="M608" i="7"/>
  <c r="L608" i="7"/>
  <c r="B608" i="7"/>
  <c r="O607" i="7"/>
  <c r="N607" i="7"/>
  <c r="M607" i="7"/>
  <c r="L607" i="7"/>
  <c r="B607" i="7"/>
  <c r="O606" i="7"/>
  <c r="N606" i="7"/>
  <c r="M606" i="7"/>
  <c r="L606" i="7"/>
  <c r="B606" i="7"/>
  <c r="O605" i="7"/>
  <c r="N605" i="7"/>
  <c r="M605" i="7"/>
  <c r="L605" i="7"/>
  <c r="B605" i="7"/>
  <c r="O604" i="7"/>
  <c r="N604" i="7"/>
  <c r="M604" i="7"/>
  <c r="L604" i="7"/>
  <c r="B604" i="7"/>
  <c r="O603" i="7"/>
  <c r="N603" i="7"/>
  <c r="M603" i="7"/>
  <c r="L603" i="7"/>
  <c r="B603" i="7"/>
  <c r="O602" i="7"/>
  <c r="N602" i="7"/>
  <c r="M602" i="7"/>
  <c r="L602" i="7"/>
  <c r="B602" i="7"/>
  <c r="O601" i="7"/>
  <c r="N601" i="7"/>
  <c r="M601" i="7"/>
  <c r="L601" i="7"/>
  <c r="B601" i="7"/>
  <c r="O600" i="7"/>
  <c r="N600" i="7"/>
  <c r="M600" i="7"/>
  <c r="L600" i="7"/>
  <c r="B600" i="7"/>
  <c r="O599" i="7"/>
  <c r="N599" i="7"/>
  <c r="M599" i="7"/>
  <c r="L599" i="7"/>
  <c r="B599" i="7"/>
  <c r="O598" i="7"/>
  <c r="N598" i="7"/>
  <c r="M598" i="7"/>
  <c r="L598" i="7"/>
  <c r="B598" i="7"/>
  <c r="O597" i="7"/>
  <c r="N597" i="7"/>
  <c r="M597" i="7"/>
  <c r="L597" i="7"/>
  <c r="B597" i="7"/>
  <c r="O596" i="7"/>
  <c r="N596" i="7"/>
  <c r="M596" i="7"/>
  <c r="L596" i="7"/>
  <c r="B596" i="7"/>
  <c r="O595" i="7"/>
  <c r="N595" i="7"/>
  <c r="M595" i="7"/>
  <c r="L595" i="7"/>
  <c r="B595" i="7"/>
  <c r="O594" i="7"/>
  <c r="N594" i="7"/>
  <c r="M594" i="7"/>
  <c r="L594" i="7"/>
  <c r="B594" i="7"/>
  <c r="O593" i="7"/>
  <c r="N593" i="7"/>
  <c r="M593" i="7"/>
  <c r="L593" i="7"/>
  <c r="B593" i="7"/>
  <c r="O592" i="7"/>
  <c r="N592" i="7"/>
  <c r="M592" i="7"/>
  <c r="L592" i="7"/>
  <c r="B592" i="7"/>
  <c r="O591" i="7"/>
  <c r="N591" i="7"/>
  <c r="M591" i="7"/>
  <c r="L591" i="7"/>
  <c r="B591" i="7"/>
  <c r="O590" i="7"/>
  <c r="N590" i="7"/>
  <c r="M590" i="7"/>
  <c r="L590" i="7"/>
  <c r="B590" i="7"/>
  <c r="O589" i="7"/>
  <c r="N589" i="7"/>
  <c r="M589" i="7"/>
  <c r="L589" i="7"/>
  <c r="B589" i="7"/>
  <c r="O588" i="7"/>
  <c r="N588" i="7"/>
  <c r="M588" i="7"/>
  <c r="L588" i="7"/>
  <c r="B588" i="7"/>
  <c r="O587" i="7"/>
  <c r="N587" i="7"/>
  <c r="M587" i="7"/>
  <c r="L587" i="7"/>
  <c r="B587" i="7"/>
  <c r="O586" i="7"/>
  <c r="N586" i="7"/>
  <c r="M586" i="7"/>
  <c r="L586" i="7"/>
  <c r="B586" i="7"/>
  <c r="O585" i="7"/>
  <c r="N585" i="7"/>
  <c r="M585" i="7"/>
  <c r="L585" i="7"/>
  <c r="B585" i="7"/>
  <c r="O584" i="7"/>
  <c r="N584" i="7"/>
  <c r="M584" i="7"/>
  <c r="L584" i="7"/>
  <c r="B584" i="7"/>
  <c r="O583" i="7"/>
  <c r="N583" i="7"/>
  <c r="M583" i="7"/>
  <c r="L583" i="7"/>
  <c r="B583" i="7"/>
  <c r="O582" i="7"/>
  <c r="N582" i="7"/>
  <c r="M582" i="7"/>
  <c r="L582" i="7"/>
  <c r="B582" i="7"/>
  <c r="O581" i="7"/>
  <c r="N581" i="7"/>
  <c r="M581" i="7"/>
  <c r="L581" i="7"/>
  <c r="B581" i="7"/>
  <c r="O580" i="7"/>
  <c r="N580" i="7"/>
  <c r="M580" i="7"/>
  <c r="L580" i="7"/>
  <c r="B580" i="7"/>
  <c r="O579" i="7"/>
  <c r="N579" i="7"/>
  <c r="M579" i="7"/>
  <c r="L579" i="7"/>
  <c r="B579" i="7"/>
  <c r="O578" i="7"/>
  <c r="N578" i="7"/>
  <c r="M578" i="7"/>
  <c r="L578" i="7"/>
  <c r="B578" i="7"/>
  <c r="O577" i="7"/>
  <c r="N577" i="7"/>
  <c r="M577" i="7"/>
  <c r="L577" i="7"/>
  <c r="B577" i="7"/>
  <c r="O576" i="7"/>
  <c r="N576" i="7"/>
  <c r="M576" i="7"/>
  <c r="L576" i="7"/>
  <c r="B576" i="7"/>
  <c r="O575" i="7"/>
  <c r="N575" i="7"/>
  <c r="M575" i="7"/>
  <c r="L575" i="7"/>
  <c r="B575" i="7"/>
  <c r="O574" i="7"/>
  <c r="N574" i="7"/>
  <c r="M574" i="7"/>
  <c r="L574" i="7"/>
  <c r="B574" i="7"/>
  <c r="O573" i="7"/>
  <c r="N573" i="7"/>
  <c r="M573" i="7"/>
  <c r="L573" i="7"/>
  <c r="B573" i="7"/>
  <c r="O572" i="7"/>
  <c r="N572" i="7"/>
  <c r="M572" i="7"/>
  <c r="L572" i="7"/>
  <c r="B572" i="7"/>
  <c r="O571" i="7"/>
  <c r="N571" i="7"/>
  <c r="M571" i="7"/>
  <c r="L571" i="7"/>
  <c r="B571" i="7"/>
  <c r="O570" i="7"/>
  <c r="N570" i="7"/>
  <c r="M570" i="7"/>
  <c r="L570" i="7"/>
  <c r="B570" i="7"/>
  <c r="O569" i="7"/>
  <c r="N569" i="7"/>
  <c r="M569" i="7"/>
  <c r="L569" i="7"/>
  <c r="B569" i="7"/>
  <c r="O568" i="7"/>
  <c r="N568" i="7"/>
  <c r="M568" i="7"/>
  <c r="L568" i="7"/>
  <c r="B568" i="7"/>
  <c r="O567" i="7"/>
  <c r="N567" i="7"/>
  <c r="M567" i="7"/>
  <c r="L567" i="7"/>
  <c r="B567" i="7"/>
  <c r="O566" i="7"/>
  <c r="N566" i="7"/>
  <c r="M566" i="7"/>
  <c r="L566" i="7"/>
  <c r="B566" i="7"/>
  <c r="O565" i="7"/>
  <c r="N565" i="7"/>
  <c r="M565" i="7"/>
  <c r="L565" i="7"/>
  <c r="B565" i="7"/>
  <c r="O564" i="7"/>
  <c r="N564" i="7"/>
  <c r="M564" i="7"/>
  <c r="L564" i="7"/>
  <c r="B564" i="7"/>
  <c r="O563" i="7"/>
  <c r="N563" i="7"/>
  <c r="M563" i="7"/>
  <c r="L563" i="7"/>
  <c r="B563" i="7"/>
  <c r="O562" i="7"/>
  <c r="N562" i="7"/>
  <c r="M562" i="7"/>
  <c r="L562" i="7"/>
  <c r="B562" i="7"/>
  <c r="O561" i="7"/>
  <c r="N561" i="7"/>
  <c r="M561" i="7"/>
  <c r="L561" i="7"/>
  <c r="B561" i="7"/>
  <c r="O560" i="7"/>
  <c r="N560" i="7"/>
  <c r="M560" i="7"/>
  <c r="L560" i="7"/>
  <c r="B560" i="7"/>
  <c r="O559" i="7"/>
  <c r="N559" i="7"/>
  <c r="M559" i="7"/>
  <c r="L559" i="7"/>
  <c r="B559" i="7"/>
  <c r="O558" i="7"/>
  <c r="N558" i="7"/>
  <c r="M558" i="7"/>
  <c r="L558" i="7"/>
  <c r="B558" i="7"/>
  <c r="O557" i="7"/>
  <c r="N557" i="7"/>
  <c r="M557" i="7"/>
  <c r="L557" i="7"/>
  <c r="O556" i="7"/>
  <c r="N556" i="7"/>
  <c r="M556" i="7"/>
  <c r="L556" i="7"/>
  <c r="O555" i="7"/>
  <c r="N555" i="7"/>
  <c r="M555" i="7"/>
  <c r="L555" i="7"/>
  <c r="O554" i="7"/>
  <c r="N554" i="7"/>
  <c r="M554" i="7"/>
  <c r="L554" i="7"/>
  <c r="O553" i="7"/>
  <c r="N553" i="7"/>
  <c r="M553" i="7"/>
  <c r="L553" i="7"/>
  <c r="O552" i="7"/>
  <c r="N552" i="7"/>
  <c r="M552" i="7"/>
  <c r="L552" i="7"/>
  <c r="O551" i="7"/>
  <c r="N551" i="7"/>
  <c r="M551" i="7"/>
  <c r="L551" i="7"/>
  <c r="O550" i="7"/>
  <c r="N550" i="7"/>
  <c r="M550" i="7"/>
  <c r="L550" i="7"/>
  <c r="O549" i="7"/>
  <c r="N549" i="7"/>
  <c r="M549" i="7"/>
  <c r="L549" i="7"/>
  <c r="O548" i="7"/>
  <c r="N548" i="7"/>
  <c r="M548" i="7"/>
  <c r="L548" i="7"/>
  <c r="O547" i="7"/>
  <c r="N547" i="7"/>
  <c r="M547" i="7"/>
  <c r="L547" i="7"/>
  <c r="O546" i="7"/>
  <c r="N546" i="7"/>
  <c r="M546" i="7"/>
  <c r="L546" i="7"/>
  <c r="O545" i="7"/>
  <c r="N545" i="7"/>
  <c r="M545" i="7"/>
  <c r="L545" i="7"/>
  <c r="O544" i="7"/>
  <c r="N544" i="7"/>
  <c r="M544" i="7"/>
  <c r="L544" i="7"/>
  <c r="O543" i="7"/>
  <c r="N543" i="7"/>
  <c r="M543" i="7"/>
  <c r="L543" i="7"/>
  <c r="O542" i="7"/>
  <c r="N542" i="7"/>
  <c r="M542" i="7"/>
  <c r="L542" i="7"/>
  <c r="O541" i="7"/>
  <c r="N541" i="7"/>
  <c r="M541" i="7"/>
  <c r="L541" i="7"/>
  <c r="O540" i="7"/>
  <c r="N540" i="7"/>
  <c r="M540" i="7"/>
  <c r="L540" i="7"/>
  <c r="O539" i="7"/>
  <c r="N539" i="7"/>
  <c r="M539" i="7"/>
  <c r="L539" i="7"/>
  <c r="O538" i="7"/>
  <c r="N538" i="7"/>
  <c r="M538" i="7"/>
  <c r="L538" i="7"/>
  <c r="O537" i="7"/>
  <c r="N537" i="7"/>
  <c r="M537" i="7"/>
  <c r="L537" i="7"/>
  <c r="O536" i="7"/>
  <c r="N536" i="7"/>
  <c r="M536" i="7"/>
  <c r="L536" i="7"/>
  <c r="O535" i="7"/>
  <c r="N535" i="7"/>
  <c r="M535" i="7"/>
  <c r="L535" i="7"/>
  <c r="O534" i="7"/>
  <c r="N534" i="7"/>
  <c r="M534" i="7"/>
  <c r="L534" i="7"/>
  <c r="O533" i="7"/>
  <c r="N533" i="7"/>
  <c r="M533" i="7"/>
  <c r="L533" i="7"/>
  <c r="O532" i="7"/>
  <c r="N532" i="7"/>
  <c r="M532" i="7"/>
  <c r="L532" i="7"/>
  <c r="O531" i="7"/>
  <c r="N531" i="7"/>
  <c r="M531" i="7"/>
  <c r="L531" i="7"/>
  <c r="O530" i="7"/>
  <c r="N530" i="7"/>
  <c r="M530" i="7"/>
  <c r="L530" i="7"/>
  <c r="O529" i="7"/>
  <c r="N529" i="7"/>
  <c r="M529" i="7"/>
  <c r="L529" i="7"/>
  <c r="O528" i="7"/>
  <c r="N528" i="7"/>
  <c r="M528" i="7"/>
  <c r="L528" i="7"/>
  <c r="O527" i="7"/>
  <c r="N527" i="7"/>
  <c r="M527" i="7"/>
  <c r="L527" i="7"/>
  <c r="O526" i="7"/>
  <c r="N526" i="7"/>
  <c r="M526" i="7"/>
  <c r="L526" i="7"/>
  <c r="O525" i="7"/>
  <c r="N525" i="7"/>
  <c r="M525" i="7"/>
  <c r="L525" i="7"/>
  <c r="O524" i="7"/>
  <c r="N524" i="7"/>
  <c r="M524" i="7"/>
  <c r="L524" i="7"/>
  <c r="O523" i="7"/>
  <c r="N523" i="7"/>
  <c r="M523" i="7"/>
  <c r="L523" i="7"/>
  <c r="O522" i="7"/>
  <c r="N522" i="7"/>
  <c r="M522" i="7"/>
  <c r="L522" i="7"/>
  <c r="O521" i="7"/>
  <c r="N521" i="7"/>
  <c r="M521" i="7"/>
  <c r="L521" i="7"/>
  <c r="O520" i="7"/>
  <c r="N520" i="7"/>
  <c r="M520" i="7"/>
  <c r="L520" i="7"/>
  <c r="O519" i="7"/>
  <c r="N519" i="7"/>
  <c r="M519" i="7"/>
  <c r="L519" i="7"/>
  <c r="O518" i="7"/>
  <c r="N518" i="7"/>
  <c r="M518" i="7"/>
  <c r="L518" i="7"/>
  <c r="O517" i="7"/>
  <c r="N517" i="7"/>
  <c r="M517" i="7"/>
  <c r="L517" i="7"/>
  <c r="O516" i="7"/>
  <c r="N516" i="7"/>
  <c r="M516" i="7"/>
  <c r="L516" i="7"/>
  <c r="O515" i="7"/>
  <c r="N515" i="7"/>
  <c r="M515" i="7"/>
  <c r="L515" i="7"/>
  <c r="O514" i="7"/>
  <c r="N514" i="7"/>
  <c r="M514" i="7"/>
  <c r="L514" i="7"/>
  <c r="O513" i="7"/>
  <c r="N513" i="7"/>
  <c r="M513" i="7"/>
  <c r="L513" i="7"/>
  <c r="O512" i="7"/>
  <c r="N512" i="7"/>
  <c r="M512" i="7"/>
  <c r="L512" i="7"/>
  <c r="O511" i="7"/>
  <c r="N511" i="7"/>
  <c r="M511" i="7"/>
  <c r="L511" i="7"/>
  <c r="O510" i="7"/>
  <c r="N510" i="7"/>
  <c r="M510" i="7"/>
  <c r="L510" i="7"/>
  <c r="O509" i="7"/>
  <c r="N509" i="7"/>
  <c r="M509" i="7"/>
  <c r="L509" i="7"/>
  <c r="O508" i="7"/>
  <c r="N508" i="7"/>
  <c r="M508" i="7"/>
  <c r="L508" i="7"/>
  <c r="O507" i="7"/>
  <c r="N507" i="7"/>
  <c r="M507" i="7"/>
  <c r="L507" i="7"/>
  <c r="O506" i="7"/>
  <c r="N506" i="7"/>
  <c r="M506" i="7"/>
  <c r="L506" i="7"/>
  <c r="O505" i="7"/>
  <c r="N505" i="7"/>
  <c r="M505" i="7"/>
  <c r="L505" i="7"/>
  <c r="O504" i="7"/>
  <c r="N504" i="7"/>
  <c r="M504" i="7"/>
  <c r="L504" i="7"/>
  <c r="O503" i="7"/>
  <c r="N503" i="7"/>
  <c r="M503" i="7"/>
  <c r="L503" i="7"/>
  <c r="O502" i="7"/>
  <c r="N502" i="7"/>
  <c r="M502" i="7"/>
  <c r="L502" i="7"/>
  <c r="O501" i="7"/>
  <c r="N501" i="7"/>
  <c r="M501" i="7"/>
  <c r="L501" i="7"/>
  <c r="O500" i="7"/>
  <c r="N500" i="7"/>
  <c r="M500" i="7"/>
  <c r="L500" i="7"/>
  <c r="O499" i="7"/>
  <c r="N499" i="7"/>
  <c r="M499" i="7"/>
  <c r="L499" i="7"/>
  <c r="O498" i="7"/>
  <c r="N498" i="7"/>
  <c r="M498" i="7"/>
  <c r="L498" i="7"/>
  <c r="O497" i="7"/>
  <c r="N497" i="7"/>
  <c r="M497" i="7"/>
  <c r="L497" i="7"/>
  <c r="O496" i="7"/>
  <c r="N496" i="7"/>
  <c r="M496" i="7"/>
  <c r="L496" i="7"/>
  <c r="O495" i="7"/>
  <c r="N495" i="7"/>
  <c r="M495" i="7"/>
  <c r="L495" i="7"/>
  <c r="O494" i="7"/>
  <c r="N494" i="7"/>
  <c r="M494" i="7"/>
  <c r="L494" i="7"/>
  <c r="O493" i="7"/>
  <c r="N493" i="7"/>
  <c r="M493" i="7"/>
  <c r="L493" i="7"/>
  <c r="O492" i="7"/>
  <c r="N492" i="7"/>
  <c r="M492" i="7"/>
  <c r="L492" i="7"/>
  <c r="O491" i="7"/>
  <c r="N491" i="7"/>
  <c r="M491" i="7"/>
  <c r="L491" i="7"/>
  <c r="O490" i="7"/>
  <c r="N490" i="7"/>
  <c r="M490" i="7"/>
  <c r="L490" i="7"/>
  <c r="O489" i="7"/>
  <c r="N489" i="7"/>
  <c r="M489" i="7"/>
  <c r="L489" i="7"/>
  <c r="O488" i="7"/>
  <c r="N488" i="7"/>
  <c r="M488" i="7"/>
  <c r="L488" i="7"/>
  <c r="O487" i="7"/>
  <c r="N487" i="7"/>
  <c r="M487" i="7"/>
  <c r="L487" i="7"/>
  <c r="O486" i="7"/>
  <c r="N486" i="7"/>
  <c r="M486" i="7"/>
  <c r="L486" i="7"/>
  <c r="O485" i="7"/>
  <c r="N485" i="7"/>
  <c r="M485" i="7"/>
  <c r="L485" i="7"/>
  <c r="O484" i="7"/>
  <c r="N484" i="7"/>
  <c r="M484" i="7"/>
  <c r="L484" i="7"/>
  <c r="O483" i="7"/>
  <c r="N483" i="7"/>
  <c r="M483" i="7"/>
  <c r="L483" i="7"/>
  <c r="O482" i="7"/>
  <c r="N482" i="7"/>
  <c r="M482" i="7"/>
  <c r="L482" i="7"/>
  <c r="O481" i="7"/>
  <c r="N481" i="7"/>
  <c r="M481" i="7"/>
  <c r="L481" i="7"/>
  <c r="O480" i="7"/>
  <c r="N480" i="7"/>
  <c r="M480" i="7"/>
  <c r="L480" i="7"/>
  <c r="O479" i="7"/>
  <c r="N479" i="7"/>
  <c r="M479" i="7"/>
  <c r="L479" i="7"/>
  <c r="O478" i="7"/>
  <c r="N478" i="7"/>
  <c r="M478" i="7"/>
  <c r="L478" i="7"/>
  <c r="O477" i="7"/>
  <c r="N477" i="7"/>
  <c r="M477" i="7"/>
  <c r="L477" i="7"/>
  <c r="O476" i="7"/>
  <c r="N476" i="7"/>
  <c r="M476" i="7"/>
  <c r="L476" i="7"/>
  <c r="O475" i="7"/>
  <c r="N475" i="7"/>
  <c r="M475" i="7"/>
  <c r="L475" i="7"/>
  <c r="O474" i="7"/>
  <c r="N474" i="7"/>
  <c r="M474" i="7"/>
  <c r="L474" i="7"/>
  <c r="O473" i="7"/>
  <c r="N473" i="7"/>
  <c r="M473" i="7"/>
  <c r="L473" i="7"/>
  <c r="O472" i="7"/>
  <c r="N472" i="7"/>
  <c r="M472" i="7"/>
  <c r="L472" i="7"/>
  <c r="O471" i="7"/>
  <c r="N471" i="7"/>
  <c r="M471" i="7"/>
  <c r="L471" i="7"/>
  <c r="O470" i="7"/>
  <c r="N470" i="7"/>
  <c r="M470" i="7"/>
  <c r="L470" i="7"/>
  <c r="O469" i="7"/>
  <c r="N469" i="7"/>
  <c r="M469" i="7"/>
  <c r="L469" i="7"/>
  <c r="O468" i="7"/>
  <c r="N468" i="7"/>
  <c r="M468" i="7"/>
  <c r="L468" i="7"/>
  <c r="O467" i="7"/>
  <c r="N467" i="7"/>
  <c r="M467" i="7"/>
  <c r="L467" i="7"/>
  <c r="O466" i="7"/>
  <c r="N466" i="7"/>
  <c r="M466" i="7"/>
  <c r="L466" i="7"/>
  <c r="O465" i="7"/>
  <c r="N465" i="7"/>
  <c r="M465" i="7"/>
  <c r="L465" i="7"/>
  <c r="O464" i="7"/>
  <c r="N464" i="7"/>
  <c r="M464" i="7"/>
  <c r="L464" i="7"/>
  <c r="O463" i="7"/>
  <c r="N463" i="7"/>
  <c r="M463" i="7"/>
  <c r="L463" i="7"/>
  <c r="O462" i="7"/>
  <c r="N462" i="7"/>
  <c r="M462" i="7"/>
  <c r="L462" i="7"/>
  <c r="O461" i="7"/>
  <c r="N461" i="7"/>
  <c r="M461" i="7"/>
  <c r="L461" i="7"/>
  <c r="O460" i="7"/>
  <c r="N460" i="7"/>
  <c r="M460" i="7"/>
  <c r="L460" i="7"/>
  <c r="O459" i="7"/>
  <c r="N459" i="7"/>
  <c r="M459" i="7"/>
  <c r="L459" i="7"/>
  <c r="O458" i="7"/>
  <c r="N458" i="7"/>
  <c r="M458" i="7"/>
  <c r="L458" i="7"/>
  <c r="O457" i="7"/>
  <c r="N457" i="7"/>
  <c r="M457" i="7"/>
  <c r="L457" i="7"/>
  <c r="O456" i="7"/>
  <c r="N456" i="7"/>
  <c r="M456" i="7"/>
  <c r="L456" i="7"/>
  <c r="O455" i="7"/>
  <c r="N455" i="7"/>
  <c r="M455" i="7"/>
  <c r="L455" i="7"/>
  <c r="O454" i="7"/>
  <c r="N454" i="7"/>
  <c r="M454" i="7"/>
  <c r="L454" i="7"/>
  <c r="O453" i="7"/>
  <c r="N453" i="7"/>
  <c r="M453" i="7"/>
  <c r="L453" i="7"/>
  <c r="O452" i="7"/>
  <c r="N452" i="7"/>
  <c r="M452" i="7"/>
  <c r="L452" i="7"/>
  <c r="O451" i="7"/>
  <c r="N451" i="7"/>
  <c r="M451" i="7"/>
  <c r="L451" i="7"/>
  <c r="O450" i="7"/>
  <c r="N450" i="7"/>
  <c r="M450" i="7"/>
  <c r="L450" i="7"/>
  <c r="O449" i="7"/>
  <c r="N449" i="7"/>
  <c r="M449" i="7"/>
  <c r="L449" i="7"/>
  <c r="O448" i="7"/>
  <c r="N448" i="7"/>
  <c r="M448" i="7"/>
  <c r="L448" i="7"/>
  <c r="O447" i="7"/>
  <c r="N447" i="7"/>
  <c r="M447" i="7"/>
  <c r="L447" i="7"/>
  <c r="O446" i="7"/>
  <c r="N446" i="7"/>
  <c r="M446" i="7"/>
  <c r="L446" i="7"/>
  <c r="O445" i="7"/>
  <c r="N445" i="7"/>
  <c r="M445" i="7"/>
  <c r="L445" i="7"/>
  <c r="O444" i="7"/>
  <c r="N444" i="7"/>
  <c r="M444" i="7"/>
  <c r="L444" i="7"/>
  <c r="O443" i="7"/>
  <c r="N443" i="7"/>
  <c r="M443" i="7"/>
  <c r="L443" i="7"/>
  <c r="O442" i="7"/>
  <c r="N442" i="7"/>
  <c r="M442" i="7"/>
  <c r="L442" i="7"/>
  <c r="O441" i="7"/>
  <c r="N441" i="7"/>
  <c r="M441" i="7"/>
  <c r="L441" i="7"/>
  <c r="O440" i="7"/>
  <c r="N440" i="7"/>
  <c r="M440" i="7"/>
  <c r="L440" i="7"/>
  <c r="O439" i="7"/>
  <c r="N439" i="7"/>
  <c r="M439" i="7"/>
  <c r="L439" i="7"/>
  <c r="O438" i="7"/>
  <c r="N438" i="7"/>
  <c r="M438" i="7"/>
  <c r="L438" i="7"/>
  <c r="O437" i="7"/>
  <c r="N437" i="7"/>
  <c r="M437" i="7"/>
  <c r="L437" i="7"/>
  <c r="O436" i="7"/>
  <c r="N436" i="7"/>
  <c r="M436" i="7"/>
  <c r="L436" i="7"/>
  <c r="O435" i="7"/>
  <c r="N435" i="7"/>
  <c r="M435" i="7"/>
  <c r="L435" i="7"/>
  <c r="O434" i="7"/>
  <c r="N434" i="7"/>
  <c r="M434" i="7"/>
  <c r="L434" i="7"/>
  <c r="O433" i="7"/>
  <c r="N433" i="7"/>
  <c r="M433" i="7"/>
  <c r="L433" i="7"/>
  <c r="O432" i="7"/>
  <c r="N432" i="7"/>
  <c r="M432" i="7"/>
  <c r="L432" i="7"/>
  <c r="O431" i="7"/>
  <c r="N431" i="7"/>
  <c r="M431" i="7"/>
  <c r="L431" i="7"/>
  <c r="O430" i="7"/>
  <c r="N430" i="7"/>
  <c r="M430" i="7"/>
  <c r="L430" i="7"/>
  <c r="O429" i="7"/>
  <c r="N429" i="7"/>
  <c r="M429" i="7"/>
  <c r="L429" i="7"/>
  <c r="O428" i="7"/>
  <c r="N428" i="7"/>
  <c r="M428" i="7"/>
  <c r="L428" i="7"/>
  <c r="O427" i="7"/>
  <c r="N427" i="7"/>
  <c r="M427" i="7"/>
  <c r="L427" i="7"/>
  <c r="O426" i="7"/>
  <c r="N426" i="7"/>
  <c r="M426" i="7"/>
  <c r="L426" i="7"/>
  <c r="O425" i="7"/>
  <c r="N425" i="7"/>
  <c r="M425" i="7"/>
  <c r="L425" i="7"/>
  <c r="O424" i="7"/>
  <c r="N424" i="7"/>
  <c r="M424" i="7"/>
  <c r="L424" i="7"/>
  <c r="O423" i="7"/>
  <c r="N423" i="7"/>
  <c r="M423" i="7"/>
  <c r="L423" i="7"/>
  <c r="O422" i="7"/>
  <c r="N422" i="7"/>
  <c r="M422" i="7"/>
  <c r="L422" i="7"/>
  <c r="O421" i="7"/>
  <c r="N421" i="7"/>
  <c r="M421" i="7"/>
  <c r="L421" i="7"/>
  <c r="O420" i="7"/>
  <c r="N420" i="7"/>
  <c r="M420" i="7"/>
  <c r="L420" i="7"/>
  <c r="O419" i="7"/>
  <c r="N419" i="7"/>
  <c r="M419" i="7"/>
  <c r="L419" i="7"/>
  <c r="O418" i="7"/>
  <c r="N418" i="7"/>
  <c r="M418" i="7"/>
  <c r="L418" i="7"/>
  <c r="O417" i="7"/>
  <c r="N417" i="7"/>
  <c r="M417" i="7"/>
  <c r="L417" i="7"/>
  <c r="O416" i="7"/>
  <c r="N416" i="7"/>
  <c r="M416" i="7"/>
  <c r="L416" i="7"/>
  <c r="O415" i="7"/>
  <c r="N415" i="7"/>
  <c r="M415" i="7"/>
  <c r="L415" i="7"/>
  <c r="O414" i="7"/>
  <c r="N414" i="7"/>
  <c r="M414" i="7"/>
  <c r="L414" i="7"/>
  <c r="O413" i="7"/>
  <c r="N413" i="7"/>
  <c r="M413" i="7"/>
  <c r="L413" i="7"/>
  <c r="O412" i="7"/>
  <c r="N412" i="7"/>
  <c r="M412" i="7"/>
  <c r="L412" i="7"/>
  <c r="O411" i="7"/>
  <c r="N411" i="7"/>
  <c r="M411" i="7"/>
  <c r="L411" i="7"/>
  <c r="O410" i="7"/>
  <c r="N410" i="7"/>
  <c r="M410" i="7"/>
  <c r="L410" i="7"/>
  <c r="O409" i="7"/>
  <c r="N409" i="7"/>
  <c r="M409" i="7"/>
  <c r="L409" i="7"/>
  <c r="O408" i="7"/>
  <c r="N408" i="7"/>
  <c r="M408" i="7"/>
  <c r="L408" i="7"/>
  <c r="O407" i="7"/>
  <c r="N407" i="7"/>
  <c r="M407" i="7"/>
  <c r="L407" i="7"/>
  <c r="O406" i="7"/>
  <c r="N406" i="7"/>
  <c r="M406" i="7"/>
  <c r="L406" i="7"/>
  <c r="O405" i="7"/>
  <c r="N405" i="7"/>
  <c r="M405" i="7"/>
  <c r="L405" i="7"/>
  <c r="O404" i="7"/>
  <c r="N404" i="7"/>
  <c r="M404" i="7"/>
  <c r="L404" i="7"/>
  <c r="O403" i="7"/>
  <c r="N403" i="7"/>
  <c r="M403" i="7"/>
  <c r="L403" i="7"/>
  <c r="O402" i="7"/>
  <c r="N402" i="7"/>
  <c r="M402" i="7"/>
  <c r="L402" i="7"/>
  <c r="O401" i="7"/>
  <c r="N401" i="7"/>
  <c r="M401" i="7"/>
  <c r="L401" i="7"/>
  <c r="O400" i="7"/>
  <c r="N400" i="7"/>
  <c r="M400" i="7"/>
  <c r="L400" i="7"/>
  <c r="O399" i="7"/>
  <c r="N399" i="7"/>
  <c r="M399" i="7"/>
  <c r="L399" i="7"/>
  <c r="O398" i="7"/>
  <c r="N398" i="7"/>
  <c r="M398" i="7"/>
  <c r="L398" i="7"/>
  <c r="O397" i="7"/>
  <c r="N397" i="7"/>
  <c r="M397" i="7"/>
  <c r="L397" i="7"/>
  <c r="O396" i="7"/>
  <c r="N396" i="7"/>
  <c r="M396" i="7"/>
  <c r="L396" i="7"/>
  <c r="O395" i="7"/>
  <c r="N395" i="7"/>
  <c r="M395" i="7"/>
  <c r="L395" i="7"/>
  <c r="O394" i="7"/>
  <c r="N394" i="7"/>
  <c r="M394" i="7"/>
  <c r="L394" i="7"/>
  <c r="O393" i="7"/>
  <c r="N393" i="7"/>
  <c r="M393" i="7"/>
  <c r="L393" i="7"/>
  <c r="O392" i="7"/>
  <c r="N392" i="7"/>
  <c r="M392" i="7"/>
  <c r="L392" i="7"/>
  <c r="O391" i="7"/>
  <c r="N391" i="7"/>
  <c r="M391" i="7"/>
  <c r="L391" i="7"/>
  <c r="O390" i="7"/>
  <c r="N390" i="7"/>
  <c r="M390" i="7"/>
  <c r="L390" i="7"/>
  <c r="O389" i="7"/>
  <c r="N389" i="7"/>
  <c r="M389" i="7"/>
  <c r="L389" i="7"/>
  <c r="O388" i="7"/>
  <c r="N388" i="7"/>
  <c r="M388" i="7"/>
  <c r="L388" i="7"/>
  <c r="O387" i="7"/>
  <c r="N387" i="7"/>
  <c r="M387" i="7"/>
  <c r="L387" i="7"/>
  <c r="O386" i="7"/>
  <c r="N386" i="7"/>
  <c r="M386" i="7"/>
  <c r="L386" i="7"/>
  <c r="O385" i="7"/>
  <c r="N385" i="7"/>
  <c r="M385" i="7"/>
  <c r="L385" i="7"/>
  <c r="O384" i="7"/>
  <c r="N384" i="7"/>
  <c r="M384" i="7"/>
  <c r="L384" i="7"/>
  <c r="O383" i="7"/>
  <c r="N383" i="7"/>
  <c r="M383" i="7"/>
  <c r="L383" i="7"/>
  <c r="O382" i="7"/>
  <c r="N382" i="7"/>
  <c r="M382" i="7"/>
  <c r="L382" i="7"/>
  <c r="O381" i="7"/>
  <c r="N381" i="7"/>
  <c r="M381" i="7"/>
  <c r="L381" i="7"/>
  <c r="O380" i="7"/>
  <c r="N380" i="7"/>
  <c r="M380" i="7"/>
  <c r="L380" i="7"/>
  <c r="O379" i="7"/>
  <c r="N379" i="7"/>
  <c r="M379" i="7"/>
  <c r="L379" i="7"/>
  <c r="O378" i="7"/>
  <c r="N378" i="7"/>
  <c r="M378" i="7"/>
  <c r="L378" i="7"/>
  <c r="O377" i="7"/>
  <c r="N377" i="7"/>
  <c r="M377" i="7"/>
  <c r="L377" i="7"/>
  <c r="O376" i="7"/>
  <c r="N376" i="7"/>
  <c r="M376" i="7"/>
  <c r="L376" i="7"/>
  <c r="O375" i="7"/>
  <c r="N375" i="7"/>
  <c r="M375" i="7"/>
  <c r="L375" i="7"/>
  <c r="O374" i="7"/>
  <c r="N374" i="7"/>
  <c r="M374" i="7"/>
  <c r="L374" i="7"/>
  <c r="O373" i="7"/>
  <c r="N373" i="7"/>
  <c r="M373" i="7"/>
  <c r="L373" i="7"/>
  <c r="O372" i="7"/>
  <c r="N372" i="7"/>
  <c r="M372" i="7"/>
  <c r="L372" i="7"/>
  <c r="O371" i="7"/>
  <c r="N371" i="7"/>
  <c r="M371" i="7"/>
  <c r="L371" i="7"/>
  <c r="O370" i="7"/>
  <c r="N370" i="7"/>
  <c r="M370" i="7"/>
  <c r="L370" i="7"/>
  <c r="O369" i="7"/>
  <c r="N369" i="7"/>
  <c r="M369" i="7"/>
  <c r="L369" i="7"/>
  <c r="O368" i="7"/>
  <c r="N368" i="7"/>
  <c r="M368" i="7"/>
  <c r="L368" i="7"/>
  <c r="O367" i="7"/>
  <c r="N367" i="7"/>
  <c r="M367" i="7"/>
  <c r="L367" i="7"/>
  <c r="O366" i="7"/>
  <c r="N366" i="7"/>
  <c r="M366" i="7"/>
  <c r="L366" i="7"/>
  <c r="O365" i="7"/>
  <c r="N365" i="7"/>
  <c r="M365" i="7"/>
  <c r="L365" i="7"/>
  <c r="O364" i="7"/>
  <c r="N364" i="7"/>
  <c r="M364" i="7"/>
  <c r="L364" i="7"/>
  <c r="O363" i="7"/>
  <c r="N363" i="7"/>
  <c r="M363" i="7"/>
  <c r="L363" i="7"/>
  <c r="O362" i="7"/>
  <c r="N362" i="7"/>
  <c r="M362" i="7"/>
  <c r="L362" i="7"/>
  <c r="O361" i="7"/>
  <c r="N361" i="7"/>
  <c r="M361" i="7"/>
  <c r="L361" i="7"/>
  <c r="O360" i="7"/>
  <c r="N360" i="7"/>
  <c r="M360" i="7"/>
  <c r="L360" i="7"/>
  <c r="O359" i="7"/>
  <c r="N359" i="7"/>
  <c r="M359" i="7"/>
  <c r="L359" i="7"/>
  <c r="O358" i="7"/>
  <c r="N358" i="7"/>
  <c r="M358" i="7"/>
  <c r="L358" i="7"/>
  <c r="O357" i="7"/>
  <c r="N357" i="7"/>
  <c r="M357" i="7"/>
  <c r="L357" i="7"/>
  <c r="O356" i="7"/>
  <c r="N356" i="7"/>
  <c r="M356" i="7"/>
  <c r="L356" i="7"/>
  <c r="O355" i="7"/>
  <c r="N355" i="7"/>
  <c r="M355" i="7"/>
  <c r="L355" i="7"/>
  <c r="O354" i="7"/>
  <c r="N354" i="7"/>
  <c r="M354" i="7"/>
  <c r="L354" i="7"/>
  <c r="O353" i="7"/>
  <c r="N353" i="7"/>
  <c r="M353" i="7"/>
  <c r="L353" i="7"/>
  <c r="O352" i="7"/>
  <c r="N352" i="7"/>
  <c r="M352" i="7"/>
  <c r="L352" i="7"/>
  <c r="O351" i="7"/>
  <c r="N351" i="7"/>
  <c r="M351" i="7"/>
  <c r="L351" i="7"/>
  <c r="O350" i="7"/>
  <c r="N350" i="7"/>
  <c r="M350" i="7"/>
  <c r="L350" i="7"/>
  <c r="O349" i="7"/>
  <c r="N349" i="7"/>
  <c r="M349" i="7"/>
  <c r="L349" i="7"/>
  <c r="O348" i="7"/>
  <c r="N348" i="7"/>
  <c r="M348" i="7"/>
  <c r="L348" i="7"/>
  <c r="O347" i="7"/>
  <c r="N347" i="7"/>
  <c r="M347" i="7"/>
  <c r="L347" i="7"/>
  <c r="O346" i="7"/>
  <c r="N346" i="7"/>
  <c r="M346" i="7"/>
  <c r="L346" i="7"/>
  <c r="O345" i="7"/>
  <c r="N345" i="7"/>
  <c r="M345" i="7"/>
  <c r="L345" i="7"/>
  <c r="O344" i="7"/>
  <c r="N344" i="7"/>
  <c r="M344" i="7"/>
  <c r="L344" i="7"/>
  <c r="O343" i="7"/>
  <c r="N343" i="7"/>
  <c r="M343" i="7"/>
  <c r="L343" i="7"/>
  <c r="O342" i="7"/>
  <c r="N342" i="7"/>
  <c r="M342" i="7"/>
  <c r="L342" i="7"/>
  <c r="O341" i="7"/>
  <c r="N341" i="7"/>
  <c r="M341" i="7"/>
  <c r="L341" i="7"/>
  <c r="O340" i="7"/>
  <c r="N340" i="7"/>
  <c r="M340" i="7"/>
  <c r="L340" i="7"/>
  <c r="O339" i="7"/>
  <c r="N339" i="7"/>
  <c r="M339" i="7"/>
  <c r="L339" i="7"/>
  <c r="O338" i="7"/>
  <c r="N338" i="7"/>
  <c r="M338" i="7"/>
  <c r="L338" i="7"/>
  <c r="O337" i="7"/>
  <c r="N337" i="7"/>
  <c r="M337" i="7"/>
  <c r="L337" i="7"/>
  <c r="O336" i="7"/>
  <c r="N336" i="7"/>
  <c r="M336" i="7"/>
  <c r="L336" i="7"/>
  <c r="O335" i="7"/>
  <c r="N335" i="7"/>
  <c r="M335" i="7"/>
  <c r="L335" i="7"/>
  <c r="O334" i="7"/>
  <c r="N334" i="7"/>
  <c r="M334" i="7"/>
  <c r="L334" i="7"/>
  <c r="O333" i="7"/>
  <c r="N333" i="7"/>
  <c r="M333" i="7"/>
  <c r="L333" i="7"/>
  <c r="O332" i="7"/>
  <c r="N332" i="7"/>
  <c r="M332" i="7"/>
  <c r="L332" i="7"/>
  <c r="O331" i="7"/>
  <c r="N331" i="7"/>
  <c r="M331" i="7"/>
  <c r="L331" i="7"/>
  <c r="O330" i="7"/>
  <c r="N330" i="7"/>
  <c r="M330" i="7"/>
  <c r="L330" i="7"/>
  <c r="O329" i="7"/>
  <c r="N329" i="7"/>
  <c r="M329" i="7"/>
  <c r="L329" i="7"/>
  <c r="O328" i="7"/>
  <c r="N328" i="7"/>
  <c r="M328" i="7"/>
  <c r="L328" i="7"/>
  <c r="O327" i="7"/>
  <c r="N327" i="7"/>
  <c r="M327" i="7"/>
  <c r="L327" i="7"/>
  <c r="O326" i="7"/>
  <c r="N326" i="7"/>
  <c r="M326" i="7"/>
  <c r="L326" i="7"/>
  <c r="O325" i="7"/>
  <c r="N325" i="7"/>
  <c r="M325" i="7"/>
  <c r="L325" i="7"/>
  <c r="O324" i="7"/>
  <c r="N324" i="7"/>
  <c r="M324" i="7"/>
  <c r="L324" i="7"/>
  <c r="O323" i="7"/>
  <c r="N323" i="7"/>
  <c r="M323" i="7"/>
  <c r="L323" i="7"/>
  <c r="O322" i="7"/>
  <c r="N322" i="7"/>
  <c r="M322" i="7"/>
  <c r="L322" i="7"/>
  <c r="O321" i="7"/>
  <c r="N321" i="7"/>
  <c r="M321" i="7"/>
  <c r="L321" i="7"/>
  <c r="O320" i="7"/>
  <c r="N320" i="7"/>
  <c r="M320" i="7"/>
  <c r="L320" i="7"/>
  <c r="O319" i="7"/>
  <c r="N319" i="7"/>
  <c r="M319" i="7"/>
  <c r="L319" i="7"/>
  <c r="O318" i="7"/>
  <c r="N318" i="7"/>
  <c r="M318" i="7"/>
  <c r="L318" i="7"/>
  <c r="O317" i="7"/>
  <c r="N317" i="7"/>
  <c r="M317" i="7"/>
  <c r="L317" i="7"/>
  <c r="O316" i="7"/>
  <c r="N316" i="7"/>
  <c r="M316" i="7"/>
  <c r="L316" i="7"/>
  <c r="O315" i="7"/>
  <c r="N315" i="7"/>
  <c r="M315" i="7"/>
  <c r="L315" i="7"/>
  <c r="O314" i="7"/>
  <c r="N314" i="7"/>
  <c r="M314" i="7"/>
  <c r="L314" i="7"/>
  <c r="O313" i="7"/>
  <c r="N313" i="7"/>
  <c r="M313" i="7"/>
  <c r="L313" i="7"/>
  <c r="O312" i="7"/>
  <c r="N312" i="7"/>
  <c r="M312" i="7"/>
  <c r="L312" i="7"/>
  <c r="O311" i="7"/>
  <c r="N311" i="7"/>
  <c r="M311" i="7"/>
  <c r="L311" i="7"/>
  <c r="O310" i="7"/>
  <c r="N310" i="7"/>
  <c r="M310" i="7"/>
  <c r="L310" i="7"/>
  <c r="O309" i="7"/>
  <c r="N309" i="7"/>
  <c r="M309" i="7"/>
  <c r="L309" i="7"/>
  <c r="O308" i="7"/>
  <c r="N308" i="7"/>
  <c r="M308" i="7"/>
  <c r="L308" i="7"/>
  <c r="O307" i="7"/>
  <c r="N307" i="7"/>
  <c r="M307" i="7"/>
  <c r="L307" i="7"/>
  <c r="O306" i="7"/>
  <c r="N306" i="7"/>
  <c r="M306" i="7"/>
  <c r="L306" i="7"/>
  <c r="O305" i="7"/>
  <c r="N305" i="7"/>
  <c r="M305" i="7"/>
  <c r="L305" i="7"/>
  <c r="O304" i="7"/>
  <c r="N304" i="7"/>
  <c r="M304" i="7"/>
  <c r="L304" i="7"/>
  <c r="O303" i="7"/>
  <c r="N303" i="7"/>
  <c r="M303" i="7"/>
  <c r="L303" i="7"/>
  <c r="O302" i="7"/>
  <c r="N302" i="7"/>
  <c r="M302" i="7"/>
  <c r="L302" i="7"/>
  <c r="O301" i="7"/>
  <c r="N301" i="7"/>
  <c r="M301" i="7"/>
  <c r="L301" i="7"/>
  <c r="O300" i="7"/>
  <c r="N300" i="7"/>
  <c r="M300" i="7"/>
  <c r="L300" i="7"/>
  <c r="O299" i="7"/>
  <c r="N299" i="7"/>
  <c r="M299" i="7"/>
  <c r="L299" i="7"/>
  <c r="O298" i="7"/>
  <c r="N298" i="7"/>
  <c r="M298" i="7"/>
  <c r="L298" i="7"/>
  <c r="O297" i="7"/>
  <c r="N297" i="7"/>
  <c r="M297" i="7"/>
  <c r="L297" i="7"/>
  <c r="O296" i="7"/>
  <c r="N296" i="7"/>
  <c r="M296" i="7"/>
  <c r="L296" i="7"/>
  <c r="O295" i="7"/>
  <c r="N295" i="7"/>
  <c r="M295" i="7"/>
  <c r="L295" i="7"/>
  <c r="O294" i="7"/>
  <c r="N294" i="7"/>
  <c r="M294" i="7"/>
  <c r="L294" i="7"/>
  <c r="O293" i="7"/>
  <c r="N293" i="7"/>
  <c r="M293" i="7"/>
  <c r="L293" i="7"/>
  <c r="O292" i="7"/>
  <c r="N292" i="7"/>
  <c r="M292" i="7"/>
  <c r="L292" i="7"/>
  <c r="O291" i="7"/>
  <c r="N291" i="7"/>
  <c r="M291" i="7"/>
  <c r="L291" i="7"/>
  <c r="O290" i="7"/>
  <c r="N290" i="7"/>
  <c r="M290" i="7"/>
  <c r="L290" i="7"/>
  <c r="O289" i="7"/>
  <c r="N289" i="7"/>
  <c r="M289" i="7"/>
  <c r="L289" i="7"/>
  <c r="O288" i="7"/>
  <c r="N288" i="7"/>
  <c r="M288" i="7"/>
  <c r="L288" i="7"/>
  <c r="O287" i="7"/>
  <c r="N287" i="7"/>
  <c r="M287" i="7"/>
  <c r="L287" i="7"/>
  <c r="O286" i="7"/>
  <c r="N286" i="7"/>
  <c r="M286" i="7"/>
  <c r="L286" i="7"/>
  <c r="O285" i="7"/>
  <c r="N285" i="7"/>
  <c r="M285" i="7"/>
  <c r="L285" i="7"/>
  <c r="O284" i="7"/>
  <c r="N284" i="7"/>
  <c r="M284" i="7"/>
  <c r="L284" i="7"/>
  <c r="O283" i="7"/>
  <c r="N283" i="7"/>
  <c r="M283" i="7"/>
  <c r="L283" i="7"/>
  <c r="O282" i="7"/>
  <c r="N282" i="7"/>
  <c r="M282" i="7"/>
  <c r="L282" i="7"/>
  <c r="O281" i="7"/>
  <c r="N281" i="7"/>
  <c r="M281" i="7"/>
  <c r="L281" i="7"/>
  <c r="O280" i="7"/>
  <c r="N280" i="7"/>
  <c r="M280" i="7"/>
  <c r="L280" i="7"/>
  <c r="O279" i="7"/>
  <c r="N279" i="7"/>
  <c r="M279" i="7"/>
  <c r="L279" i="7"/>
  <c r="O278" i="7"/>
  <c r="N278" i="7"/>
  <c r="M278" i="7"/>
  <c r="L278" i="7"/>
  <c r="O277" i="7"/>
  <c r="N277" i="7"/>
  <c r="M277" i="7"/>
  <c r="L277" i="7"/>
  <c r="O276" i="7"/>
  <c r="N276" i="7"/>
  <c r="M276" i="7"/>
  <c r="L276" i="7"/>
  <c r="O275" i="7"/>
  <c r="N275" i="7"/>
  <c r="M275" i="7"/>
  <c r="L275" i="7"/>
  <c r="O274" i="7"/>
  <c r="N274" i="7"/>
  <c r="M274" i="7"/>
  <c r="L274" i="7"/>
  <c r="O273" i="7"/>
  <c r="N273" i="7"/>
  <c r="M273" i="7"/>
  <c r="L273" i="7"/>
  <c r="O272" i="7"/>
  <c r="N272" i="7"/>
  <c r="M272" i="7"/>
  <c r="L272" i="7"/>
  <c r="O271" i="7"/>
  <c r="N271" i="7"/>
  <c r="M271" i="7"/>
  <c r="L271" i="7"/>
  <c r="O270" i="7"/>
  <c r="N270" i="7"/>
  <c r="M270" i="7"/>
  <c r="L270" i="7"/>
  <c r="O269" i="7"/>
  <c r="N269" i="7"/>
  <c r="M269" i="7"/>
  <c r="L269" i="7"/>
  <c r="O268" i="7"/>
  <c r="N268" i="7"/>
  <c r="M268" i="7"/>
  <c r="L268" i="7"/>
  <c r="O267" i="7"/>
  <c r="N267" i="7"/>
  <c r="M267" i="7"/>
  <c r="L267" i="7"/>
  <c r="O266" i="7"/>
  <c r="N266" i="7"/>
  <c r="M266" i="7"/>
  <c r="L266" i="7"/>
  <c r="O265" i="7"/>
  <c r="N265" i="7"/>
  <c r="M265" i="7"/>
  <c r="L265" i="7"/>
  <c r="O264" i="7"/>
  <c r="N264" i="7"/>
  <c r="M264" i="7"/>
  <c r="L264" i="7"/>
  <c r="O263" i="7"/>
  <c r="N263" i="7"/>
  <c r="M263" i="7"/>
  <c r="L263" i="7"/>
  <c r="O262" i="7"/>
  <c r="N262" i="7"/>
  <c r="M262" i="7"/>
  <c r="L262" i="7"/>
  <c r="O261" i="7"/>
  <c r="N261" i="7"/>
  <c r="M261" i="7"/>
  <c r="L261" i="7"/>
  <c r="O260" i="7"/>
  <c r="N260" i="7"/>
  <c r="M260" i="7"/>
  <c r="L260" i="7"/>
  <c r="O259" i="7"/>
  <c r="N259" i="7"/>
  <c r="M259" i="7"/>
  <c r="L259" i="7"/>
  <c r="O258" i="7"/>
  <c r="N258" i="7"/>
  <c r="M258" i="7"/>
  <c r="L258" i="7"/>
  <c r="O257" i="7"/>
  <c r="N257" i="7"/>
  <c r="M257" i="7"/>
  <c r="L257" i="7"/>
  <c r="O256" i="7"/>
  <c r="N256" i="7"/>
  <c r="M256" i="7"/>
  <c r="L256" i="7"/>
  <c r="O255" i="7"/>
  <c r="N255" i="7"/>
  <c r="M255" i="7"/>
  <c r="L255" i="7"/>
  <c r="O254" i="7"/>
  <c r="N254" i="7"/>
  <c r="M254" i="7"/>
  <c r="L254" i="7"/>
  <c r="O253" i="7"/>
  <c r="N253" i="7"/>
  <c r="M253" i="7"/>
  <c r="L253" i="7"/>
  <c r="O252" i="7"/>
  <c r="N252" i="7"/>
  <c r="M252" i="7"/>
  <c r="L252" i="7"/>
  <c r="O251" i="7"/>
  <c r="N251" i="7"/>
  <c r="M251" i="7"/>
  <c r="L251" i="7"/>
  <c r="O250" i="7"/>
  <c r="N250" i="7"/>
  <c r="M250" i="7"/>
  <c r="L250" i="7"/>
  <c r="O249" i="7"/>
  <c r="N249" i="7"/>
  <c r="M249" i="7"/>
  <c r="L249" i="7"/>
  <c r="O248" i="7"/>
  <c r="N248" i="7"/>
  <c r="M248" i="7"/>
  <c r="L248" i="7"/>
  <c r="O247" i="7"/>
  <c r="N247" i="7"/>
  <c r="M247" i="7"/>
  <c r="L247" i="7"/>
  <c r="O246" i="7"/>
  <c r="N246" i="7"/>
  <c r="M246" i="7"/>
  <c r="L246" i="7"/>
  <c r="O245" i="7"/>
  <c r="N245" i="7"/>
  <c r="M245" i="7"/>
  <c r="L245" i="7"/>
  <c r="O244" i="7"/>
  <c r="N244" i="7"/>
  <c r="M244" i="7"/>
  <c r="L244" i="7"/>
  <c r="O243" i="7"/>
  <c r="N243" i="7"/>
  <c r="M243" i="7"/>
  <c r="L243" i="7"/>
  <c r="O242" i="7"/>
  <c r="N242" i="7"/>
  <c r="M242" i="7"/>
  <c r="L242" i="7"/>
  <c r="O241" i="7"/>
  <c r="N241" i="7"/>
  <c r="M241" i="7"/>
  <c r="L241" i="7"/>
  <c r="O240" i="7"/>
  <c r="N240" i="7"/>
  <c r="M240" i="7"/>
  <c r="L240" i="7"/>
  <c r="O239" i="7"/>
  <c r="N239" i="7"/>
  <c r="M239" i="7"/>
  <c r="L239" i="7"/>
  <c r="O238" i="7"/>
  <c r="N238" i="7"/>
  <c r="M238" i="7"/>
  <c r="L238" i="7"/>
  <c r="O237" i="7"/>
  <c r="N237" i="7"/>
  <c r="M237" i="7"/>
  <c r="L237" i="7"/>
  <c r="O236" i="7"/>
  <c r="N236" i="7"/>
  <c r="M236" i="7"/>
  <c r="L236" i="7"/>
  <c r="O235" i="7"/>
  <c r="N235" i="7"/>
  <c r="M235" i="7"/>
  <c r="L235" i="7"/>
  <c r="O234" i="7"/>
  <c r="N234" i="7"/>
  <c r="M234" i="7"/>
  <c r="L234" i="7"/>
  <c r="O233" i="7"/>
  <c r="N233" i="7"/>
  <c r="M233" i="7"/>
  <c r="L233" i="7"/>
  <c r="O232" i="7"/>
  <c r="N232" i="7"/>
  <c r="M232" i="7"/>
  <c r="L232" i="7"/>
  <c r="O231" i="7"/>
  <c r="N231" i="7"/>
  <c r="M231" i="7"/>
  <c r="L231" i="7"/>
  <c r="O230" i="7"/>
  <c r="N230" i="7"/>
  <c r="M230" i="7"/>
  <c r="L230" i="7"/>
  <c r="O229" i="7"/>
  <c r="N229" i="7"/>
  <c r="M229" i="7"/>
  <c r="L229" i="7"/>
  <c r="O228" i="7"/>
  <c r="N228" i="7"/>
  <c r="M228" i="7"/>
  <c r="L228" i="7"/>
  <c r="O227" i="7"/>
  <c r="N227" i="7"/>
  <c r="M227" i="7"/>
  <c r="L227" i="7"/>
  <c r="O226" i="7"/>
  <c r="N226" i="7"/>
  <c r="M226" i="7"/>
  <c r="L226" i="7"/>
  <c r="O225" i="7"/>
  <c r="N225" i="7"/>
  <c r="M225" i="7"/>
  <c r="L225" i="7"/>
  <c r="O224" i="7"/>
  <c r="N224" i="7"/>
  <c r="M224" i="7"/>
  <c r="L224" i="7"/>
  <c r="O223" i="7"/>
  <c r="N223" i="7"/>
  <c r="M223" i="7"/>
  <c r="L223" i="7"/>
  <c r="O222" i="7"/>
  <c r="N222" i="7"/>
  <c r="M222" i="7"/>
  <c r="L222" i="7"/>
  <c r="O221" i="7"/>
  <c r="N221" i="7"/>
  <c r="M221" i="7"/>
  <c r="L221" i="7"/>
  <c r="O220" i="7"/>
  <c r="N220" i="7"/>
  <c r="M220" i="7"/>
  <c r="L220" i="7"/>
  <c r="O219" i="7"/>
  <c r="N219" i="7"/>
  <c r="M219" i="7"/>
  <c r="L219" i="7"/>
  <c r="O218" i="7"/>
  <c r="N218" i="7"/>
  <c r="M218" i="7"/>
  <c r="L218" i="7"/>
  <c r="O217" i="7"/>
  <c r="N217" i="7"/>
  <c r="M217" i="7"/>
  <c r="L217" i="7"/>
  <c r="O216" i="7"/>
  <c r="N216" i="7"/>
  <c r="M216" i="7"/>
  <c r="L216" i="7"/>
  <c r="O215" i="7"/>
  <c r="N215" i="7"/>
  <c r="M215" i="7"/>
  <c r="L215" i="7"/>
  <c r="O214" i="7"/>
  <c r="N214" i="7"/>
  <c r="M214" i="7"/>
  <c r="L214" i="7"/>
  <c r="O213" i="7"/>
  <c r="N213" i="7"/>
  <c r="M213" i="7"/>
  <c r="L213" i="7"/>
  <c r="O212" i="7"/>
  <c r="N212" i="7"/>
  <c r="M212" i="7"/>
  <c r="L212" i="7"/>
  <c r="O211" i="7"/>
  <c r="N211" i="7"/>
  <c r="M211" i="7"/>
  <c r="L211" i="7"/>
  <c r="O210" i="7"/>
  <c r="N210" i="7"/>
  <c r="M210" i="7"/>
  <c r="L210" i="7"/>
  <c r="O209" i="7"/>
  <c r="N209" i="7"/>
  <c r="M209" i="7"/>
  <c r="L209" i="7"/>
  <c r="O208" i="7"/>
  <c r="N208" i="7"/>
  <c r="M208" i="7"/>
  <c r="L208" i="7"/>
  <c r="O207" i="7"/>
  <c r="N207" i="7"/>
  <c r="M207" i="7"/>
  <c r="L207" i="7"/>
  <c r="O206" i="7"/>
  <c r="N206" i="7"/>
  <c r="M206" i="7"/>
  <c r="L206" i="7"/>
  <c r="O205" i="7"/>
  <c r="N205" i="7"/>
  <c r="M205" i="7"/>
  <c r="L205" i="7"/>
  <c r="O204" i="7"/>
  <c r="N204" i="7"/>
  <c r="M204" i="7"/>
  <c r="L204" i="7"/>
  <c r="O203" i="7"/>
  <c r="N203" i="7"/>
  <c r="M203" i="7"/>
  <c r="L203" i="7"/>
  <c r="O202" i="7"/>
  <c r="N202" i="7"/>
  <c r="M202" i="7"/>
  <c r="L202" i="7"/>
  <c r="O201" i="7"/>
  <c r="N201" i="7"/>
  <c r="M201" i="7"/>
  <c r="L201" i="7"/>
  <c r="O200" i="7"/>
  <c r="N200" i="7"/>
  <c r="M200" i="7"/>
  <c r="L200" i="7"/>
  <c r="O199" i="7"/>
  <c r="N199" i="7"/>
  <c r="M199" i="7"/>
  <c r="L199" i="7"/>
  <c r="O198" i="7"/>
  <c r="N198" i="7"/>
  <c r="M198" i="7"/>
  <c r="L198" i="7"/>
  <c r="O197" i="7"/>
  <c r="N197" i="7"/>
  <c r="M197" i="7"/>
  <c r="L197" i="7"/>
  <c r="O196" i="7"/>
  <c r="N196" i="7"/>
  <c r="M196" i="7"/>
  <c r="L196" i="7"/>
  <c r="O195" i="7"/>
  <c r="N195" i="7"/>
  <c r="M195" i="7"/>
  <c r="L195" i="7"/>
  <c r="O194" i="7"/>
  <c r="N194" i="7"/>
  <c r="M194" i="7"/>
  <c r="L194" i="7"/>
  <c r="O193" i="7"/>
  <c r="N193" i="7"/>
  <c r="M193" i="7"/>
  <c r="L193" i="7"/>
  <c r="O192" i="7"/>
  <c r="N192" i="7"/>
  <c r="M192" i="7"/>
  <c r="L192" i="7"/>
  <c r="O191" i="7"/>
  <c r="N191" i="7"/>
  <c r="M191" i="7"/>
  <c r="L191" i="7"/>
  <c r="O190" i="7"/>
  <c r="N190" i="7"/>
  <c r="M190" i="7"/>
  <c r="L190" i="7"/>
  <c r="O189" i="7"/>
  <c r="N189" i="7"/>
  <c r="M189" i="7"/>
  <c r="L189" i="7"/>
  <c r="O188" i="7"/>
  <c r="N188" i="7"/>
  <c r="M188" i="7"/>
  <c r="L188" i="7"/>
  <c r="O187" i="7"/>
  <c r="N187" i="7"/>
  <c r="M187" i="7"/>
  <c r="L187" i="7"/>
  <c r="O186" i="7"/>
  <c r="N186" i="7"/>
  <c r="M186" i="7"/>
  <c r="L186" i="7"/>
  <c r="O185" i="7"/>
  <c r="N185" i="7"/>
  <c r="M185" i="7"/>
  <c r="L185" i="7"/>
  <c r="O184" i="7"/>
  <c r="N184" i="7"/>
  <c r="M184" i="7"/>
  <c r="L184" i="7"/>
  <c r="O183" i="7"/>
  <c r="N183" i="7"/>
  <c r="M183" i="7"/>
  <c r="L183" i="7"/>
  <c r="O182" i="7"/>
  <c r="N182" i="7"/>
  <c r="M182" i="7"/>
  <c r="L182" i="7"/>
  <c r="O181" i="7"/>
  <c r="N181" i="7"/>
  <c r="M181" i="7"/>
  <c r="L181" i="7"/>
  <c r="O180" i="7"/>
  <c r="N180" i="7"/>
  <c r="M180" i="7"/>
  <c r="L180" i="7"/>
  <c r="O179" i="7"/>
  <c r="N179" i="7"/>
  <c r="M179" i="7"/>
  <c r="L179" i="7"/>
  <c r="O178" i="7"/>
  <c r="N178" i="7"/>
  <c r="M178" i="7"/>
  <c r="L178" i="7"/>
  <c r="O177" i="7"/>
  <c r="N177" i="7"/>
  <c r="M177" i="7"/>
  <c r="L177" i="7"/>
  <c r="O176" i="7"/>
  <c r="N176" i="7"/>
  <c r="M176" i="7"/>
  <c r="L176" i="7"/>
  <c r="O175" i="7"/>
  <c r="N175" i="7"/>
  <c r="M175" i="7"/>
  <c r="L175" i="7"/>
  <c r="O174" i="7"/>
  <c r="N174" i="7"/>
  <c r="M174" i="7"/>
  <c r="L174" i="7"/>
  <c r="O173" i="7"/>
  <c r="N173" i="7"/>
  <c r="M173" i="7"/>
  <c r="L173" i="7"/>
  <c r="O172" i="7"/>
  <c r="N172" i="7"/>
  <c r="M172" i="7"/>
  <c r="L172" i="7"/>
  <c r="O171" i="7"/>
  <c r="N171" i="7"/>
  <c r="M171" i="7"/>
  <c r="L171" i="7"/>
  <c r="O170" i="7"/>
  <c r="N170" i="7"/>
  <c r="M170" i="7"/>
  <c r="L170" i="7"/>
  <c r="O169" i="7"/>
  <c r="N169" i="7"/>
  <c r="M169" i="7"/>
  <c r="L169" i="7"/>
  <c r="O168" i="7"/>
  <c r="N168" i="7"/>
  <c r="M168" i="7"/>
  <c r="L168" i="7"/>
  <c r="O167" i="7"/>
  <c r="N167" i="7"/>
  <c r="M167" i="7"/>
  <c r="L167" i="7"/>
  <c r="O166" i="7"/>
  <c r="N166" i="7"/>
  <c r="M166" i="7"/>
  <c r="L166" i="7"/>
  <c r="O165" i="7"/>
  <c r="N165" i="7"/>
  <c r="M165" i="7"/>
  <c r="L165" i="7"/>
  <c r="O164" i="7"/>
  <c r="N164" i="7"/>
  <c r="M164" i="7"/>
  <c r="L164" i="7"/>
  <c r="O163" i="7"/>
  <c r="N163" i="7"/>
  <c r="M163" i="7"/>
  <c r="L163" i="7"/>
  <c r="O162" i="7"/>
  <c r="N162" i="7"/>
  <c r="M162" i="7"/>
  <c r="L162" i="7"/>
  <c r="O161" i="7"/>
  <c r="N161" i="7"/>
  <c r="M161" i="7"/>
  <c r="L161" i="7"/>
  <c r="O160" i="7"/>
  <c r="N160" i="7"/>
  <c r="M160" i="7"/>
  <c r="L160" i="7"/>
  <c r="O159" i="7"/>
  <c r="N159" i="7"/>
  <c r="M159" i="7"/>
  <c r="L159" i="7"/>
  <c r="O158" i="7"/>
  <c r="N158" i="7"/>
  <c r="M158" i="7"/>
  <c r="L158" i="7"/>
  <c r="O157" i="7"/>
  <c r="N157" i="7"/>
  <c r="M157" i="7"/>
  <c r="L157" i="7"/>
  <c r="O156" i="7"/>
  <c r="N156" i="7"/>
  <c r="M156" i="7"/>
  <c r="L156" i="7"/>
  <c r="O155" i="7"/>
  <c r="N155" i="7"/>
  <c r="M155" i="7"/>
  <c r="L155" i="7"/>
  <c r="O154" i="7"/>
  <c r="N154" i="7"/>
  <c r="M154" i="7"/>
  <c r="L154" i="7"/>
  <c r="O153" i="7"/>
  <c r="N153" i="7"/>
  <c r="M153" i="7"/>
  <c r="L153" i="7"/>
  <c r="O152" i="7"/>
  <c r="N152" i="7"/>
  <c r="M152" i="7"/>
  <c r="L152" i="7"/>
  <c r="O151" i="7"/>
  <c r="N151" i="7"/>
  <c r="M151" i="7"/>
  <c r="L151" i="7"/>
  <c r="O150" i="7"/>
  <c r="N150" i="7"/>
  <c r="M150" i="7"/>
  <c r="L150" i="7"/>
  <c r="O149" i="7"/>
  <c r="N149" i="7"/>
  <c r="M149" i="7"/>
  <c r="L149" i="7"/>
  <c r="O148" i="7"/>
  <c r="N148" i="7"/>
  <c r="M148" i="7"/>
  <c r="L148" i="7"/>
  <c r="O147" i="7"/>
  <c r="N147" i="7"/>
  <c r="M147" i="7"/>
  <c r="L147" i="7"/>
  <c r="O146" i="7"/>
  <c r="N146" i="7"/>
  <c r="M146" i="7"/>
  <c r="L146" i="7"/>
  <c r="O145" i="7"/>
  <c r="N145" i="7"/>
  <c r="M145" i="7"/>
  <c r="L145" i="7"/>
  <c r="O144" i="7"/>
  <c r="N144" i="7"/>
  <c r="M144" i="7"/>
  <c r="L144" i="7"/>
  <c r="O143" i="7"/>
  <c r="N143" i="7"/>
  <c r="M143" i="7"/>
  <c r="L143" i="7"/>
  <c r="O142" i="7"/>
  <c r="N142" i="7"/>
  <c r="M142" i="7"/>
  <c r="L142" i="7"/>
  <c r="O141" i="7"/>
  <c r="N141" i="7"/>
  <c r="M141" i="7"/>
  <c r="L141" i="7"/>
  <c r="O140" i="7"/>
  <c r="N140" i="7"/>
  <c r="M140" i="7"/>
  <c r="L140" i="7"/>
  <c r="O139" i="7"/>
  <c r="N139" i="7"/>
  <c r="M139" i="7"/>
  <c r="L139" i="7"/>
  <c r="O138" i="7"/>
  <c r="N138" i="7"/>
  <c r="M138" i="7"/>
  <c r="L138" i="7"/>
  <c r="O137" i="7"/>
  <c r="N137" i="7"/>
  <c r="M137" i="7"/>
  <c r="L137" i="7"/>
  <c r="O136" i="7"/>
  <c r="N136" i="7"/>
  <c r="M136" i="7"/>
  <c r="L136" i="7"/>
  <c r="O135" i="7"/>
  <c r="N135" i="7"/>
  <c r="M135" i="7"/>
  <c r="L135" i="7"/>
  <c r="O134" i="7"/>
  <c r="N134" i="7"/>
  <c r="M134" i="7"/>
  <c r="L134" i="7"/>
  <c r="O133" i="7"/>
  <c r="N133" i="7"/>
  <c r="M133" i="7"/>
  <c r="L133" i="7"/>
  <c r="O132" i="7"/>
  <c r="N132" i="7"/>
  <c r="M132" i="7"/>
  <c r="L132" i="7"/>
  <c r="O131" i="7"/>
  <c r="N131" i="7"/>
  <c r="M131" i="7"/>
  <c r="L131" i="7"/>
  <c r="O130" i="7"/>
  <c r="N130" i="7"/>
  <c r="M130" i="7"/>
  <c r="L130" i="7"/>
  <c r="O129" i="7"/>
  <c r="N129" i="7"/>
  <c r="M129" i="7"/>
  <c r="L129" i="7"/>
  <c r="O128" i="7"/>
  <c r="N128" i="7"/>
  <c r="M128" i="7"/>
  <c r="L128" i="7"/>
  <c r="O127" i="7"/>
  <c r="N127" i="7"/>
  <c r="M127" i="7"/>
  <c r="L127" i="7"/>
  <c r="O126" i="7"/>
  <c r="N126" i="7"/>
  <c r="M126" i="7"/>
  <c r="L126" i="7"/>
  <c r="O125" i="7"/>
  <c r="N125" i="7"/>
  <c r="M125" i="7"/>
  <c r="L125" i="7"/>
  <c r="O124" i="7"/>
  <c r="N124" i="7"/>
  <c r="M124" i="7"/>
  <c r="L124" i="7"/>
  <c r="O123" i="7"/>
  <c r="N123" i="7"/>
  <c r="M123" i="7"/>
  <c r="L123" i="7"/>
  <c r="O122" i="7"/>
  <c r="N122" i="7"/>
  <c r="M122" i="7"/>
  <c r="L122" i="7"/>
  <c r="O121" i="7"/>
  <c r="N121" i="7"/>
  <c r="M121" i="7"/>
  <c r="L121" i="7"/>
  <c r="O120" i="7"/>
  <c r="N120" i="7"/>
  <c r="M120" i="7"/>
  <c r="L120" i="7"/>
  <c r="O119" i="7"/>
  <c r="N119" i="7"/>
  <c r="M119" i="7"/>
  <c r="L119" i="7"/>
  <c r="O118" i="7"/>
  <c r="N118" i="7"/>
  <c r="M118" i="7"/>
  <c r="L118" i="7"/>
  <c r="O117" i="7"/>
  <c r="N117" i="7"/>
  <c r="M117" i="7"/>
  <c r="L117" i="7"/>
  <c r="O116" i="7"/>
  <c r="N116" i="7"/>
  <c r="M116" i="7"/>
  <c r="L116" i="7"/>
  <c r="O115" i="7"/>
  <c r="N115" i="7"/>
  <c r="M115" i="7"/>
  <c r="L115" i="7"/>
  <c r="O114" i="7"/>
  <c r="N114" i="7"/>
  <c r="M114" i="7"/>
  <c r="L114" i="7"/>
  <c r="O113" i="7"/>
  <c r="N113" i="7"/>
  <c r="M113" i="7"/>
  <c r="L113" i="7"/>
  <c r="O112" i="7"/>
  <c r="N112" i="7"/>
  <c r="M112" i="7"/>
  <c r="L112" i="7"/>
  <c r="O111" i="7"/>
  <c r="N111" i="7"/>
  <c r="M111" i="7"/>
  <c r="L111" i="7"/>
  <c r="O110" i="7"/>
  <c r="N110" i="7"/>
  <c r="M110" i="7"/>
  <c r="L110" i="7"/>
  <c r="O109" i="7"/>
  <c r="N109" i="7"/>
  <c r="M109" i="7"/>
  <c r="L109" i="7"/>
  <c r="O108" i="7"/>
  <c r="N108" i="7"/>
  <c r="M108" i="7"/>
  <c r="L108" i="7"/>
  <c r="O107" i="7"/>
  <c r="N107" i="7"/>
  <c r="M107" i="7"/>
  <c r="L107" i="7"/>
  <c r="O106" i="7"/>
  <c r="N106" i="7"/>
  <c r="M106" i="7"/>
  <c r="L106" i="7"/>
  <c r="O105" i="7"/>
  <c r="N105" i="7"/>
  <c r="M105" i="7"/>
  <c r="L105" i="7"/>
  <c r="O104" i="7"/>
  <c r="N104" i="7"/>
  <c r="M104" i="7"/>
  <c r="L104" i="7"/>
  <c r="O103" i="7"/>
  <c r="N103" i="7"/>
  <c r="M103" i="7"/>
  <c r="L103" i="7"/>
  <c r="O102" i="7"/>
  <c r="N102" i="7"/>
  <c r="M102" i="7"/>
  <c r="L102" i="7"/>
  <c r="O101" i="7"/>
  <c r="N101" i="7"/>
  <c r="M101" i="7"/>
  <c r="L101" i="7"/>
  <c r="O100" i="7"/>
  <c r="N100" i="7"/>
  <c r="M100" i="7"/>
  <c r="L100" i="7"/>
  <c r="O99" i="7"/>
  <c r="N99" i="7"/>
  <c r="M99" i="7"/>
  <c r="L99" i="7"/>
  <c r="O98" i="7"/>
  <c r="N98" i="7"/>
  <c r="M98" i="7"/>
  <c r="L98" i="7"/>
  <c r="O97" i="7"/>
  <c r="N97" i="7"/>
  <c r="M97" i="7"/>
  <c r="L97" i="7"/>
  <c r="O96" i="7"/>
  <c r="N96" i="7"/>
  <c r="M96" i="7"/>
  <c r="L96" i="7"/>
  <c r="O95" i="7"/>
  <c r="N95" i="7"/>
  <c r="M95" i="7"/>
  <c r="L95" i="7"/>
  <c r="O94" i="7"/>
  <c r="N94" i="7"/>
  <c r="M94" i="7"/>
  <c r="L94" i="7"/>
  <c r="O93" i="7"/>
  <c r="N93" i="7"/>
  <c r="M93" i="7"/>
  <c r="L93" i="7"/>
  <c r="O92" i="7"/>
  <c r="N92" i="7"/>
  <c r="M92" i="7"/>
  <c r="L92" i="7"/>
  <c r="O91" i="7"/>
  <c r="N91" i="7"/>
  <c r="M91" i="7"/>
  <c r="L91" i="7"/>
  <c r="O90" i="7"/>
  <c r="N90" i="7"/>
  <c r="M90" i="7"/>
  <c r="L90" i="7"/>
  <c r="O89" i="7"/>
  <c r="N89" i="7"/>
  <c r="M89" i="7"/>
  <c r="L89" i="7"/>
  <c r="O88" i="7"/>
  <c r="N88" i="7"/>
  <c r="M88" i="7"/>
  <c r="L88" i="7"/>
  <c r="O87" i="7"/>
  <c r="N87" i="7"/>
  <c r="M87" i="7"/>
  <c r="L87" i="7"/>
  <c r="O86" i="7"/>
  <c r="N86" i="7"/>
  <c r="M86" i="7"/>
  <c r="L86" i="7"/>
  <c r="O85" i="7"/>
  <c r="N85" i="7"/>
  <c r="M85" i="7"/>
  <c r="L85" i="7"/>
  <c r="O84" i="7"/>
  <c r="N84" i="7"/>
  <c r="M84" i="7"/>
  <c r="L84" i="7"/>
  <c r="O83" i="7"/>
  <c r="N83" i="7"/>
  <c r="M83" i="7"/>
  <c r="L83" i="7"/>
  <c r="O82" i="7"/>
  <c r="N82" i="7"/>
  <c r="M82" i="7"/>
  <c r="L82" i="7"/>
  <c r="O81" i="7"/>
  <c r="N81" i="7"/>
  <c r="M81" i="7"/>
  <c r="L81" i="7"/>
  <c r="O80" i="7"/>
  <c r="N80" i="7"/>
  <c r="M80" i="7"/>
  <c r="L80" i="7"/>
  <c r="O79" i="7"/>
  <c r="N79" i="7"/>
  <c r="M79" i="7"/>
  <c r="L79" i="7"/>
  <c r="O78" i="7"/>
  <c r="N78" i="7"/>
  <c r="M78" i="7"/>
  <c r="L78" i="7"/>
  <c r="O77" i="7"/>
  <c r="N77" i="7"/>
  <c r="M77" i="7"/>
  <c r="L77" i="7"/>
  <c r="O76" i="7"/>
  <c r="N76" i="7"/>
  <c r="M76" i="7"/>
  <c r="L76" i="7"/>
  <c r="O75" i="7"/>
  <c r="N75" i="7"/>
  <c r="M75" i="7"/>
  <c r="L75" i="7"/>
  <c r="O74" i="7"/>
  <c r="N74" i="7"/>
  <c r="M74" i="7"/>
  <c r="L74" i="7"/>
  <c r="O73" i="7"/>
  <c r="N73" i="7"/>
  <c r="M73" i="7"/>
  <c r="L73" i="7"/>
  <c r="O72" i="7"/>
  <c r="N72" i="7"/>
  <c r="M72" i="7"/>
  <c r="L72" i="7"/>
  <c r="O71" i="7"/>
  <c r="N71" i="7"/>
  <c r="M71" i="7"/>
  <c r="L71" i="7"/>
  <c r="O70" i="7"/>
  <c r="N70" i="7"/>
  <c r="M70" i="7"/>
  <c r="L70" i="7"/>
  <c r="O69" i="7"/>
  <c r="N69" i="7"/>
  <c r="M69" i="7"/>
  <c r="L69" i="7"/>
  <c r="O68" i="7"/>
  <c r="N68" i="7"/>
  <c r="M68" i="7"/>
  <c r="L68" i="7"/>
  <c r="O67" i="7"/>
  <c r="N67" i="7"/>
  <c r="M67" i="7"/>
  <c r="L67" i="7"/>
  <c r="O66" i="7"/>
  <c r="N66" i="7"/>
  <c r="M66" i="7"/>
  <c r="L66" i="7"/>
  <c r="O65" i="7"/>
  <c r="N65" i="7"/>
  <c r="M65" i="7"/>
  <c r="L65" i="7"/>
  <c r="O64" i="7"/>
  <c r="N64" i="7"/>
  <c r="M64" i="7"/>
  <c r="L64" i="7"/>
  <c r="O63" i="7"/>
  <c r="N63" i="7"/>
  <c r="M63" i="7"/>
  <c r="L63" i="7"/>
  <c r="O62" i="7"/>
  <c r="N62" i="7"/>
  <c r="M62" i="7"/>
  <c r="L62" i="7"/>
  <c r="O61" i="7"/>
  <c r="N61" i="7"/>
  <c r="M61" i="7"/>
  <c r="L61" i="7"/>
  <c r="O60" i="7"/>
  <c r="N60" i="7"/>
  <c r="M60" i="7"/>
  <c r="L60" i="7"/>
  <c r="O59" i="7"/>
  <c r="N59" i="7"/>
  <c r="M59" i="7"/>
  <c r="L59" i="7"/>
  <c r="O58" i="7"/>
  <c r="N58" i="7"/>
  <c r="M58" i="7"/>
  <c r="L58" i="7"/>
  <c r="O57" i="7"/>
  <c r="N57" i="7"/>
  <c r="M57" i="7"/>
  <c r="L57" i="7"/>
  <c r="O56" i="7"/>
  <c r="N56" i="7"/>
  <c r="M56" i="7"/>
  <c r="L56" i="7"/>
  <c r="O55" i="7"/>
  <c r="N55" i="7"/>
  <c r="M55" i="7"/>
  <c r="L55" i="7"/>
  <c r="O54" i="7"/>
  <c r="N54" i="7"/>
  <c r="M54" i="7"/>
  <c r="L54" i="7"/>
  <c r="O53" i="7"/>
  <c r="N53" i="7"/>
  <c r="M53" i="7"/>
  <c r="L53" i="7"/>
  <c r="O52" i="7"/>
  <c r="N52" i="7"/>
  <c r="M52" i="7"/>
  <c r="L52" i="7"/>
  <c r="O51" i="7"/>
  <c r="N51" i="7"/>
  <c r="M51" i="7"/>
  <c r="L51" i="7"/>
  <c r="O50" i="7"/>
  <c r="N50" i="7"/>
  <c r="M50" i="7"/>
  <c r="L50" i="7"/>
  <c r="O49" i="7"/>
  <c r="N49" i="7"/>
  <c r="M49" i="7"/>
  <c r="L49" i="7"/>
  <c r="O48" i="7"/>
  <c r="N48" i="7"/>
  <c r="M48" i="7"/>
  <c r="L48" i="7"/>
  <c r="O47" i="7"/>
  <c r="N47" i="7"/>
  <c r="M47" i="7"/>
  <c r="L47" i="7"/>
  <c r="O46" i="7"/>
  <c r="N46" i="7"/>
  <c r="M46" i="7"/>
  <c r="L46" i="7"/>
  <c r="O45" i="7"/>
  <c r="N45" i="7"/>
  <c r="M45" i="7"/>
  <c r="L45" i="7"/>
  <c r="O44" i="7"/>
  <c r="N44" i="7"/>
  <c r="M44" i="7"/>
  <c r="L44" i="7"/>
  <c r="O43" i="7"/>
  <c r="N43" i="7"/>
  <c r="M43" i="7"/>
  <c r="L43" i="7"/>
  <c r="O42" i="7"/>
  <c r="N42" i="7"/>
  <c r="M42" i="7"/>
  <c r="L42" i="7"/>
  <c r="O41" i="7"/>
  <c r="N41" i="7"/>
  <c r="M41" i="7"/>
  <c r="L41" i="7"/>
  <c r="O40" i="7"/>
  <c r="N40" i="7"/>
  <c r="M40" i="7"/>
  <c r="L40" i="7"/>
  <c r="O39" i="7"/>
  <c r="N39" i="7"/>
  <c r="M39" i="7"/>
  <c r="L39" i="7"/>
  <c r="O38" i="7"/>
  <c r="N38" i="7"/>
  <c r="M38" i="7"/>
  <c r="L38" i="7"/>
  <c r="O37" i="7"/>
  <c r="N37" i="7"/>
  <c r="M37" i="7"/>
  <c r="L37" i="7"/>
  <c r="O36" i="7"/>
  <c r="N36" i="7"/>
  <c r="M36" i="7"/>
  <c r="L36" i="7"/>
  <c r="O35" i="7"/>
  <c r="N35" i="7"/>
  <c r="M35" i="7"/>
  <c r="L35" i="7"/>
  <c r="O34" i="7"/>
  <c r="N34" i="7"/>
  <c r="M34" i="7"/>
  <c r="L34" i="7"/>
  <c r="O33" i="7"/>
  <c r="N33" i="7"/>
  <c r="M33" i="7"/>
  <c r="L33" i="7"/>
  <c r="O32" i="7"/>
  <c r="N32" i="7"/>
  <c r="M32" i="7"/>
  <c r="L32" i="7"/>
  <c r="O31" i="7"/>
  <c r="N31" i="7"/>
  <c r="M31" i="7"/>
  <c r="L31" i="7"/>
  <c r="O30" i="7"/>
  <c r="N30" i="7"/>
  <c r="M30" i="7"/>
  <c r="L30" i="7"/>
  <c r="O29" i="7"/>
  <c r="N29" i="7"/>
  <c r="M29" i="7"/>
  <c r="L29" i="7"/>
  <c r="O28" i="7"/>
  <c r="N28" i="7"/>
  <c r="M28" i="7"/>
  <c r="L28" i="7"/>
  <c r="O27" i="7"/>
  <c r="N27" i="7"/>
  <c r="M27" i="7"/>
  <c r="L27" i="7"/>
  <c r="O26" i="7"/>
  <c r="N26" i="7"/>
  <c r="M26" i="7"/>
  <c r="L26" i="7"/>
  <c r="O25" i="7"/>
  <c r="N25" i="7"/>
  <c r="M25" i="7"/>
  <c r="L25" i="7"/>
  <c r="O24" i="7"/>
  <c r="N24" i="7"/>
  <c r="M24" i="7"/>
  <c r="L24" i="7"/>
  <c r="O23" i="7"/>
  <c r="N23" i="7"/>
  <c r="M23" i="7"/>
  <c r="L23" i="7"/>
  <c r="O22" i="7"/>
  <c r="N22" i="7"/>
  <c r="M22" i="7"/>
  <c r="L22" i="7"/>
  <c r="O21" i="7"/>
  <c r="N21" i="7"/>
  <c r="M21" i="7"/>
  <c r="L21" i="7"/>
  <c r="O20" i="7"/>
  <c r="N20" i="7"/>
  <c r="M20" i="7"/>
  <c r="L20" i="7"/>
  <c r="O19" i="7"/>
  <c r="N19" i="7"/>
  <c r="M19" i="7"/>
  <c r="L19" i="7"/>
  <c r="O18" i="7"/>
  <c r="N18" i="7"/>
  <c r="M18" i="7"/>
  <c r="L18" i="7"/>
  <c r="O17" i="7"/>
  <c r="N17" i="7"/>
  <c r="M17" i="7"/>
  <c r="L17" i="7"/>
  <c r="O16" i="7"/>
  <c r="N16" i="7"/>
  <c r="M16" i="7"/>
  <c r="L16" i="7"/>
  <c r="O15" i="7"/>
  <c r="N15" i="7"/>
  <c r="M15" i="7"/>
  <c r="L15" i="7"/>
  <c r="O14" i="7"/>
  <c r="N14" i="7"/>
  <c r="M14" i="7"/>
  <c r="L14" i="7"/>
  <c r="O13" i="7"/>
  <c r="N13" i="7"/>
  <c r="M13" i="7"/>
  <c r="L13" i="7"/>
  <c r="O12" i="7"/>
  <c r="N12" i="7"/>
  <c r="M12" i="7"/>
  <c r="L12" i="7"/>
  <c r="O11" i="7"/>
  <c r="N11" i="7"/>
  <c r="M11" i="7"/>
  <c r="L11" i="7"/>
  <c r="O10" i="7"/>
  <c r="N10" i="7"/>
  <c r="M10" i="7"/>
  <c r="L10" i="7"/>
  <c r="O9" i="7"/>
  <c r="N9" i="7"/>
  <c r="M9" i="7"/>
  <c r="L9" i="7"/>
  <c r="O8" i="7"/>
  <c r="N8" i="7"/>
  <c r="M8" i="7"/>
  <c r="L8" i="7"/>
  <c r="O7" i="7"/>
  <c r="N7" i="7"/>
  <c r="M7" i="7"/>
  <c r="L7" i="7"/>
  <c r="I5" i="7"/>
  <c r="C5" i="7"/>
  <c r="N4" i="7"/>
  <c r="L4" i="7"/>
  <c r="J4" i="7"/>
  <c r="H4" i="7"/>
  <c r="A4" i="7"/>
  <c r="B1" i="7"/>
  <c r="A1" i="7"/>
  <c r="P306" i="6"/>
  <c r="O306" i="6"/>
  <c r="N306" i="6"/>
  <c r="L306" i="6"/>
  <c r="K306" i="6"/>
  <c r="J306" i="6"/>
  <c r="I306" i="6"/>
  <c r="H306" i="6"/>
  <c r="P305" i="6"/>
  <c r="I305" i="6" s="1"/>
  <c r="O305" i="6"/>
  <c r="N305" i="6"/>
  <c r="L305" i="6"/>
  <c r="K305" i="6"/>
  <c r="J305" i="6"/>
  <c r="H305" i="6"/>
  <c r="P304" i="6"/>
  <c r="I304" i="6" s="1"/>
  <c r="O304" i="6"/>
  <c r="N304" i="6"/>
  <c r="L304" i="6"/>
  <c r="K304" i="6"/>
  <c r="J304" i="6"/>
  <c r="H304" i="6"/>
  <c r="N303" i="6"/>
  <c r="L303" i="6"/>
  <c r="O303" i="6" s="1"/>
  <c r="P303" i="6" s="1"/>
  <c r="K303" i="6"/>
  <c r="J303" i="6"/>
  <c r="I303" i="6"/>
  <c r="H303" i="6"/>
  <c r="N302" i="6"/>
  <c r="L302" i="6"/>
  <c r="O302" i="6" s="1"/>
  <c r="K302" i="6"/>
  <c r="J302" i="6"/>
  <c r="H302" i="6"/>
  <c r="P301" i="6"/>
  <c r="I301" i="6" s="1"/>
  <c r="O301" i="6"/>
  <c r="N301" i="6"/>
  <c r="L301" i="6"/>
  <c r="K301" i="6"/>
  <c r="J301" i="6"/>
  <c r="H301" i="6"/>
  <c r="P300" i="6"/>
  <c r="O300" i="6"/>
  <c r="N300" i="6"/>
  <c r="L300" i="6"/>
  <c r="K300" i="6"/>
  <c r="J300" i="6"/>
  <c r="I300" i="6"/>
  <c r="H300" i="6"/>
  <c r="O299" i="6"/>
  <c r="N299" i="6"/>
  <c r="P299" i="6" s="1"/>
  <c r="I299" i="6" s="1"/>
  <c r="L299" i="6"/>
  <c r="K299" i="6"/>
  <c r="J299" i="6"/>
  <c r="H299" i="6"/>
  <c r="O298" i="6"/>
  <c r="P298" i="6" s="1"/>
  <c r="N298" i="6"/>
  <c r="L298" i="6"/>
  <c r="K298" i="6"/>
  <c r="J298" i="6"/>
  <c r="I298" i="6"/>
  <c r="H298" i="6"/>
  <c r="N297" i="6"/>
  <c r="L297" i="6"/>
  <c r="O297" i="6" s="1"/>
  <c r="P297" i="6" s="1"/>
  <c r="I297" i="6" s="1"/>
  <c r="K297" i="6"/>
  <c r="J297" i="6"/>
  <c r="H297" i="6"/>
  <c r="P296" i="6"/>
  <c r="I296" i="6" s="1"/>
  <c r="O296" i="6"/>
  <c r="N296" i="6"/>
  <c r="L296" i="6"/>
  <c r="K296" i="6"/>
  <c r="J296" i="6"/>
  <c r="H296" i="6"/>
  <c r="P295" i="6"/>
  <c r="O295" i="6"/>
  <c r="N295" i="6"/>
  <c r="L295" i="6"/>
  <c r="K295" i="6"/>
  <c r="J295" i="6"/>
  <c r="I295" i="6"/>
  <c r="H295" i="6"/>
  <c r="O294" i="6"/>
  <c r="P294" i="6" s="1"/>
  <c r="I294" i="6" s="1"/>
  <c r="N294" i="6"/>
  <c r="L294" i="6"/>
  <c r="K294" i="6"/>
  <c r="J294" i="6"/>
  <c r="H294" i="6"/>
  <c r="O293" i="6"/>
  <c r="N293" i="6"/>
  <c r="L293" i="6"/>
  <c r="K293" i="6"/>
  <c r="J293" i="6"/>
  <c r="H293" i="6"/>
  <c r="N292" i="6"/>
  <c r="L292" i="6"/>
  <c r="O292" i="6" s="1"/>
  <c r="P292" i="6" s="1"/>
  <c r="I292" i="6" s="1"/>
  <c r="K292" i="6"/>
  <c r="J292" i="6"/>
  <c r="H292" i="6"/>
  <c r="P291" i="6"/>
  <c r="I291" i="6" s="1"/>
  <c r="O291" i="6"/>
  <c r="N291" i="6"/>
  <c r="L291" i="6"/>
  <c r="K291" i="6"/>
  <c r="J291" i="6"/>
  <c r="H291" i="6"/>
  <c r="P290" i="6"/>
  <c r="I290" i="6" s="1"/>
  <c r="O290" i="6"/>
  <c r="N290" i="6"/>
  <c r="L290" i="6"/>
  <c r="K290" i="6"/>
  <c r="J290" i="6"/>
  <c r="H290" i="6"/>
  <c r="O289" i="6"/>
  <c r="P289" i="6" s="1"/>
  <c r="I289" i="6" s="1"/>
  <c r="N289" i="6"/>
  <c r="L289" i="6"/>
  <c r="K289" i="6"/>
  <c r="J289" i="6"/>
  <c r="H289" i="6"/>
  <c r="O288" i="6"/>
  <c r="P288" i="6" s="1"/>
  <c r="I288" i="6" s="1"/>
  <c r="N288" i="6"/>
  <c r="L288" i="6"/>
  <c r="K288" i="6"/>
  <c r="J288" i="6"/>
  <c r="H288" i="6"/>
  <c r="N287" i="6"/>
  <c r="L287" i="6"/>
  <c r="O287" i="6" s="1"/>
  <c r="K287" i="6"/>
  <c r="J287" i="6"/>
  <c r="H287" i="6"/>
  <c r="P286" i="6"/>
  <c r="I286" i="6" s="1"/>
  <c r="O286" i="6"/>
  <c r="N286" i="6"/>
  <c r="L286" i="6"/>
  <c r="K286" i="6"/>
  <c r="J286" i="6"/>
  <c r="H286" i="6"/>
  <c r="P285" i="6"/>
  <c r="I285" i="6" s="1"/>
  <c r="O285" i="6"/>
  <c r="N285" i="6"/>
  <c r="L285" i="6"/>
  <c r="K285" i="6"/>
  <c r="J285" i="6"/>
  <c r="H285" i="6"/>
  <c r="O284" i="6"/>
  <c r="N284" i="6"/>
  <c r="L284" i="6"/>
  <c r="K284" i="6"/>
  <c r="J284" i="6"/>
  <c r="H284" i="6"/>
  <c r="P283" i="6"/>
  <c r="I283" i="6" s="1"/>
  <c r="O283" i="6"/>
  <c r="N283" i="6"/>
  <c r="L283" i="6"/>
  <c r="K283" i="6"/>
  <c r="J283" i="6"/>
  <c r="H283" i="6"/>
  <c r="N282" i="6"/>
  <c r="L282" i="6"/>
  <c r="O282" i="6" s="1"/>
  <c r="K282" i="6"/>
  <c r="J282" i="6"/>
  <c r="H282" i="6"/>
  <c r="P281" i="6"/>
  <c r="O281" i="6"/>
  <c r="N281" i="6"/>
  <c r="L281" i="6"/>
  <c r="K281" i="6"/>
  <c r="J281" i="6"/>
  <c r="I281" i="6"/>
  <c r="H281" i="6"/>
  <c r="O280" i="6"/>
  <c r="N280" i="6"/>
  <c r="P280" i="6" s="1"/>
  <c r="L280" i="6"/>
  <c r="K280" i="6"/>
  <c r="J280" i="6"/>
  <c r="I280" i="6"/>
  <c r="H280" i="6"/>
  <c r="P279" i="6"/>
  <c r="I279" i="6" s="1"/>
  <c r="O279" i="6"/>
  <c r="N279" i="6"/>
  <c r="L279" i="6"/>
  <c r="K279" i="6"/>
  <c r="J279" i="6"/>
  <c r="H279" i="6"/>
  <c r="O278" i="6"/>
  <c r="P278" i="6" s="1"/>
  <c r="I278" i="6" s="1"/>
  <c r="N278" i="6"/>
  <c r="L278" i="6"/>
  <c r="K278" i="6"/>
  <c r="J278" i="6"/>
  <c r="H278" i="6"/>
  <c r="N277" i="6"/>
  <c r="L277" i="6"/>
  <c r="O277" i="6" s="1"/>
  <c r="K277" i="6"/>
  <c r="J277" i="6"/>
  <c r="H277" i="6"/>
  <c r="P276" i="6"/>
  <c r="O276" i="6"/>
  <c r="N276" i="6"/>
  <c r="L276" i="6"/>
  <c r="K276" i="6"/>
  <c r="J276" i="6"/>
  <c r="I276" i="6"/>
  <c r="H276" i="6"/>
  <c r="O275" i="6"/>
  <c r="N275" i="6"/>
  <c r="P275" i="6" s="1"/>
  <c r="L275" i="6"/>
  <c r="K275" i="6"/>
  <c r="J275" i="6"/>
  <c r="I275" i="6"/>
  <c r="H275" i="6"/>
  <c r="O274" i="6"/>
  <c r="P274" i="6" s="1"/>
  <c r="I274" i="6" s="1"/>
  <c r="N274" i="6"/>
  <c r="L274" i="6"/>
  <c r="K274" i="6"/>
  <c r="J274" i="6"/>
  <c r="H274" i="6"/>
  <c r="N273" i="6"/>
  <c r="L273" i="6"/>
  <c r="O273" i="6" s="1"/>
  <c r="P273" i="6" s="1"/>
  <c r="I273" i="6" s="1"/>
  <c r="K273" i="6"/>
  <c r="J273" i="6"/>
  <c r="H273" i="6"/>
  <c r="N272" i="6"/>
  <c r="L272" i="6"/>
  <c r="O272" i="6" s="1"/>
  <c r="P272" i="6" s="1"/>
  <c r="I272" i="6" s="1"/>
  <c r="K272" i="6"/>
  <c r="J272" i="6"/>
  <c r="H272" i="6"/>
  <c r="P271" i="6"/>
  <c r="I271" i="6" s="1"/>
  <c r="O271" i="6"/>
  <c r="N271" i="6"/>
  <c r="L271" i="6"/>
  <c r="K271" i="6"/>
  <c r="J271" i="6"/>
  <c r="H271" i="6"/>
  <c r="P270" i="6"/>
  <c r="I270" i="6" s="1"/>
  <c r="O270" i="6"/>
  <c r="N270" i="6"/>
  <c r="L270" i="6"/>
  <c r="K270" i="6"/>
  <c r="J270" i="6"/>
  <c r="H270" i="6"/>
  <c r="O269" i="6"/>
  <c r="P269" i="6" s="1"/>
  <c r="I269" i="6" s="1"/>
  <c r="N269" i="6"/>
  <c r="L269" i="6"/>
  <c r="K269" i="6"/>
  <c r="J269" i="6"/>
  <c r="H269" i="6"/>
  <c r="O268" i="6"/>
  <c r="P268" i="6" s="1"/>
  <c r="I268" i="6" s="1"/>
  <c r="N268" i="6"/>
  <c r="L268" i="6"/>
  <c r="K268" i="6"/>
  <c r="J268" i="6"/>
  <c r="H268" i="6"/>
  <c r="N267" i="6"/>
  <c r="L267" i="6"/>
  <c r="O267" i="6" s="1"/>
  <c r="P267" i="6" s="1"/>
  <c r="I267" i="6" s="1"/>
  <c r="K267" i="6"/>
  <c r="J267" i="6"/>
  <c r="H267" i="6"/>
  <c r="O266" i="6"/>
  <c r="N266" i="6"/>
  <c r="P266" i="6" s="1"/>
  <c r="I266" i="6" s="1"/>
  <c r="L266" i="6"/>
  <c r="K266" i="6"/>
  <c r="J266" i="6"/>
  <c r="H266" i="6"/>
  <c r="P265" i="6"/>
  <c r="I265" i="6" s="1"/>
  <c r="O265" i="6"/>
  <c r="N265" i="6"/>
  <c r="L265" i="6"/>
  <c r="K265" i="6"/>
  <c r="J265" i="6"/>
  <c r="H265" i="6"/>
  <c r="P264" i="6"/>
  <c r="I264" i="6" s="1"/>
  <c r="O264" i="6"/>
  <c r="N264" i="6"/>
  <c r="L264" i="6"/>
  <c r="K264" i="6"/>
  <c r="J264" i="6"/>
  <c r="H264" i="6"/>
  <c r="O263" i="6"/>
  <c r="N263" i="6"/>
  <c r="L263" i="6"/>
  <c r="K263" i="6"/>
  <c r="J263" i="6"/>
  <c r="H263" i="6"/>
  <c r="P262" i="6"/>
  <c r="N262" i="6"/>
  <c r="L262" i="6"/>
  <c r="O262" i="6" s="1"/>
  <c r="K262" i="6"/>
  <c r="J262" i="6"/>
  <c r="I262" i="6"/>
  <c r="H262" i="6"/>
  <c r="P261" i="6"/>
  <c r="I261" i="6" s="1"/>
  <c r="O261" i="6"/>
  <c r="N261" i="6"/>
  <c r="L261" i="6"/>
  <c r="K261" i="6"/>
  <c r="J261" i="6"/>
  <c r="H261" i="6"/>
  <c r="O260" i="6"/>
  <c r="N260" i="6"/>
  <c r="P260" i="6" s="1"/>
  <c r="I260" i="6" s="1"/>
  <c r="L260" i="6"/>
  <c r="K260" i="6"/>
  <c r="J260" i="6"/>
  <c r="H260" i="6"/>
  <c r="O259" i="6"/>
  <c r="P259" i="6" s="1"/>
  <c r="I259" i="6" s="1"/>
  <c r="N259" i="6"/>
  <c r="L259" i="6"/>
  <c r="K259" i="6"/>
  <c r="J259" i="6"/>
  <c r="H259" i="6"/>
  <c r="N258" i="6"/>
  <c r="L258" i="6"/>
  <c r="O258" i="6" s="1"/>
  <c r="P258" i="6" s="1"/>
  <c r="I258" i="6" s="1"/>
  <c r="K258" i="6"/>
  <c r="J258" i="6"/>
  <c r="H258" i="6"/>
  <c r="P257" i="6"/>
  <c r="N257" i="6"/>
  <c r="L257" i="6"/>
  <c r="O257" i="6" s="1"/>
  <c r="K257" i="6"/>
  <c r="J257" i="6"/>
  <c r="I257" i="6"/>
  <c r="H257" i="6"/>
  <c r="P256" i="6"/>
  <c r="I256" i="6" s="1"/>
  <c r="O256" i="6"/>
  <c r="N256" i="6"/>
  <c r="L256" i="6"/>
  <c r="K256" i="6"/>
  <c r="J256" i="6"/>
  <c r="H256" i="6"/>
  <c r="P255" i="6"/>
  <c r="I255" i="6" s="1"/>
  <c r="O255" i="6"/>
  <c r="N255" i="6"/>
  <c r="L255" i="6"/>
  <c r="K255" i="6"/>
  <c r="J255" i="6"/>
  <c r="H255" i="6"/>
  <c r="O254" i="6"/>
  <c r="N254" i="6"/>
  <c r="L254" i="6"/>
  <c r="K254" i="6"/>
  <c r="J254" i="6"/>
  <c r="H254" i="6"/>
  <c r="N253" i="6"/>
  <c r="L253" i="6"/>
  <c r="O253" i="6" s="1"/>
  <c r="P253" i="6" s="1"/>
  <c r="I253" i="6" s="1"/>
  <c r="K253" i="6"/>
  <c r="J253" i="6"/>
  <c r="H253" i="6"/>
  <c r="N252" i="6"/>
  <c r="L252" i="6"/>
  <c r="O252" i="6" s="1"/>
  <c r="P252" i="6" s="1"/>
  <c r="I252" i="6" s="1"/>
  <c r="K252" i="6"/>
  <c r="J252" i="6"/>
  <c r="H252" i="6"/>
  <c r="O251" i="6"/>
  <c r="N251" i="6"/>
  <c r="P251" i="6" s="1"/>
  <c r="I251" i="6" s="1"/>
  <c r="L251" i="6"/>
  <c r="K251" i="6"/>
  <c r="J251" i="6"/>
  <c r="H251" i="6"/>
  <c r="O250" i="6"/>
  <c r="P250" i="6" s="1"/>
  <c r="I250" i="6" s="1"/>
  <c r="N250" i="6"/>
  <c r="L250" i="6"/>
  <c r="K250" i="6"/>
  <c r="J250" i="6"/>
  <c r="H250" i="6"/>
  <c r="N249" i="6"/>
  <c r="L249" i="6"/>
  <c r="O249" i="6" s="1"/>
  <c r="P249" i="6" s="1"/>
  <c r="I249" i="6" s="1"/>
  <c r="K249" i="6"/>
  <c r="J249" i="6"/>
  <c r="H249" i="6"/>
  <c r="P248" i="6"/>
  <c r="I248" i="6" s="1"/>
  <c r="O248" i="6"/>
  <c r="N248" i="6"/>
  <c r="L248" i="6"/>
  <c r="K248" i="6"/>
  <c r="J248" i="6"/>
  <c r="H248" i="6"/>
  <c r="P247" i="6"/>
  <c r="I247" i="6" s="1"/>
  <c r="N247" i="6"/>
  <c r="L247" i="6"/>
  <c r="O247" i="6" s="1"/>
  <c r="K247" i="6"/>
  <c r="J247" i="6"/>
  <c r="H247" i="6"/>
  <c r="P246" i="6"/>
  <c r="I246" i="6" s="1"/>
  <c r="O246" i="6"/>
  <c r="N246" i="6"/>
  <c r="L246" i="6"/>
  <c r="K246" i="6"/>
  <c r="J246" i="6"/>
  <c r="H246" i="6"/>
  <c r="O245" i="6"/>
  <c r="P245" i="6" s="1"/>
  <c r="I245" i="6" s="1"/>
  <c r="N245" i="6"/>
  <c r="L245" i="6"/>
  <c r="K245" i="6"/>
  <c r="J245" i="6"/>
  <c r="H245" i="6"/>
  <c r="N244" i="6"/>
  <c r="L244" i="6"/>
  <c r="O244" i="6" s="1"/>
  <c r="P244" i="6" s="1"/>
  <c r="I244" i="6" s="1"/>
  <c r="K244" i="6"/>
  <c r="J244" i="6"/>
  <c r="H244" i="6"/>
  <c r="O243" i="6"/>
  <c r="P243" i="6" s="1"/>
  <c r="N243" i="6"/>
  <c r="L243" i="6"/>
  <c r="K243" i="6"/>
  <c r="J243" i="6"/>
  <c r="I243" i="6"/>
  <c r="H243" i="6"/>
  <c r="N242" i="6"/>
  <c r="P242" i="6" s="1"/>
  <c r="I242" i="6" s="1"/>
  <c r="L242" i="6"/>
  <c r="O242" i="6" s="1"/>
  <c r="K242" i="6"/>
  <c r="J242" i="6"/>
  <c r="H242" i="6"/>
  <c r="P241" i="6"/>
  <c r="O241" i="6"/>
  <c r="N241" i="6"/>
  <c r="L241" i="6"/>
  <c r="K241" i="6"/>
  <c r="J241" i="6"/>
  <c r="I241" i="6"/>
  <c r="H241" i="6"/>
  <c r="O240" i="6"/>
  <c r="N240" i="6"/>
  <c r="P240" i="6" s="1"/>
  <c r="I240" i="6" s="1"/>
  <c r="L240" i="6"/>
  <c r="K240" i="6"/>
  <c r="J240" i="6"/>
  <c r="H240" i="6"/>
  <c r="P239" i="6"/>
  <c r="I239" i="6" s="1"/>
  <c r="O239" i="6"/>
  <c r="N239" i="6"/>
  <c r="L239" i="6"/>
  <c r="K239" i="6"/>
  <c r="J239" i="6"/>
  <c r="H239" i="6"/>
  <c r="P238" i="6"/>
  <c r="I238" i="6" s="1"/>
  <c r="N238" i="6"/>
  <c r="L238" i="6"/>
  <c r="O238" i="6" s="1"/>
  <c r="K238" i="6"/>
  <c r="J238" i="6"/>
  <c r="H238" i="6"/>
  <c r="N237" i="6"/>
  <c r="L237" i="6"/>
  <c r="O237" i="6" s="1"/>
  <c r="P237" i="6" s="1"/>
  <c r="I237" i="6" s="1"/>
  <c r="K237" i="6"/>
  <c r="J237" i="6"/>
  <c r="H237" i="6"/>
  <c r="O236" i="6"/>
  <c r="N236" i="6"/>
  <c r="P236" i="6" s="1"/>
  <c r="I236" i="6" s="1"/>
  <c r="L236" i="6"/>
  <c r="K236" i="6"/>
  <c r="J236" i="6"/>
  <c r="H236" i="6"/>
  <c r="P235" i="6"/>
  <c r="O235" i="6"/>
  <c r="N235" i="6"/>
  <c r="L235" i="6"/>
  <c r="K235" i="6"/>
  <c r="J235" i="6"/>
  <c r="I235" i="6"/>
  <c r="H235" i="6"/>
  <c r="O234" i="6"/>
  <c r="P234" i="6" s="1"/>
  <c r="N234" i="6"/>
  <c r="L234" i="6"/>
  <c r="K234" i="6"/>
  <c r="J234" i="6"/>
  <c r="I234" i="6"/>
  <c r="H234" i="6"/>
  <c r="O233" i="6"/>
  <c r="P233" i="6" s="1"/>
  <c r="I233" i="6" s="1"/>
  <c r="N233" i="6"/>
  <c r="L233" i="6"/>
  <c r="K233" i="6"/>
  <c r="J233" i="6"/>
  <c r="H233" i="6"/>
  <c r="P232" i="6"/>
  <c r="I232" i="6" s="1"/>
  <c r="N232" i="6"/>
  <c r="L232" i="6"/>
  <c r="O232" i="6" s="1"/>
  <c r="K232" i="6"/>
  <c r="J232" i="6"/>
  <c r="H232" i="6"/>
  <c r="O231" i="6"/>
  <c r="N231" i="6"/>
  <c r="P231" i="6" s="1"/>
  <c r="L231" i="6"/>
  <c r="K231" i="6"/>
  <c r="J231" i="6"/>
  <c r="I231" i="6"/>
  <c r="H231" i="6"/>
  <c r="P230" i="6"/>
  <c r="I230" i="6" s="1"/>
  <c r="O230" i="6"/>
  <c r="N230" i="6"/>
  <c r="L230" i="6"/>
  <c r="K230" i="6"/>
  <c r="J230" i="6"/>
  <c r="H230" i="6"/>
  <c r="N229" i="6"/>
  <c r="L229" i="6"/>
  <c r="O229" i="6" s="1"/>
  <c r="P229" i="6" s="1"/>
  <c r="I229" i="6" s="1"/>
  <c r="K229" i="6"/>
  <c r="J229" i="6"/>
  <c r="H229" i="6"/>
  <c r="O228" i="6"/>
  <c r="P228" i="6" s="1"/>
  <c r="I228" i="6" s="1"/>
  <c r="N228" i="6"/>
  <c r="L228" i="6"/>
  <c r="K228" i="6"/>
  <c r="J228" i="6"/>
  <c r="H228" i="6"/>
  <c r="N227" i="6"/>
  <c r="P227" i="6" s="1"/>
  <c r="I227" i="6" s="1"/>
  <c r="L227" i="6"/>
  <c r="O227" i="6" s="1"/>
  <c r="K227" i="6"/>
  <c r="J227" i="6"/>
  <c r="H227" i="6"/>
  <c r="P226" i="6"/>
  <c r="O226" i="6"/>
  <c r="N226" i="6"/>
  <c r="L226" i="6"/>
  <c r="K226" i="6"/>
  <c r="J226" i="6"/>
  <c r="I226" i="6"/>
  <c r="H226" i="6"/>
  <c r="O225" i="6"/>
  <c r="P225" i="6" s="1"/>
  <c r="I225" i="6" s="1"/>
  <c r="N225" i="6"/>
  <c r="L225" i="6"/>
  <c r="K225" i="6"/>
  <c r="J225" i="6"/>
  <c r="H225" i="6"/>
  <c r="O224" i="6"/>
  <c r="P224" i="6" s="1"/>
  <c r="I224" i="6" s="1"/>
  <c r="N224" i="6"/>
  <c r="L224" i="6"/>
  <c r="K224" i="6"/>
  <c r="J224" i="6"/>
  <c r="H224" i="6"/>
  <c r="N223" i="6"/>
  <c r="L223" i="6"/>
  <c r="O223" i="6" s="1"/>
  <c r="P223" i="6" s="1"/>
  <c r="I223" i="6" s="1"/>
  <c r="K223" i="6"/>
  <c r="J223" i="6"/>
  <c r="H223" i="6"/>
  <c r="N222" i="6"/>
  <c r="L222" i="6"/>
  <c r="O222" i="6" s="1"/>
  <c r="P222" i="6" s="1"/>
  <c r="I222" i="6" s="1"/>
  <c r="K222" i="6"/>
  <c r="J222" i="6"/>
  <c r="H222" i="6"/>
  <c r="P221" i="6"/>
  <c r="I221" i="6" s="1"/>
  <c r="O221" i="6"/>
  <c r="N221" i="6"/>
  <c r="L221" i="6"/>
  <c r="K221" i="6"/>
  <c r="J221" i="6"/>
  <c r="H221" i="6"/>
  <c r="P220" i="6"/>
  <c r="I220" i="6" s="1"/>
  <c r="O220" i="6"/>
  <c r="N220" i="6"/>
  <c r="L220" i="6"/>
  <c r="K220" i="6"/>
  <c r="J220" i="6"/>
  <c r="H220" i="6"/>
  <c r="O219" i="6"/>
  <c r="N219" i="6"/>
  <c r="L219" i="6"/>
  <c r="K219" i="6"/>
  <c r="J219" i="6"/>
  <c r="H219" i="6"/>
  <c r="O218" i="6"/>
  <c r="P218" i="6" s="1"/>
  <c r="I218" i="6" s="1"/>
  <c r="N218" i="6"/>
  <c r="L218" i="6"/>
  <c r="K218" i="6"/>
  <c r="J218" i="6"/>
  <c r="H218" i="6"/>
  <c r="N217" i="6"/>
  <c r="L217" i="6"/>
  <c r="O217" i="6" s="1"/>
  <c r="P217" i="6" s="1"/>
  <c r="I217" i="6" s="1"/>
  <c r="K217" i="6"/>
  <c r="J217" i="6"/>
  <c r="H217" i="6"/>
  <c r="O216" i="6"/>
  <c r="N216" i="6"/>
  <c r="P216" i="6" s="1"/>
  <c r="I216" i="6" s="1"/>
  <c r="L216" i="6"/>
  <c r="K216" i="6"/>
  <c r="J216" i="6"/>
  <c r="H216" i="6"/>
  <c r="O215" i="6"/>
  <c r="P215" i="6" s="1"/>
  <c r="I215" i="6" s="1"/>
  <c r="N215" i="6"/>
  <c r="L215" i="6"/>
  <c r="K215" i="6"/>
  <c r="J215" i="6"/>
  <c r="H215" i="6"/>
  <c r="N214" i="6"/>
  <c r="L214" i="6"/>
  <c r="O214" i="6" s="1"/>
  <c r="P214" i="6" s="1"/>
  <c r="I214" i="6" s="1"/>
  <c r="K214" i="6"/>
  <c r="J214" i="6"/>
  <c r="H214" i="6"/>
  <c r="O213" i="6"/>
  <c r="N213" i="6"/>
  <c r="L213" i="6"/>
  <c r="K213" i="6"/>
  <c r="J213" i="6"/>
  <c r="H213" i="6"/>
  <c r="P212" i="6"/>
  <c r="N212" i="6"/>
  <c r="L212" i="6"/>
  <c r="O212" i="6" s="1"/>
  <c r="K212" i="6"/>
  <c r="J212" i="6"/>
  <c r="I212" i="6"/>
  <c r="H212" i="6"/>
  <c r="P211" i="6"/>
  <c r="I211" i="6" s="1"/>
  <c r="O211" i="6"/>
  <c r="N211" i="6"/>
  <c r="L211" i="6"/>
  <c r="K211" i="6"/>
  <c r="J211" i="6"/>
  <c r="H211" i="6"/>
  <c r="O210" i="6"/>
  <c r="N210" i="6"/>
  <c r="L210" i="6"/>
  <c r="K210" i="6"/>
  <c r="J210" i="6"/>
  <c r="H210" i="6"/>
  <c r="O209" i="6"/>
  <c r="P209" i="6" s="1"/>
  <c r="I209" i="6" s="1"/>
  <c r="N209" i="6"/>
  <c r="L209" i="6"/>
  <c r="K209" i="6"/>
  <c r="J209" i="6"/>
  <c r="H209" i="6"/>
  <c r="N208" i="6"/>
  <c r="L208" i="6"/>
  <c r="O208" i="6" s="1"/>
  <c r="P208" i="6" s="1"/>
  <c r="K208" i="6"/>
  <c r="J208" i="6"/>
  <c r="I208" i="6"/>
  <c r="H208" i="6"/>
  <c r="P207" i="6"/>
  <c r="N207" i="6"/>
  <c r="L207" i="6"/>
  <c r="O207" i="6" s="1"/>
  <c r="K207" i="6"/>
  <c r="J207" i="6"/>
  <c r="I207" i="6"/>
  <c r="H207" i="6"/>
  <c r="P206" i="6"/>
  <c r="I206" i="6" s="1"/>
  <c r="O206" i="6"/>
  <c r="N206" i="6"/>
  <c r="L206" i="6"/>
  <c r="K206" i="6"/>
  <c r="J206" i="6"/>
  <c r="H206" i="6"/>
  <c r="P205" i="6"/>
  <c r="I205" i="6" s="1"/>
  <c r="O205" i="6"/>
  <c r="N205" i="6"/>
  <c r="L205" i="6"/>
  <c r="K205" i="6"/>
  <c r="J205" i="6"/>
  <c r="H205" i="6"/>
  <c r="O204" i="6"/>
  <c r="P204" i="6" s="1"/>
  <c r="I204" i="6" s="1"/>
  <c r="N204" i="6"/>
  <c r="L204" i="6"/>
  <c r="K204" i="6"/>
  <c r="J204" i="6"/>
  <c r="H204" i="6"/>
  <c r="N203" i="6"/>
  <c r="L203" i="6"/>
  <c r="O203" i="6" s="1"/>
  <c r="P203" i="6" s="1"/>
  <c r="I203" i="6" s="1"/>
  <c r="K203" i="6"/>
  <c r="J203" i="6"/>
  <c r="H203" i="6"/>
  <c r="N202" i="6"/>
  <c r="L202" i="6"/>
  <c r="O202" i="6" s="1"/>
  <c r="P202" i="6" s="1"/>
  <c r="I202" i="6" s="1"/>
  <c r="K202" i="6"/>
  <c r="J202" i="6"/>
  <c r="H202" i="6"/>
  <c r="O201" i="6"/>
  <c r="N201" i="6"/>
  <c r="P201" i="6" s="1"/>
  <c r="I201" i="6" s="1"/>
  <c r="L201" i="6"/>
  <c r="K201" i="6"/>
  <c r="J201" i="6"/>
  <c r="H201" i="6"/>
  <c r="O200" i="6"/>
  <c r="P200" i="6" s="1"/>
  <c r="I200" i="6" s="1"/>
  <c r="N200" i="6"/>
  <c r="L200" i="6"/>
  <c r="K200" i="6"/>
  <c r="J200" i="6"/>
  <c r="H200" i="6"/>
  <c r="N199" i="6"/>
  <c r="L199" i="6"/>
  <c r="O199" i="6" s="1"/>
  <c r="P199" i="6" s="1"/>
  <c r="K199" i="6"/>
  <c r="J199" i="6"/>
  <c r="I199" i="6"/>
  <c r="H199" i="6"/>
  <c r="P198" i="6"/>
  <c r="I198" i="6" s="1"/>
  <c r="O198" i="6"/>
  <c r="N198" i="6"/>
  <c r="L198" i="6"/>
  <c r="K198" i="6"/>
  <c r="J198" i="6"/>
  <c r="H198" i="6"/>
  <c r="P197" i="6"/>
  <c r="I197" i="6" s="1"/>
  <c r="N197" i="6"/>
  <c r="L197" i="6"/>
  <c r="O197" i="6" s="1"/>
  <c r="K197" i="6"/>
  <c r="J197" i="6"/>
  <c r="H197" i="6"/>
  <c r="P196" i="6"/>
  <c r="I196" i="6" s="1"/>
  <c r="O196" i="6"/>
  <c r="N196" i="6"/>
  <c r="L196" i="6"/>
  <c r="K196" i="6"/>
  <c r="J196" i="6"/>
  <c r="H196" i="6"/>
  <c r="O195" i="6"/>
  <c r="N195" i="6"/>
  <c r="L195" i="6"/>
  <c r="K195" i="6"/>
  <c r="J195" i="6"/>
  <c r="H195" i="6"/>
  <c r="N194" i="6"/>
  <c r="L194" i="6"/>
  <c r="O194" i="6" s="1"/>
  <c r="P194" i="6" s="1"/>
  <c r="I194" i="6" s="1"/>
  <c r="K194" i="6"/>
  <c r="J194" i="6"/>
  <c r="H194" i="6"/>
  <c r="O193" i="6"/>
  <c r="P193" i="6" s="1"/>
  <c r="N193" i="6"/>
  <c r="L193" i="6"/>
  <c r="K193" i="6"/>
  <c r="J193" i="6"/>
  <c r="I193" i="6"/>
  <c r="H193" i="6"/>
  <c r="N192" i="6"/>
  <c r="P192" i="6" s="1"/>
  <c r="I192" i="6" s="1"/>
  <c r="L192" i="6"/>
  <c r="O192" i="6" s="1"/>
  <c r="K192" i="6"/>
  <c r="J192" i="6"/>
  <c r="H192" i="6"/>
  <c r="P191" i="6"/>
  <c r="O191" i="6"/>
  <c r="N191" i="6"/>
  <c r="L191" i="6"/>
  <c r="K191" i="6"/>
  <c r="J191" i="6"/>
  <c r="I191" i="6"/>
  <c r="H191" i="6"/>
  <c r="O190" i="6"/>
  <c r="N190" i="6"/>
  <c r="P190" i="6" s="1"/>
  <c r="L190" i="6"/>
  <c r="K190" i="6"/>
  <c r="J190" i="6"/>
  <c r="I190" i="6"/>
  <c r="H190" i="6"/>
  <c r="P189" i="6"/>
  <c r="I189" i="6" s="1"/>
  <c r="O189" i="6"/>
  <c r="N189" i="6"/>
  <c r="L189" i="6"/>
  <c r="K189" i="6"/>
  <c r="J189" i="6"/>
  <c r="H189" i="6"/>
  <c r="N188" i="6"/>
  <c r="L188" i="6"/>
  <c r="O188" i="6" s="1"/>
  <c r="P188" i="6" s="1"/>
  <c r="I188" i="6" s="1"/>
  <c r="K188" i="6"/>
  <c r="J188" i="6"/>
  <c r="H188" i="6"/>
  <c r="N187" i="6"/>
  <c r="L187" i="6"/>
  <c r="O187" i="6" s="1"/>
  <c r="P187" i="6" s="1"/>
  <c r="I187" i="6" s="1"/>
  <c r="K187" i="6"/>
  <c r="J187" i="6"/>
  <c r="H187" i="6"/>
  <c r="O186" i="6"/>
  <c r="N186" i="6"/>
  <c r="P186" i="6" s="1"/>
  <c r="I186" i="6" s="1"/>
  <c r="L186" i="6"/>
  <c r="K186" i="6"/>
  <c r="J186" i="6"/>
  <c r="H186" i="6"/>
  <c r="P185" i="6"/>
  <c r="O185" i="6"/>
  <c r="N185" i="6"/>
  <c r="L185" i="6"/>
  <c r="K185" i="6"/>
  <c r="J185" i="6"/>
  <c r="I185" i="6"/>
  <c r="H185" i="6"/>
  <c r="O184" i="6"/>
  <c r="P184" i="6" s="1"/>
  <c r="I184" i="6" s="1"/>
  <c r="N184" i="6"/>
  <c r="L184" i="6"/>
  <c r="K184" i="6"/>
  <c r="J184" i="6"/>
  <c r="H184" i="6"/>
  <c r="O183" i="6"/>
  <c r="P183" i="6" s="1"/>
  <c r="I183" i="6" s="1"/>
  <c r="N183" i="6"/>
  <c r="L183" i="6"/>
  <c r="K183" i="6"/>
  <c r="J183" i="6"/>
  <c r="H183" i="6"/>
  <c r="P182" i="6"/>
  <c r="I182" i="6" s="1"/>
  <c r="N182" i="6"/>
  <c r="L182" i="6"/>
  <c r="O182" i="6" s="1"/>
  <c r="K182" i="6"/>
  <c r="J182" i="6"/>
  <c r="H182" i="6"/>
  <c r="O181" i="6"/>
  <c r="N181" i="6"/>
  <c r="P181" i="6" s="1"/>
  <c r="I181" i="6" s="1"/>
  <c r="L181" i="6"/>
  <c r="K181" i="6"/>
  <c r="J181" i="6"/>
  <c r="H181" i="6"/>
  <c r="P180" i="6"/>
  <c r="I180" i="6" s="1"/>
  <c r="O180" i="6"/>
  <c r="N180" i="6"/>
  <c r="L180" i="6"/>
  <c r="K180" i="6"/>
  <c r="J180" i="6"/>
  <c r="H180" i="6"/>
  <c r="P179" i="6"/>
  <c r="I179" i="6" s="1"/>
  <c r="N179" i="6"/>
  <c r="L179" i="6"/>
  <c r="O179" i="6" s="1"/>
  <c r="K179" i="6"/>
  <c r="J179" i="6"/>
  <c r="H179" i="6"/>
  <c r="O178" i="6"/>
  <c r="P178" i="6" s="1"/>
  <c r="I178" i="6" s="1"/>
  <c r="N178" i="6"/>
  <c r="L178" i="6"/>
  <c r="K178" i="6"/>
  <c r="J178" i="6"/>
  <c r="H178" i="6"/>
  <c r="N177" i="6"/>
  <c r="P177" i="6" s="1"/>
  <c r="I177" i="6" s="1"/>
  <c r="L177" i="6"/>
  <c r="O177" i="6" s="1"/>
  <c r="K177" i="6"/>
  <c r="J177" i="6"/>
  <c r="H177" i="6"/>
  <c r="P176" i="6"/>
  <c r="O176" i="6"/>
  <c r="N176" i="6"/>
  <c r="L176" i="6"/>
  <c r="K176" i="6"/>
  <c r="J176" i="6"/>
  <c r="I176" i="6"/>
  <c r="H176" i="6"/>
  <c r="O175" i="6"/>
  <c r="P175" i="6" s="1"/>
  <c r="N175" i="6"/>
  <c r="L175" i="6"/>
  <c r="K175" i="6"/>
  <c r="J175" i="6"/>
  <c r="I175" i="6"/>
  <c r="H175" i="6"/>
  <c r="O174" i="6"/>
  <c r="P174" i="6" s="1"/>
  <c r="I174" i="6" s="1"/>
  <c r="N174" i="6"/>
  <c r="L174" i="6"/>
  <c r="K174" i="6"/>
  <c r="J174" i="6"/>
  <c r="H174" i="6"/>
  <c r="N173" i="6"/>
  <c r="L173" i="6"/>
  <c r="O173" i="6" s="1"/>
  <c r="P173" i="6" s="1"/>
  <c r="I173" i="6" s="1"/>
  <c r="K173" i="6"/>
  <c r="J173" i="6"/>
  <c r="H173" i="6"/>
  <c r="N172" i="6"/>
  <c r="L172" i="6"/>
  <c r="O172" i="6" s="1"/>
  <c r="P172" i="6" s="1"/>
  <c r="I172" i="6" s="1"/>
  <c r="K172" i="6"/>
  <c r="J172" i="6"/>
  <c r="H172" i="6"/>
  <c r="P171" i="6"/>
  <c r="I171" i="6" s="1"/>
  <c r="O171" i="6"/>
  <c r="N171" i="6"/>
  <c r="L171" i="6"/>
  <c r="K171" i="6"/>
  <c r="J171" i="6"/>
  <c r="H171" i="6"/>
  <c r="P170" i="6"/>
  <c r="I170" i="6" s="1"/>
  <c r="O170" i="6"/>
  <c r="N170" i="6"/>
  <c r="L170" i="6"/>
  <c r="K170" i="6"/>
  <c r="J170" i="6"/>
  <c r="H170" i="6"/>
  <c r="O169" i="6"/>
  <c r="N169" i="6"/>
  <c r="L169" i="6"/>
  <c r="K169" i="6"/>
  <c r="J169" i="6"/>
  <c r="H169" i="6"/>
  <c r="O168" i="6"/>
  <c r="P168" i="6" s="1"/>
  <c r="I168" i="6" s="1"/>
  <c r="N168" i="6"/>
  <c r="L168" i="6"/>
  <c r="K168" i="6"/>
  <c r="J168" i="6"/>
  <c r="H168" i="6"/>
  <c r="N167" i="6"/>
  <c r="L167" i="6"/>
  <c r="O167" i="6" s="1"/>
  <c r="P167" i="6" s="1"/>
  <c r="I167" i="6" s="1"/>
  <c r="K167" i="6"/>
  <c r="J167" i="6"/>
  <c r="H167" i="6"/>
  <c r="O166" i="6"/>
  <c r="N166" i="6"/>
  <c r="P166" i="6" s="1"/>
  <c r="L166" i="6"/>
  <c r="K166" i="6"/>
  <c r="J166" i="6"/>
  <c r="I166" i="6"/>
  <c r="H166" i="6"/>
  <c r="O165" i="6"/>
  <c r="P165" i="6" s="1"/>
  <c r="I165" i="6" s="1"/>
  <c r="N165" i="6"/>
  <c r="L165" i="6"/>
  <c r="K165" i="6"/>
  <c r="J165" i="6"/>
  <c r="H165" i="6"/>
  <c r="N164" i="6"/>
  <c r="L164" i="6"/>
  <c r="O164" i="6" s="1"/>
  <c r="P164" i="6" s="1"/>
  <c r="I164" i="6" s="1"/>
  <c r="K164" i="6"/>
  <c r="J164" i="6"/>
  <c r="H164" i="6"/>
  <c r="O163" i="6"/>
  <c r="P163" i="6" s="1"/>
  <c r="I163" i="6" s="1"/>
  <c r="N163" i="6"/>
  <c r="L163" i="6"/>
  <c r="K163" i="6"/>
  <c r="J163" i="6"/>
  <c r="H163" i="6"/>
  <c r="P162" i="6"/>
  <c r="N162" i="6"/>
  <c r="L162" i="6"/>
  <c r="O162" i="6" s="1"/>
  <c r="K162" i="6"/>
  <c r="J162" i="6"/>
  <c r="I162" i="6"/>
  <c r="H162" i="6"/>
  <c r="P161" i="6"/>
  <c r="I161" i="6" s="1"/>
  <c r="O161" i="6"/>
  <c r="N161" i="6"/>
  <c r="L161" i="6"/>
  <c r="K161" i="6"/>
  <c r="J161" i="6"/>
  <c r="H161" i="6"/>
  <c r="O160" i="6"/>
  <c r="P160" i="6" s="1"/>
  <c r="I160" i="6" s="1"/>
  <c r="N160" i="6"/>
  <c r="L160" i="6"/>
  <c r="K160" i="6"/>
  <c r="J160" i="6"/>
  <c r="H160" i="6"/>
  <c r="O159" i="6"/>
  <c r="P159" i="6" s="1"/>
  <c r="I159" i="6" s="1"/>
  <c r="N159" i="6"/>
  <c r="L159" i="6"/>
  <c r="K159" i="6"/>
  <c r="J159" i="6"/>
  <c r="H159" i="6"/>
  <c r="N158" i="6"/>
  <c r="L158" i="6"/>
  <c r="O158" i="6" s="1"/>
  <c r="P158" i="6" s="1"/>
  <c r="K158" i="6"/>
  <c r="J158" i="6"/>
  <c r="I158" i="6"/>
  <c r="H158" i="6"/>
  <c r="P157" i="6"/>
  <c r="N157" i="6"/>
  <c r="L157" i="6"/>
  <c r="O157" i="6" s="1"/>
  <c r="K157" i="6"/>
  <c r="J157" i="6"/>
  <c r="I157" i="6"/>
  <c r="H157" i="6"/>
  <c r="P156" i="6"/>
  <c r="I156" i="6" s="1"/>
  <c r="O156" i="6"/>
  <c r="N156" i="6"/>
  <c r="L156" i="6"/>
  <c r="K156" i="6"/>
  <c r="J156" i="6"/>
  <c r="H156" i="6"/>
  <c r="P155" i="6"/>
  <c r="I155" i="6" s="1"/>
  <c r="O155" i="6"/>
  <c r="N155" i="6"/>
  <c r="L155" i="6"/>
  <c r="K155" i="6"/>
  <c r="J155" i="6"/>
  <c r="H155" i="6"/>
  <c r="O154" i="6"/>
  <c r="P154" i="6" s="1"/>
  <c r="I154" i="6" s="1"/>
  <c r="N154" i="6"/>
  <c r="L154" i="6"/>
  <c r="K154" i="6"/>
  <c r="J154" i="6"/>
  <c r="H154" i="6"/>
  <c r="N153" i="6"/>
  <c r="L153" i="6"/>
  <c r="O153" i="6" s="1"/>
  <c r="P153" i="6" s="1"/>
  <c r="I153" i="6" s="1"/>
  <c r="K153" i="6"/>
  <c r="J153" i="6"/>
  <c r="H153" i="6"/>
  <c r="N152" i="6"/>
  <c r="L152" i="6"/>
  <c r="O152" i="6" s="1"/>
  <c r="P152" i="6" s="1"/>
  <c r="I152" i="6" s="1"/>
  <c r="K152" i="6"/>
  <c r="J152" i="6"/>
  <c r="H152" i="6"/>
  <c r="O151" i="6"/>
  <c r="N151" i="6"/>
  <c r="P151" i="6" s="1"/>
  <c r="I151" i="6" s="1"/>
  <c r="L151" i="6"/>
  <c r="K151" i="6"/>
  <c r="J151" i="6"/>
  <c r="H151" i="6"/>
  <c r="O150" i="6"/>
  <c r="P150" i="6" s="1"/>
  <c r="I150" i="6" s="1"/>
  <c r="N150" i="6"/>
  <c r="L150" i="6"/>
  <c r="K150" i="6"/>
  <c r="J150" i="6"/>
  <c r="H150" i="6"/>
  <c r="N149" i="6"/>
  <c r="L149" i="6"/>
  <c r="O149" i="6" s="1"/>
  <c r="P149" i="6" s="1"/>
  <c r="I149" i="6" s="1"/>
  <c r="K149" i="6"/>
  <c r="J149" i="6"/>
  <c r="H149" i="6"/>
  <c r="P148" i="6"/>
  <c r="I148" i="6" s="1"/>
  <c r="O148" i="6"/>
  <c r="N148" i="6"/>
  <c r="L148" i="6"/>
  <c r="K148" i="6"/>
  <c r="J148" i="6"/>
  <c r="H148" i="6"/>
  <c r="P147" i="6"/>
  <c r="I147" i="6" s="1"/>
  <c r="N147" i="6"/>
  <c r="L147" i="6"/>
  <c r="O147" i="6" s="1"/>
  <c r="K147" i="6"/>
  <c r="J147" i="6"/>
  <c r="H147" i="6"/>
  <c r="P146" i="6"/>
  <c r="I146" i="6" s="1"/>
  <c r="O146" i="6"/>
  <c r="N146" i="6"/>
  <c r="L146" i="6"/>
  <c r="K146" i="6"/>
  <c r="J146" i="6"/>
  <c r="H146" i="6"/>
  <c r="O145" i="6"/>
  <c r="P145" i="6" s="1"/>
  <c r="I145" i="6" s="1"/>
  <c r="N145" i="6"/>
  <c r="L145" i="6"/>
  <c r="K145" i="6"/>
  <c r="J145" i="6"/>
  <c r="H145" i="6"/>
  <c r="N144" i="6"/>
  <c r="L144" i="6"/>
  <c r="O144" i="6" s="1"/>
  <c r="P144" i="6" s="1"/>
  <c r="I144" i="6" s="1"/>
  <c r="K144" i="6"/>
  <c r="J144" i="6"/>
  <c r="H144" i="6"/>
  <c r="O143" i="6"/>
  <c r="P143" i="6" s="1"/>
  <c r="N143" i="6"/>
  <c r="L143" i="6"/>
  <c r="K143" i="6"/>
  <c r="J143" i="6"/>
  <c r="I143" i="6"/>
  <c r="H143" i="6"/>
  <c r="N142" i="6"/>
  <c r="P142" i="6" s="1"/>
  <c r="I142" i="6" s="1"/>
  <c r="L142" i="6"/>
  <c r="O142" i="6" s="1"/>
  <c r="K142" i="6"/>
  <c r="J142" i="6"/>
  <c r="H142" i="6"/>
  <c r="P141" i="6"/>
  <c r="O141" i="6"/>
  <c r="N141" i="6"/>
  <c r="L141" i="6"/>
  <c r="K141" i="6"/>
  <c r="J141" i="6"/>
  <c r="I141" i="6"/>
  <c r="H141" i="6"/>
  <c r="O140" i="6"/>
  <c r="N140" i="6"/>
  <c r="P140" i="6" s="1"/>
  <c r="L140" i="6"/>
  <c r="K140" i="6"/>
  <c r="J140" i="6"/>
  <c r="I140" i="6"/>
  <c r="H140" i="6"/>
  <c r="P139" i="6"/>
  <c r="I139" i="6" s="1"/>
  <c r="O139" i="6"/>
  <c r="N139" i="6"/>
  <c r="L139" i="6"/>
  <c r="K139" i="6"/>
  <c r="J139" i="6"/>
  <c r="H139" i="6"/>
  <c r="N138" i="6"/>
  <c r="L138" i="6"/>
  <c r="O138" i="6" s="1"/>
  <c r="P138" i="6" s="1"/>
  <c r="I138" i="6" s="1"/>
  <c r="K138" i="6"/>
  <c r="J138" i="6"/>
  <c r="H138" i="6"/>
  <c r="N137" i="6"/>
  <c r="L137" i="6"/>
  <c r="O137" i="6" s="1"/>
  <c r="P137" i="6" s="1"/>
  <c r="I137" i="6" s="1"/>
  <c r="K137" i="6"/>
  <c r="J137" i="6"/>
  <c r="H137" i="6"/>
  <c r="O136" i="6"/>
  <c r="N136" i="6"/>
  <c r="P136" i="6" s="1"/>
  <c r="I136" i="6" s="1"/>
  <c r="L136" i="6"/>
  <c r="K136" i="6"/>
  <c r="J136" i="6"/>
  <c r="H136" i="6"/>
  <c r="P135" i="6"/>
  <c r="O135" i="6"/>
  <c r="N135" i="6"/>
  <c r="L135" i="6"/>
  <c r="K135" i="6"/>
  <c r="J135" i="6"/>
  <c r="I135" i="6"/>
  <c r="H135" i="6"/>
  <c r="O134" i="6"/>
  <c r="P134" i="6" s="1"/>
  <c r="I134" i="6" s="1"/>
  <c r="N134" i="6"/>
  <c r="L134" i="6"/>
  <c r="K134" i="6"/>
  <c r="J134" i="6"/>
  <c r="H134" i="6"/>
  <c r="O133" i="6"/>
  <c r="P133" i="6" s="1"/>
  <c r="I133" i="6" s="1"/>
  <c r="N133" i="6"/>
  <c r="L133" i="6"/>
  <c r="K133" i="6"/>
  <c r="J133" i="6"/>
  <c r="H133" i="6"/>
  <c r="P132" i="6"/>
  <c r="I132" i="6" s="1"/>
  <c r="N132" i="6"/>
  <c r="L132" i="6"/>
  <c r="O132" i="6" s="1"/>
  <c r="K132" i="6"/>
  <c r="J132" i="6"/>
  <c r="H132" i="6"/>
  <c r="O131" i="6"/>
  <c r="N131" i="6"/>
  <c r="P131" i="6" s="1"/>
  <c r="I131" i="6" s="1"/>
  <c r="L131" i="6"/>
  <c r="K131" i="6"/>
  <c r="J131" i="6"/>
  <c r="H131" i="6"/>
  <c r="P130" i="6"/>
  <c r="I130" i="6" s="1"/>
  <c r="O130" i="6"/>
  <c r="N130" i="6"/>
  <c r="L130" i="6"/>
  <c r="K130" i="6"/>
  <c r="J130" i="6"/>
  <c r="H130" i="6"/>
  <c r="P129" i="6"/>
  <c r="I129" i="6" s="1"/>
  <c r="N129" i="6"/>
  <c r="L129" i="6"/>
  <c r="O129" i="6" s="1"/>
  <c r="K129" i="6"/>
  <c r="J129" i="6"/>
  <c r="H129" i="6"/>
  <c r="O128" i="6"/>
  <c r="N128" i="6"/>
  <c r="L128" i="6"/>
  <c r="K128" i="6"/>
  <c r="J128" i="6"/>
  <c r="H128" i="6"/>
  <c r="N127" i="6"/>
  <c r="P127" i="6" s="1"/>
  <c r="I127" i="6" s="1"/>
  <c r="L127" i="6"/>
  <c r="O127" i="6" s="1"/>
  <c r="K127" i="6"/>
  <c r="J127" i="6"/>
  <c r="H127" i="6"/>
  <c r="P126" i="6"/>
  <c r="O126" i="6"/>
  <c r="N126" i="6"/>
  <c r="L126" i="6"/>
  <c r="K126" i="6"/>
  <c r="J126" i="6"/>
  <c r="I126" i="6"/>
  <c r="H126" i="6"/>
  <c r="O125" i="6"/>
  <c r="P125" i="6" s="1"/>
  <c r="N125" i="6"/>
  <c r="L125" i="6"/>
  <c r="K125" i="6"/>
  <c r="J125" i="6"/>
  <c r="I125" i="6"/>
  <c r="H125" i="6"/>
  <c r="O124" i="6"/>
  <c r="P124" i="6" s="1"/>
  <c r="I124" i="6" s="1"/>
  <c r="N124" i="6"/>
  <c r="L124" i="6"/>
  <c r="K124" i="6"/>
  <c r="J124" i="6"/>
  <c r="H124" i="6"/>
  <c r="N123" i="6"/>
  <c r="L123" i="6"/>
  <c r="O123" i="6" s="1"/>
  <c r="P123" i="6" s="1"/>
  <c r="I123" i="6" s="1"/>
  <c r="K123" i="6"/>
  <c r="J123" i="6"/>
  <c r="H123" i="6"/>
  <c r="N122" i="6"/>
  <c r="L122" i="6"/>
  <c r="O122" i="6" s="1"/>
  <c r="P122" i="6" s="1"/>
  <c r="I122" i="6" s="1"/>
  <c r="K122" i="6"/>
  <c r="J122" i="6"/>
  <c r="H122" i="6"/>
  <c r="P121" i="6"/>
  <c r="I121" i="6" s="1"/>
  <c r="O121" i="6"/>
  <c r="N121" i="6"/>
  <c r="L121" i="6"/>
  <c r="K121" i="6"/>
  <c r="J121" i="6"/>
  <c r="H121" i="6"/>
  <c r="P120" i="6"/>
  <c r="I120" i="6" s="1"/>
  <c r="O120" i="6"/>
  <c r="N120" i="6"/>
  <c r="L120" i="6"/>
  <c r="K120" i="6"/>
  <c r="J120" i="6"/>
  <c r="H120" i="6"/>
  <c r="O119" i="6"/>
  <c r="P119" i="6" s="1"/>
  <c r="I119" i="6" s="1"/>
  <c r="N119" i="6"/>
  <c r="L119" i="6"/>
  <c r="K119" i="6"/>
  <c r="J119" i="6"/>
  <c r="H119" i="6"/>
  <c r="O118" i="6"/>
  <c r="P118" i="6" s="1"/>
  <c r="I118" i="6" s="1"/>
  <c r="N118" i="6"/>
  <c r="L118" i="6"/>
  <c r="K118" i="6"/>
  <c r="J118" i="6"/>
  <c r="H118" i="6"/>
  <c r="N117" i="6"/>
  <c r="L117" i="6"/>
  <c r="O117" i="6" s="1"/>
  <c r="P117" i="6" s="1"/>
  <c r="I117" i="6" s="1"/>
  <c r="K117" i="6"/>
  <c r="J117" i="6"/>
  <c r="H117" i="6"/>
  <c r="O116" i="6"/>
  <c r="N116" i="6"/>
  <c r="P116" i="6" s="1"/>
  <c r="I116" i="6" s="1"/>
  <c r="L116" i="6"/>
  <c r="K116" i="6"/>
  <c r="J116" i="6"/>
  <c r="H116" i="6"/>
  <c r="O115" i="6"/>
  <c r="P115" i="6" s="1"/>
  <c r="I115" i="6" s="1"/>
  <c r="N115" i="6"/>
  <c r="L115" i="6"/>
  <c r="K115" i="6"/>
  <c r="J115" i="6"/>
  <c r="H115" i="6"/>
  <c r="P114" i="6"/>
  <c r="I114" i="6" s="1"/>
  <c r="N114" i="6"/>
  <c r="L114" i="6"/>
  <c r="O114" i="6" s="1"/>
  <c r="K114" i="6"/>
  <c r="J114" i="6"/>
  <c r="H114" i="6"/>
  <c r="O113" i="6"/>
  <c r="P113" i="6" s="1"/>
  <c r="I113" i="6" s="1"/>
  <c r="N113" i="6"/>
  <c r="L113" i="6"/>
  <c r="K113" i="6"/>
  <c r="J113" i="6"/>
  <c r="H113" i="6"/>
  <c r="P112" i="6"/>
  <c r="N112" i="6"/>
  <c r="L112" i="6"/>
  <c r="O112" i="6" s="1"/>
  <c r="K112" i="6"/>
  <c r="J112" i="6"/>
  <c r="I112" i="6"/>
  <c r="H112" i="6"/>
  <c r="P111" i="6"/>
  <c r="I111" i="6" s="1"/>
  <c r="O111" i="6"/>
  <c r="N111" i="6"/>
  <c r="L111" i="6"/>
  <c r="K111" i="6"/>
  <c r="J111" i="6"/>
  <c r="H111" i="6"/>
  <c r="O110" i="6"/>
  <c r="P110" i="6" s="1"/>
  <c r="I110" i="6" s="1"/>
  <c r="N110" i="6"/>
  <c r="L110" i="6"/>
  <c r="K110" i="6"/>
  <c r="J110" i="6"/>
  <c r="H110" i="6"/>
  <c r="O109" i="6"/>
  <c r="P109" i="6" s="1"/>
  <c r="I109" i="6" s="1"/>
  <c r="N109" i="6"/>
  <c r="L109" i="6"/>
  <c r="K109" i="6"/>
  <c r="J109" i="6"/>
  <c r="H109" i="6"/>
  <c r="N108" i="6"/>
  <c r="L108" i="6"/>
  <c r="O108" i="6" s="1"/>
  <c r="P108" i="6" s="1"/>
  <c r="I108" i="6" s="1"/>
  <c r="K108" i="6"/>
  <c r="J108" i="6"/>
  <c r="H108" i="6"/>
  <c r="P107" i="6"/>
  <c r="N107" i="6"/>
  <c r="L107" i="6"/>
  <c r="O107" i="6" s="1"/>
  <c r="K107" i="6"/>
  <c r="J107" i="6"/>
  <c r="I107" i="6"/>
  <c r="H107" i="6"/>
  <c r="P106" i="6"/>
  <c r="I106" i="6" s="1"/>
  <c r="O106" i="6"/>
  <c r="N106" i="6"/>
  <c r="L106" i="6"/>
  <c r="K106" i="6"/>
  <c r="J106" i="6"/>
  <c r="H106" i="6"/>
  <c r="P105" i="6"/>
  <c r="I105" i="6" s="1"/>
  <c r="O105" i="6"/>
  <c r="N105" i="6"/>
  <c r="L105" i="6"/>
  <c r="K105" i="6"/>
  <c r="J105" i="6"/>
  <c r="H105" i="6"/>
  <c r="O104" i="6"/>
  <c r="N104" i="6"/>
  <c r="L104" i="6"/>
  <c r="K104" i="6"/>
  <c r="J104" i="6"/>
  <c r="H104" i="6"/>
  <c r="N103" i="6"/>
  <c r="L103" i="6"/>
  <c r="O103" i="6" s="1"/>
  <c r="P103" i="6" s="1"/>
  <c r="I103" i="6" s="1"/>
  <c r="K103" i="6"/>
  <c r="J103" i="6"/>
  <c r="H103" i="6"/>
  <c r="N102" i="6"/>
  <c r="L102" i="6"/>
  <c r="O102" i="6" s="1"/>
  <c r="P102" i="6" s="1"/>
  <c r="I102" i="6" s="1"/>
  <c r="K102" i="6"/>
  <c r="J102" i="6"/>
  <c r="H102" i="6"/>
  <c r="O101" i="6"/>
  <c r="N101" i="6"/>
  <c r="P101" i="6" s="1"/>
  <c r="I101" i="6" s="1"/>
  <c r="L101" i="6"/>
  <c r="K101" i="6"/>
  <c r="J101" i="6"/>
  <c r="H101" i="6"/>
  <c r="O100" i="6"/>
  <c r="P100" i="6" s="1"/>
  <c r="I100" i="6" s="1"/>
  <c r="N100" i="6"/>
  <c r="L100" i="6"/>
  <c r="K100" i="6"/>
  <c r="J100" i="6"/>
  <c r="H100" i="6"/>
  <c r="N99" i="6"/>
  <c r="L99" i="6"/>
  <c r="O99" i="6" s="1"/>
  <c r="P99" i="6" s="1"/>
  <c r="K99" i="6"/>
  <c r="J99" i="6"/>
  <c r="I99" i="6"/>
  <c r="H99" i="6"/>
  <c r="P98" i="6"/>
  <c r="I98" i="6" s="1"/>
  <c r="O98" i="6"/>
  <c r="N98" i="6"/>
  <c r="L98" i="6"/>
  <c r="K98" i="6"/>
  <c r="J98" i="6"/>
  <c r="H98" i="6"/>
  <c r="P97" i="6"/>
  <c r="I97" i="6" s="1"/>
  <c r="N97" i="6"/>
  <c r="L97" i="6"/>
  <c r="O97" i="6" s="1"/>
  <c r="K97" i="6"/>
  <c r="J97" i="6"/>
  <c r="H97" i="6"/>
  <c r="P96" i="6"/>
  <c r="I96" i="6" s="1"/>
  <c r="O96" i="6"/>
  <c r="N96" i="6"/>
  <c r="L96" i="6"/>
  <c r="K96" i="6"/>
  <c r="J96" i="6"/>
  <c r="H96" i="6"/>
  <c r="O95" i="6"/>
  <c r="P95" i="6" s="1"/>
  <c r="I95" i="6" s="1"/>
  <c r="N95" i="6"/>
  <c r="L95" i="6"/>
  <c r="K95" i="6"/>
  <c r="J95" i="6"/>
  <c r="H95" i="6"/>
  <c r="N94" i="6"/>
  <c r="L94" i="6"/>
  <c r="O94" i="6" s="1"/>
  <c r="P94" i="6" s="1"/>
  <c r="I94" i="6" s="1"/>
  <c r="K94" i="6"/>
  <c r="J94" i="6"/>
  <c r="H94" i="6"/>
  <c r="O93" i="6"/>
  <c r="P93" i="6" s="1"/>
  <c r="I93" i="6" s="1"/>
  <c r="N93" i="6"/>
  <c r="L93" i="6"/>
  <c r="K93" i="6"/>
  <c r="J93" i="6"/>
  <c r="H93" i="6"/>
  <c r="N92" i="6"/>
  <c r="P92" i="6" s="1"/>
  <c r="I92" i="6" s="1"/>
  <c r="L92" i="6"/>
  <c r="O92" i="6" s="1"/>
  <c r="K92" i="6"/>
  <c r="J92" i="6"/>
  <c r="H92" i="6"/>
  <c r="P91" i="6"/>
  <c r="O91" i="6"/>
  <c r="N91" i="6"/>
  <c r="L91" i="6"/>
  <c r="K91" i="6"/>
  <c r="J91" i="6"/>
  <c r="I91" i="6"/>
  <c r="H91" i="6"/>
  <c r="O90" i="6"/>
  <c r="N90" i="6"/>
  <c r="P90" i="6" s="1"/>
  <c r="L90" i="6"/>
  <c r="K90" i="6"/>
  <c r="J90" i="6"/>
  <c r="I90" i="6"/>
  <c r="H90" i="6"/>
  <c r="P89" i="6"/>
  <c r="I89" i="6" s="1"/>
  <c r="O89" i="6"/>
  <c r="N89" i="6"/>
  <c r="L89" i="6"/>
  <c r="K89" i="6"/>
  <c r="J89" i="6"/>
  <c r="H89" i="6"/>
  <c r="N88" i="6"/>
  <c r="L88" i="6"/>
  <c r="O88" i="6" s="1"/>
  <c r="P88" i="6" s="1"/>
  <c r="I88" i="6" s="1"/>
  <c r="K88" i="6"/>
  <c r="J88" i="6"/>
  <c r="H88" i="6"/>
  <c r="N87" i="6"/>
  <c r="L87" i="6"/>
  <c r="O87" i="6" s="1"/>
  <c r="P87" i="6" s="1"/>
  <c r="I87" i="6" s="1"/>
  <c r="K87" i="6"/>
  <c r="J87" i="6"/>
  <c r="H87" i="6"/>
  <c r="O86" i="6"/>
  <c r="N86" i="6"/>
  <c r="P86" i="6" s="1"/>
  <c r="I86" i="6" s="1"/>
  <c r="L86" i="6"/>
  <c r="K86" i="6"/>
  <c r="J86" i="6"/>
  <c r="H86" i="6"/>
  <c r="P85" i="6"/>
  <c r="O85" i="6"/>
  <c r="N85" i="6"/>
  <c r="L85" i="6"/>
  <c r="K85" i="6"/>
  <c r="J85" i="6"/>
  <c r="I85" i="6"/>
  <c r="H85" i="6"/>
  <c r="O84" i="6"/>
  <c r="P84" i="6" s="1"/>
  <c r="I84" i="6" s="1"/>
  <c r="N84" i="6"/>
  <c r="L84" i="6"/>
  <c r="K84" i="6"/>
  <c r="J84" i="6"/>
  <c r="H84" i="6"/>
  <c r="O83" i="6"/>
  <c r="P83" i="6" s="1"/>
  <c r="I83" i="6" s="1"/>
  <c r="N83" i="6"/>
  <c r="L83" i="6"/>
  <c r="K83" i="6"/>
  <c r="J83" i="6"/>
  <c r="H83" i="6"/>
  <c r="P82" i="6"/>
  <c r="I82" i="6" s="1"/>
  <c r="N82" i="6"/>
  <c r="L82" i="6"/>
  <c r="O82" i="6" s="1"/>
  <c r="K82" i="6"/>
  <c r="J82" i="6"/>
  <c r="H82" i="6"/>
  <c r="O81" i="6"/>
  <c r="N81" i="6"/>
  <c r="P81" i="6" s="1"/>
  <c r="L81" i="6"/>
  <c r="K81" i="6"/>
  <c r="J81" i="6"/>
  <c r="I81" i="6"/>
  <c r="H81" i="6"/>
  <c r="P80" i="6"/>
  <c r="I80" i="6" s="1"/>
  <c r="O80" i="6"/>
  <c r="N80" i="6"/>
  <c r="L80" i="6"/>
  <c r="K80" i="6"/>
  <c r="J80" i="6"/>
  <c r="H80" i="6"/>
  <c r="N79" i="6"/>
  <c r="L79" i="6"/>
  <c r="O79" i="6" s="1"/>
  <c r="P79" i="6" s="1"/>
  <c r="I79" i="6" s="1"/>
  <c r="K79" i="6"/>
  <c r="J79" i="6"/>
  <c r="H79" i="6"/>
  <c r="O78" i="6"/>
  <c r="N78" i="6"/>
  <c r="L78" i="6"/>
  <c r="K78" i="6"/>
  <c r="J78" i="6"/>
  <c r="H78" i="6"/>
  <c r="N77" i="6"/>
  <c r="P77" i="6" s="1"/>
  <c r="I77" i="6" s="1"/>
  <c r="L77" i="6"/>
  <c r="O77" i="6" s="1"/>
  <c r="K77" i="6"/>
  <c r="J77" i="6"/>
  <c r="H77" i="6"/>
  <c r="P76" i="6"/>
  <c r="O76" i="6"/>
  <c r="N76" i="6"/>
  <c r="L76" i="6"/>
  <c r="K76" i="6"/>
  <c r="J76" i="6"/>
  <c r="I76" i="6"/>
  <c r="H76" i="6"/>
  <c r="O75" i="6"/>
  <c r="P75" i="6" s="1"/>
  <c r="I75" i="6" s="1"/>
  <c r="N75" i="6"/>
  <c r="L75" i="6"/>
  <c r="K75" i="6"/>
  <c r="J75" i="6"/>
  <c r="H75" i="6"/>
  <c r="O74" i="6"/>
  <c r="P74" i="6" s="1"/>
  <c r="I74" i="6" s="1"/>
  <c r="N74" i="6"/>
  <c r="L74" i="6"/>
  <c r="K74" i="6"/>
  <c r="J74" i="6"/>
  <c r="H74" i="6"/>
  <c r="P73" i="6"/>
  <c r="I73" i="6" s="1"/>
  <c r="N73" i="6"/>
  <c r="L73" i="6"/>
  <c r="O73" i="6" s="1"/>
  <c r="K73" i="6"/>
  <c r="J73" i="6"/>
  <c r="H73" i="6"/>
  <c r="N72" i="6"/>
  <c r="L72" i="6"/>
  <c r="O72" i="6" s="1"/>
  <c r="P72" i="6" s="1"/>
  <c r="K72" i="6"/>
  <c r="J72" i="6"/>
  <c r="I72" i="6"/>
  <c r="H72" i="6"/>
  <c r="P71" i="6"/>
  <c r="I71" i="6" s="1"/>
  <c r="O71" i="6"/>
  <c r="N71" i="6"/>
  <c r="L71" i="6"/>
  <c r="K71" i="6"/>
  <c r="J71" i="6"/>
  <c r="H71" i="6"/>
  <c r="P70" i="6"/>
  <c r="I70" i="6" s="1"/>
  <c r="O70" i="6"/>
  <c r="N70" i="6"/>
  <c r="L70" i="6"/>
  <c r="K70" i="6"/>
  <c r="J70" i="6"/>
  <c r="H70" i="6"/>
  <c r="O69" i="6"/>
  <c r="P69" i="6" s="1"/>
  <c r="I69" i="6" s="1"/>
  <c r="N69" i="6"/>
  <c r="L69" i="6"/>
  <c r="K69" i="6"/>
  <c r="J69" i="6"/>
  <c r="H69" i="6"/>
  <c r="O68" i="6"/>
  <c r="P68" i="6" s="1"/>
  <c r="I68" i="6" s="1"/>
  <c r="J68" i="6" s="1"/>
  <c r="N68" i="6"/>
  <c r="L68" i="6"/>
  <c r="K68" i="6"/>
  <c r="H68" i="6"/>
  <c r="N67" i="6"/>
  <c r="L67" i="6"/>
  <c r="O67" i="6" s="1"/>
  <c r="P67" i="6" s="1"/>
  <c r="I67" i="6" s="1"/>
  <c r="J67" i="6" s="1"/>
  <c r="K67" i="6"/>
  <c r="H67" i="6"/>
  <c r="O66" i="6"/>
  <c r="N66" i="6"/>
  <c r="P66" i="6" s="1"/>
  <c r="L66" i="6"/>
  <c r="K66" i="6"/>
  <c r="I66" i="6"/>
  <c r="J66" i="6" s="1"/>
  <c r="H66" i="6"/>
  <c r="O65" i="6"/>
  <c r="P65" i="6" s="1"/>
  <c r="I65" i="6" s="1"/>
  <c r="J65" i="6" s="1"/>
  <c r="N65" i="6"/>
  <c r="L65" i="6"/>
  <c r="K65" i="6"/>
  <c r="H65" i="6"/>
  <c r="O64" i="6"/>
  <c r="P64" i="6" s="1"/>
  <c r="I64" i="6" s="1"/>
  <c r="J64" i="6" s="1"/>
  <c r="N64" i="6"/>
  <c r="L64" i="6"/>
  <c r="K64" i="6"/>
  <c r="H64" i="6"/>
  <c r="N63" i="6"/>
  <c r="L63" i="6"/>
  <c r="O63" i="6" s="1"/>
  <c r="P63" i="6" s="1"/>
  <c r="I63" i="6" s="1"/>
  <c r="J63" i="6" s="1"/>
  <c r="K63" i="6"/>
  <c r="H63" i="6"/>
  <c r="N62" i="6"/>
  <c r="L62" i="6"/>
  <c r="O62" i="6" s="1"/>
  <c r="P62" i="6" s="1"/>
  <c r="I62" i="6" s="1"/>
  <c r="J62" i="6" s="1"/>
  <c r="K62" i="6"/>
  <c r="H62" i="6"/>
  <c r="O61" i="6"/>
  <c r="N61" i="6"/>
  <c r="P61" i="6" s="1"/>
  <c r="I61" i="6" s="1"/>
  <c r="J61" i="6" s="1"/>
  <c r="L61" i="6"/>
  <c r="K61" i="6"/>
  <c r="H61" i="6"/>
  <c r="O60" i="6"/>
  <c r="P60" i="6" s="1"/>
  <c r="I60" i="6" s="1"/>
  <c r="J60" i="6" s="1"/>
  <c r="N60" i="6"/>
  <c r="L60" i="6"/>
  <c r="K60" i="6"/>
  <c r="H60" i="6"/>
  <c r="N59" i="6"/>
  <c r="L59" i="6"/>
  <c r="O59" i="6" s="1"/>
  <c r="P59" i="6" s="1"/>
  <c r="I59" i="6" s="1"/>
  <c r="J59" i="6" s="1"/>
  <c r="K59" i="6"/>
  <c r="H59" i="6"/>
  <c r="P58" i="6"/>
  <c r="I58" i="6" s="1"/>
  <c r="N58" i="6"/>
  <c r="L58" i="6"/>
  <c r="O58" i="6" s="1"/>
  <c r="K58" i="6"/>
  <c r="H58" i="6"/>
  <c r="N57" i="6"/>
  <c r="L57" i="6"/>
  <c r="O57" i="6" s="1"/>
  <c r="P57" i="6" s="1"/>
  <c r="I57" i="6" s="1"/>
  <c r="J57" i="6" s="1"/>
  <c r="K57" i="6"/>
  <c r="H57" i="6"/>
  <c r="O56" i="6"/>
  <c r="N56" i="6"/>
  <c r="P56" i="6" s="1"/>
  <c r="I56" i="6" s="1"/>
  <c r="J56" i="6" s="1"/>
  <c r="L56" i="6"/>
  <c r="K56" i="6"/>
  <c r="H56" i="6"/>
  <c r="P55" i="6"/>
  <c r="O55" i="6"/>
  <c r="N55" i="6"/>
  <c r="L55" i="6"/>
  <c r="K55" i="6"/>
  <c r="I55" i="6"/>
  <c r="J55" i="6" s="1"/>
  <c r="H55" i="6"/>
  <c r="N54" i="6"/>
  <c r="L54" i="6"/>
  <c r="O54" i="6" s="1"/>
  <c r="P54" i="6" s="1"/>
  <c r="I54" i="6" s="1"/>
  <c r="J54" i="6" s="1"/>
  <c r="K54" i="6"/>
  <c r="H54" i="6"/>
  <c r="P53" i="6"/>
  <c r="I53" i="6" s="1"/>
  <c r="J53" i="6" s="1"/>
  <c r="N53" i="6"/>
  <c r="L53" i="6"/>
  <c r="O53" i="6" s="1"/>
  <c r="K53" i="6"/>
  <c r="H53" i="6"/>
  <c r="N52" i="6"/>
  <c r="L52" i="6"/>
  <c r="O52" i="6" s="1"/>
  <c r="P52" i="6" s="1"/>
  <c r="I52" i="6" s="1"/>
  <c r="J52" i="6" s="1"/>
  <c r="K52" i="6"/>
  <c r="H52" i="6"/>
  <c r="P51" i="6"/>
  <c r="I51" i="6" s="1"/>
  <c r="J51" i="6" s="1"/>
  <c r="O51" i="6"/>
  <c r="N51" i="6"/>
  <c r="L51" i="6"/>
  <c r="K51" i="6"/>
  <c r="H51" i="6"/>
  <c r="P50" i="6"/>
  <c r="I50" i="6" s="1"/>
  <c r="O50" i="6"/>
  <c r="N50" i="6"/>
  <c r="L50" i="6"/>
  <c r="K50" i="6"/>
  <c r="H50" i="6"/>
  <c r="P49" i="6"/>
  <c r="I49" i="6" s="1"/>
  <c r="N49" i="6"/>
  <c r="L49" i="6"/>
  <c r="O49" i="6" s="1"/>
  <c r="K49" i="6"/>
  <c r="H49" i="6"/>
  <c r="N48" i="6"/>
  <c r="L48" i="6"/>
  <c r="O48" i="6" s="1"/>
  <c r="P48" i="6" s="1"/>
  <c r="K48" i="6"/>
  <c r="I48" i="6"/>
  <c r="H48" i="6"/>
  <c r="P47" i="6"/>
  <c r="N47" i="6"/>
  <c r="L47" i="6"/>
  <c r="O47" i="6" s="1"/>
  <c r="K47" i="6"/>
  <c r="I47" i="6"/>
  <c r="J47" i="6" s="1"/>
  <c r="H47" i="6"/>
  <c r="P46" i="6"/>
  <c r="I46" i="6" s="1"/>
  <c r="J46" i="6" s="1"/>
  <c r="O46" i="6"/>
  <c r="N46" i="6"/>
  <c r="L46" i="6"/>
  <c r="K46" i="6"/>
  <c r="H46" i="6"/>
  <c r="P45" i="6"/>
  <c r="O45" i="6"/>
  <c r="N45" i="6"/>
  <c r="L45" i="6"/>
  <c r="K45" i="6"/>
  <c r="I45" i="6"/>
  <c r="J45" i="6" s="1"/>
  <c r="H45" i="6"/>
  <c r="N44" i="6"/>
  <c r="L44" i="6"/>
  <c r="O44" i="6" s="1"/>
  <c r="P44" i="6" s="1"/>
  <c r="I44" i="6" s="1"/>
  <c r="J44" i="6" s="1"/>
  <c r="K44" i="6"/>
  <c r="H44" i="6"/>
  <c r="O43" i="6"/>
  <c r="P43" i="6" s="1"/>
  <c r="N43" i="6"/>
  <c r="L43" i="6"/>
  <c r="K43" i="6"/>
  <c r="I43" i="6"/>
  <c r="J43" i="6" s="1"/>
  <c r="H43" i="6"/>
  <c r="N42" i="6"/>
  <c r="P42" i="6" s="1"/>
  <c r="I42" i="6" s="1"/>
  <c r="J42" i="6" s="1"/>
  <c r="L42" i="6"/>
  <c r="O42" i="6" s="1"/>
  <c r="K42" i="6"/>
  <c r="H42" i="6"/>
  <c r="P41" i="6"/>
  <c r="O41" i="6"/>
  <c r="N41" i="6"/>
  <c r="L41" i="6"/>
  <c r="K41" i="6"/>
  <c r="I41" i="6"/>
  <c r="J41" i="6" s="1"/>
  <c r="H41" i="6"/>
  <c r="O40" i="6"/>
  <c r="N40" i="6"/>
  <c r="P40" i="6" s="1"/>
  <c r="I40" i="6" s="1"/>
  <c r="J40" i="6" s="1"/>
  <c r="L40" i="6"/>
  <c r="K40" i="6"/>
  <c r="H40" i="6"/>
  <c r="O39" i="6"/>
  <c r="P39" i="6" s="1"/>
  <c r="I39" i="6" s="1"/>
  <c r="J39" i="6" s="1"/>
  <c r="N39" i="6"/>
  <c r="L39" i="6"/>
  <c r="K39" i="6"/>
  <c r="H39" i="6"/>
  <c r="O38" i="6"/>
  <c r="P38" i="6" s="1"/>
  <c r="I38" i="6" s="1"/>
  <c r="J38" i="6" s="1"/>
  <c r="N38" i="6"/>
  <c r="L38" i="6"/>
  <c r="K38" i="6"/>
  <c r="H38" i="6"/>
  <c r="N37" i="6"/>
  <c r="P37" i="6" s="1"/>
  <c r="I37" i="6" s="1"/>
  <c r="L37" i="6"/>
  <c r="O37" i="6" s="1"/>
  <c r="K37" i="6"/>
  <c r="J37" i="6"/>
  <c r="H37" i="6"/>
  <c r="P36" i="6"/>
  <c r="O36" i="6"/>
  <c r="N36" i="6"/>
  <c r="L36" i="6"/>
  <c r="K36" i="6"/>
  <c r="I36" i="6"/>
  <c r="G36" i="10" s="1"/>
  <c r="H36" i="10" s="1"/>
  <c r="H36" i="6"/>
  <c r="O35" i="6"/>
  <c r="P35" i="6" s="1"/>
  <c r="I35" i="6" s="1"/>
  <c r="J35" i="6" s="1"/>
  <c r="N35" i="6"/>
  <c r="L35" i="6"/>
  <c r="K35" i="6"/>
  <c r="H35" i="6"/>
  <c r="O34" i="6"/>
  <c r="N34" i="6"/>
  <c r="L34" i="6"/>
  <c r="K34" i="6"/>
  <c r="H34" i="6"/>
  <c r="O33" i="6"/>
  <c r="P33" i="6" s="1"/>
  <c r="I33" i="6" s="1"/>
  <c r="J33" i="6" s="1"/>
  <c r="N33" i="6"/>
  <c r="L33" i="6"/>
  <c r="K33" i="6"/>
  <c r="H33" i="6"/>
  <c r="P32" i="6"/>
  <c r="N32" i="6"/>
  <c r="L32" i="6"/>
  <c r="O32" i="6" s="1"/>
  <c r="K32" i="6"/>
  <c r="J32" i="6"/>
  <c r="I32" i="6"/>
  <c r="H32" i="6"/>
  <c r="P31" i="6"/>
  <c r="I31" i="6" s="1"/>
  <c r="J31" i="6" s="1"/>
  <c r="O31" i="6"/>
  <c r="N31" i="6"/>
  <c r="L31" i="6"/>
  <c r="K31" i="6"/>
  <c r="H31" i="6"/>
  <c r="O30" i="6"/>
  <c r="N30" i="6"/>
  <c r="L30" i="6"/>
  <c r="K30" i="6"/>
  <c r="H30" i="6"/>
  <c r="O29" i="6"/>
  <c r="P29" i="6" s="1"/>
  <c r="I29" i="6" s="1"/>
  <c r="J29" i="6" s="1"/>
  <c r="N29" i="6"/>
  <c r="L29" i="6"/>
  <c r="K29" i="6"/>
  <c r="H29" i="6"/>
  <c r="P28" i="6"/>
  <c r="I28" i="6" s="1"/>
  <c r="G27" i="10" s="1"/>
  <c r="H27" i="10" s="1"/>
  <c r="O28" i="6"/>
  <c r="N28" i="6"/>
  <c r="L28" i="6"/>
  <c r="K28" i="6"/>
  <c r="H28" i="6"/>
  <c r="P27" i="6"/>
  <c r="I27" i="6" s="1"/>
  <c r="N27" i="6"/>
  <c r="L27" i="6"/>
  <c r="O27" i="6" s="1"/>
  <c r="K27" i="6"/>
  <c r="H27" i="6"/>
  <c r="P26" i="6"/>
  <c r="I26" i="6" s="1"/>
  <c r="G26" i="10" s="1"/>
  <c r="H26" i="10" s="1"/>
  <c r="O26" i="6"/>
  <c r="N26" i="6"/>
  <c r="L26" i="6"/>
  <c r="K26" i="6"/>
  <c r="J26" i="6"/>
  <c r="H26" i="6"/>
  <c r="O25" i="6"/>
  <c r="N25" i="6"/>
  <c r="L25" i="6"/>
  <c r="K25" i="6"/>
  <c r="H25" i="6"/>
  <c r="P24" i="6"/>
  <c r="O24" i="6"/>
  <c r="N24" i="6"/>
  <c r="L24" i="6"/>
  <c r="K24" i="6"/>
  <c r="I24" i="6"/>
  <c r="J24" i="6" s="1"/>
  <c r="H24" i="6"/>
  <c r="O23" i="6"/>
  <c r="P23" i="6" s="1"/>
  <c r="I23" i="6" s="1"/>
  <c r="J23" i="6" s="1"/>
  <c r="N23" i="6"/>
  <c r="L23" i="6"/>
  <c r="K23" i="6"/>
  <c r="H23" i="6"/>
  <c r="P22" i="6"/>
  <c r="I22" i="6" s="1"/>
  <c r="J22" i="6" s="1"/>
  <c r="N22" i="6"/>
  <c r="L22" i="6"/>
  <c r="O22" i="6" s="1"/>
  <c r="K22" i="6"/>
  <c r="H22" i="6"/>
  <c r="O21" i="6"/>
  <c r="N21" i="6"/>
  <c r="P21" i="6" s="1"/>
  <c r="L21" i="6"/>
  <c r="K21" i="6"/>
  <c r="I21" i="6"/>
  <c r="J21" i="6" s="1"/>
  <c r="H21" i="6"/>
  <c r="P20" i="6"/>
  <c r="O20" i="6"/>
  <c r="N20" i="6"/>
  <c r="L20" i="6"/>
  <c r="K20" i="6"/>
  <c r="I20" i="6"/>
  <c r="H20" i="6"/>
  <c r="N19" i="6"/>
  <c r="L19" i="6"/>
  <c r="O19" i="6" s="1"/>
  <c r="P19" i="6" s="1"/>
  <c r="I19" i="6" s="1"/>
  <c r="K19" i="6"/>
  <c r="H19" i="6"/>
  <c r="O18" i="6"/>
  <c r="P18" i="6" s="1"/>
  <c r="I18" i="6" s="1"/>
  <c r="J18" i="6" s="1"/>
  <c r="N18" i="6"/>
  <c r="L18" i="6"/>
  <c r="K18" i="6"/>
  <c r="H18" i="6"/>
  <c r="N17" i="6"/>
  <c r="L17" i="6"/>
  <c r="O17" i="6" s="1"/>
  <c r="P17" i="6" s="1"/>
  <c r="I17" i="6" s="1"/>
  <c r="J17" i="6" s="1"/>
  <c r="K17" i="6"/>
  <c r="H17" i="6"/>
  <c r="O16" i="6"/>
  <c r="N16" i="6"/>
  <c r="P16" i="6" s="1"/>
  <c r="I16" i="6" s="1"/>
  <c r="J16" i="6" s="1"/>
  <c r="L16" i="6"/>
  <c r="K16" i="6"/>
  <c r="H16" i="6"/>
  <c r="O15" i="6"/>
  <c r="P15" i="6" s="1"/>
  <c r="I15" i="6" s="1"/>
  <c r="N15" i="6"/>
  <c r="L15" i="6"/>
  <c r="K15" i="6"/>
  <c r="H15" i="6"/>
  <c r="O14" i="6"/>
  <c r="P14" i="6" s="1"/>
  <c r="I14" i="6" s="1"/>
  <c r="N14" i="6"/>
  <c r="L14" i="6"/>
  <c r="K14" i="6"/>
  <c r="H14" i="6"/>
  <c r="N13" i="6"/>
  <c r="L13" i="6"/>
  <c r="O13" i="6" s="1"/>
  <c r="P13" i="6" s="1"/>
  <c r="I13" i="6" s="1"/>
  <c r="J13" i="6" s="1"/>
  <c r="K13" i="6"/>
  <c r="H13" i="6"/>
  <c r="N12" i="6"/>
  <c r="L12" i="6"/>
  <c r="O12" i="6" s="1"/>
  <c r="P12" i="6" s="1"/>
  <c r="I12" i="6" s="1"/>
  <c r="J12" i="6" s="1"/>
  <c r="K12" i="6"/>
  <c r="H12" i="6"/>
  <c r="O11" i="6"/>
  <c r="N11" i="6"/>
  <c r="P11" i="6" s="1"/>
  <c r="I11" i="6" s="1"/>
  <c r="J11" i="6" s="1"/>
  <c r="L11" i="6"/>
  <c r="K11" i="6"/>
  <c r="H11" i="6"/>
  <c r="O10" i="6"/>
  <c r="P10" i="6" s="1"/>
  <c r="I10" i="6" s="1"/>
  <c r="N10" i="6"/>
  <c r="L10" i="6"/>
  <c r="K10" i="6"/>
  <c r="H10" i="6"/>
  <c r="N9" i="6"/>
  <c r="L9" i="6"/>
  <c r="O9" i="6" s="1"/>
  <c r="P9" i="6" s="1"/>
  <c r="I9" i="6" s="1"/>
  <c r="K9" i="6"/>
  <c r="H9" i="6"/>
  <c r="N8" i="6"/>
  <c r="P8" i="6" s="1"/>
  <c r="I8" i="6" s="1"/>
  <c r="J8" i="6" s="1"/>
  <c r="L8" i="6"/>
  <c r="O8" i="6" s="1"/>
  <c r="K8" i="6"/>
  <c r="H8" i="6"/>
  <c r="N7" i="6"/>
  <c r="L7" i="6"/>
  <c r="O7" i="6" s="1"/>
  <c r="P7" i="6" s="1"/>
  <c r="I7" i="6" s="1"/>
  <c r="K7" i="6"/>
  <c r="J7" i="6"/>
  <c r="H7" i="6"/>
  <c r="N4" i="6"/>
  <c r="L4" i="6"/>
  <c r="J4" i="6"/>
  <c r="H4" i="6"/>
  <c r="A4" i="6"/>
  <c r="B1" i="6"/>
  <c r="A1" i="6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I5" i="5"/>
  <c r="F5" i="5"/>
  <c r="C5" i="5"/>
  <c r="N4" i="5"/>
  <c r="L4" i="5"/>
  <c r="J4" i="5"/>
  <c r="H4" i="5"/>
  <c r="A4" i="5"/>
  <c r="B1" i="5"/>
  <c r="A1" i="5"/>
  <c r="F32" i="4"/>
  <c r="B32" i="4"/>
  <c r="F31" i="4"/>
  <c r="B31" i="4"/>
  <c r="F30" i="4"/>
  <c r="B30" i="4"/>
  <c r="F29" i="4"/>
  <c r="B29" i="4"/>
  <c r="F28" i="4"/>
  <c r="B28" i="4"/>
  <c r="B27" i="4"/>
  <c r="G23" i="4"/>
  <c r="F23" i="4"/>
  <c r="E23" i="4"/>
  <c r="D23" i="4"/>
  <c r="C23" i="4"/>
  <c r="B23" i="4"/>
  <c r="F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G19" i="4"/>
  <c r="F19" i="4"/>
  <c r="E19" i="4"/>
  <c r="D19" i="4"/>
  <c r="C19" i="4"/>
  <c r="B19" i="4"/>
  <c r="F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K7" i="4"/>
  <c r="N4" i="4"/>
  <c r="L4" i="4"/>
  <c r="J4" i="4"/>
  <c r="H4" i="4"/>
  <c r="A4" i="4"/>
  <c r="B1" i="4"/>
  <c r="A1" i="4"/>
  <c r="K10" i="3"/>
  <c r="G10" i="3"/>
  <c r="K9" i="3"/>
  <c r="G9" i="3"/>
  <c r="K8" i="3"/>
  <c r="G8" i="3"/>
  <c r="K7" i="3"/>
  <c r="G7" i="3"/>
  <c r="K6" i="3"/>
  <c r="G6" i="3"/>
  <c r="N4" i="3"/>
  <c r="L4" i="3"/>
  <c r="J4" i="3"/>
  <c r="H4" i="3"/>
  <c r="A4" i="3"/>
  <c r="B1" i="3"/>
  <c r="A1" i="3"/>
  <c r="M29" i="2"/>
  <c r="M24" i="2"/>
  <c r="D24" i="2"/>
  <c r="M23" i="2"/>
  <c r="D23" i="2"/>
  <c r="M22" i="2"/>
  <c r="D22" i="2"/>
  <c r="D21" i="2"/>
  <c r="B21" i="2"/>
  <c r="A21" i="2"/>
  <c r="D20" i="2"/>
  <c r="B20" i="2"/>
  <c r="A20" i="2"/>
  <c r="D19" i="2"/>
  <c r="B19" i="2"/>
  <c r="A19" i="2"/>
  <c r="B18" i="2"/>
  <c r="A18" i="2"/>
  <c r="B17" i="2"/>
  <c r="A17" i="2"/>
  <c r="B16" i="2"/>
  <c r="A16" i="2"/>
  <c r="B15" i="2"/>
  <c r="A15" i="2"/>
  <c r="M14" i="2"/>
  <c r="J14" i="2"/>
  <c r="G14" i="2"/>
  <c r="D14" i="2"/>
  <c r="B14" i="2"/>
  <c r="A14" i="2"/>
  <c r="B13" i="2"/>
  <c r="A13" i="2"/>
  <c r="B12" i="2"/>
  <c r="A12" i="2"/>
  <c r="B11" i="2"/>
  <c r="A11" i="2"/>
  <c r="G10" i="2"/>
  <c r="D10" i="2"/>
  <c r="B10" i="2"/>
  <c r="A10" i="2"/>
  <c r="B9" i="2"/>
  <c r="A9" i="2"/>
  <c r="B8" i="2"/>
  <c r="A8" i="2"/>
  <c r="B7" i="2"/>
  <c r="A7" i="2"/>
  <c r="D6" i="2"/>
  <c r="B6" i="2"/>
  <c r="A6" i="2"/>
  <c r="N4" i="2"/>
  <c r="L4" i="2"/>
  <c r="J4" i="2"/>
  <c r="H4" i="2"/>
  <c r="A4" i="2"/>
  <c r="B1" i="2"/>
  <c r="A1" i="2"/>
  <c r="N29" i="1"/>
  <c r="I18" i="1"/>
  <c r="I17" i="1"/>
  <c r="I16" i="1"/>
  <c r="B16" i="1"/>
  <c r="I15" i="1"/>
  <c r="B15" i="1"/>
  <c r="I14" i="1"/>
  <c r="B14" i="1"/>
  <c r="I13" i="1"/>
  <c r="B13" i="1"/>
  <c r="I12" i="1"/>
  <c r="B12" i="1"/>
  <c r="K6" i="1"/>
  <c r="H6" i="1"/>
  <c r="E6" i="1"/>
  <c r="B6" i="1"/>
  <c r="J39" i="11" l="1"/>
  <c r="J44" i="11"/>
  <c r="I25" i="11"/>
  <c r="G31" i="11"/>
  <c r="F33" i="11"/>
  <c r="F35" i="11"/>
  <c r="G43" i="11"/>
  <c r="G50" i="11"/>
  <c r="H58" i="11"/>
  <c r="G65" i="11"/>
  <c r="G70" i="11"/>
  <c r="F85" i="11"/>
  <c r="F90" i="11"/>
  <c r="J97" i="11"/>
  <c r="J99" i="11"/>
  <c r="F102" i="11"/>
  <c r="F105" i="11"/>
  <c r="F15" i="11"/>
  <c r="F21" i="11"/>
  <c r="H31" i="11"/>
  <c r="G33" i="11"/>
  <c r="G35" i="11"/>
  <c r="H43" i="11"/>
  <c r="F56" i="11"/>
  <c r="F78" i="11"/>
  <c r="G85" i="11"/>
  <c r="G15" i="11"/>
  <c r="F19" i="11"/>
  <c r="H21" i="11"/>
  <c r="F24" i="11"/>
  <c r="I31" i="11"/>
  <c r="H33" i="11"/>
  <c r="H35" i="11"/>
  <c r="I43" i="11"/>
  <c r="I50" i="11"/>
  <c r="G56" i="11"/>
  <c r="I75" i="11"/>
  <c r="G78" i="11"/>
  <c r="H85" i="11"/>
  <c r="H88" i="11"/>
  <c r="H90" i="11"/>
  <c r="F92" i="11"/>
  <c r="F94" i="11"/>
  <c r="F96" i="11"/>
  <c r="G98" i="11"/>
  <c r="F100" i="11"/>
  <c r="H102" i="11"/>
  <c r="H105" i="11"/>
  <c r="I68" i="11"/>
  <c r="F7" i="11"/>
  <c r="G7" i="11"/>
  <c r="F10" i="11"/>
  <c r="H15" i="11"/>
  <c r="H24" i="11"/>
  <c r="F26" i="11"/>
  <c r="F30" i="11"/>
  <c r="I33" i="11"/>
  <c r="I35" i="11"/>
  <c r="J43" i="11"/>
  <c r="I54" i="11"/>
  <c r="H56" i="11"/>
  <c r="F68" i="11"/>
  <c r="I78" i="11"/>
  <c r="F81" i="11"/>
  <c r="F83" i="11"/>
  <c r="I85" i="11"/>
  <c r="I88" i="11"/>
  <c r="I90" i="11"/>
  <c r="G92" i="11"/>
  <c r="H94" i="11"/>
  <c r="H96" i="11"/>
  <c r="H98" i="11"/>
  <c r="G100" i="11"/>
  <c r="J102" i="11"/>
  <c r="I105" i="11"/>
  <c r="H7" i="11"/>
  <c r="G10" i="11"/>
  <c r="I15" i="11"/>
  <c r="I24" i="11"/>
  <c r="J26" i="11"/>
  <c r="G30" i="11"/>
  <c r="H39" i="11"/>
  <c r="F41" i="11"/>
  <c r="F46" i="11"/>
  <c r="F49" i="11"/>
  <c r="I56" i="11"/>
  <c r="F60" i="11"/>
  <c r="G68" i="11"/>
  <c r="F74" i="11"/>
  <c r="J78" i="11"/>
  <c r="G81" i="11"/>
  <c r="I83" i="11"/>
  <c r="J88" i="11"/>
  <c r="I96" i="11"/>
  <c r="I98" i="11"/>
  <c r="H100" i="11"/>
  <c r="J7" i="11"/>
  <c r="F13" i="11"/>
  <c r="F22" i="11"/>
  <c r="J24" i="11"/>
  <c r="F32" i="11"/>
  <c r="F34" i="11"/>
  <c r="G41" i="11"/>
  <c r="H49" i="11"/>
  <c r="J51" i="11"/>
  <c r="H68" i="11"/>
  <c r="H74" i="11"/>
  <c r="F76" i="11"/>
  <c r="J96" i="11"/>
  <c r="J98" i="11"/>
  <c r="E49" i="17"/>
  <c r="F49" i="17" s="1"/>
  <c r="G19" i="10"/>
  <c r="H19" i="10" s="1"/>
  <c r="J19" i="6"/>
  <c r="E6" i="17"/>
  <c r="E7" i="17"/>
  <c r="J28" i="6"/>
  <c r="P34" i="6"/>
  <c r="I34" i="6" s="1"/>
  <c r="J34" i="6" s="1"/>
  <c r="K27" i="10"/>
  <c r="J27" i="10"/>
  <c r="L27" i="10" s="1"/>
  <c r="M27" i="10" s="1"/>
  <c r="J15" i="6"/>
  <c r="G15" i="10"/>
  <c r="H15" i="10" s="1"/>
  <c r="G30" i="10"/>
  <c r="J27" i="6"/>
  <c r="J50" i="6"/>
  <c r="G50" i="10"/>
  <c r="J20" i="6"/>
  <c r="G20" i="10"/>
  <c r="H20" i="10" s="1"/>
  <c r="E11" i="17"/>
  <c r="E10" i="17"/>
  <c r="K26" i="10"/>
  <c r="J26" i="10"/>
  <c r="L26" i="10" s="1"/>
  <c r="M26" i="10" s="1"/>
  <c r="P78" i="6"/>
  <c r="I78" i="6" s="1"/>
  <c r="P219" i="6"/>
  <c r="I219" i="6" s="1"/>
  <c r="P263" i="6"/>
  <c r="I263" i="6" s="1"/>
  <c r="G49" i="10"/>
  <c r="H49" i="10" s="1"/>
  <c r="J49" i="6"/>
  <c r="G58" i="10"/>
  <c r="H58" i="10" s="1"/>
  <c r="J58" i="6"/>
  <c r="G14" i="10"/>
  <c r="H14" i="10" s="1"/>
  <c r="J14" i="6"/>
  <c r="G48" i="10"/>
  <c r="H48" i="10" s="1"/>
  <c r="J48" i="6"/>
  <c r="P195" i="6"/>
  <c r="I195" i="6" s="1"/>
  <c r="P254" i="6"/>
  <c r="I254" i="6" s="1"/>
  <c r="P104" i="6"/>
  <c r="I104" i="6" s="1"/>
  <c r="P25" i="6"/>
  <c r="I25" i="6" s="1"/>
  <c r="J25" i="6" s="1"/>
  <c r="P30" i="6"/>
  <c r="I30" i="6" s="1"/>
  <c r="F5" i="6"/>
  <c r="P169" i="6"/>
  <c r="I169" i="6" s="1"/>
  <c r="P210" i="6"/>
  <c r="I210" i="6" s="1"/>
  <c r="P213" i="6"/>
  <c r="I213" i="6" s="1"/>
  <c r="P293" i="6"/>
  <c r="I293" i="6" s="1"/>
  <c r="J10" i="6"/>
  <c r="G10" i="10"/>
  <c r="H10" i="10" s="1"/>
  <c r="G9" i="10"/>
  <c r="H9" i="10" s="1"/>
  <c r="J9" i="6"/>
  <c r="P128" i="6"/>
  <c r="I128" i="6" s="1"/>
  <c r="P284" i="6"/>
  <c r="I284" i="6" s="1"/>
  <c r="H17" i="10"/>
  <c r="J28" i="14"/>
  <c r="I28" i="14"/>
  <c r="C5" i="6"/>
  <c r="P287" i="6"/>
  <c r="I287" i="6" s="1"/>
  <c r="E27" i="17"/>
  <c r="E26" i="17"/>
  <c r="E25" i="17"/>
  <c r="J10" i="14"/>
  <c r="I10" i="14"/>
  <c r="P302" i="6"/>
  <c r="I302" i="6" s="1"/>
  <c r="J26" i="14"/>
  <c r="I26" i="14"/>
  <c r="G7" i="10"/>
  <c r="H7" i="10" s="1"/>
  <c r="E9" i="17"/>
  <c r="E8" i="17"/>
  <c r="P282" i="6"/>
  <c r="I282" i="6" s="1"/>
  <c r="L12" i="13"/>
  <c r="M12" i="13"/>
  <c r="H12" i="14"/>
  <c r="H11" i="14"/>
  <c r="H10" i="14"/>
  <c r="H9" i="14"/>
  <c r="H8" i="14"/>
  <c r="H7" i="14"/>
  <c r="I7" i="14"/>
  <c r="J7" i="14"/>
  <c r="J14" i="14"/>
  <c r="I14" i="14"/>
  <c r="G12" i="10"/>
  <c r="H30" i="10"/>
  <c r="I9" i="14"/>
  <c r="J9" i="14"/>
  <c r="J20" i="14"/>
  <c r="I20" i="14"/>
  <c r="H16" i="10"/>
  <c r="I29" i="14"/>
  <c r="J29" i="14"/>
  <c r="K36" i="10"/>
  <c r="J36" i="10"/>
  <c r="J36" i="6"/>
  <c r="P277" i="6"/>
  <c r="I277" i="6" s="1"/>
  <c r="G17" i="10"/>
  <c r="M11" i="13"/>
  <c r="L11" i="13"/>
  <c r="H12" i="10"/>
  <c r="H21" i="10"/>
  <c r="J24" i="14"/>
  <c r="I24" i="14"/>
  <c r="I7" i="10"/>
  <c r="G8" i="10"/>
  <c r="H8" i="10" s="1"/>
  <c r="E9" i="10"/>
  <c r="I12" i="10"/>
  <c r="G13" i="10"/>
  <c r="H13" i="10" s="1"/>
  <c r="E14" i="10"/>
  <c r="I17" i="10"/>
  <c r="G18" i="10"/>
  <c r="H18" i="10" s="1"/>
  <c r="E19" i="10"/>
  <c r="I24" i="10"/>
  <c r="G25" i="10"/>
  <c r="H25" i="10" s="1"/>
  <c r="E27" i="10"/>
  <c r="I34" i="10"/>
  <c r="G35" i="10"/>
  <c r="H35" i="10" s="1"/>
  <c r="G38" i="10"/>
  <c r="H38" i="10" s="1"/>
  <c r="G46" i="10"/>
  <c r="H50" i="10"/>
  <c r="I52" i="10"/>
  <c r="E57" i="10"/>
  <c r="G57" i="10"/>
  <c r="H57" i="10" s="1"/>
  <c r="I57" i="10"/>
  <c r="E59" i="10"/>
  <c r="H14" i="11"/>
  <c r="F16" i="11"/>
  <c r="G18" i="11"/>
  <c r="H22" i="11"/>
  <c r="H26" i="11"/>
  <c r="J28" i="11"/>
  <c r="G36" i="11"/>
  <c r="H38" i="11"/>
  <c r="G44" i="11"/>
  <c r="I44" i="11"/>
  <c r="H44" i="11"/>
  <c r="G46" i="11"/>
  <c r="H46" i="11"/>
  <c r="F53" i="11"/>
  <c r="F59" i="11"/>
  <c r="F61" i="11"/>
  <c r="G63" i="11"/>
  <c r="F73" i="11"/>
  <c r="G73" i="11"/>
  <c r="J77" i="11"/>
  <c r="J79" i="11"/>
  <c r="H83" i="11"/>
  <c r="G89" i="11"/>
  <c r="F89" i="11"/>
  <c r="I39" i="10"/>
  <c r="G56" i="10"/>
  <c r="H56" i="10" s="1"/>
  <c r="I56" i="10"/>
  <c r="H59" i="10"/>
  <c r="G8" i="11"/>
  <c r="F12" i="11"/>
  <c r="I14" i="11"/>
  <c r="G16" i="11"/>
  <c r="H18" i="11"/>
  <c r="H36" i="11"/>
  <c r="I42" i="11"/>
  <c r="J42" i="11"/>
  <c r="G42" i="11"/>
  <c r="F47" i="11"/>
  <c r="F51" i="11"/>
  <c r="G53" i="11"/>
  <c r="F57" i="11"/>
  <c r="H59" i="11"/>
  <c r="G61" i="11"/>
  <c r="I63" i="11"/>
  <c r="G69" i="11"/>
  <c r="I69" i="11"/>
  <c r="F69" i="11"/>
  <c r="G71" i="11"/>
  <c r="F71" i="11"/>
  <c r="I87" i="11"/>
  <c r="G87" i="11"/>
  <c r="H103" i="11"/>
  <c r="J103" i="11"/>
  <c r="L7" i="13"/>
  <c r="J12" i="14"/>
  <c r="I12" i="14"/>
  <c r="J30" i="14"/>
  <c r="I30" i="14"/>
  <c r="I39" i="14"/>
  <c r="J39" i="14"/>
  <c r="I8" i="10"/>
  <c r="I13" i="10"/>
  <c r="I18" i="10"/>
  <c r="I25" i="10"/>
  <c r="I35" i="10"/>
  <c r="I55" i="10"/>
  <c r="G55" i="10"/>
  <c r="G59" i="10"/>
  <c r="H8" i="11"/>
  <c r="H12" i="11"/>
  <c r="H16" i="11"/>
  <c r="I18" i="11"/>
  <c r="F29" i="11"/>
  <c r="J36" i="11"/>
  <c r="G47" i="11"/>
  <c r="G51" i="11"/>
  <c r="I53" i="11"/>
  <c r="G57" i="11"/>
  <c r="I61" i="11"/>
  <c r="J63" i="11"/>
  <c r="I67" i="11"/>
  <c r="J67" i="11"/>
  <c r="F67" i="11"/>
  <c r="F72" i="11"/>
  <c r="F88" i="11"/>
  <c r="I101" i="11"/>
  <c r="J101" i="11"/>
  <c r="F104" i="11"/>
  <c r="M7" i="13"/>
  <c r="E17" i="14"/>
  <c r="I18" i="14"/>
  <c r="I21" i="14"/>
  <c r="E23" i="14"/>
  <c r="G23" i="14" s="1"/>
  <c r="J34" i="14"/>
  <c r="I34" i="14"/>
  <c r="E14" i="17"/>
  <c r="E16" i="17"/>
  <c r="E15" i="17"/>
  <c r="D19" i="18"/>
  <c r="E19" i="18" s="1"/>
  <c r="E17" i="17"/>
  <c r="G23" i="10"/>
  <c r="H23" i="10" s="1"/>
  <c r="G33" i="10"/>
  <c r="H33" i="10" s="1"/>
  <c r="I54" i="10"/>
  <c r="G54" i="10"/>
  <c r="H54" i="10" s="1"/>
  <c r="G14" i="11"/>
  <c r="F14" i="11"/>
  <c r="J18" i="11"/>
  <c r="H47" i="11"/>
  <c r="H51" i="11"/>
  <c r="J53" i="11"/>
  <c r="G59" i="11"/>
  <c r="J59" i="11"/>
  <c r="J61" i="11"/>
  <c r="K8" i="13"/>
  <c r="J8" i="14"/>
  <c r="I8" i="14"/>
  <c r="J41" i="14"/>
  <c r="I41" i="14"/>
  <c r="F37" i="17"/>
  <c r="H37" i="17"/>
  <c r="E42" i="10"/>
  <c r="I42" i="10"/>
  <c r="H46" i="10"/>
  <c r="G53" i="10"/>
  <c r="H53" i="10" s="1"/>
  <c r="J8" i="11"/>
  <c r="F8" i="11"/>
  <c r="I12" i="11"/>
  <c r="G12" i="11"/>
  <c r="I57" i="11"/>
  <c r="J57" i="11"/>
  <c r="E13" i="14"/>
  <c r="H45" i="10"/>
  <c r="D54" i="10"/>
  <c r="G29" i="11"/>
  <c r="H29" i="11"/>
  <c r="E19" i="14"/>
  <c r="G19" i="14" s="1"/>
  <c r="J36" i="14"/>
  <c r="I36" i="14"/>
  <c r="B6" i="20"/>
  <c r="E7" i="10"/>
  <c r="G11" i="10"/>
  <c r="H11" i="10" s="1"/>
  <c r="E12" i="10"/>
  <c r="G16" i="10"/>
  <c r="E17" i="10"/>
  <c r="G21" i="10"/>
  <c r="E23" i="10"/>
  <c r="D24" i="10"/>
  <c r="G31" i="10"/>
  <c r="H31" i="10" s="1"/>
  <c r="E33" i="10"/>
  <c r="D34" i="10"/>
  <c r="D40" i="10"/>
  <c r="D42" i="10"/>
  <c r="E43" i="10"/>
  <c r="G45" i="10"/>
  <c r="D53" i="10"/>
  <c r="E54" i="10"/>
  <c r="H55" i="10"/>
  <c r="F23" i="11"/>
  <c r="I23" i="11"/>
  <c r="I27" i="11"/>
  <c r="G27" i="11"/>
  <c r="G39" i="11"/>
  <c r="F39" i="11"/>
  <c r="G84" i="11"/>
  <c r="I84" i="11"/>
  <c r="I92" i="11"/>
  <c r="J92" i="11"/>
  <c r="G94" i="11"/>
  <c r="I94" i="11"/>
  <c r="L9" i="13"/>
  <c r="J31" i="14"/>
  <c r="I31" i="14"/>
  <c r="J38" i="14"/>
  <c r="J40" i="14"/>
  <c r="I40" i="14"/>
  <c r="E36" i="17"/>
  <c r="D8" i="10"/>
  <c r="D13" i="10"/>
  <c r="D18" i="10"/>
  <c r="G22" i="10"/>
  <c r="H22" i="10" s="1"/>
  <c r="D25" i="10"/>
  <c r="G32" i="10"/>
  <c r="H32" i="10" s="1"/>
  <c r="D35" i="10"/>
  <c r="E37" i="10"/>
  <c r="G37" i="10"/>
  <c r="H37" i="10" s="1"/>
  <c r="E39" i="10"/>
  <c r="E40" i="10"/>
  <c r="G44" i="10"/>
  <c r="H44" i="10" s="1"/>
  <c r="D49" i="10"/>
  <c r="I49" i="10"/>
  <c r="D52" i="10"/>
  <c r="E53" i="10"/>
  <c r="I60" i="10"/>
  <c r="G60" i="10"/>
  <c r="H60" i="10" s="1"/>
  <c r="G19" i="11"/>
  <c r="I19" i="11"/>
  <c r="J19" i="11"/>
  <c r="G21" i="11"/>
  <c r="I21" i="11"/>
  <c r="F28" i="11"/>
  <c r="I37" i="11"/>
  <c r="G37" i="11"/>
  <c r="G64" i="11"/>
  <c r="F64" i="11"/>
  <c r="F77" i="11"/>
  <c r="F79" i="11"/>
  <c r="I82" i="11"/>
  <c r="H82" i="11"/>
  <c r="K10" i="13"/>
  <c r="E33" i="17" s="1"/>
  <c r="G16" i="14"/>
  <c r="G24" i="10"/>
  <c r="H24" i="10" s="1"/>
  <c r="D26" i="10"/>
  <c r="G28" i="10"/>
  <c r="H28" i="10" s="1"/>
  <c r="G34" i="10"/>
  <c r="H34" i="10" s="1"/>
  <c r="D36" i="10"/>
  <c r="D38" i="10"/>
  <c r="G42" i="10"/>
  <c r="H42" i="10" s="1"/>
  <c r="G43" i="10"/>
  <c r="H43" i="10" s="1"/>
  <c r="E48" i="10"/>
  <c r="I48" i="10"/>
  <c r="D50" i="10"/>
  <c r="I17" i="11"/>
  <c r="J17" i="11"/>
  <c r="H17" i="11"/>
  <c r="G28" i="11"/>
  <c r="G54" i="11"/>
  <c r="F54" i="11"/>
  <c r="I62" i="11"/>
  <c r="G62" i="11"/>
  <c r="H71" i="11"/>
  <c r="G77" i="11"/>
  <c r="H79" i="11"/>
  <c r="F87" i="11"/>
  <c r="F103" i="11"/>
  <c r="I23" i="10"/>
  <c r="D27" i="10"/>
  <c r="I33" i="10"/>
  <c r="G39" i="10"/>
  <c r="H39" i="10" s="1"/>
  <c r="G40" i="10"/>
  <c r="H40" i="10" s="1"/>
  <c r="E47" i="10"/>
  <c r="G47" i="10"/>
  <c r="H47" i="10" s="1"/>
  <c r="E50" i="10"/>
  <c r="G52" i="10"/>
  <c r="H52" i="10" s="1"/>
  <c r="D60" i="10"/>
  <c r="G22" i="11"/>
  <c r="G26" i="11"/>
  <c r="I28" i="11"/>
  <c r="F36" i="11"/>
  <c r="G38" i="11"/>
  <c r="F42" i="11"/>
  <c r="F48" i="11"/>
  <c r="H48" i="11"/>
  <c r="I52" i="11"/>
  <c r="F52" i="11"/>
  <c r="F63" i="11"/>
  <c r="H69" i="11"/>
  <c r="I71" i="11"/>
  <c r="H77" i="11"/>
  <c r="I79" i="11"/>
  <c r="G83" i="11"/>
  <c r="H87" i="11"/>
  <c r="F101" i="11"/>
  <c r="G103" i="11"/>
  <c r="J42" i="14"/>
  <c r="E42" i="17"/>
  <c r="F31" i="17"/>
  <c r="H31" i="17"/>
  <c r="H13" i="17"/>
  <c r="F13" i="17"/>
  <c r="E27" i="14"/>
  <c r="G27" i="14" s="1"/>
  <c r="H16" i="16"/>
  <c r="D16" i="16"/>
  <c r="H11" i="16"/>
  <c r="G35" i="14"/>
  <c r="H8" i="16"/>
  <c r="E37" i="14"/>
  <c r="G37" i="14" s="1"/>
  <c r="E52" i="17"/>
  <c r="G15" i="14"/>
  <c r="E33" i="14"/>
  <c r="G33" i="14" s="1"/>
  <c r="H21" i="17"/>
  <c r="H35" i="17"/>
  <c r="F35" i="17"/>
  <c r="H41" i="17"/>
  <c r="H51" i="17"/>
  <c r="H45" i="17"/>
  <c r="F45" i="17"/>
  <c r="D13" i="16"/>
  <c r="D8" i="16"/>
  <c r="D15" i="16"/>
  <c r="D10" i="16"/>
  <c r="D12" i="16"/>
  <c r="D7" i="16"/>
  <c r="D14" i="16"/>
  <c r="C20" i="16"/>
  <c r="C22" i="16" s="1"/>
  <c r="B7" i="4" s="1"/>
  <c r="G41" i="10"/>
  <c r="H41" i="10" s="1"/>
  <c r="G51" i="10"/>
  <c r="H51" i="10" s="1"/>
  <c r="G61" i="10"/>
  <c r="H61" i="10" s="1"/>
  <c r="G20" i="16"/>
  <c r="H15" i="16"/>
  <c r="H10" i="16"/>
  <c r="H18" i="16"/>
  <c r="H12" i="16"/>
  <c r="H7" i="16"/>
  <c r="H17" i="16"/>
  <c r="H14" i="16"/>
  <c r="H9" i="16"/>
  <c r="D11" i="16"/>
  <c r="F20" i="17"/>
  <c r="E50" i="17"/>
  <c r="H49" i="17" l="1"/>
  <c r="K23" i="10"/>
  <c r="J23" i="10"/>
  <c r="L23" i="10" s="1"/>
  <c r="M23" i="10" s="1"/>
  <c r="J40" i="10"/>
  <c r="K40" i="10"/>
  <c r="K39" i="10"/>
  <c r="J39" i="10"/>
  <c r="K58" i="10"/>
  <c r="J58" i="10"/>
  <c r="L58" i="10" s="1"/>
  <c r="M58" i="10" s="1"/>
  <c r="K51" i="10"/>
  <c r="J51" i="10"/>
  <c r="L51" i="10" s="1"/>
  <c r="M51" i="10" s="1"/>
  <c r="K41" i="10"/>
  <c r="J41" i="10"/>
  <c r="L41" i="10" s="1"/>
  <c r="M41" i="10" s="1"/>
  <c r="F33" i="17"/>
  <c r="H33" i="17"/>
  <c r="K44" i="10"/>
  <c r="J44" i="10"/>
  <c r="K56" i="10"/>
  <c r="J56" i="10"/>
  <c r="L56" i="10" s="1"/>
  <c r="M56" i="10" s="1"/>
  <c r="K60" i="10"/>
  <c r="J60" i="10"/>
  <c r="L60" i="10" s="1"/>
  <c r="M60" i="10" s="1"/>
  <c r="J53" i="10"/>
  <c r="K53" i="10"/>
  <c r="J32" i="10"/>
  <c r="K32" i="10"/>
  <c r="K24" i="10"/>
  <c r="J24" i="10"/>
  <c r="L24" i="10" s="1"/>
  <c r="M24" i="10" s="1"/>
  <c r="J11" i="10"/>
  <c r="L11" i="10" s="1"/>
  <c r="M11" i="10" s="1"/>
  <c r="K11" i="10"/>
  <c r="J22" i="10"/>
  <c r="K22" i="10"/>
  <c r="J43" i="10"/>
  <c r="L43" i="10" s="1"/>
  <c r="M43" i="10" s="1"/>
  <c r="K43" i="10"/>
  <c r="K31" i="10"/>
  <c r="J31" i="10"/>
  <c r="L31" i="10" s="1"/>
  <c r="M31" i="10" s="1"/>
  <c r="K52" i="10"/>
  <c r="J52" i="10"/>
  <c r="L52" i="10" s="1"/>
  <c r="M52" i="10" s="1"/>
  <c r="K28" i="10"/>
  <c r="J28" i="10"/>
  <c r="L28" i="10" s="1"/>
  <c r="M28" i="10" s="1"/>
  <c r="K7" i="10"/>
  <c r="J7" i="10"/>
  <c r="H36" i="17"/>
  <c r="F36" i="17"/>
  <c r="J33" i="14"/>
  <c r="I33" i="14"/>
  <c r="K59" i="10"/>
  <c r="J59" i="10"/>
  <c r="K57" i="10"/>
  <c r="J57" i="10"/>
  <c r="L57" i="10" s="1"/>
  <c r="M57" i="10" s="1"/>
  <c r="K25" i="10"/>
  <c r="J25" i="10"/>
  <c r="L25" i="10" s="1"/>
  <c r="M25" i="10" s="1"/>
  <c r="H8" i="17"/>
  <c r="F8" i="17"/>
  <c r="K48" i="10"/>
  <c r="J48" i="10"/>
  <c r="L48" i="10" s="1"/>
  <c r="M48" i="10" s="1"/>
  <c r="K15" i="10"/>
  <c r="J15" i="10"/>
  <c r="M8" i="13"/>
  <c r="L8" i="13"/>
  <c r="K54" i="10"/>
  <c r="J54" i="10"/>
  <c r="L54" i="10" s="1"/>
  <c r="M54" i="10" s="1"/>
  <c r="L36" i="10"/>
  <c r="M36" i="10" s="1"/>
  <c r="H9" i="17"/>
  <c r="F9" i="17"/>
  <c r="I23" i="14"/>
  <c r="J23" i="14"/>
  <c r="H25" i="17"/>
  <c r="F25" i="17"/>
  <c r="K17" i="10"/>
  <c r="J17" i="10"/>
  <c r="K14" i="10"/>
  <c r="J14" i="10"/>
  <c r="L14" i="10" s="1"/>
  <c r="M14" i="10" s="1"/>
  <c r="H10" i="17"/>
  <c r="F10" i="17"/>
  <c r="J46" i="10"/>
  <c r="L46" i="10" s="1"/>
  <c r="M46" i="10" s="1"/>
  <c r="K46" i="10"/>
  <c r="K18" i="10"/>
  <c r="J18" i="10"/>
  <c r="L18" i="10" s="1"/>
  <c r="M18" i="10" s="1"/>
  <c r="K21" i="10"/>
  <c r="J21" i="10"/>
  <c r="K30" i="10"/>
  <c r="J30" i="10"/>
  <c r="F11" i="17"/>
  <c r="H11" i="17"/>
  <c r="L10" i="13"/>
  <c r="M10" i="13"/>
  <c r="E7" i="4"/>
  <c r="E39" i="17" s="1"/>
  <c r="E18" i="4"/>
  <c r="G13" i="14"/>
  <c r="K50" i="10"/>
  <c r="J50" i="10"/>
  <c r="L50" i="10" s="1"/>
  <c r="M50" i="10" s="1"/>
  <c r="K12" i="10"/>
  <c r="J12" i="10"/>
  <c r="L12" i="10" s="1"/>
  <c r="M12" i="10" s="1"/>
  <c r="F27" i="17"/>
  <c r="H27" i="17"/>
  <c r="J30" i="6"/>
  <c r="G29" i="10"/>
  <c r="H29" i="10" s="1"/>
  <c r="K20" i="10"/>
  <c r="J20" i="10"/>
  <c r="L20" i="10" s="1"/>
  <c r="M20" i="10" s="1"/>
  <c r="K61" i="10"/>
  <c r="J61" i="10"/>
  <c r="L61" i="10" s="1"/>
  <c r="M61" i="10" s="1"/>
  <c r="I15" i="14"/>
  <c r="J15" i="14"/>
  <c r="G20" i="4"/>
  <c r="K33" i="10"/>
  <c r="J33" i="10"/>
  <c r="L33" i="10" s="1"/>
  <c r="M33" i="10" s="1"/>
  <c r="F17" i="17"/>
  <c r="H17" i="17"/>
  <c r="G17" i="14"/>
  <c r="E22" i="4"/>
  <c r="J16" i="14"/>
  <c r="I16" i="14"/>
  <c r="G21" i="4"/>
  <c r="H26" i="17"/>
  <c r="F26" i="17"/>
  <c r="K13" i="10"/>
  <c r="J13" i="10"/>
  <c r="L13" i="10" s="1"/>
  <c r="M13" i="10" s="1"/>
  <c r="J16" i="10"/>
  <c r="L16" i="10" s="1"/>
  <c r="M16" i="10" s="1"/>
  <c r="K16" i="10"/>
  <c r="K9" i="10"/>
  <c r="J9" i="10"/>
  <c r="L9" i="10" s="1"/>
  <c r="M9" i="10" s="1"/>
  <c r="K49" i="10"/>
  <c r="J49" i="10"/>
  <c r="L49" i="10" s="1"/>
  <c r="M49" i="10" s="1"/>
  <c r="F7" i="17"/>
  <c r="H7" i="17"/>
  <c r="F52" i="17"/>
  <c r="H52" i="17"/>
  <c r="I35" i="14"/>
  <c r="J35" i="14"/>
  <c r="F42" i="17"/>
  <c r="H42" i="17"/>
  <c r="J38" i="10"/>
  <c r="K38" i="10"/>
  <c r="K34" i="10"/>
  <c r="J34" i="10"/>
  <c r="L34" i="10" s="1"/>
  <c r="M34" i="10" s="1"/>
  <c r="K37" i="10"/>
  <c r="J37" i="10"/>
  <c r="L37" i="10" s="1"/>
  <c r="M37" i="10" s="1"/>
  <c r="H15" i="17"/>
  <c r="F15" i="17"/>
  <c r="K35" i="10"/>
  <c r="J35" i="10"/>
  <c r="K10" i="10"/>
  <c r="J10" i="10"/>
  <c r="F6" i="17"/>
  <c r="H6" i="17"/>
  <c r="E38" i="17"/>
  <c r="K55" i="10"/>
  <c r="J55" i="10"/>
  <c r="L55" i="10" s="1"/>
  <c r="M55" i="10" s="1"/>
  <c r="N7" i="4"/>
  <c r="F27" i="4"/>
  <c r="I19" i="14"/>
  <c r="J19" i="14"/>
  <c r="F16" i="17"/>
  <c r="H16" i="17"/>
  <c r="J37" i="14"/>
  <c r="I37" i="14"/>
  <c r="J45" i="10"/>
  <c r="L45" i="10" s="1"/>
  <c r="M45" i="10" s="1"/>
  <c r="K45" i="10"/>
  <c r="K42" i="10"/>
  <c r="J42" i="10"/>
  <c r="H50" i="17"/>
  <c r="F50" i="17"/>
  <c r="J27" i="14"/>
  <c r="I27" i="14"/>
  <c r="J47" i="10"/>
  <c r="L47" i="10" s="1"/>
  <c r="M47" i="10" s="1"/>
  <c r="K47" i="10"/>
  <c r="H14" i="17"/>
  <c r="F14" i="17"/>
  <c r="K8" i="10"/>
  <c r="J8" i="10"/>
  <c r="K19" i="10"/>
  <c r="J19" i="10"/>
  <c r="L19" i="10" s="1"/>
  <c r="M19" i="10" s="1"/>
  <c r="L7" i="10" l="1"/>
  <c r="M7" i="10" s="1"/>
  <c r="L21" i="10"/>
  <c r="M21" i="10" s="1"/>
  <c r="L17" i="10"/>
  <c r="M17" i="10" s="1"/>
  <c r="L22" i="10"/>
  <c r="M22" i="10" s="1"/>
  <c r="J17" i="14"/>
  <c r="I17" i="14"/>
  <c r="G22" i="4"/>
  <c r="J13" i="14"/>
  <c r="I13" i="14"/>
  <c r="G18" i="4"/>
  <c r="H37" i="14"/>
  <c r="H27" i="14"/>
  <c r="H17" i="14"/>
  <c r="H36" i="14"/>
  <c r="H26" i="14"/>
  <c r="H16" i="14"/>
  <c r="H35" i="14"/>
  <c r="H25" i="14"/>
  <c r="H15" i="14"/>
  <c r="H34" i="14"/>
  <c r="H24" i="14"/>
  <c r="H14" i="14"/>
  <c r="H33" i="14"/>
  <c r="H23" i="14"/>
  <c r="H13" i="14"/>
  <c r="H42" i="14"/>
  <c r="H32" i="14"/>
  <c r="H22" i="14"/>
  <c r="H41" i="14"/>
  <c r="H31" i="14"/>
  <c r="H21" i="14"/>
  <c r="H40" i="14"/>
  <c r="H30" i="14"/>
  <c r="H20" i="14"/>
  <c r="H39" i="14"/>
  <c r="H29" i="14"/>
  <c r="H19" i="14"/>
  <c r="H38" i="14"/>
  <c r="H28" i="14"/>
  <c r="H18" i="14"/>
  <c r="L35" i="10"/>
  <c r="M35" i="10" s="1"/>
  <c r="H39" i="17"/>
  <c r="F39" i="17"/>
  <c r="L15" i="10"/>
  <c r="M15" i="10" s="1"/>
  <c r="L59" i="10"/>
  <c r="M59" i="10" s="1"/>
  <c r="L44" i="10"/>
  <c r="M44" i="10" s="1"/>
  <c r="L39" i="10"/>
  <c r="M39" i="10" s="1"/>
  <c r="K29" i="10"/>
  <c r="J29" i="10"/>
  <c r="G6" i="2" s="1"/>
  <c r="H7" i="4" s="1"/>
  <c r="L10" i="10"/>
  <c r="M10" i="10" s="1"/>
  <c r="L32" i="10"/>
  <c r="M32" i="10" s="1"/>
  <c r="L40" i="10"/>
  <c r="M40" i="10" s="1"/>
  <c r="H38" i="17"/>
  <c r="F38" i="17"/>
  <c r="L8" i="10"/>
  <c r="M8" i="10" s="1"/>
  <c r="L42" i="10"/>
  <c r="M42" i="10" s="1"/>
  <c r="L38" i="10"/>
  <c r="M38" i="10" s="1"/>
  <c r="L30" i="10"/>
  <c r="M30" i="10" s="1"/>
  <c r="L53" i="10"/>
  <c r="M53" i="10" s="1"/>
  <c r="H8" i="15" l="1"/>
  <c r="L29" i="10"/>
  <c r="M29" i="10" s="1"/>
  <c r="H7" i="15"/>
  <c r="J7" i="15" s="1"/>
  <c r="K7" i="15" l="1"/>
  <c r="D6" i="20"/>
  <c r="J8" i="15"/>
  <c r="E43" i="17" s="1"/>
  <c r="H43" i="17" l="1"/>
  <c r="F43" i="17"/>
  <c r="L7" i="15"/>
  <c r="H6" i="20"/>
  <c r="L8" i="15"/>
  <c r="K8" i="15"/>
  <c r="J6" i="20" s="1"/>
  <c r="C7" i="20" s="1"/>
  <c r="E47" i="17"/>
  <c r="F47" i="17" l="1"/>
  <c r="H47" i="17"/>
  <c r="E44" i="17"/>
  <c r="H44" i="17" l="1"/>
  <c r="F44" i="17"/>
  <c r="E53" i="17" l="1"/>
  <c r="H53" i="17" l="1"/>
  <c r="F53" i="17"/>
  <c r="E3" i="17" l="1"/>
  <c r="K3" i="17" s="1"/>
  <c r="I3" i="17"/>
  <c r="I29" i="2"/>
  <c r="D29" i="2"/>
</calcChain>
</file>

<file path=xl/sharedStrings.xml><?xml version="1.0" encoding="utf-8"?>
<sst xmlns="http://schemas.openxmlformats.org/spreadsheetml/2006/main" count="8914" uniqueCount="2177">
  <si>
    <t>KILIÇ MUHASEBE  │  OFİS YÖNETİM SİSTEMİ</t>
  </si>
  <si>
    <t>◈  RAPOR / YÖNLENDİRME ALANI — VERİ GİRİŞİ YOK</t>
  </si>
  <si>
    <t>Yarı-ERP çalışma merkezi  •  sarı = veri girişi  •  beyaz = otomatik  •  kırmızı = müdahale gerekli</t>
  </si>
  <si>
    <t>YÖNETİM PANOSU</t>
  </si>
  <si>
    <t>BAŞUCU REHBERİ</t>
  </si>
  <si>
    <t>YÖNETİM RAPORU</t>
  </si>
  <si>
    <t>KONTROL MERKEZİ</t>
  </si>
  <si>
    <t>VERİ GİRİŞ EKRANLARI</t>
  </si>
  <si>
    <t>RAPOR / KONTROL EKRANLARI</t>
  </si>
  <si>
    <t>4 ANA KURAL</t>
  </si>
  <si>
    <t>1  Gerçek para hareketi yoksa VIRMAN yok.</t>
  </si>
  <si>
    <t>2  Para Ömer'de kaldıysa TAHSİLAT hesabı ÖMER KARTAL; MERKEZ KASA değildir.</t>
  </si>
  <si>
    <t>3  Para alınmadı, Ömer borcuna aldıysa: GELİR_GİDER → Gelir / Hayır / ÖMER KARTAL / Kasa boş.</t>
  </si>
  <si>
    <t>4  Kâr payı / avans işletme gideri değildir; gerçek ödeme VIRMAN ile izlenir.</t>
  </si>
  <si>
    <t>RELEASE / KONTROL MERKEZİ</t>
  </si>
  <si>
    <t>32 kontrol ailesi • ekran + konum + kullanıcı aksiyonu</t>
  </si>
  <si>
    <t>KILIÇ MUHASEBE   │   YÖNETİM PANOSU</t>
  </si>
  <si>
    <t>◈  RAPOR ALANI — VERİ GİRİŞİ YOK</t>
  </si>
  <si>
    <t>Bugünkü finansal durum, riskler ve hızlı geçişler tek ekranda.</t>
  </si>
  <si>
    <t>ANA EKRAN: Kırmızı/KALDI bir kontrol görürseniz ilgili hızlı aksiyondan kaynağa gidin.</t>
  </si>
  <si>
    <t>MENÜ</t>
  </si>
  <si>
    <t>AKTİF MÜŞTERİ</t>
  </si>
  <si>
    <t>TOPLAM CARİ ALACAK</t>
  </si>
  <si>
    <t>BU AY TAHSİLAT</t>
  </si>
  <si>
    <t>BU AY NAKİT KÂR</t>
  </si>
  <si>
    <t>NAKİTSİZ ÖMER TAHAKKUKU</t>
  </si>
  <si>
    <t>KRİTİK KALAN</t>
  </si>
  <si>
    <t>KONTROL &amp; HIZLI AKSİYON</t>
  </si>
  <si>
    <t>SİSTEM DURUMU — KALDI İSE KAYNAĞA GİT</t>
  </si>
  <si>
    <t>MODÜL RENKLERİ</t>
  </si>
  <si>
    <t>VERİ GİRİŞİ</t>
  </si>
  <si>
    <t>RAPOR</t>
  </si>
  <si>
    <t>KONTROL</t>
  </si>
  <si>
    <t>KÂR / NAKİT</t>
  </si>
  <si>
    <t>10/10 RELEASE DURUMU</t>
  </si>
  <si>
    <t>KRİTİK KALDI</t>
  </si>
  <si>
    <t>UYARI</t>
  </si>
  <si>
    <t>32 KONTROL AİLESİ</t>
  </si>
  <si>
    <t>KILIÇ MUHASEBE   │   BAŞLANGIÇ / BAŞUCU REHBERİ</t>
  </si>
  <si>
    <t>✎  VERİ GİRİŞ / REHBER ALANI — YALNIZ SARI HÜCRELER</t>
  </si>
  <si>
    <t>Her işlem için ekran, adım, uyarı ve sorun giderme rehberi.</t>
  </si>
  <si>
    <t>KURAL: Sarı hücre görmüyorsanız o alana veri girmeyin.</t>
  </si>
  <si>
    <t>1. 30 SANİYEDE BAŞLAYIN</t>
  </si>
  <si>
    <t>ADIM</t>
  </si>
  <si>
    <t>NE YAPACAĞIM?</t>
  </si>
  <si>
    <t>HANGİ EKRAN?</t>
  </si>
  <si>
    <t>KURAL / SON KONTROL</t>
  </si>
  <si>
    <t>1</t>
  </si>
  <si>
    <t>Yeni müşteriyi bir kez açın</t>
  </si>
  <si>
    <t>MUSTERILER</t>
  </si>
  <si>
    <t>Müşteri No benzersiz olmalı; aynı müşteriyi ikinci kez açmayın.</t>
  </si>
  <si>
    <t>2</t>
  </si>
  <si>
    <t>Haftalık/aylık ücretini tanımlayın</t>
  </si>
  <si>
    <t>UCRETLER</t>
  </si>
  <si>
    <t>Ücret değişirse eski satırı kapatıp yeni dönem açın.</t>
  </si>
  <si>
    <t>3</t>
  </si>
  <si>
    <t>Gerçek müşteri ödemesini kaydedin</t>
  </si>
  <si>
    <t>TAHSILAT</t>
  </si>
  <si>
    <t>Para kimde kaldıysa Kasa/Banka o hesap olmalı.</t>
  </si>
  <si>
    <t>4</t>
  </si>
  <si>
    <t>İşletme giderini veya ek geliri kaydedin</t>
  </si>
  <si>
    <t>GELIR_GIDER</t>
  </si>
  <si>
    <t>Gerçek para varsa Gerçekleşti=Evet ve Kasa/Banka seçilir.</t>
  </si>
  <si>
    <t>5</t>
  </si>
  <si>
    <t>Para alınmadı, Ömer borcuna aldıysa</t>
  </si>
  <si>
    <t>Gelir + Hayır + Borçlu Taraf=ÖMER KARTAL + Kasa/Banka boş.</t>
  </si>
  <si>
    <t>EN ÇOK SORULAN 4 KURAL</t>
  </si>
  <si>
    <t>6</t>
  </si>
  <si>
    <t>Hesaplar arasında gerçekten para taşındıysa</t>
  </si>
  <si>
    <t>VIRMAN</t>
  </si>
  <si>
    <t>Gerçek para yoksa VIRMAN yok.</t>
  </si>
  <si>
    <t>1. Gerçek para hareketi yoksa VIRMAN yok.</t>
  </si>
  <si>
    <t>7</t>
  </si>
  <si>
    <t>Sonucu kontrol edin</t>
  </si>
  <si>
    <t>PANO / RAPOR / SISTEM</t>
  </si>
  <si>
    <t>Kırmızı KALDI varsa müşteriye rapor vermeden kaynağı düzeltin.</t>
  </si>
  <si>
    <t>2. Ömer borcuna yazılan nakitsiz iş: GELİR_GİDER / Hayır / ÖMER / Kasa boş.</t>
  </si>
  <si>
    <t>3. Ömer parayı sonra kasaya verirse: VIRMAN ÖMER → MERKEZ KASA.</t>
  </si>
  <si>
    <t>2. RENK KILAVUZU — DOSYA SİZE NE SÖYLÜYOR?</t>
  </si>
  <si>
    <t>RENK / İŞARET</t>
  </si>
  <si>
    <t>ANLAMI</t>
  </si>
  <si>
    <t>SİZ NE YAPACAKSINIZ?</t>
  </si>
  <si>
    <t>ÖRNEK</t>
  </si>
  <si>
    <t>SARI hücre</t>
  </si>
  <si>
    <t>Kullanıcı girişi</t>
  </si>
  <si>
    <t>Yalnız bu hücrelere yazın / seçim yapın.</t>
  </si>
  <si>
    <t>Tutar, tarih, müşteri, ortak seçimi</t>
  </si>
  <si>
    <t>BEYAZ hücre</t>
  </si>
  <si>
    <t>Otomatik hesap</t>
  </si>
  <si>
    <t>Elle değiştirmeyin.</t>
  </si>
  <si>
    <t>Cari bakiye, kâr, hesap bakiyesi</t>
  </si>
  <si>
    <t>MAVİ açık alan</t>
  </si>
  <si>
    <t>Toplam / bilgi</t>
  </si>
  <si>
    <t>Okuyun; kaynak defterden beslenir.</t>
  </si>
  <si>
    <t>Toplam tahsilat</t>
  </si>
  <si>
    <t>YEŞİL GEÇTİ</t>
  </si>
  <si>
    <t>Kontrol temiz</t>
  </si>
  <si>
    <t>İşlem gerekmez.</t>
  </si>
  <si>
    <t>Tanımsız borçlu = 0</t>
  </si>
  <si>
    <t>TURUNCU / UYARI</t>
  </si>
  <si>
    <t>Dikkat / eksik</t>
  </si>
  <si>
    <t>İlgili satırı kontrol edin.</t>
  </si>
  <si>
    <t>Eksik alan</t>
  </si>
  <si>
    <t>KIRMIZI / KALDI</t>
  </si>
  <si>
    <t>Kritik sorun</t>
  </si>
  <si>
    <t>Rapor/kapanış öncesi mutlaka düzeltin.</t>
  </si>
  <si>
    <t>Yanlış virman, nakitsiz işlem kasada</t>
  </si>
  <si>
    <t>☰ MENÜ</t>
  </si>
  <si>
    <t>Ana ekrana dönüş</t>
  </si>
  <si>
    <t>Her sayfanın sol üstünden PANO'ya dönün.</t>
  </si>
  <si>
    <t>Tek tık navigasyon</t>
  </si>
  <si>
    <t>3. EKRAN HARİTASI — NEREYE GİRECEĞİM?</t>
  </si>
  <si>
    <t>EKRAN</t>
  </si>
  <si>
    <t>MOD</t>
  </si>
  <si>
    <t>NE İÇİN?</t>
  </si>
  <si>
    <t>NEREYE YAZILIR?</t>
  </si>
  <si>
    <t>SAKIN YAPMAYIN</t>
  </si>
  <si>
    <t>PANO</t>
  </si>
  <si>
    <t>Rapor</t>
  </si>
  <si>
    <t>Ana karar ekranı</t>
  </si>
  <si>
    <t>Kayıt girilmez</t>
  </si>
  <si>
    <t>PANO'daki rakamı elle düzeltmeye çalışma</t>
  </si>
  <si>
    <t>Giriş</t>
  </si>
  <si>
    <t>Müşteri ana kartı</t>
  </si>
  <si>
    <t>Sarı hücreler</t>
  </si>
  <si>
    <t>Aynı müşteriyi tekrar açma</t>
  </si>
  <si>
    <t>Ücret/tarife dönemleri</t>
  </si>
  <si>
    <t>Eski ücret tutarını geriye dönük değiştirme</t>
  </si>
  <si>
    <t>Müşteri ödemeleri</t>
  </si>
  <si>
    <t>Gerçekte kasaya girmeyen parayı MERKEZ KASA yazma</t>
  </si>
  <si>
    <t>Gelir/gider + nakitsiz tahakkuk</t>
  </si>
  <si>
    <t>Nakitsiz tahakkukta kasa seçme</t>
  </si>
  <si>
    <t>Gerçek hesap transferi</t>
  </si>
  <si>
    <t>Mahsup/hizmet kaydını para transferi gibi yazma</t>
  </si>
  <si>
    <t>MUSTERI_360</t>
  </si>
  <si>
    <t>Tüm cari ve riskler</t>
  </si>
  <si>
    <t>Raporu kaynak veri gibi kullanma</t>
  </si>
  <si>
    <t>CARI_EKSTRE</t>
  </si>
  <si>
    <t>Tek müşteri ekstresi</t>
  </si>
  <si>
    <t>Yalnız müşteri seçimi</t>
  </si>
  <si>
    <t>Ekstre satırlarına elle yazma</t>
  </si>
  <si>
    <t>ORTAK_EKSTRE</t>
  </si>
  <si>
    <t>Tek ortak ekstresi</t>
  </si>
  <si>
    <t>Yalnız ortak seçimi</t>
  </si>
  <si>
    <t>Ekstre satırlarını elle değiştirme</t>
  </si>
  <si>
    <t>HESAPLAR</t>
  </si>
  <si>
    <t>Karma</t>
  </si>
  <si>
    <t>Kasa/banka bakiyesi</t>
  </si>
  <si>
    <t>Yalnız açılış bakiyesi</t>
  </si>
  <si>
    <t>Otomatik bakiyeyi elle değiştirme</t>
  </si>
  <si>
    <t>AY_SONU</t>
  </si>
  <si>
    <t>Aylık kâr/kapanış</t>
  </si>
  <si>
    <t>Yalnız dönem durumu</t>
  </si>
  <si>
    <t>Kâr payını gider yazma</t>
  </si>
  <si>
    <t>ORTAKLAR</t>
  </si>
  <si>
    <t>Ortak cari/hakediş</t>
  </si>
  <si>
    <t>Hakediş ile elindeki parayı aynı şey sanma</t>
  </si>
  <si>
    <t>KAR</t>
  </si>
  <si>
    <t>Tahsilat esaslı T-cetveli</t>
  </si>
  <si>
    <t>Tahakkuku nakit kâr sayma</t>
  </si>
  <si>
    <t>SISTEM</t>
  </si>
  <si>
    <t>Parametre/liste + kontroller</t>
  </si>
  <si>
    <t>Sarı parametre/listeler</t>
  </si>
  <si>
    <t>Kontrol sonucunu elle değiştirme</t>
  </si>
  <si>
    <t>Yönetim sunum ekranı</t>
  </si>
  <si>
    <t>Kaynak defter yerine kullanma</t>
  </si>
  <si>
    <t>4. SENARYO KATALOĞU — 'ŞUNU YAPMAK İSTİYORUM'</t>
  </si>
  <si>
    <t>#</t>
  </si>
  <si>
    <t>NE YAPMAK İSTİYORUM?</t>
  </si>
  <si>
    <t>ADIMLAR</t>
  </si>
  <si>
    <t>KONTROL / DİKKAT</t>
  </si>
  <si>
    <t>Yeni müşteri açmak</t>
  </si>
  <si>
    <t>Yeni satır → No → Unvan → Aktif → temel bilgiler</t>
  </si>
  <si>
    <t>Kayıt Kontrolü UYGUN olmalı.</t>
  </si>
  <si>
    <t>Yeni ücret tanımlamak</t>
  </si>
  <si>
    <t>Müşteri → başlangıç → model → tutar</t>
  </si>
  <si>
    <t>Aynı müşteride çakışan aktif dönem bırakmayın.</t>
  </si>
  <si>
    <t>Ücrete zam yapmak</t>
  </si>
  <si>
    <t>Eski satıra bitiş → yeni satır aç → yeni tutar</t>
  </si>
  <si>
    <t>Eski tutarı silmeyin/değiştirmeyin.</t>
  </si>
  <si>
    <t>Müşteriden nakit almak</t>
  </si>
  <si>
    <t>Müşteri → tarih → tutar → MERKEZ KASA → Nakit</t>
  </si>
  <si>
    <t>Gerçek para ofis kasasına girmiş olmalı.</t>
  </si>
  <si>
    <t>Müşteri Ömer'e ödeme yaptı</t>
  </si>
  <si>
    <t>Müşteri → tarih → tutar → ÖMER KARTAL</t>
  </si>
  <si>
    <t>Ayrıca MERKEZ KASA→ÖMER virmanı açmayın.</t>
  </si>
  <si>
    <t>Müşteri banka hesabına ödedi</t>
  </si>
  <si>
    <t>Müşteri → tarih → tutar → ilgili banka</t>
  </si>
  <si>
    <t>Banka hesabı listede olmalı.</t>
  </si>
  <si>
    <t>İşletme gideri ödemek</t>
  </si>
  <si>
    <t>Gider → kategori → tutar → hesap → Evet</t>
  </si>
  <si>
    <t>Ortak avansı işletme gideri değildir.</t>
  </si>
  <si>
    <t>8</t>
  </si>
  <si>
    <t>Diğer gerçek gelir almak</t>
  </si>
  <si>
    <t>Gelir → kategori → tutar → hesap → Evet</t>
  </si>
  <si>
    <t>Müşteri tahsilatını burada ikinci kez yazmayın.</t>
  </si>
  <si>
    <t>9</t>
  </si>
  <si>
    <t>İş yapıldı, para alınmadı, Ömer borcuna aldı</t>
  </si>
  <si>
    <t>Gelir → kategori → tutar → Hayır → ÖMER KARTAL → kasa boş</t>
  </si>
  <si>
    <t>Sonuç TAHAKKUK olmalı.</t>
  </si>
  <si>
    <t>10</t>
  </si>
  <si>
    <t>Ömer bu borcu sonra kasaya ödedi</t>
  </si>
  <si>
    <t>ÖMER KARTAL → MERKEZ KASA → tutar</t>
  </si>
  <si>
    <t>Yeni gelir yazılmaz; sadece cari/nakit yer değiştirir.</t>
  </si>
  <si>
    <t>11</t>
  </si>
  <si>
    <t>Ömer'e kâr payı oluşmadan para vermek</t>
  </si>
  <si>
    <t>Kasa/Banka → ÖMER KARTAL → KÂR PAYI / AVANS</t>
  </si>
  <si>
    <t>Hakedişi aşarsa AVANS olarak izlenir; sistem kilitlenmez.</t>
  </si>
  <si>
    <t>12</t>
  </si>
  <si>
    <t>Ömer'e hak ettiği kârı ödemek</t>
  </si>
  <si>
    <t>GELIR_GIDER'e gider yazmayın.</t>
  </si>
  <si>
    <t>13</t>
  </si>
  <si>
    <t>Kasadan bankaya para yatırmak</t>
  </si>
  <si>
    <t>MERKEZ KASA → banka</t>
  </si>
  <si>
    <t>Toplam nakit değişmez, hesap dağılımı değişir.</t>
  </si>
  <si>
    <t>14</t>
  </si>
  <si>
    <t>Bankadan kasaya çekmek</t>
  </si>
  <si>
    <t>Banka → MERKEZ KASA</t>
  </si>
  <si>
    <t>Toplam nakit değişmez.</t>
  </si>
  <si>
    <t>15</t>
  </si>
  <si>
    <t>Cari mahsup / bakiye tashihi yapmak</t>
  </si>
  <si>
    <t>Ödeme Türü=Mahsup, Kasa/Banka=CARİ MAHSUP</t>
  </si>
  <si>
    <t>Gerçek nakit/kârı etkilememeli.</t>
  </si>
  <si>
    <t>16</t>
  </si>
  <si>
    <t>Bir müşterinin kalan borcunu görmek</t>
  </si>
  <si>
    <t>Müşteri seç</t>
  </si>
  <si>
    <t>Toplam Borç - Toplam Ödeme = Kalan Bakiye.</t>
  </si>
  <si>
    <t>17</t>
  </si>
  <si>
    <t>Tüm müşterilerin riskini görmek</t>
  </si>
  <si>
    <t>Raporu aç → KRİTİK/TAKİP durumlarına bak</t>
  </si>
  <si>
    <t>Düzeltme kaynak defterden yapılır.</t>
  </si>
  <si>
    <t>18</t>
  </si>
  <si>
    <t>Ömer'in ofise borcunu görmek</t>
  </si>
  <si>
    <t>ORTAKLAR / ORTAK_EKSTRE</t>
  </si>
  <si>
    <t>ÖMER KARTAL seç / net cariyi oku</t>
  </si>
  <si>
    <t>Pozitif net cari = ofise borçlu.</t>
  </si>
  <si>
    <t>19</t>
  </si>
  <si>
    <t>Bu ayın nakit kârını görmek</t>
  </si>
  <si>
    <t>PANO / AY_SONU / KAR</t>
  </si>
  <si>
    <t>Nakit kâr KPI'sını kontrol et</t>
  </si>
  <si>
    <t>Tahakkuk geliri nakit kâra girmez.</t>
  </si>
  <si>
    <t>20</t>
  </si>
  <si>
    <t>Kasa neden eksi?</t>
  </si>
  <si>
    <t>MERKEZ KASA satırını incele</t>
  </si>
  <si>
    <t>Açılış bakiye eksikliği / yanlış kasa hareketi olabilir.</t>
  </si>
  <si>
    <t>21</t>
  </si>
  <si>
    <t>Bir kontrol KALDI diyor</t>
  </si>
  <si>
    <t>Kontrol satırını oku → ilgili ekrana git</t>
  </si>
  <si>
    <t>Kontrolü elle GEÇTİ yapmayın.</t>
  </si>
  <si>
    <t>22</t>
  </si>
  <si>
    <t>Tanımsız borçlu hatası alıyorum</t>
  </si>
  <si>
    <t>Borçlu Taraf açılır listesinden müşteri/ortak seç</t>
  </si>
  <si>
    <t>ÖMER KARTAL ve ALİ KILIÇ listede olmalı.</t>
  </si>
  <si>
    <t>23</t>
  </si>
  <si>
    <t>Kayıt No gelmedi</t>
  </si>
  <si>
    <t>İlgili defter</t>
  </si>
  <si>
    <t>Tarih/tutar gibi zorunlu alanı tamamla</t>
  </si>
  <si>
    <t>Kayıt no + tarih boşluğu Sistem kontrolünde yakalanır.</t>
  </si>
  <si>
    <t>24</t>
  </si>
  <si>
    <t>Rapor müşteriye sunulacak</t>
  </si>
  <si>
    <t>RAPOR sayfasını aç → KPI/grafikleri kontrol et</t>
  </si>
  <si>
    <t>Kırmızı/KALDI varken rapor vermeyin.</t>
  </si>
  <si>
    <t>5. UYARI SÖZLÜĞÜ — BU YAZI NE DEMEK?</t>
  </si>
  <si>
    <t>ROZET / UYARI</t>
  </si>
  <si>
    <t>NERede?</t>
  </si>
  <si>
    <t>NE DEMEK?</t>
  </si>
  <si>
    <t>NE YAPMALISINIZ?</t>
  </si>
  <si>
    <t>UYGUN</t>
  </si>
  <si>
    <t>Defter kontrol sütunu</t>
  </si>
  <si>
    <t>Kayıt temel kurallardan geçti.</t>
  </si>
  <si>
    <t>İşlem yok.</t>
  </si>
  <si>
    <t>TAHAKKUK</t>
  </si>
  <si>
    <t>Gelir doğdu, nakit gerçekleşmedi; borçlu cariye yazıldı.</t>
  </si>
  <si>
    <t>Kasa/Banka boş kalmalı.</t>
  </si>
  <si>
    <t>TANIMSIZ BORÇLU</t>
  </si>
  <si>
    <t>Borçlu taraf müşteri/ortak listesinde çözümlenemedi.</t>
  </si>
  <si>
    <t>Açılır listeden doğru kişi/şirketi seçin.</t>
  </si>
  <si>
    <t>NAKİTSİZDE KASA OLMAZ</t>
  </si>
  <si>
    <t>Gerçekleşti=Hayır iken fiziki kasa/banka seçilmiş.</t>
  </si>
  <si>
    <t>Kasa/Banka alanını temizleyin.</t>
  </si>
  <si>
    <t>TAHAKKUK NAKİT OLAMAZ</t>
  </si>
  <si>
    <t>Borçlu taraf varken işlem nakit gerçekleşmiş gibi işaretlenmiş.</t>
  </si>
  <si>
    <t>İşlem gerçekte nakitse borçlu tarafı temizleyin; değilse Hayır seçin.</t>
  </si>
  <si>
    <t>YANLIŞ VIRMAN</t>
  </si>
  <si>
    <t>Nakitsiz hizmet/mahsup gerçek para transferi gibi girilmiş.</t>
  </si>
  <si>
    <t>İşlemi doğru deftere taşıyın.</t>
  </si>
  <si>
    <t>AYNI HESAP OLAMAZ</t>
  </si>
  <si>
    <t>Para çıkan ve giren hesap aynı.</t>
  </si>
  <si>
    <t>Doğru karşı hesabı seçin.</t>
  </si>
  <si>
    <t>EKSİ</t>
  </si>
  <si>
    <t>Hesap bakiyesi sıfırın altında.</t>
  </si>
  <si>
    <t>Açılış bakiye ve geçmiş hareketleri kontrol edin.</t>
  </si>
  <si>
    <t>KRİTİK</t>
  </si>
  <si>
    <t>Cari tahsilat oranı çok düşük / yüksek risk.</t>
  </si>
  <si>
    <t>Tahsilat planı oluşturun.</t>
  </si>
  <si>
    <t>KALDI</t>
  </si>
  <si>
    <t>SISTEM / PANO</t>
  </si>
  <si>
    <t>Bir release/kritik kontrol başarısız.</t>
  </si>
  <si>
    <t>İlgili kaynağı düzeltmeden rapor/kapanış yapmayın.</t>
  </si>
  <si>
    <t>GEÇTİ</t>
  </si>
  <si>
    <t>Kontrol temiz.</t>
  </si>
  <si>
    <t>AVANS</t>
  </si>
  <si>
    <t>Ortak hakedişinden fazla çekiş yaptı.</t>
  </si>
  <si>
    <t>Bilgi amaçlı kırmızı izlenir; gider yazılmaz.</t>
  </si>
  <si>
    <t>6. SORUN GİDERME — BİR ŞEY TERS GİTTİ</t>
  </si>
  <si>
    <t>BELİRTİ</t>
  </si>
  <si>
    <t>OLASI SEBEP</t>
  </si>
  <si>
    <t>ÇÖZÜM</t>
  </si>
  <si>
    <t>SİSTEM BUNU YAKALAR MI?</t>
  </si>
  <si>
    <t>ÖMER KARTAL listede yok</t>
  </si>
  <si>
    <t>Yanlış/eskimiş borçlu listesi</t>
  </si>
  <si>
    <t>SISTEM borçlu listesinde ortak adını kontrol edin.</t>
  </si>
  <si>
    <t>Evet — TANIMSIZ BORÇLU</t>
  </si>
  <si>
    <t>Ömer tahakkuku ortak ekstreye düşmüyor</t>
  </si>
  <si>
    <t>Gerçekleşti/Kasa/Borçlu kombinasyonu yanlış</t>
  </si>
  <si>
    <t>Gelir + Hayır + ÖMER + Kasa boş şeklinde girin.</t>
  </si>
  <si>
    <t>Evet — kontrol ve ortak özet mutabakatı</t>
  </si>
  <si>
    <t>Kasa şişmiş görünüyor</t>
  </si>
  <si>
    <t>Gerçekte Ömer'de kalan para MERKEZ KASA'ya yazılmış</t>
  </si>
  <si>
    <t>TAHSILAT hesabını ÖMER KARTAL yapın; yapay virmanı kaldırın.</t>
  </si>
  <si>
    <t>Evet — belirli yapay kasa regresyonları</t>
  </si>
  <si>
    <t>Kasa eksi görünüyor</t>
  </si>
  <si>
    <t>Açılış bakiye yok veya geçmiş yanlış nakit kaydı var</t>
  </si>
  <si>
    <t>HESAPLAR ve geçmiş TAHSILAT/GELIR_GIDER/VIRMAN hareketlerini kontrol edin.</t>
  </si>
  <si>
    <t>Evet — negatif bakiye görünür</t>
  </si>
  <si>
    <t>Kâr yüksek görünüyor</t>
  </si>
  <si>
    <t>Tahakkuk/mahsup nakit sayılmış olabilir</t>
  </si>
  <si>
    <t>Mahsup ve Gerçekleşti alanlarını kontrol edin.</t>
  </si>
  <si>
    <t>Kısmen — temel nakit/tahakkuk kapıları var</t>
  </si>
  <si>
    <t>Ömer borcu beklenenden fazla</t>
  </si>
  <si>
    <t>Müşteriden aldığı tahsilat veya nakitsiz tahakkuk fazla/çift</t>
  </si>
  <si>
    <t>ORTAK_EKSTRE, TAHSILAT ve GELIR_GIDER kayıtlarını karşılaştırın.</t>
  </si>
  <si>
    <t>Kısmen — mükerrer parmak izi ayrıca manuel gözden geçirilmeli</t>
  </si>
  <si>
    <t>Kayıt no boş</t>
  </si>
  <si>
    <t>Zorunlu alan/tarih eksik veya satır yapısı bozuk</t>
  </si>
  <si>
    <t>Aynı satırdaki tarih/tutar/temel alanları tamamlayın.</t>
  </si>
  <si>
    <t>Evet — eksik tarih kontrolü</t>
  </si>
  <si>
    <t>Tahsilat cari borcu kapatmıyor</t>
  </si>
  <si>
    <t>Müşteri no/unvan uyumsuz</t>
  </si>
  <si>
    <t>Müşteri kartı ile tahsilat müşteri no/unvanını kontrol edin.</t>
  </si>
  <si>
    <t>Evet — tanımsız müşteri</t>
  </si>
  <si>
    <t>Dropdown boş</t>
  </si>
  <si>
    <t>Liste kaynağı bozulmuş veya seçim aralığı dışında</t>
  </si>
  <si>
    <t>SISTEM listesini kontrol edin.</t>
  </si>
  <si>
    <t>Kısmen — görünür listeler rehberde belirtilir</t>
  </si>
  <si>
    <t>Kâr payı gideri düşmüş</t>
  </si>
  <si>
    <t>Kâr payı yanlışlıkla GELIR_GIDER'e yazılmış</t>
  </si>
  <si>
    <t>Kâr payını VIRMAN KÂR PAYI / AVANS olarak kaydedin.</t>
  </si>
  <si>
    <t>Temel iş kuralı kontrol edilir</t>
  </si>
  <si>
    <t>Ay sonu sonuç değişti</t>
  </si>
  <si>
    <t>Geçmiş döneme kayıt girilmiş olabilir</t>
  </si>
  <si>
    <t>Yeni kaydın tarihini ve kapanış durumunu kontrol edin.</t>
  </si>
  <si>
    <t>Kısmen — kapanmış dönem disiplinine uyun</t>
  </si>
  <si>
    <t>Rapor rakamı ile defter toplamı farklı</t>
  </si>
  <si>
    <t>Aynı büyüklük iki kez/yanlış kaynakta kaydedilmiş olabilir</t>
  </si>
  <si>
    <t>SISTEM kontrollerini ve kaynak defter toplamlarını karşılaştırın.</t>
  </si>
  <si>
    <t>Evet — kritik mutabakatlar üzerinden</t>
  </si>
  <si>
    <t>7. ÖMER CARİ — EN ÇOK SORULAN İŞ AKIŞI</t>
  </si>
  <si>
    <t>DURUM</t>
  </si>
  <si>
    <t>DOĞRU KAYIT</t>
  </si>
  <si>
    <t>KASA ETKİSİ</t>
  </si>
  <si>
    <t>ÖMER CARİ ETKİSİ</t>
  </si>
  <si>
    <t>KÂR ETKİSİ</t>
  </si>
  <si>
    <t>Müşteri Ömer'e doğrudan ödeme yaptı</t>
  </si>
  <si>
    <t>TAHSILAT → Kasa/Banka=ÖMER KARTAL</t>
  </si>
  <si>
    <t>Merkez kasaya 0</t>
  </si>
  <si>
    <t>Ömer borcu artar</t>
  </si>
  <si>
    <t>Gerçekleşmiş müşteri tahsilatı olarak nakit kâra girer</t>
  </si>
  <si>
    <t>GELIR_GIDER → Gelir / Hayır / Borçlu=ÖMER / Kasa boş</t>
  </si>
  <si>
    <t>0</t>
  </si>
  <si>
    <t>Nakit kâra girmez</t>
  </si>
  <si>
    <t>Ömer sonradan kasaya verdi</t>
  </si>
  <si>
    <t>VIRMAN → ÖMER KARTAL → MERKEZ KASA</t>
  </si>
  <si>
    <t>Merkez kasa artar</t>
  </si>
  <si>
    <t>Ömer borcu azalır</t>
  </si>
  <si>
    <t>Yeni gelir oluşmaz</t>
  </si>
  <si>
    <t>Ömer'e kâr payı/avans verildi</t>
  </si>
  <si>
    <t>VIRMAN → Kasa/Banka → ÖMER KARTAL</t>
  </si>
  <si>
    <t>Kasa azalır</t>
  </si>
  <si>
    <t>Çekiş/hakediş ilişkisi değişir</t>
  </si>
  <si>
    <t>İşletme gideri değildir</t>
  </si>
  <si>
    <t>8. YEDEK / GÜVENLİK / SINIRLAR</t>
  </si>
  <si>
    <t>KONU</t>
  </si>
  <si>
    <t>KURAL</t>
  </si>
  <si>
    <t>NEDEN</t>
  </si>
  <si>
    <t>UYGULAMA</t>
  </si>
  <si>
    <t>Yedek</t>
  </si>
  <si>
    <t>Büyük veri düzeltmesi öncesi kopya alın.</t>
  </si>
  <si>
    <t>Excel geri alma geçmişi kalıcı değildir.</t>
  </si>
  <si>
    <t>Dosya adında tarih/sürüm kullanın.</t>
  </si>
  <si>
    <t>Formül alanı</t>
  </si>
  <si>
    <t>Beyaz/otomatik alanlara yazmayın.</t>
  </si>
  <si>
    <t>Hesap zinciri bozulabilir.</t>
  </si>
  <si>
    <t>Sarı hücre yoksa yazmayın.</t>
  </si>
  <si>
    <t>Satır silme</t>
  </si>
  <si>
    <t>Defter satırı silmek yerine gerekirse içeriği kontrollü düzeltin.</t>
  </si>
  <si>
    <t>Kapasite/formül yapısı etkilenebilir.</t>
  </si>
  <si>
    <t>Önce yedek.</t>
  </si>
  <si>
    <t>Tek kullanıcı sınırı</t>
  </si>
  <si>
    <t>Bu dosya tek kullanıcılı/tek dosyalı yarı-ERP'dir.</t>
  </si>
  <si>
    <t>Eşzamanlı çoklu kullanıcı transaction kilidi yoktur.</t>
  </si>
  <si>
    <t>Çoklu kullanıcı ihtiyacında veritabanı/ERP'ye geçiş düşünülür.</t>
  </si>
  <si>
    <t>Hedef Excel</t>
  </si>
  <si>
    <t>Microsoft Excel hedef motordur.</t>
  </si>
  <si>
    <t>Diğer ofis yazılımları farklı davranabilir.</t>
  </si>
  <si>
    <t>Müşteriye teslim öncesi Excel'de açılış ve dropdown testi yapın.</t>
  </si>
  <si>
    <t>HEDEF MOTOR / UYUMLULUK / RELEASE STANDARDI</t>
  </si>
  <si>
    <t>Hedef Motor</t>
  </si>
  <si>
    <t>Microsoft 365 / Excel 2021+</t>
  </si>
  <si>
    <t>Neden</t>
  </si>
  <si>
    <t>Cari/ortak detay raporlarında FILTER fonksiyonu kullanılır.</t>
  </si>
  <si>
    <t>Ana Hesap Motoru</t>
  </si>
  <si>
    <t>Klasik Excel formülleri</t>
  </si>
  <si>
    <t>Kapsam</t>
  </si>
  <si>
    <t>Tahsilat, gelir/gider, virman, cari, kâr, hesap ve kontrol motoru.</t>
  </si>
  <si>
    <t>Release Kapısı</t>
  </si>
  <si>
    <t>Kritik KALDI = 0</t>
  </si>
  <si>
    <t>Kontrol</t>
  </si>
  <si>
    <t>KONTROL sayfasında 32 kontrol ailesi.</t>
  </si>
  <si>
    <t>Veri Uyarısı</t>
  </si>
  <si>
    <t>Kritik hata değildir</t>
  </si>
  <si>
    <t>Örnek</t>
  </si>
  <si>
    <t>Negatif gerçek kasa/banka, açılış bakiye veya veri kaynağı kontrolü gerektirir.</t>
  </si>
  <si>
    <t>KILIÇ MUHASEBE   │   YÖNETİM RAPORU</t>
  </si>
  <si>
    <t>KPI, aylık performans ve kritik kontroller.</t>
  </si>
  <si>
    <t>RAPOR: Bu sayfaya veri girilmez.</t>
  </si>
  <si>
    <t>YÖNETİM ÖZETİ</t>
  </si>
  <si>
    <t>NET NAKİT KÂR</t>
  </si>
  <si>
    <t>GERÇEK KASA/BANKA</t>
  </si>
  <si>
    <t>ÖMER NET CARİ</t>
  </si>
  <si>
    <t>Ay</t>
  </si>
  <si>
    <t>Tahsilat</t>
  </si>
  <si>
    <t>Diğer Gelir</t>
  </si>
  <si>
    <t>Toplam Gelir</t>
  </si>
  <si>
    <t>Gider</t>
  </si>
  <si>
    <t>Nakit Kâr</t>
  </si>
  <si>
    <t>KRİTİK KONTROLLER</t>
  </si>
  <si>
    <t>KILIÇ MUHASEBE   │   MÜŞTERİ KARTLARI</t>
  </si>
  <si>
    <t>✎  VERİ GİRİŞ ALANI — YALNIZ SARI HÜCRELER</t>
  </si>
  <si>
    <t>Müşteri ana kartları — yalnız sarı hücrelere giriş.</t>
  </si>
  <si>
    <t>SAKIN: Aynı müşteriyi ikinci kez açmayın.</t>
  </si>
  <si>
    <t>TOPLAM / DURUM</t>
  </si>
  <si>
    <t>AKTİF</t>
  </si>
  <si>
    <t>PASİF</t>
  </si>
  <si>
    <t>KAYIT KURALI  │  Aynı müşteri bir kez açılır.</t>
  </si>
  <si>
    <t>Müşteri No</t>
  </si>
  <si>
    <t>Müşteri / Mükellef Unvanı</t>
  </si>
  <si>
    <t>Durum</t>
  </si>
  <si>
    <t>Sorumlu Kişi</t>
  </si>
  <si>
    <t>Telefon</t>
  </si>
  <si>
    <t>Vergi No</t>
  </si>
  <si>
    <t>Ödeme Şekli</t>
  </si>
  <si>
    <t>Başlangıç Tarihi</t>
  </si>
  <si>
    <t>Devir Alacağı</t>
  </si>
  <si>
    <t>Devir Alacak Tarihi</t>
  </si>
  <si>
    <t>Devir Kaynağı</t>
  </si>
  <si>
    <t>Özel Not</t>
  </si>
  <si>
    <t>Bilgi Durumu</t>
  </si>
  <si>
    <t>Kayıt Kontrolü</t>
  </si>
  <si>
    <t>M019</t>
  </si>
  <si>
    <t>AC OTEL LTD.ŞTİ.</t>
  </si>
  <si>
    <t>Aktif</t>
  </si>
  <si>
    <t>Nakit</t>
  </si>
  <si>
    <t>M022</t>
  </si>
  <si>
    <t>ADEM KARABENLİ</t>
  </si>
  <si>
    <t>M023</t>
  </si>
  <si>
    <t>ALTINEL LTD.ŞTİ.</t>
  </si>
  <si>
    <t>M001</t>
  </si>
  <si>
    <t>ANKARA HAVANA LTD.ŞTİ.</t>
  </si>
  <si>
    <t>M024</t>
  </si>
  <si>
    <t>ARMAN DİK</t>
  </si>
  <si>
    <t>M021</t>
  </si>
  <si>
    <t>ARON TOPTAN LTD.ŞTİ.</t>
  </si>
  <si>
    <t>M025</t>
  </si>
  <si>
    <t>ASIM AÇIKGÖZ</t>
  </si>
  <si>
    <t>M017</t>
  </si>
  <si>
    <t>ASM EĞLENCE LTD.ŞTİ.</t>
  </si>
  <si>
    <t>M026</t>
  </si>
  <si>
    <t>AYDES LTD.ŞTİ.</t>
  </si>
  <si>
    <t>M015</t>
  </si>
  <si>
    <t>ÇAYIRALAN LTD.ŞTİ.</t>
  </si>
  <si>
    <t>M027</t>
  </si>
  <si>
    <t>CEREN DEMİRCİ</t>
  </si>
  <si>
    <t>M018</t>
  </si>
  <si>
    <t>ÇINARHAN LTD.ŞTİ.</t>
  </si>
  <si>
    <t>M028</t>
  </si>
  <si>
    <t>DERVİŞHAN LTD.ŞTİ.</t>
  </si>
  <si>
    <t>M011</t>
  </si>
  <si>
    <t>EĞLENGÖR LTD.ŞTİ.</t>
  </si>
  <si>
    <t>M029</t>
  </si>
  <si>
    <t>EMRAH SAVURKAN</t>
  </si>
  <si>
    <t>M002</t>
  </si>
  <si>
    <t>ESERLİ LTD.ŞTİ.</t>
  </si>
  <si>
    <t>M030</t>
  </si>
  <si>
    <t>FARUK DEMİRCİ</t>
  </si>
  <si>
    <t>M014</t>
  </si>
  <si>
    <t>FİNAL SİYAH BEYAZ LTD.ŞTİ.</t>
  </si>
  <si>
    <t>M031</t>
  </si>
  <si>
    <t>HALİL AVŞAR</t>
  </si>
  <si>
    <t>M032</t>
  </si>
  <si>
    <t>HAYDAR KAYA</t>
  </si>
  <si>
    <t>M034</t>
  </si>
  <si>
    <t>İBRAHİM MALDAN</t>
  </si>
  <si>
    <t>M012</t>
  </si>
  <si>
    <t>İLDEŞ LTD.ŞTİ.</t>
  </si>
  <si>
    <t>M035</t>
  </si>
  <si>
    <t>İSA DEMİRCİ</t>
  </si>
  <si>
    <t>M033</t>
  </si>
  <si>
    <t>IŞIL GRUP LTD.ŞTİ.</t>
  </si>
  <si>
    <t>M036</t>
  </si>
  <si>
    <t>İSMAİL AKPINAR</t>
  </si>
  <si>
    <t>M008</t>
  </si>
  <si>
    <t>KÖŞK YÜKSELEN LTD.ŞTİ.</t>
  </si>
  <si>
    <t>M020</t>
  </si>
  <si>
    <t>KRİSTAL LTD.ŞTİ.</t>
  </si>
  <si>
    <t>M037</t>
  </si>
  <si>
    <t>MEHMET EVREN KILINÇ</t>
  </si>
  <si>
    <t>M038</t>
  </si>
  <si>
    <t>MELEK GÜLER</t>
  </si>
  <si>
    <t>M039</t>
  </si>
  <si>
    <t>MELİSA BEDİR</t>
  </si>
  <si>
    <t>M040</t>
  </si>
  <si>
    <t>MENEKŞE AKAN</t>
  </si>
  <si>
    <t>M041</t>
  </si>
  <si>
    <t>MESUT KÖKLÜ</t>
  </si>
  <si>
    <t>M007</t>
  </si>
  <si>
    <t>MONAMOUR LTD.ŞTİ.</t>
  </si>
  <si>
    <t>M042</t>
  </si>
  <si>
    <t>MS TOPTAN LTD.ŞTİ.</t>
  </si>
  <si>
    <t>Pasif</t>
  </si>
  <si>
    <t>M044</t>
  </si>
  <si>
    <t>MUSTAFA KOLBAŞI</t>
  </si>
  <si>
    <t>M043</t>
  </si>
  <si>
    <t>MUSTAFA UMUT KOYUN</t>
  </si>
  <si>
    <t>M013</t>
  </si>
  <si>
    <t>NAZ 1 GIDA LTD.ŞTİ.</t>
  </si>
  <si>
    <t>M045</t>
  </si>
  <si>
    <t>NERO E TİCARET LTD.ŞTİ.</t>
  </si>
  <si>
    <t>M046</t>
  </si>
  <si>
    <t>ÖMER DEMİRCİ</t>
  </si>
  <si>
    <t>M010</t>
  </si>
  <si>
    <t>ÖZFİDANLAR LTD.ŞTİ.</t>
  </si>
  <si>
    <t>M009</t>
  </si>
  <si>
    <t>PAKYILDIZ LTD.ŞTİ.</t>
  </si>
  <si>
    <t>M047</t>
  </si>
  <si>
    <t>PALAOĞULLARI LTD.ŞTİ.</t>
  </si>
  <si>
    <t>M048</t>
  </si>
  <si>
    <t>RASİM DEMİRCİ</t>
  </si>
  <si>
    <t>M016</t>
  </si>
  <si>
    <t>RİX ŞOW LTD.ŞTİ.</t>
  </si>
  <si>
    <t>M055</t>
  </si>
  <si>
    <t>SEMRA GÜMÜŞ</t>
  </si>
  <si>
    <t>M049</t>
  </si>
  <si>
    <t>STAR ŞOW LTD.ŞTİ.</t>
  </si>
  <si>
    <t>M050</t>
  </si>
  <si>
    <t>TANAK LTD.ŞTİ.</t>
  </si>
  <si>
    <t>M003</t>
  </si>
  <si>
    <t>TYANA LTD.ŞTİ.</t>
  </si>
  <si>
    <t>M051</t>
  </si>
  <si>
    <t>UFUK YILMAZ</t>
  </si>
  <si>
    <t>M052</t>
  </si>
  <si>
    <t>VANOLYA SU LTD.ŞTİ.</t>
  </si>
  <si>
    <t>M006</t>
  </si>
  <si>
    <t>VOLKAN AÇIK</t>
  </si>
  <si>
    <t>M054</t>
  </si>
  <si>
    <t>YALIKENT LTD.ŞTİ.</t>
  </si>
  <si>
    <t>M053</t>
  </si>
  <si>
    <t>YEDİYİRMİDÖRT LTD.ŞTİ.</t>
  </si>
  <si>
    <t>M004</t>
  </si>
  <si>
    <t>ZÜMRÜT EĞLENCE LTD.ŞTİ.</t>
  </si>
  <si>
    <t>M005</t>
  </si>
  <si>
    <t>ZÜMRÜT GRUP LTD.ŞTİ.</t>
  </si>
  <si>
    <t>KILIÇ MUHASEBE   │   ÜCRET DÖNEMLERİ</t>
  </si>
  <si>
    <t>Ücret ve dönem tanımları — eski dönemi değiştirmeden yeni dönem açın.</t>
  </si>
  <si>
    <t>SAKIN: Ücret değişince eski satırdaki tutarı değiştirmeyin; yeni dönem açın.</t>
  </si>
  <si>
    <t>AKTİF ÜCRET TANIMI</t>
  </si>
  <si>
    <t>ÜCRET TOPLAMI</t>
  </si>
  <si>
    <t>DÖNEM KURALI  │  Zamda eski satırı kapat, yeni satır aç.</t>
  </si>
  <si>
    <t>Müşteri</t>
  </si>
  <si>
    <t>Ücret Başlangıç Tarihi</t>
  </si>
  <si>
    <t>Ücret Bitiş Tarihi</t>
  </si>
  <si>
    <t>Tahakkuk Modeli</t>
  </si>
  <si>
    <t>Ücret Tutarı</t>
  </si>
  <si>
    <t>Dönem Durumu</t>
  </si>
  <si>
    <t>Bugüne Kadar Oluşan</t>
  </si>
  <si>
    <t>Oluşan Dönem</t>
  </si>
  <si>
    <t>Sistem Kontrolü</t>
  </si>
  <si>
    <t>İlk Tahakkuk Tarihi</t>
  </si>
  <si>
    <t>Not</t>
  </si>
  <si>
    <t>Teknik Hesap Tarihi</t>
  </si>
  <si>
    <t>Teknik İlk Tahakkuk</t>
  </si>
  <si>
    <t>Teknik Dönem Sayısı</t>
  </si>
  <si>
    <t>Aylık</t>
  </si>
  <si>
    <t>Haftalık</t>
  </si>
  <si>
    <t>KILIÇ MUHASEBE   │   TAHSİLAT DEFTERİ</t>
  </si>
  <si>
    <t>Gerçek tahsilat — para kimde kaldıysa ilgili hesabı seçin.</t>
  </si>
  <si>
    <t>SAKIN: Kasaya gerçekte girmeyen parayı MERKEZ KASA seçmeyin.</t>
  </si>
  <si>
    <t>TAHSİLAT TOPLAMI</t>
  </si>
  <si>
    <t>KAYIT</t>
  </si>
  <si>
    <t>ÖMER'DE KALAN</t>
  </si>
  <si>
    <t>NAKİT KURALI  │  Para kimde kaldıysa hesap odur.</t>
  </si>
  <si>
    <t>Tahsilat No</t>
  </si>
  <si>
    <t>Tarih</t>
  </si>
  <si>
    <t>Tutar</t>
  </si>
  <si>
    <t>Kasa / Banka</t>
  </si>
  <si>
    <t>Ödeme Türü</t>
  </si>
  <si>
    <t>Belge No</t>
  </si>
  <si>
    <t>Açıklama</t>
  </si>
  <si>
    <t>İşlemi Giren</t>
  </si>
  <si>
    <t>Teknik Müşteri Anahtarı</t>
  </si>
  <si>
    <t>Teknik Hesap Anahtarı</t>
  </si>
  <si>
    <t>T00001</t>
  </si>
  <si>
    <t>CARİ MAHSUP</t>
  </si>
  <si>
    <t>Mahsup</t>
  </si>
  <si>
    <t xml:space="preserve">HESAP BAKİYE TASHİHİ KAPALI KALDIĞI DÖNEM </t>
  </si>
  <si>
    <t>T00002</t>
  </si>
  <si>
    <t>T00003</t>
  </si>
  <si>
    <t>Çayıralan Ltd.Şti.</t>
  </si>
  <si>
    <t>MERKEZ KASA</t>
  </si>
  <si>
    <t>NAKİT ÖDENEN</t>
  </si>
  <si>
    <t>T00004</t>
  </si>
  <si>
    <t>İldeş Ltd.Şti.</t>
  </si>
  <si>
    <t>T00005</t>
  </si>
  <si>
    <t>T00006</t>
  </si>
  <si>
    <t>T00007</t>
  </si>
  <si>
    <t>T00008</t>
  </si>
  <si>
    <t>Zümrüt Grup Ltd.Şti.</t>
  </si>
  <si>
    <t>T00009</t>
  </si>
  <si>
    <t>ÖMER KARTAL</t>
  </si>
  <si>
    <t>ÖMER KARTALA ÖDENEN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</si>
  <si>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</si>
  <si>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</si>
  <si>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</si>
  <si>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</si>
  <si>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</si>
  <si>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</si>
  <si>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</si>
  <si>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</si>
  <si>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</si>
  <si>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</si>
  <si>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</si>
  <si>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</si>
  <si>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</si>
  <si>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</si>
  <si>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</si>
  <si>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</si>
  <si>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</si>
  <si>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</si>
  <si>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</si>
  <si>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</si>
  <si>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</si>
  <si>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</si>
  <si>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</si>
  <si>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</si>
  <si>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</si>
  <si>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</si>
  <si>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</si>
  <si>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</si>
  <si>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</si>
  <si>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</si>
  <si>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</si>
  <si>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</si>
  <si>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</si>
  <si>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</si>
  <si>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</si>
  <si>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</si>
  <si>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</si>
  <si>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</si>
  <si>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</si>
  <si>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</si>
  <si>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</si>
  <si>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</si>
  <si>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</si>
  <si>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</si>
  <si>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</si>
  <si>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</si>
  <si>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</si>
  <si>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</si>
  <si>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</si>
  <si>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</si>
  <si>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</si>
  <si>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</si>
  <si>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</si>
  <si>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</si>
  <si>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 xml:space="preserve">ALTINEL LTD.ŞTİ. </t>
  </si>
  <si>
    <t>T00064</t>
  </si>
  <si>
    <t>T00065</t>
  </si>
  <si>
    <t>ONUR BAKİYESİNE MAHSUP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</si>
  <si>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</si>
  <si>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</si>
  <si>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</si>
  <si>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</si>
  <si>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</si>
  <si>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</si>
  <si>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</si>
  <si>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</si>
  <si>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</si>
  <si>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</si>
  <si>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NAKİT ÖDENEN M.ALİ KARTAL</t>
  </si>
  <si>
    <t>T00076</t>
  </si>
  <si>
    <t>T00077</t>
  </si>
  <si>
    <t>2026/5 HAFTA VE 2 HAFTALIK FARK</t>
  </si>
  <si>
    <t>T00078</t>
  </si>
  <si>
    <t>T00079</t>
  </si>
  <si>
    <t>T00080</t>
  </si>
  <si>
    <t>T00081</t>
  </si>
  <si>
    <t>T00082</t>
  </si>
  <si>
    <t>T00083</t>
  </si>
  <si>
    <t>T00084</t>
  </si>
  <si>
    <t>Ankara Havana Ltd.Şti.</t>
  </si>
  <si>
    <t>T00085</t>
  </si>
  <si>
    <t>T00086</t>
  </si>
  <si>
    <t>T00087</t>
  </si>
  <si>
    <t>T00088</t>
  </si>
  <si>
    <t>Eğlengör Ltd.Şti.</t>
  </si>
  <si>
    <t>T00089</t>
  </si>
  <si>
    <t>Final Siyah Beyaz Ltd.Şti.</t>
  </si>
  <si>
    <t>T00090</t>
  </si>
  <si>
    <t>İbrahim Maldan</t>
  </si>
  <si>
    <t>T00091</t>
  </si>
  <si>
    <t>T00092</t>
  </si>
  <si>
    <t>Monamour Ltd.Şti.</t>
  </si>
  <si>
    <t>T00093</t>
  </si>
  <si>
    <t>T00094</t>
  </si>
  <si>
    <t>Naz 1 Gıda Ltd.Şti.</t>
  </si>
  <si>
    <t>T00095</t>
  </si>
  <si>
    <t>Pakyıldız Ltd.Şti.</t>
  </si>
  <si>
    <t>T00096</t>
  </si>
  <si>
    <t>Rix Şow Ltd.Şti.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</si>
  <si>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</si>
  <si>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</si>
  <si>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</si>
  <si>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</si>
  <si>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</si>
  <si>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</si>
  <si>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</si>
  <si>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</si>
  <si>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</si>
  <si>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</si>
  <si>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</si>
  <si>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</si>
  <si>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</si>
  <si>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</si>
  <si>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</si>
  <si>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</si>
  <si>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</si>
  <si>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</si>
  <si>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</si>
  <si>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</si>
  <si>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</si>
  <si>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</si>
  <si>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</si>
  <si>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</si>
  <si>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</si>
  <si>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Özfidanlar Ltd.Şti.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</si>
  <si>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</si>
  <si>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</si>
  <si>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</si>
  <si>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</si>
  <si>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</si>
  <si>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</si>
  <si>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</si>
  <si>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</si>
  <si>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</si>
  <si>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</si>
  <si>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</si>
  <si>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</si>
  <si>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</si>
  <si>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Zümrüt Eğlence Ltd.Şti.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</si>
  <si>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</si>
  <si>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</si>
  <si>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</si>
  <si>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</si>
  <si>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</si>
  <si>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</si>
  <si>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</si>
  <si>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</si>
  <si>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</si>
  <si>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</si>
  <si>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</si>
  <si>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</si>
  <si>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</si>
  <si>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</si>
  <si>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</si>
  <si>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</si>
  <si>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</si>
  <si>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</si>
  <si>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</si>
  <si>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VERGİ TAHSİLATI İÇİN BORÇ YAZILAN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</si>
  <si>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</si>
  <si>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</si>
  <si>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</si>
  <si>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</si>
  <si>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</si>
  <si>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</si>
  <si>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</si>
  <si>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</si>
  <si>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</si>
  <si>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</si>
  <si>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</si>
  <si>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</si>
  <si>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</si>
  <si>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</si>
  <si>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</si>
  <si>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</si>
  <si>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</si>
  <si>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</si>
  <si>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</si>
  <si>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</si>
  <si>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</si>
  <si>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</si>
  <si>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</si>
  <si>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</si>
  <si>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</si>
  <si>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</si>
  <si>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</si>
  <si>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</si>
  <si>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</si>
  <si>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</si>
  <si>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</si>
  <si>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</si>
  <si>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</si>
  <si>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</si>
  <si>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</si>
  <si>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</si>
  <si>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</si>
  <si>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</si>
  <si>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</si>
  <si>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</si>
  <si>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</si>
  <si>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</si>
  <si>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</si>
  <si>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</si>
  <si>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</si>
  <si>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</si>
  <si>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</si>
  <si>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</si>
  <si>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</si>
  <si>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</si>
  <si>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</si>
  <si>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M.ALİ KARTAL VİRMAN KAYDI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</si>
  <si>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</si>
  <si>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</si>
  <si>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</si>
  <si>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</si>
  <si>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</si>
  <si>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</si>
  <si>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</si>
  <si>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</si>
  <si>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</si>
  <si>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</si>
  <si>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</si>
  <si>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</si>
  <si>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</si>
  <si>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</si>
  <si>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</si>
  <si>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</si>
  <si>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</si>
  <si>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</si>
  <si>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</si>
  <si>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</si>
  <si>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</si>
  <si>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</si>
  <si>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</si>
  <si>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</si>
  <si>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</si>
  <si>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</si>
  <si>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</si>
  <si>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</si>
  <si>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</si>
  <si>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</si>
  <si>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</si>
  <si>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</si>
  <si>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</si>
  <si>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 xml:space="preserve">OCAK ŞUBAT MART SGK 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</si>
  <si>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</si>
  <si>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</si>
  <si>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</si>
  <si>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</si>
  <si>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</si>
  <si>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</si>
  <si>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</si>
  <si>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</si>
  <si>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</si>
  <si>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</si>
  <si>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</si>
  <si>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</si>
  <si>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</si>
  <si>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</si>
  <si>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</si>
  <si>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</si>
  <si>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</si>
  <si>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</si>
  <si>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</si>
  <si>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</si>
  <si>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</si>
  <si>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</si>
  <si>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</si>
  <si>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</si>
  <si>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</si>
  <si>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</si>
  <si>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</si>
  <si>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</si>
  <si>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</si>
  <si>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</si>
  <si>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</si>
  <si>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</si>
  <si>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</si>
  <si>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</si>
  <si>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</si>
  <si>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</si>
  <si>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</si>
  <si>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</si>
  <si>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</si>
  <si>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</si>
  <si>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</si>
  <si>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</si>
  <si>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</si>
  <si>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</si>
  <si>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</si>
  <si>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</si>
  <si>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</si>
  <si>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</si>
  <si>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</si>
  <si>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</si>
  <si>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</si>
  <si>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</si>
  <si>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</si>
  <si>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</si>
  <si>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</si>
  <si>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ALI KILIC ZIRAATBANK HAVALE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</si>
  <si>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</si>
  <si>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</si>
  <si>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</si>
  <si>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</si>
  <si>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</si>
  <si>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</si>
  <si>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</si>
  <si>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</si>
  <si>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</si>
  <si>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</si>
  <si>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</si>
  <si>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</si>
  <si>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</si>
  <si>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</si>
  <si>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</si>
  <si>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</si>
  <si>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</si>
  <si>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</si>
  <si>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</si>
  <si>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</si>
  <si>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</si>
  <si>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</si>
  <si>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</si>
  <si>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</si>
  <si>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</si>
  <si>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</si>
  <si>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</si>
  <si>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</si>
  <si>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</si>
  <si>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</si>
  <si>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</si>
  <si>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</si>
  <si>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</si>
  <si>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</si>
  <si>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</si>
  <si>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</si>
  <si>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</si>
  <si>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</si>
  <si>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</si>
  <si>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</si>
  <si>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</si>
  <si>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</si>
  <si>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</si>
  <si>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</si>
  <si>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</si>
  <si>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</si>
  <si>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</si>
  <si>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</si>
  <si>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</si>
  <si>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</si>
  <si>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</si>
  <si>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</si>
  <si>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</si>
  <si>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</si>
  <si>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</si>
  <si>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</si>
  <si>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</si>
  <si>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</si>
  <si>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</si>
  <si>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</si>
  <si>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</si>
  <si>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</si>
  <si>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</si>
  <si>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</si>
  <si>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</si>
  <si>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</si>
  <si>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</si>
  <si>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</si>
  <si>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</si>
  <si>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</si>
  <si>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</si>
  <si>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</si>
  <si>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</si>
  <si>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</si>
  <si>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</si>
  <si>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</si>
  <si>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</si>
  <si>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</si>
  <si>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</si>
  <si>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</si>
  <si>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</si>
  <si>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</si>
  <si>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</si>
  <si>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</si>
  <si>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</si>
  <si>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</si>
  <si>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</si>
  <si>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</si>
  <si>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</si>
  <si>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</si>
  <si>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</si>
  <si>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</si>
  <si>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</si>
  <si>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</si>
  <si>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</si>
  <si>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</si>
  <si>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</si>
  <si>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</si>
  <si>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</si>
  <si>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</si>
  <si>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</si>
  <si>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</si>
  <si>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</si>
  <si>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</si>
  <si>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</si>
  <si>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</si>
  <si>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</si>
  <si>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</si>
  <si>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</si>
  <si>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</si>
  <si>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</si>
  <si>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</si>
  <si>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</si>
  <si>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</si>
  <si>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</si>
  <si>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</si>
  <si>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GRAND 06 HASAN &amp; ÖMER BAKİYE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</si>
  <si>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</si>
  <si>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</si>
  <si>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</si>
  <si>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</si>
  <si>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</si>
  <si>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</si>
  <si>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</si>
  <si>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</si>
  <si>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</si>
  <si>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</si>
  <si>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</si>
  <si>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</si>
  <si>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</si>
  <si>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</si>
  <si>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</si>
  <si>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</si>
  <si>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</si>
  <si>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</si>
  <si>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</si>
  <si>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</si>
  <si>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</si>
  <si>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</si>
  <si>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</si>
  <si>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</si>
  <si>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</si>
  <si>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</si>
  <si>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</si>
  <si>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</si>
  <si>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</si>
  <si>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YALIKENT HAFTALIK MENDERES MAHSUP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</si>
  <si>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</si>
  <si>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</si>
  <si>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</si>
  <si>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</si>
  <si>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</si>
  <si>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</si>
  <si>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</si>
  <si>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</si>
  <si>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</si>
  <si>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</si>
  <si>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</si>
  <si>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</si>
  <si>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</si>
  <si>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</si>
  <si>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</si>
  <si>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</si>
  <si>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</si>
  <si>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</si>
  <si>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</si>
  <si>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</si>
  <si>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</si>
  <si>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</si>
  <si>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</si>
  <si>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</si>
  <si>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</si>
  <si>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</si>
  <si>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</si>
  <si>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</si>
  <si>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</si>
  <si>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</si>
  <si>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</si>
  <si>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</si>
  <si>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</si>
  <si>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</si>
  <si>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</si>
  <si>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</si>
  <si>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</si>
  <si>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</si>
  <si>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</si>
  <si>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</si>
  <si>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</si>
  <si>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</si>
  <si>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</si>
  <si>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</si>
  <si>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</si>
  <si>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</si>
  <si>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</si>
  <si>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</si>
  <si>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</si>
  <si>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</si>
  <si>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</si>
  <si>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</si>
  <si>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</si>
  <si>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</si>
  <si>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</si>
  <si>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</si>
  <si>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</si>
  <si>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</si>
  <si>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</si>
  <si>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</si>
  <si>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</si>
  <si>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</si>
  <si>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</si>
  <si>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</si>
  <si>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</si>
  <si>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</si>
  <si>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</si>
  <si>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ÖMER GRAND 06 BAKİYESİ</t>
  </si>
  <si>
    <t>T00505</t>
  </si>
  <si>
    <t>T00506</t>
  </si>
  <si>
    <t>T00507</t>
  </si>
  <si>
    <t>ARMAN DİK VERGİ TELAFİSİ İÇİN YAZILAN ZARAR</t>
  </si>
  <si>
    <t>T00508</t>
  </si>
  <si>
    <t>HESAP BAKİYE MUTABAKATINDAN KASIM KAPANDI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</si>
  <si>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</si>
  <si>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</si>
  <si>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</si>
  <si>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</si>
  <si>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</si>
  <si>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</si>
  <si>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</si>
  <si>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</si>
  <si>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</si>
  <si>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</si>
  <si>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</si>
  <si>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</si>
  <si>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</si>
  <si>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</si>
  <si>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</si>
  <si>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</si>
  <si>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</si>
  <si>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</si>
  <si>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</si>
  <si>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</si>
  <si>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</si>
  <si>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</si>
  <si>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</si>
  <si>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</si>
  <si>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</si>
  <si>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</si>
  <si>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</si>
  <si>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</si>
  <si>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</si>
  <si>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</si>
  <si>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</si>
  <si>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</si>
  <si>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</si>
  <si>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</si>
  <si>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Asım Açıkgöz</t>
  </si>
  <si>
    <t>T00543</t>
  </si>
  <si>
    <t>Kristal Ltd.Şti.</t>
  </si>
  <si>
    <t>T00544</t>
  </si>
  <si>
    <t>ASM Eğlence Ltd.Şti.</t>
  </si>
  <si>
    <t>T00545</t>
  </si>
  <si>
    <t>T00546</t>
  </si>
  <si>
    <t>T00547</t>
  </si>
  <si>
    <t>Star Şow Ltd.Şti.</t>
  </si>
  <si>
    <t>T00548</t>
  </si>
  <si>
    <t>Çınarhan Ltd.Şti.</t>
  </si>
  <si>
    <t>T00549</t>
  </si>
  <si>
    <t>Palaoğulları Ltd.Şti.</t>
  </si>
  <si>
    <t>T00550</t>
  </si>
  <si>
    <t>T00551</t>
  </si>
  <si>
    <t>KILIÇ MUHASEBE   │   GELİR / GİDER DEFTERİ</t>
  </si>
  <si>
    <t>İşletme gelir/gideri ve nakitsiz tahakkuk.</t>
  </si>
  <si>
    <t>SAKIN: Nakitsiz tahakkukta Kasa/Banka seçmeyin.</t>
  </si>
  <si>
    <t>GERÇEK GELİR</t>
  </si>
  <si>
    <t>GERÇEK GİDER</t>
  </si>
  <si>
    <t>NAKİTSİZ TAHAKKUK</t>
  </si>
  <si>
    <t>TAHAKKUK KURALI  │  Hayır + Borçlu Taraf + Kasa boş.</t>
  </si>
  <si>
    <t>Kayıt No</t>
  </si>
  <si>
    <t>Tür</t>
  </si>
  <si>
    <t>Kategori</t>
  </si>
  <si>
    <t>Gerçekleşti</t>
  </si>
  <si>
    <t>Sorumlu</t>
  </si>
  <si>
    <t>Borçlu Taraf</t>
  </si>
  <si>
    <t>Borçlu Hesap</t>
  </si>
  <si>
    <t>Alacaklı Hesap</t>
  </si>
  <si>
    <t>Teknik Tahakkuk Anahtarı</t>
  </si>
  <si>
    <t>Teknik Borçlu Geçerli</t>
  </si>
  <si>
    <t>GG00001</t>
  </si>
  <si>
    <t>Diğer Gider</t>
  </si>
  <si>
    <t>Palaoğulları Kapalı Kaldığı Dönem Haftalık Zarar</t>
  </si>
  <si>
    <t>Hayır</t>
  </si>
  <si>
    <t>GG00002</t>
  </si>
  <si>
    <t>Çayıralan Ltd.Şti. Cari Hesap Bakiye Tashihi</t>
  </si>
  <si>
    <t>Evet</t>
  </si>
  <si>
    <t>GG00003</t>
  </si>
  <si>
    <t>Asım Açıkgöz Cari Hesap Bakiye Tashihi</t>
  </si>
  <si>
    <t>GG00004</t>
  </si>
  <si>
    <t>ASM Eğlence Ltd.Şti. Cari Hesap Bakiye Tashihi</t>
  </si>
  <si>
    <t>GG00005</t>
  </si>
  <si>
    <t>Çınarhan Ltd.Şti. Cari Hesap Bakiye Tashihi</t>
  </si>
  <si>
    <t>GG00006</t>
  </si>
  <si>
    <t>Zümrüt Grup Ltd.Şti. Cari Hesap Bakiye Tashihi</t>
  </si>
  <si>
    <t>GG00007</t>
  </si>
  <si>
    <t>Kırtasiye</t>
  </si>
  <si>
    <t xml:space="preserve">Merdiven İki Basamaklı </t>
  </si>
  <si>
    <t>GG00008</t>
  </si>
  <si>
    <t>Telefon / İnternet</t>
  </si>
  <si>
    <t xml:space="preserve">Ofis Whatsapp Hattı Ocak </t>
  </si>
  <si>
    <t>GG00009</t>
  </si>
  <si>
    <t>Ofis Lavabo Su Tesisatı Tamirat ve Malzeme</t>
  </si>
  <si>
    <t>GG00010</t>
  </si>
  <si>
    <t>Elektrik / Su / Doğalgaz</t>
  </si>
  <si>
    <t xml:space="preserve">Elektrik Ödemesi </t>
  </si>
  <si>
    <t>GG00011</t>
  </si>
  <si>
    <t>GG00012</t>
  </si>
  <si>
    <t>Su Ödemesi</t>
  </si>
  <si>
    <t>GG00013</t>
  </si>
  <si>
    <t>GG00014</t>
  </si>
  <si>
    <t>GG00015</t>
  </si>
  <si>
    <t>İnternet Ödemesi</t>
  </si>
  <si>
    <t>GG00016</t>
  </si>
  <si>
    <t>Ulaşım</t>
  </si>
  <si>
    <t>Araç Yakıt Alımı</t>
  </si>
  <si>
    <t>GG00017</t>
  </si>
  <si>
    <t>Temsil / Ağırlama</t>
  </si>
  <si>
    <t>Ofis Çay Kahve ve Temizlik Alışverişi</t>
  </si>
  <si>
    <t>GG00018</t>
  </si>
  <si>
    <t>Pakyıldız Cari Hesap Tashihi</t>
  </si>
  <si>
    <t>GG00019</t>
  </si>
  <si>
    <t>Mehmet Ali Kartal</t>
  </si>
  <si>
    <t>Volkan Açık Kahve 1 Haftalık Tahsilat</t>
  </si>
  <si>
    <t>GG00020</t>
  </si>
  <si>
    <t>Gelir</t>
  </si>
  <si>
    <t>Diğer Gelirler</t>
  </si>
  <si>
    <t>YEDİYİRMİDÖRT LTD.ŞTİ. GEÇMİŞ KAYIT DÜZELTMELERİ</t>
  </si>
  <si>
    <t>GG00021</t>
  </si>
  <si>
    <t>Personel</t>
  </si>
  <si>
    <t>Zeynep Hanım Maaş</t>
  </si>
  <si>
    <t>GG00022</t>
  </si>
  <si>
    <t>Zeynep Hanım Yemek</t>
  </si>
  <si>
    <t>GG00023</t>
  </si>
  <si>
    <t>Vergi / Harç</t>
  </si>
  <si>
    <t>Alı Aralık Bağkur</t>
  </si>
  <si>
    <t>GG00024</t>
  </si>
  <si>
    <t>Ali Ocak Bağkur</t>
  </si>
  <si>
    <t>GG00025</t>
  </si>
  <si>
    <t>ASMMO Aidat Ödemesi</t>
  </si>
  <si>
    <t>GG00026</t>
  </si>
  <si>
    <t>Ofis Kirası</t>
  </si>
  <si>
    <t>Ocak Ayı Ofis Kira Ödemesi</t>
  </si>
  <si>
    <t>GG00027</t>
  </si>
  <si>
    <t>Ofis Vergi Ödemeleri</t>
  </si>
  <si>
    <t>GG00028</t>
  </si>
  <si>
    <t>Ocak Ayı Ofis Aidatı Ödemesi</t>
  </si>
  <si>
    <t>GG00029</t>
  </si>
  <si>
    <t>İsmail Harçlık</t>
  </si>
  <si>
    <t>GG00030</t>
  </si>
  <si>
    <t>Şubat Ayı Ofis Kira Ödemesi</t>
  </si>
  <si>
    <t>GG00031</t>
  </si>
  <si>
    <t>Şubat Ayı Ofis Aidatı Ödemesi</t>
  </si>
  <si>
    <t>GG00032</t>
  </si>
  <si>
    <t>GG00033</t>
  </si>
  <si>
    <t>Geçici Vergi Damga</t>
  </si>
  <si>
    <t>RİX LTD.ŞTİ. 2025 / 04  DÖNEM GEÇİCİ DAMGA</t>
  </si>
  <si>
    <t>GG00034</t>
  </si>
  <si>
    <t>İLDEŞ LTD.ŞTİ. 2025 / 04  DÖNEM GEÇİCİ DAMGA</t>
  </si>
  <si>
    <t>GG00035</t>
  </si>
  <si>
    <t>KRİSTAL LTD.ŞTİ. 2025 / 04  DÖNEM GEÇİCİ DAMGA</t>
  </si>
  <si>
    <t>GG00036</t>
  </si>
  <si>
    <t>FİNAL LTD.ŞTİ. 2025 / 04  DÖNEM GEÇİCİ DAMGA</t>
  </si>
  <si>
    <t>GG00037</t>
  </si>
  <si>
    <t>ZÜMRÜT GRUP LTD.ŞTİ. 2025 / 04  DÖNEM GEÇİCİ DAMGA</t>
  </si>
  <si>
    <t>GG00038</t>
  </si>
  <si>
    <t>ANKARA HAVANA LTD.ŞTİ. 2025 / 04  DÖNEM GEÇİCİ DAMGA</t>
  </si>
  <si>
    <t>GG00039</t>
  </si>
  <si>
    <t>ASM LTD.ŞTİ. 2025 / 04  DÖNEM GEÇİCİ DAMGA</t>
  </si>
  <si>
    <t>GG00040</t>
  </si>
  <si>
    <t>MONAMOUR LTD.ŞTİ. 2025 / 04  DÖNEM GEÇİCİ DAMGA</t>
  </si>
  <si>
    <t>GG00041</t>
  </si>
  <si>
    <t>NAZ 1 LTD.ŞTİ. 2025 / 04  DÖNEM GEÇİCİ DAMGA</t>
  </si>
  <si>
    <t>GG00042</t>
  </si>
  <si>
    <t>ÇINARHAN LTD.ŞTİ. 2025 / 04  DÖNEM GEÇİCİ DAMGA</t>
  </si>
  <si>
    <t>GG00043</t>
  </si>
  <si>
    <t>YALKENT LTD.ŞTİ. 2025 / 4 GEÇİCİ DAMGA</t>
  </si>
  <si>
    <t>GG00044</t>
  </si>
  <si>
    <t>Ofis Temizlik Alışverişi</t>
  </si>
  <si>
    <t>GG00045</t>
  </si>
  <si>
    <t>Kuruluş Ücreti</t>
  </si>
  <si>
    <t>GG00046</t>
  </si>
  <si>
    <t>İsmail Yemek</t>
  </si>
  <si>
    <t>GG00047</t>
  </si>
  <si>
    <t xml:space="preserve">Baklavacı Hacıbaba </t>
  </si>
  <si>
    <t>GG00048</t>
  </si>
  <si>
    <t xml:space="preserve">Yemek Ömer Ali </t>
  </si>
  <si>
    <t>GG00049</t>
  </si>
  <si>
    <t xml:space="preserve">Taksi </t>
  </si>
  <si>
    <t>GG00050</t>
  </si>
  <si>
    <t>Ofis Whatsapp Hattı Şubat</t>
  </si>
  <si>
    <t>GG00051</t>
  </si>
  <si>
    <t>2 Adet Mutfak Tüpü</t>
  </si>
  <si>
    <t>GG00052</t>
  </si>
  <si>
    <t>GOLD LTD.ŞTİ. VE YSM LTD.ŞTİ. TAHSİLAT</t>
  </si>
  <si>
    <t>GG00053</t>
  </si>
  <si>
    <t>Zeynep Hanım Ramazan Primi</t>
  </si>
  <si>
    <t>GG00054</t>
  </si>
  <si>
    <t>Aralık KDV Ödemesi</t>
  </si>
  <si>
    <t>GG00055</t>
  </si>
  <si>
    <t>Geçici Vergi Damga Ödeme</t>
  </si>
  <si>
    <t>GG00056</t>
  </si>
  <si>
    <t>Müjgan Yavuz Asar Tahsilat Ocak - Şubat Muhasebe</t>
  </si>
  <si>
    <t>GG00057</t>
  </si>
  <si>
    <t>Şubat Bağkur Ödemesi</t>
  </si>
  <si>
    <t>GG00058</t>
  </si>
  <si>
    <t>Zeynep Hanım Maaş Mahsuben</t>
  </si>
  <si>
    <t>GG00059</t>
  </si>
  <si>
    <t>Mutfak Gereci</t>
  </si>
  <si>
    <t>GG00060</t>
  </si>
  <si>
    <t>GG00061</t>
  </si>
  <si>
    <t xml:space="preserve">Gıda Alışverişi </t>
  </si>
  <si>
    <t>GG00062</t>
  </si>
  <si>
    <t>Çay</t>
  </si>
  <si>
    <t>GG00063</t>
  </si>
  <si>
    <t>Ofis İnternet</t>
  </si>
  <si>
    <t>GG00064</t>
  </si>
  <si>
    <t>GG00065</t>
  </si>
  <si>
    <t>Defter Tasdik Geliri</t>
  </si>
  <si>
    <t xml:space="preserve">ARON LTD.ŞTİ. 2026 YILI DEFTER TASDİK </t>
  </si>
  <si>
    <t>GG00066</t>
  </si>
  <si>
    <t>Zeynep Hanım Maaş Bakiye</t>
  </si>
  <si>
    <t>GG00067</t>
  </si>
  <si>
    <t>Mart Ayı Ofis Kirası</t>
  </si>
  <si>
    <t>GG00068</t>
  </si>
  <si>
    <t>Mart Ayı Aidat</t>
  </si>
  <si>
    <t>GG00069</t>
  </si>
  <si>
    <t>Şubat Ayı Fatura</t>
  </si>
  <si>
    <t>GG00070</t>
  </si>
  <si>
    <t>Demirbaş</t>
  </si>
  <si>
    <t>Serkan Baş Zeynep Hanım Bilgisayar Takımı Komple</t>
  </si>
  <si>
    <t>GG00071</t>
  </si>
  <si>
    <t>Zeynep Yalıkent ve Yalı Gazino Prim</t>
  </si>
  <si>
    <t>GG00072</t>
  </si>
  <si>
    <t>EĞLENGÖR LTD.ŞTİ. SGK DANIŞMANLIK</t>
  </si>
  <si>
    <t>GG00073</t>
  </si>
  <si>
    <t>Benzin</t>
  </si>
  <si>
    <t>GG00074</t>
  </si>
  <si>
    <t>Ofis Whatsapp Hattı Mart</t>
  </si>
  <si>
    <t>GG00075</t>
  </si>
  <si>
    <t>Akaryakıt</t>
  </si>
  <si>
    <t>GG00076</t>
  </si>
  <si>
    <t>Kahve</t>
  </si>
  <si>
    <t>GG00077</t>
  </si>
  <si>
    <t>İçme Suyu</t>
  </si>
  <si>
    <t>GG00078</t>
  </si>
  <si>
    <t>Zeynep Mart Maaşı Ödemesi</t>
  </si>
  <si>
    <t>GG00079</t>
  </si>
  <si>
    <t>Bağkur Ödemesi</t>
  </si>
  <si>
    <t>GG00080</t>
  </si>
  <si>
    <t>Yazılım / Abonelik</t>
  </si>
  <si>
    <t>Luca Güncelleme Bedeli</t>
  </si>
  <si>
    <t>GG00081</t>
  </si>
  <si>
    <t>GG00082</t>
  </si>
  <si>
    <t xml:space="preserve">Benzin ( Ömer ) </t>
  </si>
  <si>
    <t>GG00083</t>
  </si>
  <si>
    <t>M.Ali Kılıç Vergi Ödemesi</t>
  </si>
  <si>
    <t>GG00084</t>
  </si>
  <si>
    <t>CEREN DEMİRCİ SGK</t>
  </si>
  <si>
    <t>GG00085</t>
  </si>
  <si>
    <t>ZÜMRÜT GRUP LTD.ŞTİ. SGK DANIŞMANLIK</t>
  </si>
  <si>
    <t>GG00086</t>
  </si>
  <si>
    <t>Nisan Ofis Aidat Ödemesi</t>
  </si>
  <si>
    <t>GG00087</t>
  </si>
  <si>
    <t>GG00088</t>
  </si>
  <si>
    <t>GG00089</t>
  </si>
  <si>
    <t>GG00090</t>
  </si>
  <si>
    <t>Serkan Baş Irmak Ömer Bilgisayar Format ve Parça</t>
  </si>
  <si>
    <t>GG00091</t>
  </si>
  <si>
    <t>Mayıs Ofis Kira Ödemesi</t>
  </si>
  <si>
    <t>GG00092</t>
  </si>
  <si>
    <t>Mayıs Ofis Aidat Ödemesi</t>
  </si>
  <si>
    <t>GG00093</t>
  </si>
  <si>
    <t>Irmak Harçlık</t>
  </si>
  <si>
    <t>GG00094</t>
  </si>
  <si>
    <t>Ofis Whatsapp Hattı Nisan</t>
  </si>
  <si>
    <t>GG00095</t>
  </si>
  <si>
    <t>Kurumlar Vergisi Damga</t>
  </si>
  <si>
    <t>FİNAL LTD.ŞTİ. 2025 KURUMLAR DAMGA</t>
  </si>
  <si>
    <t>GG00096</t>
  </si>
  <si>
    <t>İLDEŞ LTD.ŞTİ. 2025 KURUMLAR DAMGA</t>
  </si>
  <si>
    <t>GG00097</t>
  </si>
  <si>
    <t>ASM EĞLENCE LTD.ŞTİ. 2025 KURUMLAR DAMGA</t>
  </si>
  <si>
    <t>GG00098</t>
  </si>
  <si>
    <t>RİX LTD.ŞTİ. 2025 KURUMLAR DAMGA</t>
  </si>
  <si>
    <t>GG00099</t>
  </si>
  <si>
    <t>ÇAYIRALAN LTD.ŞTİ. 2025 KURUMLAR DAMGA</t>
  </si>
  <si>
    <t>GG00100</t>
  </si>
  <si>
    <t>İBRAHİM MALDAN 2025 KURUMLAR DAMGA</t>
  </si>
  <si>
    <t>GG00101</t>
  </si>
  <si>
    <t>ASIM AÇIKGÖZ 2025 KURUMLAR DAMGA</t>
  </si>
  <si>
    <t>GG00102</t>
  </si>
  <si>
    <t>KRİSTAL LTD.ŞTİ. 2025 KURUMLAR DAMGA</t>
  </si>
  <si>
    <t>GG00103</t>
  </si>
  <si>
    <t>PALAOĞULLARI LTD.ŞTİ. 2025 KURUMLAR DAMGA</t>
  </si>
  <si>
    <t>GG00104</t>
  </si>
  <si>
    <t>ÇINARHAN LTD.ŞTİ. 2025 KURUMLAR DAMGA</t>
  </si>
  <si>
    <t>GG00105</t>
  </si>
  <si>
    <t>İSA DEMİRCİ 2025 KURUMLAR DAMGA</t>
  </si>
  <si>
    <t>GG00106</t>
  </si>
  <si>
    <t>GG00107</t>
  </si>
  <si>
    <t>Ceren Demirci Tahsilatı</t>
  </si>
  <si>
    <t>GG00108</t>
  </si>
  <si>
    <t>Ofis Gıda Alışverişi</t>
  </si>
  <si>
    <t>GG00109</t>
  </si>
  <si>
    <t>Notebook Adaptör 1 Mouse ve Mouseped Toner</t>
  </si>
  <si>
    <t>GG00110</t>
  </si>
  <si>
    <t>Şeffaf Dosya ve A4 Kağıt 1 Koli</t>
  </si>
  <si>
    <t>GG00111</t>
  </si>
  <si>
    <t xml:space="preserve">Ofis Whatsapp Hattı Taahhüt Yenileme ( Powerbank ) </t>
  </si>
  <si>
    <t>GG00112</t>
  </si>
  <si>
    <t>Ofis Tabak</t>
  </si>
  <si>
    <t>GG00113</t>
  </si>
  <si>
    <t>Damacana</t>
  </si>
  <si>
    <t>GG00114</t>
  </si>
  <si>
    <t>GG00115</t>
  </si>
  <si>
    <t>GG00116</t>
  </si>
  <si>
    <t>GG00117</t>
  </si>
  <si>
    <t>Ofis Gıda Temizlik Alışverişi</t>
  </si>
  <si>
    <t>GG00118</t>
  </si>
  <si>
    <t>Zeynep Hanım Avans</t>
  </si>
  <si>
    <t>GG00119</t>
  </si>
  <si>
    <t>GG00120</t>
  </si>
  <si>
    <t>Zeynep Hanim Nisan Maaşı</t>
  </si>
  <si>
    <t>GG00121</t>
  </si>
  <si>
    <t>Araç Benzin</t>
  </si>
  <si>
    <t>GG00122</t>
  </si>
  <si>
    <t>ALI KILIC 2025 YILI GELİR VERGİSİ İADE</t>
  </si>
  <si>
    <t>GG00123</t>
  </si>
  <si>
    <t>GG00124</t>
  </si>
  <si>
    <t>Ömer TAG</t>
  </si>
  <si>
    <t>GG00125</t>
  </si>
  <si>
    <t>Haziran Ayı Ofis Kirası</t>
  </si>
  <si>
    <t>GG00126</t>
  </si>
  <si>
    <t>Haziran Aidat Ödemesi</t>
  </si>
  <si>
    <t>GG00127</t>
  </si>
  <si>
    <t>GG00128</t>
  </si>
  <si>
    <t>Yıkama</t>
  </si>
  <si>
    <t>GG00129</t>
  </si>
  <si>
    <t>GG00130</t>
  </si>
  <si>
    <t>GG00131</t>
  </si>
  <si>
    <t>Ofis Whatsapp Hattı Mayıs</t>
  </si>
  <si>
    <t>GG00132</t>
  </si>
  <si>
    <t>Mehmet Ali Kartal Nisan ve Mayıs Maaşı</t>
  </si>
  <si>
    <t>GG00133</t>
  </si>
  <si>
    <t>GG00134</t>
  </si>
  <si>
    <t>KRİSTAL LTD.ŞTİ. 2026 / 1 GEÇİCİ DAMGA</t>
  </si>
  <si>
    <t>GG00135</t>
  </si>
  <si>
    <t>ÇAYIRALAN LTD.ŞTİ. 2026 / 1 GEÇİCİ DAMGA</t>
  </si>
  <si>
    <t>GG00136</t>
  </si>
  <si>
    <t>RİX LTD.ŞTİ.  2026 / 1 GEÇİCİ DAMGA</t>
  </si>
  <si>
    <t>GG00137</t>
  </si>
  <si>
    <t>ASM EĞLENCE LTD.ŞTİ.  2026 / 1 GEÇİCİ DAMGA</t>
  </si>
  <si>
    <t>GG00138</t>
  </si>
  <si>
    <t>FİNAL LTD.ŞTİ. 2026 / 1 GEÇİCİ DAMGA</t>
  </si>
  <si>
    <t>GG00139</t>
  </si>
  <si>
    <t>ZÜMRÜT GRUP LTD.ŞTİ. 2026 / 1 GEÇİCİ DAMGA</t>
  </si>
  <si>
    <t>GG00140</t>
  </si>
  <si>
    <t>PAKYILDIZ LTD.ŞTİ. 2026 / 1 GEÇİCİ DAMGA</t>
  </si>
  <si>
    <t>GG00141</t>
  </si>
  <si>
    <t>ÇINARHAN LTD.ŞTİ. 2026 / 1 GEÇİCİ DAMGA</t>
  </si>
  <si>
    <t>GG00142</t>
  </si>
  <si>
    <t xml:space="preserve">Mail Depolama </t>
  </si>
  <si>
    <t>GG00143</t>
  </si>
  <si>
    <t>GG00144</t>
  </si>
  <si>
    <t>Zeynep Nisan Maaşı Ödemesi</t>
  </si>
  <si>
    <t>GG00145</t>
  </si>
  <si>
    <t>Luca Kontör</t>
  </si>
  <si>
    <t>E-DEFTER KONTÖR</t>
  </si>
  <si>
    <t>GG00146</t>
  </si>
  <si>
    <t>2025 KURUMLAR DAMGA</t>
  </si>
  <si>
    <t>GG00147</t>
  </si>
  <si>
    <t>ASIM AÇIKGÖZ LUCA KONTÖR</t>
  </si>
  <si>
    <t>GG00148</t>
  </si>
  <si>
    <t>ELVAN ALTIPARMAK 10 GÜNLÜK SİGORTA</t>
  </si>
  <si>
    <t>GG00149</t>
  </si>
  <si>
    <t xml:space="preserve">Araç Yakıt Alımı ( Ömer ) </t>
  </si>
  <si>
    <t>GG00150</t>
  </si>
  <si>
    <t>GG00151</t>
  </si>
  <si>
    <t>GG00152</t>
  </si>
  <si>
    <t>Mehmet Ali Kartal Haziran Maaşı</t>
  </si>
  <si>
    <t>GG00153</t>
  </si>
  <si>
    <t>AraçYakıt</t>
  </si>
  <si>
    <t>GG00154</t>
  </si>
  <si>
    <t>GG00155</t>
  </si>
  <si>
    <t>GG00156</t>
  </si>
  <si>
    <t>Ofis Whatsapp Hattı Haziran</t>
  </si>
  <si>
    <t>GG00157</t>
  </si>
  <si>
    <t>GG00158</t>
  </si>
  <si>
    <t>Araç Lastik Değişimi Yıkama</t>
  </si>
  <si>
    <t>GG00159</t>
  </si>
  <si>
    <t>ESERLİ LTD.ŞTİ. LUCA KONTÖR</t>
  </si>
  <si>
    <t>GG00160</t>
  </si>
  <si>
    <t>RİX LTD.ŞTİ. LUCA KONTÖR</t>
  </si>
  <si>
    <t>GG00161</t>
  </si>
  <si>
    <t>GG00162</t>
  </si>
  <si>
    <t>EĞLENGÖR LTD.ŞTİ. LUCA KONTÖR</t>
  </si>
  <si>
    <t>GG00163</t>
  </si>
  <si>
    <t>ASM EĞLENCE LTD.ŞTİ. LUCA KONTÖR</t>
  </si>
  <si>
    <t>GG00164</t>
  </si>
  <si>
    <t>GG00165</t>
  </si>
  <si>
    <t>GG00166</t>
  </si>
  <si>
    <t>GG00167</t>
  </si>
  <si>
    <t>Ofis Whatsapp Hattı Temmuz</t>
  </si>
  <si>
    <t>GG00168</t>
  </si>
  <si>
    <t>MESUT KÖKLÜ KURULUŞ ÜCRETİ</t>
  </si>
  <si>
    <t>GG00169</t>
  </si>
  <si>
    <t>Zeynep Hanım Haziran Maaş Bakiye Ödemesi</t>
  </si>
  <si>
    <t>GG00170</t>
  </si>
  <si>
    <t>Araç Yakıt</t>
  </si>
  <si>
    <t>GG00171</t>
  </si>
  <si>
    <t>GG00172</t>
  </si>
  <si>
    <t>Irmak Maaş Ödemesi</t>
  </si>
  <si>
    <t>GG00173</t>
  </si>
  <si>
    <t>VANOLYA LTD.ŞTİ. KURULUŞ ÜCRETİ</t>
  </si>
  <si>
    <t>GG00174</t>
  </si>
  <si>
    <t>Ofis Elektrik Fatura Ödemesi 3 Adet</t>
  </si>
  <si>
    <t>GG00175</t>
  </si>
  <si>
    <t>Serkan Baş Toner</t>
  </si>
  <si>
    <t>GG00176</t>
  </si>
  <si>
    <t>GG00177</t>
  </si>
  <si>
    <t>GG00178</t>
  </si>
  <si>
    <t>GG00179</t>
  </si>
  <si>
    <t>GG00180</t>
  </si>
  <si>
    <t>GG00181</t>
  </si>
  <si>
    <t>Temmuz İşyeri Kira Ödemesi</t>
  </si>
  <si>
    <t>GG00182</t>
  </si>
  <si>
    <t>Ağustos İşyeri Kira Ödemesi</t>
  </si>
  <si>
    <t>GG00183</t>
  </si>
  <si>
    <t>Eylül İşyeri Kira Ödemesi</t>
  </si>
  <si>
    <t>GG00184</t>
  </si>
  <si>
    <t>KRİSTAL LTD.ŞTİ. 2026 / 2 GEÇİCİ DAMGA</t>
  </si>
  <si>
    <t>GG00185</t>
  </si>
  <si>
    <t>ASIM AÇIKGÖZ 2026 / 2 GEÇİCİ DAMGA</t>
  </si>
  <si>
    <t>GG00186</t>
  </si>
  <si>
    <t>RİX LTD.ŞTİ. 2026 / 2 GEÇİCİ DAMGA</t>
  </si>
  <si>
    <t>GG00187</t>
  </si>
  <si>
    <t>ASM EĞLENCE LTD.ŞTİ. 2026 / 2 GEÇİCİ DAMGA</t>
  </si>
  <si>
    <t>GG00188</t>
  </si>
  <si>
    <t>PAKYILDIZ LTD.ŞTİ.  2026 / 2 GEÇİCİ DAMGA</t>
  </si>
  <si>
    <t>GG00189</t>
  </si>
  <si>
    <t>FİNAL LTD.ŞTİ.  2026 / 2 GEÇİCİ DAMGA</t>
  </si>
  <si>
    <t>GG00190</t>
  </si>
  <si>
    <t>ZÜMRÜT GRUP LTD.ŞTİ. 2026 / 2 GEÇİCİ DAMGA</t>
  </si>
  <si>
    <t>GG00191</t>
  </si>
  <si>
    <t>ÇINARHAN LTD.ŞTİ. 2026 / 2 GEÇİCİ DAMGA</t>
  </si>
  <si>
    <t>GG00192</t>
  </si>
  <si>
    <t>YALKENT LTD.ŞTİ. 2026 / 2 GEÇİCİ DAMGA</t>
  </si>
  <si>
    <t>GG00193</t>
  </si>
  <si>
    <t>PALAOĞULLARI LTD.ŞTİ. 2026 / 2 GEÇİCİ DAMGA</t>
  </si>
  <si>
    <t>GG00194</t>
  </si>
  <si>
    <t>PINAR HANIM SİGORTA HAZİRAN</t>
  </si>
  <si>
    <t>GG00195</t>
  </si>
  <si>
    <t>PINAR HANIM SİGORTA TEMMUZ VE AĞUSTOS</t>
  </si>
  <si>
    <t>GG00196</t>
  </si>
  <si>
    <t>GG00197</t>
  </si>
  <si>
    <t>Temmuz Ağustos Eylül İşyeri Aidatı Ödemesi</t>
  </si>
  <si>
    <t>GG00198</t>
  </si>
  <si>
    <t>Ofis Whatsapp Hattı Ağustos</t>
  </si>
  <si>
    <t>GG00199</t>
  </si>
  <si>
    <t>Arman Dik Vergi Telafisi</t>
  </si>
  <si>
    <t>GG00200</t>
  </si>
  <si>
    <t>GG00201</t>
  </si>
  <si>
    <t>Temmuz Maaş Ödemesi</t>
  </si>
  <si>
    <t>GG00202</t>
  </si>
  <si>
    <t>GG00203</t>
  </si>
  <si>
    <t>Ağustos Bakiye Maaş Ödemesi</t>
  </si>
  <si>
    <t>GG00204</t>
  </si>
  <si>
    <t>Beyanname / Bildirim Ücreti</t>
  </si>
  <si>
    <t>PARİS GAZİNOSU SGK'LAR — NAKİT YOK / ÖMER CARİ BORÇLANDI</t>
  </si>
  <si>
    <t>MİG-V00002</t>
  </si>
  <si>
    <t>GG00205</t>
  </si>
  <si>
    <t>Muhasebe Hizmet Geliri (sözleşme dışı)</t>
  </si>
  <si>
    <t>HÜSEYİN ŞİMŞEK MUHASEBE ÜCRETİ — NAKİT YOK / ÖMER CARİ BORÇLANDI</t>
  </si>
  <si>
    <t>MİG-V00003</t>
  </si>
  <si>
    <t>GG00206</t>
  </si>
  <si>
    <t>FADİME HORUZCU MUHASEBE ÜCRETİ — NAKİT YOK / ÖMER CARİ BORÇLANDI</t>
  </si>
  <si>
    <t>MİG-V00004</t>
  </si>
  <si>
    <t>GG00207</t>
  </si>
  <si>
    <t>MİG-V00007</t>
  </si>
  <si>
    <t>GG00208</t>
  </si>
  <si>
    <t>MİG-V00008</t>
  </si>
  <si>
    <t>GG00209</t>
  </si>
  <si>
    <t>MİG-V00009</t>
  </si>
  <si>
    <t>GG00210</t>
  </si>
  <si>
    <t>MİG-V00011</t>
  </si>
  <si>
    <t>GG00211</t>
  </si>
  <si>
    <t>MİG-V00012</t>
  </si>
  <si>
    <t>GG00212</t>
  </si>
  <si>
    <t>MİG-V00014</t>
  </si>
  <si>
    <t>GG00213</t>
  </si>
  <si>
    <t>MİG-V00015</t>
  </si>
  <si>
    <t>GG00214</t>
  </si>
  <si>
    <t>MİG-V00019</t>
  </si>
  <si>
    <t>GG00215</t>
  </si>
  <si>
    <t>MİG-V00020</t>
  </si>
  <si>
    <t>GG00216</t>
  </si>
  <si>
    <t>MİG-V00021</t>
  </si>
  <si>
    <t>GG00217</t>
  </si>
  <si>
    <t>MİG-V00022</t>
  </si>
  <si>
    <t>GG00218</t>
  </si>
  <si>
    <t>MİG-V00027</t>
  </si>
  <si>
    <t>GG00219</t>
  </si>
  <si>
    <t>MİG-V00030</t>
  </si>
  <si>
    <t>KILIÇ MUHASEBE   │   VİRMAN / GERÇEK PARA TRANSFERİ</t>
  </si>
  <si>
    <t>Yalnız gerçek para/hesap transferi.</t>
  </si>
  <si>
    <t>SAKIN: Gerçek para hareketi yoksa VIRMAN kullanmayın.</t>
  </si>
  <si>
    <t>TOPLAM TRANSFER</t>
  </si>
  <si>
    <t>TRANSFER KURALI  │  Yalnız gerçek para hareketi.</t>
  </si>
  <si>
    <t>İşlem No</t>
  </si>
  <si>
    <t>Para Çıkan Hesap</t>
  </si>
  <si>
    <t>Para Giren Hesap</t>
  </si>
  <si>
    <t>Teknik Yasak Açıklama</t>
  </si>
  <si>
    <t>İşlem Sınıfı</t>
  </si>
  <si>
    <t>V00001</t>
  </si>
  <si>
    <t>GAZİNO TAHSİLATLARINDAN KALAN BAKİYE</t>
  </si>
  <si>
    <t>NORMAL CARİ TRANSFER</t>
  </si>
  <si>
    <t>V00005</t>
  </si>
  <si>
    <t>Onur'un Ömerden Alacağı Bakiye</t>
  </si>
  <si>
    <t>V00006</t>
  </si>
  <si>
    <t>ALİ KILIÇ TARAFINDAN HAVALE</t>
  </si>
  <si>
    <t>V00010</t>
  </si>
  <si>
    <t xml:space="preserve">KASAYA NAKİT ÖDENEN </t>
  </si>
  <si>
    <t>OFİSE GERİ ÖDEME</t>
  </si>
  <si>
    <t>V00013</t>
  </si>
  <si>
    <t>DAMLA SABANCI HAVALE</t>
  </si>
  <si>
    <t>V00016</t>
  </si>
  <si>
    <t>ÖMER NAKİT ÖDENEN ATO</t>
  </si>
  <si>
    <t>V00018</t>
  </si>
  <si>
    <t xml:space="preserve">ÖMER TATİLDEYKEN HAVALE </t>
  </si>
  <si>
    <t>V00031</t>
  </si>
  <si>
    <t>ÖMER KARTAL CARİ HESAP KASAYA ÖDEDİĞİ</t>
  </si>
  <si>
    <t>V00032</t>
  </si>
  <si>
    <t>KÂR PAYI / AVANS ÇEKİŞİ — Ocak Ayı Kâr Payı Ödemesi — eski GELIR_GIDER satır 26</t>
  </si>
  <si>
    <t>KÂR PAYI / AVANS</t>
  </si>
  <si>
    <t>V00033</t>
  </si>
  <si>
    <t>ALİ KILIÇ</t>
  </si>
  <si>
    <t>KÂR PAYI / AVANS ÇEKİŞİ — Ocak Ayı Kâr Payı Ödemesi — eski GELIR_GIDER satır 27</t>
  </si>
  <si>
    <t>V00034</t>
  </si>
  <si>
    <t>KÂR PAYI / AVANS ÇEKİŞİ — Şubat Ayı Kâr Payı Ödemesi — eski GELIR_GIDER satır 66</t>
  </si>
  <si>
    <t>V00035</t>
  </si>
  <si>
    <t>KÂR PAYI / AVANS ÇEKİŞİ — Şubat Ayı Kâr Payı Ödemesi — eski GELIR_GIDER satır 67</t>
  </si>
  <si>
    <t>V00036</t>
  </si>
  <si>
    <t>KÂR PAYI / AVANS ÇEKİŞİ — Mart Ayı Kâr Payı Ödemesi — eski GELIR_GIDER satır 94</t>
  </si>
  <si>
    <t>V00037</t>
  </si>
  <si>
    <t>KÂR PAYI / AVANS ÇEKİŞİ — Mart Ayı Kâr Payı Ödemesi — eski GELIR_GIDER satır 95</t>
  </si>
  <si>
    <t>V00038</t>
  </si>
  <si>
    <t>KÂR PAYI / AVANS ÇEKİŞİ — Nisan Ayı Kâr Payı Ödemesi — eski GELIR_GIDER satır 134</t>
  </si>
  <si>
    <t>V00039</t>
  </si>
  <si>
    <t>KÂR PAYI / AVANS ÇEKİŞİ — Nisan Ayı Kâr Payı Ödemesi — eski GELIR_GIDER satır 135</t>
  </si>
  <si>
    <t>V00040</t>
  </si>
  <si>
    <t>KÂR PAYI / AVANS ÇEKİŞİ — Mayıs Ayı Kâr Payı Ödemesi — eski GELIR_GIDER satır 167</t>
  </si>
  <si>
    <t>V00041</t>
  </si>
  <si>
    <t>KÂR PAYI / AVANS ÇEKİŞİ — Mayıs Ayı Kâr Payı Ödemesi — eski GELIR_GIDER satır 168</t>
  </si>
  <si>
    <t>V00042</t>
  </si>
  <si>
    <t>KÂR PAYI / AVANS ÇEKİŞİ — Haziran Ayı Kâr Payı Ödemesi — eski GELIR_GIDER satır 184</t>
  </si>
  <si>
    <t>V00043</t>
  </si>
  <si>
    <t>KÂR PAYI / AVANS ÇEKİŞİ — Haziran Ayı Kâr Payı Ödemesi — eski GELIR_GIDER satır 185</t>
  </si>
  <si>
    <t>V00044</t>
  </si>
  <si>
    <t>KÂR PAYI / AVANS ÇEKİŞİ — Temmuz Ayı Kâr Payı Ödemesi — eski GELIR_GIDER satır 196</t>
  </si>
  <si>
    <t>V00045</t>
  </si>
  <si>
    <t>KÂR PAYI / AVANS ÇEKİŞİ — Temmuz Ayı Kâr Payı Ödemesi — eski GELIR_GIDER satır 197</t>
  </si>
  <si>
    <t>KILIÇ MUHASEBE   │   MÜŞTERİ 360</t>
  </si>
  <si>
    <t>Tüm müşterilerin cari ve risk görünümü.</t>
  </si>
  <si>
    <t>RAPOR: Kayıt girmeyin; düzeltmeyi kaynak defterden yapın.</t>
  </si>
  <si>
    <t>Haftalık Ücret</t>
  </si>
  <si>
    <t>Aylık Ücret</t>
  </si>
  <si>
    <t>Yeni Tahakkuk</t>
  </si>
  <si>
    <t>Toplam Borç</t>
  </si>
  <si>
    <t>Toplam Tahsilat</t>
  </si>
  <si>
    <t>Cari Bakiye</t>
  </si>
  <si>
    <t>Tahsilat Oranı</t>
  </si>
  <si>
    <t>Borç Durumu</t>
  </si>
  <si>
    <t>Önerilen İşlem</t>
  </si>
  <si>
    <t>KILIÇ MUHASEBE   │   MÜŞTERİ CARİ EKSTRESİ</t>
  </si>
  <si>
    <t>◈  RAPOR ALANI — YALNIZ MÜŞTERİ SEÇİMİ</t>
  </si>
  <si>
    <t>Seçilen müşterinin cari raporu.</t>
  </si>
  <si>
    <t>RAPOR: Yalnız müşteri seçimini değiştirin.</t>
  </si>
  <si>
    <t>Müşteri Seçimi</t>
  </si>
  <si>
    <t>Toplam Ödeme</t>
  </si>
  <si>
    <t>Kalan Bakiye</t>
  </si>
  <si>
    <t>KILIÇ MUHASEBE   │   KASA / BANKA / HESAPLAR</t>
  </si>
  <si>
    <t>✎  VERİ GİRİŞ / KONTROL ALANI — YALNIZ SARI HÜCRELER</t>
  </si>
  <si>
    <t>Açılış bakiyesi + otomatik hesap bakiyeleri.</t>
  </si>
  <si>
    <t>SAKIN: Otomatik bakiye alanlarını değiştirmeyin.</t>
  </si>
  <si>
    <t>Hesap Adı</t>
  </si>
  <si>
    <t>Açılış Bakiyesi</t>
  </si>
  <si>
    <t>Müşteri Tahsilatı</t>
  </si>
  <si>
    <t>Diğer Gerçekleşen Gelir</t>
  </si>
  <si>
    <t>Gerçekleşen Gider</t>
  </si>
  <si>
    <t>Gelen Virman</t>
  </si>
  <si>
    <t>Giden Virman</t>
  </si>
  <si>
    <t>Güncel Bakiye</t>
  </si>
  <si>
    <t>Kasa Açığı</t>
  </si>
  <si>
    <t>Kasa</t>
  </si>
  <si>
    <t>Ortak Cari</t>
  </si>
  <si>
    <t>GARANTİBANK</t>
  </si>
  <si>
    <t>Banka</t>
  </si>
  <si>
    <t>ZİRAATBANK</t>
  </si>
  <si>
    <t>KILIÇ MUHASEBE   │   AY SONU KAPANIŞI</t>
  </si>
  <si>
    <t>✎  VERİ GİRİŞ / KAPANIŞ ALANI — YALNIZ SARI HÜCRELER</t>
  </si>
  <si>
    <t>Aylık nakit kâr, hakediş ve kapanış.</t>
  </si>
  <si>
    <t>SAKIN: Kâr payını gider yazmayın.</t>
  </si>
  <si>
    <t>Toplam Gerçekleşen Gelir</t>
  </si>
  <si>
    <t>NAKİT KÂR</t>
  </si>
  <si>
    <t>Birikimli Nakit Kâr</t>
  </si>
  <si>
    <t>Ortak 1 Hakediş</t>
  </si>
  <si>
    <t>Ortak 2 Hakediş</t>
  </si>
  <si>
    <t>Dönem Kapandı mı?</t>
  </si>
  <si>
    <t>Ortak 1 Çekiş / Avans</t>
  </si>
  <si>
    <t>Ortak 2 Çekiş / Avans</t>
  </si>
  <si>
    <t>KILIÇ MUHASEBE   │   ORTAK CARİ ÖZETİ</t>
  </si>
  <si>
    <t>Ortak cari, hakediş ve avans özeti.</t>
  </si>
  <si>
    <t>RAPOR: Kayıt girmeyin.</t>
  </si>
  <si>
    <t>Ortak Adı</t>
  </si>
  <si>
    <t>Müşteriden Alınan</t>
  </si>
  <si>
    <t>Nakitsiz Borçlandırma</t>
  </si>
  <si>
    <t>Cari Transfer / Avans</t>
  </si>
  <si>
    <t>Ofise Ödenen</t>
  </si>
  <si>
    <t>Operasyonel Cari Borcu</t>
  </si>
  <si>
    <t>Kâr Payı Hakedişi</t>
  </si>
  <si>
    <t>Kâr Payı / Avans Çekişi</t>
  </si>
  <si>
    <t>Kâr Payı Bakiye / Avans</t>
  </si>
  <si>
    <t>Genel Net Mahsup</t>
  </si>
  <si>
    <t>Ortağın elindeki/ofise borçlu olduğu para ile hak ettiği kâr payı aynı şey değildir. Sistem ikisini ayrı izler; yalnız Genel Net alanında mahsuplaştırır.</t>
  </si>
  <si>
    <t>OPERASYONEL CARİ = müşteri paraları + nakitsiz borçlandırmalar + cari transferler − ofise teslim edilenler. KÂR PAYI BAKİYESİ: pozitif = ofisin ortağa borcu; negatif = AVANS.</t>
  </si>
  <si>
    <t>KILIÇ MUHASEBE   │   KÂR / T-CETVELİ</t>
  </si>
  <si>
    <t>Tahsilat esaslı gelir/gider T-cetveli.</t>
  </si>
  <si>
    <t>RAPOR: Tahakkuku nakit kâr saymayın.</t>
  </si>
  <si>
    <t>Gelir Kalemi</t>
  </si>
  <si>
    <t>Birikimli Tutar</t>
  </si>
  <si>
    <t>Pay %</t>
  </si>
  <si>
    <t>Gider Kalemi</t>
  </si>
  <si>
    <t>Müşteri Tahsilatları (Gerçekleşen)</t>
  </si>
  <si>
    <t>Diğer Hizmet Geliri</t>
  </si>
  <si>
    <t>TOPLAM GELİR</t>
  </si>
  <si>
    <t>TOPLAM GİDER</t>
  </si>
  <si>
    <t>◈  KONTROL / RAPOR ALANI — VERİ GİRİŞİ YOK</t>
  </si>
  <si>
    <t>Kod</t>
  </si>
  <si>
    <t>Seviye</t>
  </si>
  <si>
    <t>Adet / Fark</t>
  </si>
  <si>
    <t>Sonuç</t>
  </si>
  <si>
    <t>Beklenen</t>
  </si>
  <si>
    <t>Gerçek</t>
  </si>
  <si>
    <t>İlgili Ekran</t>
  </si>
  <si>
    <t>Nerede?</t>
  </si>
  <si>
    <t>Ne yapmalıyım?</t>
  </si>
  <si>
    <t>K01</t>
  </si>
  <si>
    <t>Müşteri mükerrer no</t>
  </si>
  <si>
    <t>O7:O156</t>
  </si>
  <si>
    <t>Aynı müşteri için tek Müşteri No bırakın.</t>
  </si>
  <si>
    <t>K02</t>
  </si>
  <si>
    <t>Müşteri eksik kart</t>
  </si>
  <si>
    <t>Eksik No/Unvan/Durum alanlarını tamamlayın.</t>
  </si>
  <si>
    <t>K03</t>
  </si>
  <si>
    <t>Ücret tanımsız müşteri</t>
  </si>
  <si>
    <t>K7:K306</t>
  </si>
  <si>
    <t>Müşteriyi ana karttan seçin.</t>
  </si>
  <si>
    <t>K04</t>
  </si>
  <si>
    <t>Ücret eksik kayıt</t>
  </si>
  <si>
    <t>Başlangıç/model/tutar alanlarını tamamlayın.</t>
  </si>
  <si>
    <t>K05</t>
  </si>
  <si>
    <t>Tahsilat tanımsız müşteri</t>
  </si>
  <si>
    <t>TAHSILAT!M7:M1006</t>
  </si>
  <si>
    <t>Müşteriyi listeden yeniden seçin.</t>
  </si>
  <si>
    <t>K06</t>
  </si>
  <si>
    <t>Tahsilat eksik kayıt</t>
  </si>
  <si>
    <t>Tarih/tutar/hesap/ödeme türünü tamamlayın.</t>
  </si>
  <si>
    <t>K07</t>
  </si>
  <si>
    <t>Tahsilat sıfır/eksi tutar</t>
  </si>
  <si>
    <t>TAHSILAT!F7:F1006</t>
  </si>
  <si>
    <t>Tutarı pozitif girin.</t>
  </si>
  <si>
    <t>K08</t>
  </si>
  <si>
    <t>Mahsup fiziki kasada</t>
  </si>
  <si>
    <t>TAHSILAT!G7:H1006</t>
  </si>
  <si>
    <t>Mahsup işlemini CARİ MAHSUP hesabına taşıyın.</t>
  </si>
  <si>
    <t>K09</t>
  </si>
  <si>
    <t>Tanımsız borçlu</t>
  </si>
  <si>
    <t>GELIR_GIDER!P7:P1000</t>
  </si>
  <si>
    <t>Borçlu Tarafı müşteri/ortak listesinden seçin.</t>
  </si>
  <si>
    <t>K10</t>
  </si>
  <si>
    <t>Nakitsiz tahakkukta kasa</t>
  </si>
  <si>
    <t>GELIR_GIDER!H7:P1000</t>
  </si>
  <si>
    <t>Kasa/Banka hücresini temizleyin.</t>
  </si>
  <si>
    <t>K11</t>
  </si>
  <si>
    <t>Tahakkuk nakit işaretlenmiş</t>
  </si>
  <si>
    <t>GELIR_GIDER!I7:P1000</t>
  </si>
  <si>
    <t>Gerçekleşti ve Borçlu Taraf kombinasyonunu düzeltin.</t>
  </si>
  <si>
    <t>K12</t>
  </si>
  <si>
    <t>Gelir/Gider eksik kayıt</t>
  </si>
  <si>
    <t>Tür/kategori/tutar gibi zorunlu alanları tamamlayın.</t>
  </si>
  <si>
    <t>K13</t>
  </si>
  <si>
    <t>Gelir/Gider sıfır/eksi tutar</t>
  </si>
  <si>
    <t>GELIR_GIDER!G7:G1000</t>
  </si>
  <si>
    <t>K14</t>
  </si>
  <si>
    <t>Gerçek gelirde hesap boş</t>
  </si>
  <si>
    <t>GELIR_GIDER!H7:I1000</t>
  </si>
  <si>
    <t>Gerçek para geldiyse Kasa/Banka seçin.</t>
  </si>
  <si>
    <t>K15</t>
  </si>
  <si>
    <t>Gerçek giderde hesap boş</t>
  </si>
  <si>
    <t>Ödemenin çıktığı hesabı seçin.</t>
  </si>
  <si>
    <t>K16</t>
  </si>
  <si>
    <t>Nakitsiz gelirde borçlu boş</t>
  </si>
  <si>
    <t>GELIR_GIDER!I7:L1000</t>
  </si>
  <si>
    <t>Borçlu müşteriyi veya ortağı seçin.</t>
  </si>
  <si>
    <t>K17</t>
  </si>
  <si>
    <t>Migrasyon kayıt adedi</t>
  </si>
  <si>
    <t>GELIR_GIDER!B210:B225</t>
  </si>
  <si>
    <t>16 tarihsel migrasyon kaydı korunmalı.</t>
  </si>
  <si>
    <t>K18</t>
  </si>
  <si>
    <t>Migrasyon toplamı</t>
  </si>
  <si>
    <t>GELIR_GIDER!G210:G225</t>
  </si>
  <si>
    <t>Migrasyon toplamı 114.000 TL olmalı.</t>
  </si>
  <si>
    <t>K19</t>
  </si>
  <si>
    <t>Migrasyonda kasa seçili</t>
  </si>
  <si>
    <t>GELIR_GIDER!H210:L225</t>
  </si>
  <si>
    <t>Migrasyon nakitsizdir; Kasa/Banka boş kalmalı.</t>
  </si>
  <si>
    <t>K20</t>
  </si>
  <si>
    <t>Virman aynı hesap</t>
  </si>
  <si>
    <t>VIRMAN!J7:J500</t>
  </si>
  <si>
    <t>Çıkan ve giren hesabı farklı seçin.</t>
  </si>
  <si>
    <t>K21</t>
  </si>
  <si>
    <t>Yanlış virman</t>
  </si>
  <si>
    <t>Nakitsiz hizmet/mahsup kaydını doğru deftere taşıyın.</t>
  </si>
  <si>
    <t>K22</t>
  </si>
  <si>
    <t>Virman eksik kayıt</t>
  </si>
  <si>
    <t>VIRMAN!J7:L500</t>
  </si>
  <si>
    <t>Tarih/hesap/tutar alanlarını tamamlayın.</t>
  </si>
  <si>
    <t>K23</t>
  </si>
  <si>
    <t>Virman sıfır/eksi tutar</t>
  </si>
  <si>
    <t>VIRMAN!F7:F500</t>
  </si>
  <si>
    <t>K24</t>
  </si>
  <si>
    <t>Eski SGK/Muhasebe yanlış virman</t>
  </si>
  <si>
    <t>VIRMAN!D7:G500</t>
  </si>
  <si>
    <t>Nakitsiz hizmeti GELİR_GİDER tahakkukuna taşıyın.</t>
  </si>
  <si>
    <t>K25</t>
  </si>
  <si>
    <t>Yalıkent/Grand06 yapay kasa</t>
  </si>
  <si>
    <t>Doğrudan Ömer tahsilatını kasaya girip çıkmış göstermeyin.</t>
  </si>
  <si>
    <t>K26</t>
  </si>
  <si>
    <t>Ortak sayısı</t>
  </si>
  <si>
    <t>B7:B8</t>
  </si>
  <si>
    <t>Ali Kılıç ve Ömer Kartal iki ortak olarak bulunmalı.</t>
  </si>
  <si>
    <t>K27</t>
  </si>
  <si>
    <t>Ortak pay toplamı</t>
  </si>
  <si>
    <t>C11:C12</t>
  </si>
  <si>
    <t>Payların toplamını %100 yapın.</t>
  </si>
  <si>
    <t>K28</t>
  </si>
  <si>
    <t>Negatif gerçek kasa/banka</t>
  </si>
  <si>
    <t>K7:K16</t>
  </si>
  <si>
    <t>Açılış bakiyesi ve geçmiş gerçek nakit hareketlerini kontrol edin.</t>
  </si>
  <si>
    <t>K29</t>
  </si>
  <si>
    <t>Borçlu listesinde ortak eksik</t>
  </si>
  <si>
    <t>M7:M63</t>
  </si>
  <si>
    <t>Her iki ortak Borçlu Taraf listesinde bulunmalı.</t>
  </si>
  <si>
    <t>K30</t>
  </si>
  <si>
    <t>Kâr payı gider olarak yazılmış</t>
  </si>
  <si>
    <t>GELIR_GIDER!F7:F1000</t>
  </si>
  <si>
    <t>Kâr payı/avansı GELİR_GİDER değil VIRMAN ile kaydedin.</t>
  </si>
  <si>
    <t>K31</t>
  </si>
  <si>
    <t>Tahsilat kayıt no mükerrer</t>
  </si>
  <si>
    <t>TAHSILAT!B7:B1006</t>
  </si>
  <si>
    <t>Mükerrer Tahsilat No satırlarını inceleyin.</t>
  </si>
  <si>
    <t>K32</t>
  </si>
  <si>
    <t>Gelir/Gider kayıt no mükerrer</t>
  </si>
  <si>
    <t>GELIR_GIDER!B7:B1000</t>
  </si>
  <si>
    <t>Mükerrer Kayıt No satırlarını inceleyin.</t>
  </si>
  <si>
    <t>R33</t>
  </si>
  <si>
    <t>PANO gerçek kasa/banka mutabakatı</t>
  </si>
  <si>
    <t>0 fark</t>
  </si>
  <si>
    <t>PANO / HESAPLAR</t>
  </si>
  <si>
    <t>PANO!J6 / HESAPLAR!K7:K16</t>
  </si>
  <si>
    <t>PANO KPI kaynağını HESAPLAR fiziksel kasa/banka toplamına bağlayın.</t>
  </si>
  <si>
    <t>R34</t>
  </si>
  <si>
    <t>RAPOR gerçek kasa/banka mutabakatı</t>
  </si>
  <si>
    <t>RAPOR / HESAPLAR</t>
  </si>
  <si>
    <t>RAPOR!E7 / HESAPLAR!K7:K16</t>
  </si>
  <si>
    <t>RAPOR KPI kaynağını doğrudan HESAPLAR SSOT'una bağlayın.</t>
  </si>
  <si>
    <t>R35</t>
  </si>
  <si>
    <t>Ücret tutarı alanında sayı dışı içerik</t>
  </si>
  <si>
    <t>UCRETLER!G69:G306</t>
  </si>
  <si>
    <t>Ücret Tutarı kullanıcı girdisidir; sayı dışı içerik varsa düzeltin.</t>
  </si>
  <si>
    <t>R36</t>
  </si>
  <si>
    <t>Rapor tarihi parametresi</t>
  </si>
  <si>
    <t>Geçerli tarih</t>
  </si>
  <si>
    <t>SISTEM!C17</t>
  </si>
  <si>
    <t>SISTEM!C17 hücresine geçerli rapor tarihi girin.</t>
  </si>
  <si>
    <t>ORT01</t>
  </si>
  <si>
    <t>Operasyonel ortak cari invariantı</t>
  </si>
  <si>
    <t>ORTAKLAR!C7:G8</t>
  </si>
  <si>
    <t>Müşteriden alınan + nakitsiz borçlandırma + normal cari transfer − ofise ödenen eşitliğini düzeltin.</t>
  </si>
  <si>
    <t>ORT02</t>
  </si>
  <si>
    <t>Kâr payı bakiye invariantı</t>
  </si>
  <si>
    <t>ORTAKLAR!H7:J8</t>
  </si>
  <si>
    <t>Hakediş − Kâr Payı/Avans Çekişi eşitliğini düzeltin.</t>
  </si>
  <si>
    <t>ORT03</t>
  </si>
  <si>
    <t>Genel net mahsup invariantı</t>
  </si>
  <si>
    <t>ORTAKLAR!G7:K8</t>
  </si>
  <si>
    <t>Operasyonel Cari − Kâr Payı Bakiye eşitliğini düzeltin.</t>
  </si>
  <si>
    <t>ORT04</t>
  </si>
  <si>
    <t>Kâr payı işletme gideri değildir</t>
  </si>
  <si>
    <t>0 kayıt</t>
  </si>
  <si>
    <t>GELIR_GIDER!E7:F1000</t>
  </si>
  <si>
    <t>Kâr payı/avans hareketini GELIR_GIDER'den çıkarın; yalnız VIRMAN'da izleyin.</t>
  </si>
  <si>
    <t>ORT05</t>
  </si>
  <si>
    <t>Kâr payı çift kayıt kontrolü</t>
  </si>
  <si>
    <t>0 çift kayıt</t>
  </si>
  <si>
    <t>GELIR_GIDER / VIRMAN</t>
  </si>
  <si>
    <t>GELIR_GIDER + VIRMAN</t>
  </si>
  <si>
    <t>Aynı kâr payı çekişini hem GELIR_GIDER hem VIRMAN'da tutmayın.</t>
  </si>
  <si>
    <t>ORT06</t>
  </si>
  <si>
    <t>Hakediş üstü çekiş = AVANS</t>
  </si>
  <si>
    <t>0 veya bilgi</t>
  </si>
  <si>
    <t>ORTAKLAR!J7:J8</t>
  </si>
  <si>
    <t>Negatif Kâr Payı Bakiye hata değildir; AVANS olarak bilgi/uyarı gösterilir.</t>
  </si>
  <si>
    <t>ORT07</t>
  </si>
  <si>
    <t>Ömer nakitsiz migrasyon mutabakatı</t>
  </si>
  <si>
    <t>16 kayıt / 114.000 TL</t>
  </si>
  <si>
    <t>GELIR_GIDER!B210:L225</t>
  </si>
  <si>
    <t>GELIR_GIDER 210:225 kayıtlarında adet, tutar, kasa, gerçekleşme ve borçlu alanlarını notla mutabık yapın.</t>
  </si>
  <si>
    <t>ORT08</t>
  </si>
  <si>
    <t>ORTAK_EKSTRE seçim yayılımı</t>
  </si>
  <si>
    <t>ORTAK_EKSTRE!C4 + özet + 5 blok + AY_SONU</t>
  </si>
  <si>
    <t>C4 ortak seçimini değiştirin; özet ve tüm detay bloklarının seçilen ortakla değiştiğini doğrulayın.</t>
  </si>
  <si>
    <t>ORT09</t>
  </si>
  <si>
    <t>Doğrudan ortak tahsilatı semantiği</t>
  </si>
  <si>
    <t>TAHSILAT / ORTAKLAR</t>
  </si>
  <si>
    <t>TAHSILAT!G7:H1006 / ORTAKLAR!C8</t>
  </si>
  <si>
    <t>Ömer'e doğrudan ödenen gerçek tahsilatı operasyonel cariye alın; MERKEZ KASA'ya ikinci kez yazmayın.</t>
  </si>
  <si>
    <t>ORT10</t>
  </si>
  <si>
    <t>Mahsup nakit değildir</t>
  </si>
  <si>
    <t>Mahsup hareketini fiziki kasa/banka veya ortağın elindeki gerçek para olarak saymayın.</t>
  </si>
  <si>
    <t>ORT11</t>
  </si>
  <si>
    <t>Ortak raporu tam kapasite</t>
  </si>
  <si>
    <t>ORTAKLAR + tam 1006/1000/500 kaynak aralıkları</t>
  </si>
  <si>
    <t>Rapor kaynaklarını TAHSILAT 7:1006, GELIR_GIDER 7:1000 ve VIRMAN 7:500 kapasitesine bağlayın.</t>
  </si>
  <si>
    <t>ORT12</t>
  </si>
  <si>
    <t>Başarısız kontrolde locator + aksiyon</t>
  </si>
  <si>
    <t>0 eksik</t>
  </si>
  <si>
    <t>KONTROL!F42:K52</t>
  </si>
  <si>
    <t>KALDI olan ortak kontrolünde sayfa/satır/kayıt/ortak locator'ı ve yapılacak işlem metni boş olamaz.</t>
  </si>
  <si>
    <t>KILIÇ MUHASEBE   │   SİSTEM / KONTROL MERKEZİ</t>
  </si>
  <si>
    <t>✎  PARAMETRE / VERİ GİRİŞ ALANI — YALNIZ SARI HÜCRELER</t>
  </si>
  <si>
    <t>Parametreler, listeler ve kritik kontrol merkezi.</t>
  </si>
  <si>
    <t>SAKIN: Kontrol sonucunu elle değiştirmeyin.</t>
  </si>
  <si>
    <t>Parametre</t>
  </si>
  <si>
    <t>Değer</t>
  </si>
  <si>
    <t>Gider Kategorileri</t>
  </si>
  <si>
    <t>Gelir Kategorileri</t>
  </si>
  <si>
    <t>Borçlu Taraf Listesi</t>
  </si>
  <si>
    <t>Hesap Listesi</t>
  </si>
  <si>
    <t>Virman İşlem Sınıfları</t>
  </si>
  <si>
    <t>Ofis Adı</t>
  </si>
  <si>
    <t>KILIÇ MUHASEBE</t>
  </si>
  <si>
    <t>Rapor başlıkları</t>
  </si>
  <si>
    <t>Tahakkuk Günü</t>
  </si>
  <si>
    <t>Cumartesi</t>
  </si>
  <si>
    <t>Haftalık tahakkuk</t>
  </si>
  <si>
    <t>Ortak 1 Adı</t>
  </si>
  <si>
    <t>Birinci ortak</t>
  </si>
  <si>
    <t>Ortak 2 Adı</t>
  </si>
  <si>
    <t>İkinci ortak</t>
  </si>
  <si>
    <t>DİĞER GERÇEK TRANSFER</t>
  </si>
  <si>
    <t>Ortak 1 Payı</t>
  </si>
  <si>
    <t>Kâr paylaşım oranı</t>
  </si>
  <si>
    <t>Ortak 2 Payı</t>
  </si>
  <si>
    <t>Kasa Tamponu</t>
  </si>
  <si>
    <t>Ofiste tutulacak tutar</t>
  </si>
  <si>
    <t>Kâr Paylaşım Esası</t>
  </si>
  <si>
    <t>Tahsilat esaslı</t>
  </si>
  <si>
    <t>Sabit</t>
  </si>
  <si>
    <t>Hedef Excel Sürümü</t>
  </si>
  <si>
    <t>FILTER/dinamik dizi kullanan detay raporlar için hedef motor</t>
  </si>
  <si>
    <t>Release Standardı</t>
  </si>
  <si>
    <t>KONTROL + ORT01–ORT12 + Oracle + Stres Testi</t>
  </si>
  <si>
    <t>Kritik KALDI=0 zorunlu; veri kaynaklı UYARI ayrıca izlenir</t>
  </si>
  <si>
    <t>Rapor Tarihi</t>
  </si>
  <si>
    <t>Tüm zaman esaslı hesapların tek parametresi.</t>
  </si>
  <si>
    <t>KRİTİK KONTROL</t>
  </si>
  <si>
    <t>Adet</t>
  </si>
  <si>
    <t>Gelir/Gider tanımsız borçlu</t>
  </si>
  <si>
    <t>Borçlu Taraf listeden seçilmeli.</t>
  </si>
  <si>
    <t>Nakitsiz tahakkukta kasa seçilmiş</t>
  </si>
  <si>
    <t>Nakitsiz tahakkukta Kasa/Banka boş olmalı.</t>
  </si>
  <si>
    <t>Eski SGK/Muhasebe işlemi yanlış VIRMAN'da</t>
  </si>
  <si>
    <t>Bu işlemler GELİR_GİDER'de nakitsiz tahakkuk olmalı.</t>
  </si>
  <si>
    <t>Yalıkent/Grand06 yapay kasa çifti</t>
  </si>
  <si>
    <t>Doğrudan ortağın tahsil ettiği para kasa üzerinden geçirilmez.</t>
  </si>
  <si>
    <t>Eksik tarihli gerçek Gelir/Gider kaydı</t>
  </si>
  <si>
    <t>Tarih yalnız gerçek kullanıcı girdisi bulunan satırda zorunludur; boş kapasite satırı hata değildir.</t>
  </si>
  <si>
    <t>Nakit olmayan mahsup kaydı fiziki kasada</t>
  </si>
  <si>
    <t>Bu kayıtlar CARİ MAHSUP olmalı; gerçek kasa/banka ve nakit kârı etkilememeli.</t>
  </si>
  <si>
    <t>Ortak</t>
  </si>
  <si>
    <t>Katman</t>
  </si>
  <si>
    <t>Hareket Türü</t>
  </si>
  <si>
    <t>Kaynak No</t>
  </si>
  <si>
    <t>Operasyonel Etki</t>
  </si>
  <si>
    <t>Kâr Payı Etki</t>
  </si>
  <si>
    <t>Operasyonel Bakiye</t>
  </si>
  <si>
    <t>Kâr Payı Bakiye</t>
  </si>
  <si>
    <t>Kaynak</t>
  </si>
  <si>
    <t>⚙  TEKNİK / MOTOR ALANI — VERİ GİRİŞİ YOK • DEĞİŞTİRMEYİN</t>
  </si>
  <si>
    <t>ÖMER</t>
  </si>
  <si>
    <t>ALİ</t>
  </si>
  <si>
    <t>03.01.2026</t>
  </si>
  <si>
    <t>OPERASYONEL</t>
  </si>
  <si>
    <t>MÜŞTERİDEN DOĞRUDAN TAHSİLAT</t>
  </si>
  <si>
    <t>EĞLENGÖR LTD.ŞTİ. — ÖMER KARTALA ÖDENEN</t>
  </si>
  <si>
    <t>31.01.2026</t>
  </si>
  <si>
    <t>KÂR PAYI</t>
  </si>
  <si>
    <t>KÂR PAYI HAKEDİŞİ</t>
  </si>
  <si>
    <t>2026-01</t>
  </si>
  <si>
    <t>01/2026 aylık nakit kâr hakedişi (%50)</t>
  </si>
  <si>
    <t>AY_SONU / ORACLE</t>
  </si>
  <si>
    <t>ÖZFİDANLAR LTD.ŞTİ. — ÖMER KARTALA ÖDENEN</t>
  </si>
  <si>
    <t>KÂR PAYI / AVANS ÇEKİŞİ</t>
  </si>
  <si>
    <t>PAKYILDIZ LTD.ŞTİ. — ÖMER KARTALA ÖDENEN</t>
  </si>
  <si>
    <t>28.02.2026</t>
  </si>
  <si>
    <t>2026-02</t>
  </si>
  <si>
    <t>02/2026 aylık nakit kâr hakedişi (%50)</t>
  </si>
  <si>
    <t>ZÜMRÜT GRUP LTD.ŞTİ. — ÖMER KARTALA ÖDENEN</t>
  </si>
  <si>
    <t>10.01.2026</t>
  </si>
  <si>
    <t>ANKARA HAVANA LTD.ŞTİ. — ÖMER KARTALA ÖDENEN</t>
  </si>
  <si>
    <t>31.03.2026</t>
  </si>
  <si>
    <t>2026-03</t>
  </si>
  <si>
    <t>03/2026 aylık nakit kâr hakedişi (%50)</t>
  </si>
  <si>
    <t>FİNAL SİYAH BEYAZ LTD.ŞTİ. — ÖMER KARTALA ÖDENEN</t>
  </si>
  <si>
    <t>30.04.2026</t>
  </si>
  <si>
    <t>2026-04</t>
  </si>
  <si>
    <t>04/2026 aylık nakit kâr hakedişi (%50)</t>
  </si>
  <si>
    <t>İLDEŞ LTD.ŞTİ. — ÖMER KARTALA ÖDENEN</t>
  </si>
  <si>
    <t>MONAMOUR LTD.ŞTİ. — ÖMER KARTALA ÖDENEN</t>
  </si>
  <si>
    <t>31.05.2026</t>
  </si>
  <si>
    <t>2026-05</t>
  </si>
  <si>
    <t>05/2026 aylık nakit kâr hakedişi (%50)</t>
  </si>
  <si>
    <t>NAZ 1 GIDA LTD.ŞTİ. — ÖMER KARTALA ÖDENEN</t>
  </si>
  <si>
    <t>30.06.2026</t>
  </si>
  <si>
    <t>2026-06</t>
  </si>
  <si>
    <t>06/2026 aylık nakit kâr hakedişi (%50)</t>
  </si>
  <si>
    <t>12.01.2026</t>
  </si>
  <si>
    <t>ÇAYIRALAN LTD.ŞTİ. — ÖMER KARTALA ÖDENEN</t>
  </si>
  <si>
    <t>31.07.2026</t>
  </si>
  <si>
    <t>2026-07</t>
  </si>
  <si>
    <t>07/2026 aylık nakit kâr hakedişi (%50)</t>
  </si>
  <si>
    <t>İBRAHİM MALDAN — ÖMER KARTALA ÖDENEN</t>
  </si>
  <si>
    <t>RİX ŞOW LTD.ŞTİ. — ÖMER KARTALA ÖDENEN</t>
  </si>
  <si>
    <t>31.08.2026</t>
  </si>
  <si>
    <t>2026-08</t>
  </si>
  <si>
    <t>08/2026 aylık nakit kâr hakedişi (%50)</t>
  </si>
  <si>
    <t>ZÜMRÜT EĞLENCE LTD.ŞTİ. — ÖMER KARTALA ÖDENEN</t>
  </si>
  <si>
    <t>13.01.2026</t>
  </si>
  <si>
    <t>UFUK YILMAZ — NAKİT ÖDENEN</t>
  </si>
  <si>
    <t>ALTINEL LTD.ŞTİ. — ALTINEL LTD.ŞTİ.</t>
  </si>
  <si>
    <t>ARMAN DİK — ÖMER KARTALA ÖDENEN</t>
  </si>
  <si>
    <t>ARON TOPTAN LTD.ŞTİ. — ONUR BAKİYESİNE MAHSUP</t>
  </si>
  <si>
    <t>ÇINARHAN LTD.ŞTİ. — ÖMER KARTALA ÖDENEN</t>
  </si>
  <si>
    <t>VOLKAN AÇIK — NAKİT ÖDENEN M.ALİ KARTAL</t>
  </si>
  <si>
    <t>NAKİTSİZ BORÇLANDIRMA</t>
  </si>
  <si>
    <t>01.02.2026</t>
  </si>
  <si>
    <t>YEDİYİRMİDÖRT LTD.ŞTİ. — NAKİT ÖDENEN</t>
  </si>
  <si>
    <t>07.02.2026</t>
  </si>
  <si>
    <t>ÇINARHAN LTD.ŞTİ. — NAKİT ÖDENEN</t>
  </si>
  <si>
    <t>10.02.2026</t>
  </si>
  <si>
    <t>Monamour Ltd.Şti. — ÖMER KARTALA ÖDENEN</t>
  </si>
  <si>
    <t>13.02.2026</t>
  </si>
  <si>
    <t>16.02.2026</t>
  </si>
  <si>
    <t>NERO E TİCARET LTD.ŞTİ. — ÖMER KARTALA ÖDENEN</t>
  </si>
  <si>
    <t>21.02.2026</t>
  </si>
  <si>
    <t>ASM EĞLENCE LTD.ŞTİ. — ÖMER KARTALA ÖDENEN</t>
  </si>
  <si>
    <t>İldeş Ltd.Şti. — ÖMER KARTALA ÖDENEN</t>
  </si>
  <si>
    <t>Özfidanlar Ltd.Şti. — ÖMER KARTALA ÖDENEN</t>
  </si>
  <si>
    <t>Rix Şow Ltd.Şti. — ÖMER KARTALA ÖDENEN</t>
  </si>
  <si>
    <t>KRİSTAL LTD.ŞTİ. — NAKİT ÖDENEN</t>
  </si>
  <si>
    <t>ESERLİ LTD.ŞTİ. — ÖMER KARTALA ÖDENEN</t>
  </si>
  <si>
    <t>25.02.2026</t>
  </si>
  <si>
    <t>MEHMET EVREN KILINÇ — ÖMER KARTALA ÖDENEN</t>
  </si>
  <si>
    <t>IŞIL GRUP LTD.ŞTİ. — ÖMER KARTALA ÖDENEN</t>
  </si>
  <si>
    <t>01.03.2026</t>
  </si>
  <si>
    <t>06.03.2026</t>
  </si>
  <si>
    <t>KASAYA NAKİT ÖDENEN</t>
  </si>
  <si>
    <t>12.03.2026</t>
  </si>
  <si>
    <t>MENEKŞE AKAN — VERGİ TAHSİLATI İÇİN BORÇ YAZILAN</t>
  </si>
  <si>
    <t>15.03.2026</t>
  </si>
  <si>
    <t>ASM EĞLENCE LTD.ŞTİ. — NAKİT ÖDENEN</t>
  </si>
  <si>
    <t>Çayıralan Ltd.Şti. — ÖMER KARTALA ÖDENEN</t>
  </si>
  <si>
    <t>İbrahim Maldan — ÖMER KARTALA ÖDENEN</t>
  </si>
  <si>
    <t>PALAOĞULLARI LTD.ŞTİ. — NAKİT ÖDENEN</t>
  </si>
  <si>
    <t>TYANA LTD.ŞTİ. — NAKİT ÖDENEN</t>
  </si>
  <si>
    <t>26.03.2026</t>
  </si>
  <si>
    <t>Naz 1 Gıda Ltd.Şti. — ÖMER KARTALA ÖDENEN</t>
  </si>
  <si>
    <t>28.03.2026</t>
  </si>
  <si>
    <t>Zümrüt Eğlence Ltd.Şti. — ÖMER KARTALA ÖDENEN</t>
  </si>
  <si>
    <t>10.04.2026</t>
  </si>
  <si>
    <t>RASİM DEMİRCİ — NAKİT ÖDENEN</t>
  </si>
  <si>
    <t>11.04.2026</t>
  </si>
  <si>
    <t>ASIM AÇIKGÖZ — NAKİT ÖDENEN</t>
  </si>
  <si>
    <t>Pakyıldız Ltd.Şti. — ÖMER KARTALA ÖDENEN</t>
  </si>
  <si>
    <t>12.04.2026</t>
  </si>
  <si>
    <t>14.04.2026</t>
  </si>
  <si>
    <t>25.04.2026</t>
  </si>
  <si>
    <t>02.05.2026</t>
  </si>
  <si>
    <t>09.05.2026</t>
  </si>
  <si>
    <t>Eğlengör Ltd.Şti. — ÖMER KARTALA ÖDENEN</t>
  </si>
  <si>
    <t>15.05.2026</t>
  </si>
  <si>
    <t>16.05.2026</t>
  </si>
  <si>
    <t>30.05.2026</t>
  </si>
  <si>
    <t>ÖMER TATİLDEYKEN HAVALE</t>
  </si>
  <si>
    <t>01.06.2026</t>
  </si>
  <si>
    <t>06.06.2026</t>
  </si>
  <si>
    <t>15.06.2026</t>
  </si>
  <si>
    <t>21.06.2026</t>
  </si>
  <si>
    <t>23.06.2026</t>
  </si>
  <si>
    <t>PALAOĞULLARI LTD.ŞTİ. — GRAND 06 HASAN &amp; ÖMER BAKİYE</t>
  </si>
  <si>
    <t>27.06.2026</t>
  </si>
  <si>
    <t>İSA DEMİRCİ — NAKİT ÖDENEN</t>
  </si>
  <si>
    <t>YALIKENT LTD.ŞTİ. — NAKİT ÖDENEN</t>
  </si>
  <si>
    <t>ÖMER DEMİRCİ — NAKİT ÖDENEN</t>
  </si>
  <si>
    <t>01.07.2026</t>
  </si>
  <si>
    <t>04.07.2026</t>
  </si>
  <si>
    <t>Final Siyah Beyaz Ltd.Şti. — ÖMER KARTALA ÖDENEN</t>
  </si>
  <si>
    <t>YALIKENT LTD.ŞTİ. — YALIKENT HAFTALIK MENDERES MAHSUP</t>
  </si>
  <si>
    <t>11.07.2026</t>
  </si>
  <si>
    <t>15.07.2026</t>
  </si>
  <si>
    <t>18.07.2026</t>
  </si>
  <si>
    <t>25.07.2026</t>
  </si>
  <si>
    <t>01.08.2026</t>
  </si>
  <si>
    <t>09.08.2026</t>
  </si>
  <si>
    <t>PALAOĞULLARI LTD.ŞTİ. — ÖMER GRAND 06 BAKİYESİ</t>
  </si>
  <si>
    <t>15.08.2026</t>
  </si>
  <si>
    <t>KILIÇ MUHASEBE  │  SEÇİMLİ ORTAK CARİ EKSTRESİ</t>
  </si>
  <si>
    <t>◈  RAPOR ALANI — YALNIZ ORTAK SEÇİMİ  •  Sarı C3 hücresinden ortağı seçin; diğer alanlara veri girilmez.</t>
  </si>
  <si>
    <t>ORTAK SEÇİMİ</t>
  </si>
  <si>
    <t>HAREKET SAYISI</t>
  </si>
  <si>
    <t>SEÇİM MOTORU</t>
  </si>
  <si>
    <t>DIRECT IF</t>
  </si>
  <si>
    <t>Seçim: ÖMER KARTAL / ALİ KILIÇ  •  Seçim değişince özet ve hareket listesi birlikte güncellenir.</t>
  </si>
  <si>
    <t>OPERASYONEL CARİ</t>
  </si>
  <si>
    <t>KÂR / AVANS ÇEKİŞİ</t>
  </si>
  <si>
    <t>KÂR PAYI BAKİYESİ</t>
  </si>
  <si>
    <t>GENEL NET MAHSUP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</si>
</sst>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.mm\.yyyy"/>
    <numFmt numFmtId="165" formatCode="#,##0.00\ &quot;₺&quot;"/>
    <numFmt numFmtId="166" formatCode="0.0%"/>
    <numFmt numFmtId="167" formatCode="mmmm\ yyyy"/>
    <numFmt numFmtId="168" formatCode="mmm\ yyyy"/>
    <numFmt numFmtId="171" formatCode="#,##0.00\ &quot;₺&quot;;[Red]\-#,##0.00\ &quot;₺&quot;;\-"/>
    <numFmt numFmtId="172" formatCode="#,##0.00&quot; TL&quot;;[Red]\(#,##0.00&quot; TL&quot;\);\-"/>
    <numFmt numFmtId="173" formatCode="#,##0.00&quot; TL&quot;;[Red]\-#,##0.00&quot; TL&quot;;\-"/>
  </numFmts>
  <fonts count="68">
    <font>
      <sz val="11"/>
      <name val="Carlito"/>
    </font>
    <font>
      <b/>
      <sz val="11"/>
      <color rgb="FFFFFFFF"/>
      <name val="Carlito"/>
    </font>
    <font>
      <b/>
      <sz val="14"/>
      <color rgb="FFFFFFFF"/>
      <name val="Segoe UI"/>
    </font>
    <font>
      <b/>
      <sz val="11"/>
      <color rgb="FFA32D2D"/>
      <name val="Segoe UI"/>
    </font>
    <font>
      <b/>
      <sz val="10"/>
      <color rgb="FF1D4ED8"/>
      <name val="Segoe UI"/>
    </font>
    <font>
      <b/>
      <sz val="11"/>
      <color rgb="FFFFFFFF"/>
      <name val="Segoe UI"/>
    </font>
    <font>
      <sz val="11"/>
      <color rgb="FF0F172A"/>
      <name val="Segoe UI"/>
    </font>
    <font>
      <b/>
      <sz val="12"/>
      <color rgb="FF17324D"/>
      <name val="Segoe UI"/>
    </font>
    <font>
      <b/>
      <sz val="11"/>
      <color rgb="FF0F172A"/>
      <name val="Segoe UI"/>
    </font>
    <font>
      <b/>
      <sz val="11"/>
      <color rgb="FFC6A15B"/>
      <name val="Segoe UI"/>
    </font>
    <font>
      <b/>
      <sz val="10"/>
      <color rgb="FF185FA5"/>
      <name val="Segoe UI"/>
    </font>
    <font>
      <b/>
      <sz val="10"/>
      <color rgb="FF854F0B"/>
      <name val="Segoe UI"/>
    </font>
    <font>
      <b/>
      <sz val="10"/>
      <color rgb="FF0F6E56"/>
      <name val="Segoe UI"/>
    </font>
    <font>
      <b/>
      <sz val="10"/>
      <color rgb="FFA32D2D"/>
      <name val="Segoe UI"/>
    </font>
    <font>
      <b/>
      <sz val="20"/>
      <color rgb="FFFFFFFF"/>
      <name val="Segoe UI"/>
    </font>
    <font>
      <b/>
      <sz val="10"/>
      <color rgb="FFFFFFFF"/>
      <name val="Segoe UI"/>
    </font>
    <font>
      <b/>
      <sz val="16"/>
      <color rgb="FF17324D"/>
      <name val="Segoe UI"/>
    </font>
    <font>
      <b/>
      <sz val="10"/>
      <color rgb="FF0F2942"/>
      <name val="Segoe UI"/>
    </font>
    <font>
      <b/>
      <sz val="16"/>
      <color rgb="FFC6A15B"/>
      <name val="Segoe UI"/>
    </font>
    <font>
      <b/>
      <sz val="16"/>
      <color rgb="FF0F6E56"/>
      <name val="Segoe UI"/>
    </font>
    <font>
      <b/>
      <sz val="16"/>
      <color rgb="FFA32D2D"/>
      <name val="Segoe UI"/>
    </font>
    <font>
      <sz val="10"/>
      <color rgb="FF0F172A"/>
      <name val="Segoe UI"/>
    </font>
    <font>
      <b/>
      <sz val="10"/>
      <color rgb="FF6D28D9"/>
      <name val="Segoe UI"/>
    </font>
    <font>
      <b/>
      <sz val="9"/>
      <color rgb="FF1D4ED8"/>
      <name val="Segoe UI"/>
    </font>
    <font>
      <b/>
      <sz val="9"/>
      <color rgb="FF854F0B"/>
      <name val="Segoe UI"/>
    </font>
    <font>
      <b/>
      <sz val="9"/>
      <color rgb="FF0F6E56"/>
      <name val="Segoe UI"/>
    </font>
    <font>
      <b/>
      <sz val="9"/>
      <color rgb="FF185FA5"/>
      <name val="Segoe UI"/>
    </font>
    <font>
      <b/>
      <sz val="9"/>
      <color rgb="FFA32D2D"/>
      <name val="Segoe UI"/>
    </font>
    <font>
      <b/>
      <sz val="10"/>
      <color rgb="FF0F172A"/>
      <name val="Segoe UI"/>
    </font>
    <font>
      <sz val="10"/>
      <color rgb="FFFFFFFF"/>
      <name val="Segoe UI"/>
    </font>
    <font>
      <b/>
      <sz val="18"/>
      <color rgb="FF0F6E56"/>
      <name val="Segoe UI"/>
    </font>
    <font>
      <b/>
      <sz val="18"/>
      <color rgb="FF854F0B"/>
      <name val="Segoe UI"/>
    </font>
    <font>
      <b/>
      <sz val="9"/>
      <color rgb="FF0F172A"/>
      <name val="Segoe UI"/>
    </font>
    <font>
      <b/>
      <sz val="10"/>
      <color rgb="FF2563EB"/>
      <name val="Segoe UI"/>
    </font>
    <font>
      <b/>
      <sz val="10"/>
      <color rgb="FF185FA5"/>
      <name val="Segoe UI"/>
    </font>
    <font>
      <sz val="9"/>
      <color rgb="FF0F172A"/>
      <name val="Segoe UI"/>
    </font>
    <font>
      <b/>
      <sz val="14"/>
      <color rgb="FF0F2942"/>
      <name val="Segoe UI"/>
    </font>
    <font>
      <b/>
      <sz val="13"/>
      <color rgb="FF0F172A"/>
      <name val="Segoe UI"/>
    </font>
    <font>
      <sz val="1"/>
      <color rgb="FFFFFFFF"/>
      <name val="Carlito"/>
    </font>
    <font>
      <b/>
      <sz val="16"/>
      <color rgb="FFFFFFFF"/>
      <name val="Segoe UI"/>
    </font>
    <font>
      <b/>
      <sz val="10"/>
      <color rgb="FFE6EEF7"/>
      <name val="Segoe UI"/>
    </font>
    <font>
      <b/>
      <sz val="9"/>
      <color rgb="FFFFFFFF"/>
      <name val="Segoe UI"/>
    </font>
    <font>
      <sz val="11"/>
      <color rgb="FF0000FF"/>
      <name val="Segoe UI"/>
    </font>
    <font>
      <b/>
      <sz val="10"/>
      <color rgb="FF0000FF"/>
      <name val="Segoe UI"/>
    </font>
    <font>
      <b/>
      <sz val="11"/>
      <color rgb="FF17365D"/>
      <name val="Segoe UI"/>
    </font>
    <font>
      <sz val="11"/>
      <color rgb="FF111827"/>
      <name val="Carlito"/>
    </font>
    <font>
      <sz val="11"/>
      <color rgb="FF0000FF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i/>
      <sz val="11"/>
      <color rgb="FF075985"/>
      <name val="Carlito"/>
    </font>
    <font>
      <b/>
      <sz val="16"/>
      <color rgb="FFFFFFFF"/>
      <name val="Carlito"/>
    </font>
    <font>
      <b/>
      <sz val="11"/>
      <color rgb="FF111827"/>
      <name val="Carlito"/>
    </font>
    <font>
      <sz val="11"/>
      <color rgb="FF475569"/>
      <name val="Carlito"/>
    </font>
    <font>
      <b/>
      <sz val="13"/>
      <color rgb="FF9B1C1C"/>
      <name val="Carlito"/>
    </font>
    <font>
      <b/>
      <sz val="14"/>
      <color rgb="FF0057B8"/>
      <name val="Carlito"/>
    </font>
    <font>
      <b/>
      <sz val="11"/>
      <color rgb="FF075985"/>
      <name val="Carlito"/>
    </font>
    <font>
      <b/>
      <sz val="11"/>
      <color rgb="FF166534"/>
      <name val="Carlito"/>
    </font>
    <font>
      <i/>
      <sz val="11"/>
      <color rgb="FF7C2D12"/>
      <name val="Carlito"/>
    </font>
    <font>
      <b/>
      <sz val="12"/>
      <color rgb="FF111827"/>
      <name val="Carlito"/>
    </font>
    <font>
      <sz val="10"/>
      <color rgb="FF111827"/>
      <name val="Carlito"/>
    </font>
    <font>
      <b/>
      <sz val="11"/>
      <color rgb="FF7C2D12"/>
      <name val="Segoe UI"/>
    </font>
    <font>
      <b/>
      <sz val="11"/>
      <color rgb="FF7C2D12"/>
      <name val="Carlito"/>
    </font>
    <font>
      <b/>
      <i/>
      <sz val="11"/>
      <color rgb="FFFFFFFF"/>
      <name val="Carlito"/>
    </font>
    <font>
      <b/>
      <sz val="11"/>
      <color theme="0"/>
      <name val="Segoe UI"/>
    </font>
    <font>
      <b/>
      <sz val="10"/>
      <color theme="0"/>
      <name val="Segoe UI"/>
    </font>
    <font>
      <sz val="11"/>
      <color theme="0"/>
      <name val="Segoe UI"/>
      <charset val="162"/>
    </font>
    <font>
      <b/>
      <sz val="11"/>
      <color theme="0"/>
      <name val="Segoe UI"/>
      <charset val="162"/>
    </font>
    <font>
      <sz val="11"/>
      <color theme="0"/>
      <name val="Carlito"/>
      <charset val="162"/>
    </font>
  </fonts>
  <fills count="8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F766E"/>
      </patternFill>
    </fill>
    <fill>
      <patternFill patternType="solid">
        <fgColor rgb="FFFFF4CC"/>
      </patternFill>
    </fill>
    <fill>
      <patternFill patternType="solid">
        <fgColor rgb="FFFFFFFF"/>
      </patternFill>
    </fill>
    <fill>
      <patternFill patternType="solid">
        <fgColor rgb="FFF4F6F9"/>
      </patternFill>
    </fill>
    <fill>
      <patternFill patternType="solid">
        <fgColor rgb="FF17324D"/>
      </patternFill>
    </fill>
    <fill>
      <patternFill patternType="solid">
        <fgColor rgb="FFF3E7CE"/>
      </patternFill>
    </fill>
    <fill>
      <patternFill patternType="solid">
        <fgColor rgb="FFFFFBEB"/>
      </patternFill>
    </fill>
    <fill>
      <patternFill patternType="solid">
        <fgColor rgb="FFE8F0FA"/>
      </patternFill>
    </fill>
    <fill>
      <patternFill patternType="solid">
        <fgColor rgb="FF1D3B58"/>
      </patternFill>
    </fill>
    <fill>
      <patternFill patternType="solid">
        <fgColor rgb="FFFBECEC"/>
      </patternFill>
    </fill>
    <fill>
      <patternFill patternType="solid">
        <fgColor rgb="FFFDF3E3"/>
      </patternFill>
    </fill>
    <fill>
      <patternFill patternType="solid">
        <fgColor rgb="FFE7F5EF"/>
      </patternFill>
    </fill>
    <fill>
      <patternFill patternType="solid">
        <fgColor rgb="FF17324D"/>
      </patternFill>
    </fill>
    <fill>
      <patternFill patternType="solid">
        <fgColor rgb="FFE8F0FA"/>
      </patternFill>
    </fill>
    <fill>
      <patternFill patternType="solid">
        <fgColor rgb="FFE7F5EF"/>
      </patternFill>
    </fill>
    <fill>
      <patternFill patternType="solid">
        <fgColor rgb="FFFDF3E3"/>
      </patternFill>
    </fill>
    <fill>
      <patternFill patternType="solid">
        <fgColor rgb="FF485568"/>
      </patternFill>
    </fill>
    <fill>
      <patternFill patternType="solid">
        <fgColor rgb="FF17324D"/>
      </patternFill>
    </fill>
    <fill>
      <patternFill patternType="solid">
        <fgColor rgb="FFFFFFFF"/>
      </patternFill>
    </fill>
    <fill>
      <patternFill patternType="solid">
        <fgColor rgb="FFC6A15B"/>
      </patternFill>
    </fill>
    <fill>
      <patternFill patternType="solid">
        <fgColor rgb="FF0F6E56"/>
      </patternFill>
    </fill>
    <fill>
      <patternFill patternType="solid">
        <fgColor rgb="FFA32D2D"/>
      </patternFill>
    </fill>
    <fill>
      <patternFill patternType="solid">
        <fgColor rgb="FF2563EB"/>
      </patternFill>
    </fill>
    <fill>
      <patternFill patternType="solid">
        <fgColor rgb="FFFFF7DB"/>
      </patternFill>
    </fill>
    <fill>
      <patternFill patternType="solid">
        <fgColor rgb="FFE8F0FA"/>
      </patternFill>
    </fill>
    <fill>
      <patternFill patternType="solid">
        <fgColor rgb="FFFDF3E3"/>
      </patternFill>
    </fill>
    <fill>
      <patternFill patternType="solid">
        <fgColor rgb="FFF0EAFE"/>
      </patternFill>
    </fill>
    <fill>
      <patternFill patternType="solid">
        <fgColor rgb="FFE7F5EF"/>
      </patternFill>
    </fill>
    <fill>
      <patternFill patternType="solid">
        <fgColor rgb="FFFBECEC"/>
      </patternFill>
    </fill>
    <fill>
      <patternFill patternType="solid">
        <fgColor rgb="FFFFF7DB"/>
      </patternFill>
    </fill>
    <fill>
      <patternFill patternType="solid">
        <fgColor rgb="FFFDF3E3"/>
      </patternFill>
    </fill>
    <fill>
      <patternFill patternType="solid">
        <fgColor rgb="FFE7F5EF"/>
      </patternFill>
    </fill>
    <fill>
      <patternFill patternType="solid">
        <fgColor rgb="FFE8F0FA"/>
      </patternFill>
    </fill>
    <fill>
      <patternFill patternType="solid">
        <fgColor rgb="FFFBECEC"/>
      </patternFill>
    </fill>
    <fill>
      <patternFill patternType="solid">
        <fgColor rgb="FFFDF3E3"/>
      </patternFill>
    </fill>
    <fill>
      <patternFill patternType="solid">
        <fgColor rgb="FFE8F0FA"/>
      </patternFill>
    </fill>
    <fill>
      <patternFill patternType="solid">
        <fgColor rgb="FFE7F5EF"/>
      </patternFill>
    </fill>
    <fill>
      <patternFill patternType="solid">
        <fgColor rgb="FFFFFFFF"/>
      </patternFill>
    </fill>
    <fill>
      <patternFill patternType="solid">
        <fgColor rgb="FFFBECEC"/>
      </patternFill>
    </fill>
    <fill>
      <patternFill patternType="solid">
        <fgColor rgb="FF0F2942"/>
      </patternFill>
    </fill>
    <fill>
      <patternFill patternType="solid">
        <fgColor rgb="FFE7F5EF"/>
      </patternFill>
    </fill>
    <fill>
      <patternFill patternType="solid">
        <fgColor rgb="FFFDF3E3"/>
      </patternFill>
    </fill>
    <fill>
      <patternFill patternType="solid">
        <fgColor rgb="FFFFFFFF"/>
      </patternFill>
    </fill>
    <fill>
      <patternFill patternType="solid">
        <fgColor rgb="FFF4F6F9"/>
      </patternFill>
    </fill>
    <fill>
      <patternFill patternType="solid">
        <fgColor rgb="FFE8F0FA"/>
      </patternFill>
    </fill>
    <fill>
      <patternFill patternType="solid">
        <fgColor rgb="FFE7F5EF"/>
      </patternFill>
    </fill>
    <fill>
      <patternFill patternType="solid">
        <fgColor rgb="FF17324D"/>
      </patternFill>
    </fill>
    <fill>
      <patternFill patternType="solid">
        <fgColor rgb="FF1D3B58"/>
      </patternFill>
    </fill>
    <fill>
      <patternFill patternType="solid">
        <fgColor rgb="FFE8F0FA"/>
      </patternFill>
    </fill>
    <fill>
      <patternFill patternType="solid">
        <fgColor rgb="FF0B1F33"/>
      </patternFill>
    </fill>
    <fill>
      <patternFill patternType="solid">
        <fgColor rgb="FF123A5A"/>
      </patternFill>
    </fill>
    <fill>
      <patternFill patternType="solid">
        <fgColor rgb="FFFFF4CC"/>
      </patternFill>
    </fill>
    <fill>
      <patternFill patternType="solid">
        <fgColor rgb="FFFFFFFF"/>
      </patternFill>
    </fill>
    <fill>
      <patternFill patternType="solid">
        <fgColor rgb="FF0F6B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1E3A5F"/>
      </patternFill>
    </fill>
    <fill>
      <patternFill patternType="solid">
        <fgColor rgb="FFE0F2FE"/>
      </patternFill>
    </fill>
    <fill>
      <patternFill patternType="solid">
        <fgColor rgb="FF475569"/>
      </patternFill>
    </fill>
    <fill>
      <patternFill patternType="solid">
        <fgColor rgb="FF0F2942"/>
      </patternFill>
    </fill>
    <fill>
      <patternFill patternType="solid">
        <fgColor rgb="FFFEE2E2"/>
      </patternFill>
    </fill>
    <fill>
      <patternFill patternType="solid">
        <fgColor rgb="FFFFD966"/>
      </patternFill>
    </fill>
    <fill>
      <patternFill patternType="solid">
        <fgColor rgb="FFE2E8F0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FF7D6"/>
      </patternFill>
    </fill>
    <fill>
      <patternFill patternType="solid">
        <fgColor rgb="FF173B63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173B63"/>
      </patternFill>
    </fill>
    <fill>
      <patternFill patternType="solid">
        <fgColor rgb="FFFFF2CC"/>
      </patternFill>
    </fill>
    <fill>
      <patternFill patternType="solid">
        <fgColor rgb="FF33415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6A15B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medium">
        <color rgb="FF2563EB"/>
      </top>
      <bottom/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 style="medium">
        <color rgb="FFA32D2D"/>
      </top>
      <bottom/>
      <diagonal/>
    </border>
    <border>
      <left/>
      <right style="thin">
        <color rgb="FFE2E8F0"/>
      </right>
      <top style="medium">
        <color rgb="FFA32D2D"/>
      </top>
      <bottom/>
      <diagonal/>
    </border>
    <border>
      <left/>
      <right/>
      <top style="medium">
        <color rgb="FF854F0B"/>
      </top>
      <bottom/>
      <diagonal/>
    </border>
    <border>
      <left/>
      <right style="thin">
        <color rgb="FFE2E8F0"/>
      </right>
      <top style="medium">
        <color rgb="FF854F0B"/>
      </top>
      <bottom/>
      <diagonal/>
    </border>
    <border>
      <left/>
      <right/>
      <top style="medium">
        <color rgb="FF185FA5"/>
      </top>
      <bottom/>
      <diagonal/>
    </border>
    <border>
      <left/>
      <right style="thin">
        <color rgb="FFE2E8F0"/>
      </right>
      <top style="medium">
        <color rgb="FF185FA5"/>
      </top>
      <bottom/>
      <diagonal/>
    </border>
    <border>
      <left/>
      <right/>
      <top style="medium">
        <color rgb="FF0F6E56"/>
      </top>
      <bottom/>
      <diagonal/>
    </border>
    <border>
      <left/>
      <right style="thin">
        <color rgb="FFE2E8F0"/>
      </right>
      <top style="medium">
        <color rgb="FF0F6E56"/>
      </top>
      <bottom/>
      <diagonal/>
    </border>
    <border>
      <left/>
      <right/>
      <top/>
      <bottom style="thin">
        <color rgb="FF2B4A66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 style="medium">
        <color rgb="FFA32D2D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854F0B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185FA5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0F6E56"/>
      </top>
      <bottom style="thin">
        <color rgb="FFE2E8F0"/>
      </bottom>
      <diagonal/>
    </border>
    <border>
      <left/>
      <right/>
      <top style="thin">
        <color rgb="FFCBD5E1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9E1F2"/>
      </left>
      <right/>
      <top style="thin">
        <color rgb="FFD9E1F2"/>
      </top>
      <bottom/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 style="thin">
        <color rgb="FFCBD5E1"/>
      </bottom>
      <diagonal/>
    </border>
    <border>
      <left/>
      <right style="thin">
        <color rgb="FFE2E8F0"/>
      </right>
      <top/>
      <bottom style="thin">
        <color rgb="FFCBD5E1"/>
      </bottom>
      <diagonal/>
    </border>
  </borders>
  <cellStyleXfs count="1">
    <xf numFmtId="0" fontId="0" fillId="0" borderId="1"/>
  </cellStyleXfs>
  <cellXfs count="267">
    <xf numFmtId="0" fontId="0" fillId="0" borderId="0" xfId="0" applyBorder="1"/>
    <xf numFmtId="0" fontId="0" fillId="0" borderId="1" xfId="0"/>
    <xf numFmtId="0" fontId="0" fillId="0" borderId="0" xfId="0" applyBorder="1" applyAlignment="1">
      <alignment wrapText="1"/>
    </xf>
    <xf numFmtId="0" fontId="6" fillId="5" borderId="0" xfId="0" applyFont="1" applyFill="1" applyBorder="1" applyAlignment="1">
      <alignment vertical="center" wrapText="1"/>
    </xf>
    <xf numFmtId="0" fontId="6" fillId="5" borderId="0" xfId="0" applyFont="1" applyFill="1" applyBorder="1" applyAlignment="1">
      <alignment vertical="top" wrapText="1"/>
    </xf>
    <xf numFmtId="0" fontId="6" fillId="5" borderId="8" xfId="0" applyFont="1" applyFill="1" applyBorder="1" applyAlignment="1">
      <alignment vertical="top" wrapText="1"/>
    </xf>
    <xf numFmtId="0" fontId="6" fillId="0" borderId="0" xfId="0" applyFont="1" applyBorder="1"/>
    <xf numFmtId="0" fontId="6" fillId="11" borderId="0" xfId="0" applyFont="1" applyFill="1" applyBorder="1"/>
    <xf numFmtId="0" fontId="8" fillId="10" borderId="3" xfId="0" applyFont="1" applyFill="1" applyBorder="1"/>
    <xf numFmtId="0" fontId="8" fillId="10" borderId="0" xfId="0" applyFont="1" applyFill="1" applyBorder="1"/>
    <xf numFmtId="165" fontId="8" fillId="10" borderId="0" xfId="0" applyNumberFormat="1" applyFont="1" applyFill="1" applyBorder="1"/>
    <xf numFmtId="0" fontId="6" fillId="4" borderId="0" xfId="0" applyFont="1" applyFill="1" applyBorder="1"/>
    <xf numFmtId="0" fontId="8" fillId="3" borderId="0" xfId="0" applyFont="1" applyFill="1" applyBorder="1" applyAlignment="1">
      <alignment horizontal="center" vertical="center" wrapText="1"/>
    </xf>
    <xf numFmtId="165" fontId="6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167" fontId="6" fillId="0" borderId="0" xfId="0" applyNumberFormat="1" applyFont="1" applyBorder="1"/>
    <xf numFmtId="0" fontId="8" fillId="2" borderId="0" xfId="0" applyFont="1" applyFill="1" applyBorder="1"/>
    <xf numFmtId="165" fontId="8" fillId="2" borderId="0" xfId="0" applyNumberFormat="1" applyFont="1" applyFill="1" applyBorder="1"/>
    <xf numFmtId="168" fontId="6" fillId="0" borderId="0" xfId="0" applyNumberFormat="1" applyFont="1" applyBorder="1"/>
    <xf numFmtId="0" fontId="15" fillId="20" borderId="2" xfId="0" applyFont="1" applyFill="1" applyBorder="1"/>
    <xf numFmtId="0" fontId="25" fillId="34" borderId="0" xfId="0" applyFont="1" applyFill="1" applyBorder="1" applyAlignment="1">
      <alignment horizontal="center" vertical="center"/>
    </xf>
    <xf numFmtId="0" fontId="29" fillId="40" borderId="0" xfId="0" applyFont="1" applyFill="1" applyBorder="1"/>
    <xf numFmtId="0" fontId="21" fillId="0" borderId="0" xfId="0" applyFont="1" applyBorder="1" applyAlignment="1">
      <alignment wrapText="1"/>
    </xf>
    <xf numFmtId="0" fontId="21" fillId="0" borderId="8" xfId="0" applyFont="1" applyBorder="1" applyAlignment="1">
      <alignment wrapText="1"/>
    </xf>
    <xf numFmtId="0" fontId="10" fillId="47" borderId="0" xfId="0" applyFont="1" applyFill="1" applyBorder="1" applyAlignment="1">
      <alignment wrapText="1"/>
    </xf>
    <xf numFmtId="0" fontId="12" fillId="48" borderId="0" xfId="0" applyFont="1" applyFill="1" applyBorder="1" applyAlignment="1">
      <alignment wrapText="1"/>
    </xf>
    <xf numFmtId="0" fontId="21" fillId="45" borderId="0" xfId="0" applyFont="1" applyFill="1" applyBorder="1" applyAlignment="1">
      <alignment wrapText="1"/>
    </xf>
    <xf numFmtId="0" fontId="21" fillId="45" borderId="8" xfId="0" applyFont="1" applyFill="1" applyBorder="1" applyAlignment="1">
      <alignment wrapText="1"/>
    </xf>
    <xf numFmtId="0" fontId="0" fillId="0" borderId="2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6" fillId="0" borderId="1" xfId="0" applyFont="1"/>
    <xf numFmtId="0" fontId="33" fillId="46" borderId="0" xfId="0" applyFont="1" applyFill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5" fillId="49" borderId="26" xfId="0" applyFont="1" applyFill="1" applyBorder="1" applyAlignment="1">
      <alignment horizontal="center" vertical="center" wrapText="1"/>
    </xf>
    <xf numFmtId="168" fontId="35" fillId="45" borderId="26" xfId="0" applyNumberFormat="1" applyFont="1" applyFill="1" applyBorder="1" applyAlignment="1">
      <alignment horizontal="center" vertical="center" wrapText="1"/>
    </xf>
    <xf numFmtId="165" fontId="6" fillId="5" borderId="0" xfId="0" applyNumberFormat="1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164" fontId="6" fillId="5" borderId="0" xfId="0" applyNumberFormat="1" applyFont="1" applyFill="1" applyBorder="1" applyAlignment="1">
      <alignment horizontal="center" vertical="center" wrapText="1"/>
    </xf>
    <xf numFmtId="0" fontId="33" fillId="46" borderId="1" xfId="0" applyFont="1" applyFill="1" applyAlignment="1">
      <alignment horizontal="center" vertical="center" wrapText="1"/>
    </xf>
    <xf numFmtId="0" fontId="8" fillId="0" borderId="1" xfId="0" applyFont="1"/>
    <xf numFmtId="0" fontId="15" fillId="0" borderId="1" xfId="0" applyFont="1"/>
    <xf numFmtId="0" fontId="5" fillId="3" borderId="26" xfId="0" applyFont="1" applyFill="1" applyBorder="1" applyAlignment="1">
      <alignment horizontal="center" vertical="center" wrapText="1"/>
    </xf>
    <xf numFmtId="165" fontId="37" fillId="45" borderId="26" xfId="0" applyNumberFormat="1" applyFont="1" applyFill="1" applyBorder="1" applyAlignment="1">
      <alignment horizontal="center" vertical="center" wrapText="1"/>
    </xf>
    <xf numFmtId="164" fontId="35" fillId="45" borderId="26" xfId="0" applyNumberFormat="1" applyFont="1" applyFill="1" applyBorder="1" applyAlignment="1">
      <alignment horizontal="center" vertical="center" wrapText="1"/>
    </xf>
    <xf numFmtId="0" fontId="35" fillId="45" borderId="26" xfId="0" applyFont="1" applyFill="1" applyBorder="1" applyAlignment="1">
      <alignment horizontal="left" vertical="center" wrapText="1"/>
    </xf>
    <xf numFmtId="0" fontId="35" fillId="45" borderId="26" xfId="0" applyFont="1" applyFill="1" applyBorder="1" applyAlignment="1">
      <alignment horizontal="center" vertical="center" wrapText="1"/>
    </xf>
    <xf numFmtId="165" fontId="35" fillId="45" borderId="26" xfId="0" applyNumberFormat="1" applyFont="1" applyFill="1" applyBorder="1" applyAlignment="1">
      <alignment horizontal="center" vertical="center" wrapText="1"/>
    </xf>
    <xf numFmtId="0" fontId="38" fillId="45" borderId="26" xfId="0" applyFont="1" applyFill="1" applyBorder="1" applyAlignment="1">
      <alignment horizontal="center" vertical="center" wrapText="1"/>
    </xf>
    <xf numFmtId="0" fontId="28" fillId="9" borderId="0" xfId="0" applyFont="1" applyFill="1" applyBorder="1" applyAlignment="1">
      <alignment vertical="center" wrapText="1"/>
    </xf>
    <xf numFmtId="0" fontId="21" fillId="5" borderId="0" xfId="0" applyFont="1" applyFill="1" applyBorder="1" applyAlignment="1">
      <alignment vertical="center" wrapText="1"/>
    </xf>
    <xf numFmtId="0" fontId="28" fillId="5" borderId="0" xfId="0" applyFont="1" applyFill="1" applyBorder="1" applyAlignment="1">
      <alignment vertical="center" wrapText="1"/>
    </xf>
    <xf numFmtId="0" fontId="28" fillId="10" borderId="0" xfId="0" applyFont="1" applyFill="1" applyBorder="1" applyAlignment="1">
      <alignment vertical="center" wrapText="1"/>
    </xf>
    <xf numFmtId="0" fontId="28" fillId="14" borderId="0" xfId="0" applyFont="1" applyFill="1" applyBorder="1" applyAlignment="1">
      <alignment vertical="center" wrapText="1"/>
    </xf>
    <xf numFmtId="0" fontId="28" fillId="13" borderId="0" xfId="0" applyFont="1" applyFill="1" applyBorder="1" applyAlignment="1">
      <alignment vertical="center" wrapText="1"/>
    </xf>
    <xf numFmtId="0" fontId="28" fillId="12" borderId="0" xfId="0" applyFont="1" applyFill="1" applyBorder="1" applyAlignment="1">
      <alignment vertical="center" wrapText="1"/>
    </xf>
    <xf numFmtId="0" fontId="21" fillId="5" borderId="8" xfId="0" applyFont="1" applyFill="1" applyBorder="1" applyAlignment="1">
      <alignment vertical="center" wrapText="1"/>
    </xf>
    <xf numFmtId="0" fontId="28" fillId="5" borderId="0" xfId="0" applyFont="1" applyFill="1" applyBorder="1" applyAlignment="1">
      <alignment horizontal="center" vertical="center" wrapText="1"/>
    </xf>
    <xf numFmtId="0" fontId="28" fillId="9" borderId="0" xfId="0" applyFont="1" applyFill="1" applyBorder="1" applyAlignment="1">
      <alignment horizontal="center" vertical="center" wrapText="1"/>
    </xf>
    <xf numFmtId="0" fontId="28" fillId="8" borderId="0" xfId="0" applyFont="1" applyFill="1" applyBorder="1" applyAlignment="1">
      <alignment horizontal="center" vertical="center" wrapText="1"/>
    </xf>
    <xf numFmtId="0" fontId="28" fillId="5" borderId="8" xfId="0" applyFont="1" applyFill="1" applyBorder="1" applyAlignment="1">
      <alignment horizontal="center" vertical="center" wrapText="1"/>
    </xf>
    <xf numFmtId="0" fontId="9" fillId="50" borderId="2" xfId="0" applyFont="1" applyFill="1" applyBorder="1" applyAlignment="1">
      <alignment horizontal="center" vertical="center"/>
    </xf>
    <xf numFmtId="0" fontId="40" fillId="50" borderId="18" xfId="0" applyFont="1" applyFill="1" applyBorder="1" applyAlignment="1">
      <alignment horizontal="left" vertical="center"/>
    </xf>
    <xf numFmtId="0" fontId="40" fillId="50" borderId="18" xfId="0" applyFont="1" applyFill="1" applyBorder="1" applyAlignment="1">
      <alignment horizontal="center" vertical="center"/>
    </xf>
    <xf numFmtId="0" fontId="40" fillId="50" borderId="0" xfId="0" applyFont="1" applyFill="1" applyBorder="1" applyAlignment="1">
      <alignment horizontal="left" vertical="center"/>
    </xf>
    <xf numFmtId="0" fontId="40" fillId="50" borderId="0" xfId="0" applyFont="1" applyFill="1" applyBorder="1" applyAlignment="1">
      <alignment horizontal="center" vertical="center"/>
    </xf>
    <xf numFmtId="171" fontId="35" fillId="5" borderId="26" xfId="0" applyNumberFormat="1" applyFont="1" applyFill="1" applyBorder="1" applyAlignment="1">
      <alignment horizontal="center" vertical="center" wrapText="1"/>
    </xf>
    <xf numFmtId="171" fontId="6" fillId="0" borderId="0" xfId="0" applyNumberFormat="1" applyFont="1" applyBorder="1"/>
    <xf numFmtId="171" fontId="6" fillId="9" borderId="0" xfId="0" applyNumberFormat="1" applyFont="1" applyFill="1" applyBorder="1"/>
    <xf numFmtId="171" fontId="6" fillId="5" borderId="0" xfId="0" applyNumberFormat="1" applyFont="1" applyFill="1" applyBorder="1" applyAlignment="1">
      <alignment horizontal="center" vertical="center" wrapText="1"/>
    </xf>
    <xf numFmtId="0" fontId="1" fillId="52" borderId="0" xfId="0" applyFont="1" applyFill="1" applyBorder="1"/>
    <xf numFmtId="0" fontId="5" fillId="52" borderId="26" xfId="0" applyFont="1" applyFill="1" applyBorder="1" applyAlignment="1">
      <alignment horizontal="center" vertical="center" wrapText="1"/>
    </xf>
    <xf numFmtId="0" fontId="15" fillId="52" borderId="0" xfId="0" applyFont="1" applyFill="1" applyBorder="1" applyAlignment="1">
      <alignment horizontal="center" vertical="center" wrapText="1"/>
    </xf>
    <xf numFmtId="0" fontId="15" fillId="52" borderId="26" xfId="0" applyFont="1" applyFill="1" applyBorder="1" applyAlignment="1">
      <alignment horizontal="left" vertical="center" wrapText="1"/>
    </xf>
    <xf numFmtId="0" fontId="41" fillId="52" borderId="0" xfId="0" applyFont="1" applyFill="1" applyBorder="1" applyAlignment="1">
      <alignment horizontal="center" vertical="center" wrapText="1"/>
    </xf>
    <xf numFmtId="0" fontId="41" fillId="52" borderId="0" xfId="0" applyFont="1" applyFill="1" applyBorder="1" applyAlignment="1">
      <alignment horizontal="center" vertical="center"/>
    </xf>
    <xf numFmtId="0" fontId="15" fillId="52" borderId="26" xfId="0" applyFont="1" applyFill="1" applyBorder="1" applyAlignment="1">
      <alignment horizontal="center" vertical="center" wrapText="1"/>
    </xf>
    <xf numFmtId="0" fontId="41" fillId="52" borderId="0" xfId="0" applyFont="1" applyFill="1" applyBorder="1"/>
    <xf numFmtId="0" fontId="5" fillId="52" borderId="27" xfId="0" applyFont="1" applyFill="1" applyBorder="1" applyAlignment="1">
      <alignment horizontal="center" vertical="center"/>
    </xf>
    <xf numFmtId="0" fontId="1" fillId="52" borderId="27" xfId="0" applyFont="1" applyFill="1" applyBorder="1"/>
    <xf numFmtId="0" fontId="1" fillId="52" borderId="28" xfId="0" applyFont="1" applyFill="1" applyBorder="1"/>
    <xf numFmtId="0" fontId="5" fillId="52" borderId="2" xfId="0" applyFont="1" applyFill="1" applyBorder="1" applyAlignment="1">
      <alignment horizontal="center" vertical="center"/>
    </xf>
    <xf numFmtId="0" fontId="15" fillId="53" borderId="2" xfId="0" applyFont="1" applyFill="1" applyBorder="1" applyAlignment="1">
      <alignment horizontal="center" vertical="center" wrapText="1"/>
    </xf>
    <xf numFmtId="0" fontId="15" fillId="53" borderId="26" xfId="0" applyFont="1" applyFill="1" applyBorder="1" applyAlignment="1">
      <alignment horizontal="center" vertical="center" wrapText="1"/>
    </xf>
    <xf numFmtId="0" fontId="15" fillId="53" borderId="0" xfId="0" applyFont="1" applyFill="1" applyBorder="1" applyAlignment="1">
      <alignment wrapText="1"/>
    </xf>
    <xf numFmtId="0" fontId="5" fillId="53" borderId="0" xfId="0" applyFont="1" applyFill="1" applyBorder="1" applyAlignment="1">
      <alignment wrapText="1"/>
    </xf>
    <xf numFmtId="0" fontId="15" fillId="53" borderId="2" xfId="0" applyFont="1" applyFill="1" applyBorder="1" applyAlignment="1">
      <alignment wrapText="1"/>
    </xf>
    <xf numFmtId="0" fontId="42" fillId="54" borderId="0" xfId="0" applyFont="1" applyFill="1" applyBorder="1" applyAlignment="1">
      <alignment vertical="center" wrapText="1"/>
    </xf>
    <xf numFmtId="164" fontId="42" fillId="54" borderId="0" xfId="0" applyNumberFormat="1" applyFont="1" applyFill="1" applyBorder="1" applyAlignment="1">
      <alignment vertical="center" wrapText="1"/>
    </xf>
    <xf numFmtId="165" fontId="42" fillId="54" borderId="0" xfId="0" applyNumberFormat="1" applyFont="1" applyFill="1" applyBorder="1" applyAlignment="1">
      <alignment vertical="center" wrapText="1"/>
    </xf>
    <xf numFmtId="0" fontId="42" fillId="54" borderId="0" xfId="0" applyFont="1" applyFill="1" applyBorder="1" applyAlignment="1">
      <alignment horizontal="center" vertical="center" wrapText="1"/>
    </xf>
    <xf numFmtId="0" fontId="42" fillId="54" borderId="0" xfId="0" applyFont="1" applyFill="1" applyBorder="1" applyAlignment="1">
      <alignment horizontal="left" vertical="center" wrapText="1"/>
    </xf>
    <xf numFmtId="164" fontId="42" fillId="54" borderId="0" xfId="0" applyNumberFormat="1" applyFont="1" applyFill="1" applyBorder="1" applyAlignment="1">
      <alignment horizontal="center" vertical="center" wrapText="1"/>
    </xf>
    <xf numFmtId="171" fontId="42" fillId="54" borderId="0" xfId="0" applyNumberFormat="1" applyFont="1" applyFill="1" applyBorder="1" applyAlignment="1">
      <alignment horizontal="center" vertical="center" wrapText="1"/>
    </xf>
    <xf numFmtId="165" fontId="42" fillId="54" borderId="0" xfId="0" applyNumberFormat="1" applyFont="1" applyFill="1" applyBorder="1" applyAlignment="1">
      <alignment horizontal="center" vertical="center" wrapText="1"/>
    </xf>
    <xf numFmtId="0" fontId="42" fillId="54" borderId="0" xfId="0" applyFont="1" applyFill="1" applyBorder="1"/>
    <xf numFmtId="0" fontId="43" fillId="54" borderId="0" xfId="0" applyFont="1" applyFill="1" applyBorder="1" applyAlignment="1">
      <alignment wrapText="1"/>
    </xf>
    <xf numFmtId="164" fontId="42" fillId="54" borderId="0" xfId="0" applyNumberFormat="1" applyFont="1" applyFill="1" applyBorder="1"/>
    <xf numFmtId="171" fontId="8" fillId="55" borderId="7" xfId="0" applyNumberFormat="1" applyFont="1" applyFill="1" applyBorder="1" applyAlignment="1">
      <alignment horizontal="center" vertical="center"/>
    </xf>
    <xf numFmtId="171" fontId="8" fillId="55" borderId="5" xfId="0" applyNumberFormat="1" applyFont="1" applyFill="1" applyBorder="1" applyAlignment="1">
      <alignment horizontal="center" vertical="center"/>
    </xf>
    <xf numFmtId="0" fontId="15" fillId="57" borderId="2" xfId="0" applyFont="1" applyFill="1" applyBorder="1" applyAlignment="1">
      <alignment horizontal="center" vertical="center" wrapText="1"/>
    </xf>
    <xf numFmtId="0" fontId="44" fillId="58" borderId="0" xfId="0" applyFont="1" applyFill="1" applyBorder="1"/>
    <xf numFmtId="0" fontId="8" fillId="0" borderId="0" xfId="0" applyFont="1" applyBorder="1" applyAlignment="1">
      <alignment horizontal="center"/>
    </xf>
    <xf numFmtId="49" fontId="42" fillId="4" borderId="0" xfId="0" applyNumberFormat="1" applyFont="1" applyFill="1" applyBorder="1"/>
    <xf numFmtId="0" fontId="0" fillId="0" borderId="29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47" fillId="61" borderId="0" xfId="0" applyFont="1" applyFill="1" applyBorder="1" applyAlignment="1">
      <alignment horizontal="center" vertical="center" wrapText="1"/>
    </xf>
    <xf numFmtId="0" fontId="46" fillId="60" borderId="0" xfId="0" applyFont="1" applyFill="1" applyBorder="1" applyAlignment="1">
      <alignment horizontal="left" vertical="center"/>
    </xf>
    <xf numFmtId="0" fontId="47" fillId="61" borderId="38" xfId="0" applyFont="1" applyFill="1" applyBorder="1" applyAlignment="1">
      <alignment horizontal="center" vertical="center" wrapText="1"/>
    </xf>
    <xf numFmtId="172" fontId="6" fillId="0" borderId="0" xfId="0" applyNumberFormat="1" applyFont="1" applyBorder="1"/>
    <xf numFmtId="172" fontId="45" fillId="0" borderId="37" xfId="0" applyNumberFormat="1" applyFont="1" applyBorder="1" applyAlignment="1">
      <alignment horizontal="right"/>
    </xf>
    <xf numFmtId="172" fontId="48" fillId="0" borderId="37" xfId="0" applyNumberFormat="1" applyFont="1" applyBorder="1" applyAlignment="1">
      <alignment horizontal="right"/>
    </xf>
    <xf numFmtId="0" fontId="21" fillId="0" borderId="0" xfId="0" applyFont="1" applyBorder="1" applyAlignment="1">
      <alignment vertical="top" wrapText="1"/>
    </xf>
    <xf numFmtId="0" fontId="21" fillId="0" borderId="8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45" fillId="59" borderId="0" xfId="0" applyFont="1" applyFill="1" applyBorder="1"/>
    <xf numFmtId="0" fontId="1" fillId="63" borderId="39" xfId="0" applyFont="1" applyFill="1" applyBorder="1" applyAlignment="1">
      <alignment wrapText="1"/>
    </xf>
    <xf numFmtId="0" fontId="1" fillId="63" borderId="3" xfId="0" applyFont="1" applyFill="1" applyBorder="1" applyAlignment="1">
      <alignment wrapText="1"/>
    </xf>
    <xf numFmtId="0" fontId="1" fillId="63" borderId="40" xfId="0" applyFont="1" applyFill="1" applyBorder="1" applyAlignment="1">
      <alignment wrapText="1"/>
    </xf>
    <xf numFmtId="0" fontId="52" fillId="0" borderId="0" xfId="0" applyFont="1" applyBorder="1"/>
    <xf numFmtId="0" fontId="52" fillId="0" borderId="41" xfId="0" applyFont="1" applyBorder="1"/>
    <xf numFmtId="0" fontId="52" fillId="0" borderId="25" xfId="0" applyFont="1" applyBorder="1"/>
    <xf numFmtId="0" fontId="52" fillId="0" borderId="42" xfId="0" applyFont="1" applyBorder="1"/>
    <xf numFmtId="0" fontId="52" fillId="0" borderId="43" xfId="0" applyFont="1" applyBorder="1"/>
    <xf numFmtId="0" fontId="52" fillId="0" borderId="44" xfId="0" applyFont="1" applyBorder="1"/>
    <xf numFmtId="0" fontId="52" fillId="0" borderId="45" xfId="0" applyFont="1" applyBorder="1"/>
    <xf numFmtId="0" fontId="52" fillId="0" borderId="38" xfId="0" applyFont="1" applyBorder="1"/>
    <xf numFmtId="0" fontId="52" fillId="0" borderId="46" xfId="0" applyFont="1" applyBorder="1"/>
    <xf numFmtId="173" fontId="52" fillId="0" borderId="25" xfId="0" applyNumberFormat="1" applyFont="1" applyBorder="1"/>
    <xf numFmtId="173" fontId="52" fillId="0" borderId="0" xfId="0" applyNumberFormat="1" applyFont="1" applyBorder="1"/>
    <xf numFmtId="173" fontId="52" fillId="0" borderId="38" xfId="0" applyNumberFormat="1" applyFont="1" applyBorder="1"/>
    <xf numFmtId="0" fontId="53" fillId="65" borderId="0" xfId="0" applyFont="1" applyFill="1" applyBorder="1" applyAlignment="1">
      <alignment horizontal="center" vertical="center"/>
    </xf>
    <xf numFmtId="0" fontId="51" fillId="67" borderId="0" xfId="0" applyFont="1" applyFill="1" applyBorder="1" applyAlignment="1">
      <alignment horizontal="center"/>
    </xf>
    <xf numFmtId="0" fontId="55" fillId="68" borderId="0" xfId="0" applyFont="1" applyFill="1" applyBorder="1" applyAlignment="1">
      <alignment horizontal="center"/>
    </xf>
    <xf numFmtId="0" fontId="56" fillId="69" borderId="0" xfId="0" applyFont="1" applyFill="1" applyBorder="1" applyAlignment="1">
      <alignment horizontal="center"/>
    </xf>
    <xf numFmtId="0" fontId="1" fillId="71" borderId="0" xfId="0" applyFont="1" applyFill="1" applyBorder="1" applyAlignment="1">
      <alignment horizontal="center" vertical="center" wrapText="1"/>
    </xf>
    <xf numFmtId="173" fontId="58" fillId="72" borderId="0" xfId="0" applyNumberFormat="1" applyFont="1" applyFill="1" applyBorder="1" applyAlignment="1">
      <alignment horizontal="center" vertical="center"/>
    </xf>
    <xf numFmtId="0" fontId="51" fillId="73" borderId="0" xfId="0" applyFont="1" applyFill="1" applyBorder="1" applyAlignment="1">
      <alignment horizontal="center"/>
    </xf>
    <xf numFmtId="0" fontId="51" fillId="72" borderId="0" xfId="0" applyFont="1" applyFill="1" applyBorder="1" applyAlignment="1">
      <alignment horizontal="center"/>
    </xf>
    <xf numFmtId="0" fontId="1" fillId="71" borderId="39" xfId="0" applyFont="1" applyFill="1" applyBorder="1" applyAlignment="1">
      <alignment horizontal="center" vertical="center" wrapText="1"/>
    </xf>
    <xf numFmtId="0" fontId="1" fillId="71" borderId="3" xfId="0" applyFont="1" applyFill="1" applyBorder="1" applyAlignment="1">
      <alignment horizontal="center" vertical="center" wrapText="1"/>
    </xf>
    <xf numFmtId="0" fontId="1" fillId="71" borderId="40" xfId="0" applyFont="1" applyFill="1" applyBorder="1" applyAlignment="1">
      <alignment horizontal="center" vertical="center" wrapText="1"/>
    </xf>
    <xf numFmtId="0" fontId="59" fillId="74" borderId="49" xfId="0" applyFont="1" applyFill="1" applyBorder="1" applyAlignment="1">
      <alignment vertical="center"/>
    </xf>
    <xf numFmtId="0" fontId="59" fillId="74" borderId="6" xfId="0" applyFont="1" applyFill="1" applyBorder="1" applyAlignment="1">
      <alignment vertical="center"/>
    </xf>
    <xf numFmtId="0" fontId="59" fillId="74" borderId="51" xfId="0" applyFont="1" applyFill="1" applyBorder="1" applyAlignment="1">
      <alignment vertical="center"/>
    </xf>
    <xf numFmtId="0" fontId="59" fillId="74" borderId="48" xfId="0" applyFont="1" applyFill="1" applyBorder="1" applyAlignment="1">
      <alignment vertical="center" wrapText="1"/>
    </xf>
    <xf numFmtId="0" fontId="59" fillId="74" borderId="0" xfId="0" applyFont="1" applyFill="1" applyBorder="1" applyAlignment="1">
      <alignment vertical="center" wrapText="1"/>
    </xf>
    <xf numFmtId="0" fontId="59" fillId="74" borderId="38" xfId="0" applyFont="1" applyFill="1" applyBorder="1" applyAlignment="1">
      <alignment vertical="center" wrapText="1"/>
    </xf>
    <xf numFmtId="0" fontId="59" fillId="74" borderId="47" xfId="0" applyFont="1" applyFill="1" applyBorder="1" applyAlignment="1">
      <alignment horizontal="left" vertical="center"/>
    </xf>
    <xf numFmtId="0" fontId="59" fillId="74" borderId="48" xfId="0" applyFont="1" applyFill="1" applyBorder="1" applyAlignment="1">
      <alignment horizontal="left" vertical="center"/>
    </xf>
    <xf numFmtId="0" fontId="59" fillId="74" borderId="5" xfId="0" applyFont="1" applyFill="1" applyBorder="1" applyAlignment="1">
      <alignment horizontal="left" vertical="center"/>
    </xf>
    <xf numFmtId="0" fontId="59" fillId="74" borderId="0" xfId="0" applyFont="1" applyFill="1" applyBorder="1" applyAlignment="1">
      <alignment horizontal="left" vertical="center"/>
    </xf>
    <xf numFmtId="0" fontId="59" fillId="74" borderId="50" xfId="0" applyFont="1" applyFill="1" applyBorder="1" applyAlignment="1">
      <alignment horizontal="left" vertical="center"/>
    </xf>
    <xf numFmtId="0" fontId="59" fillId="74" borderId="38" xfId="0" applyFont="1" applyFill="1" applyBorder="1" applyAlignment="1">
      <alignment horizontal="left" vertical="center"/>
    </xf>
    <xf numFmtId="173" fontId="59" fillId="74" borderId="48" xfId="0" applyNumberFormat="1" applyFont="1" applyFill="1" applyBorder="1" applyAlignment="1">
      <alignment horizontal="right" vertical="center"/>
    </xf>
    <xf numFmtId="173" fontId="59" fillId="74" borderId="0" xfId="0" applyNumberFormat="1" applyFont="1" applyFill="1" applyBorder="1" applyAlignment="1">
      <alignment horizontal="right" vertical="center"/>
    </xf>
    <xf numFmtId="173" fontId="59" fillId="74" borderId="38" xfId="0" applyNumberFormat="1" applyFont="1" applyFill="1" applyBorder="1" applyAlignment="1">
      <alignment horizontal="right" vertical="center"/>
    </xf>
    <xf numFmtId="0" fontId="1" fillId="77" borderId="0" xfId="0" applyFont="1" applyFill="1" applyBorder="1" applyAlignment="1">
      <alignment vertical="center" wrapText="1"/>
    </xf>
    <xf numFmtId="0" fontId="54" fillId="66" borderId="0" xfId="0" applyFont="1" applyFill="1" applyBorder="1" applyAlignment="1" applyProtection="1">
      <alignment horizontal="center" vertical="center"/>
      <protection locked="0"/>
    </xf>
    <xf numFmtId="0" fontId="10" fillId="35" borderId="1" xfId="0" applyFont="1" applyFill="1"/>
    <xf numFmtId="0" fontId="0" fillId="0" borderId="1" xfId="0"/>
    <xf numFmtId="0" fontId="4" fillId="32" borderId="1" xfId="0" applyFont="1" applyFill="1"/>
    <xf numFmtId="0" fontId="18" fillId="21" borderId="19" xfId="0" applyFont="1" applyFill="1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52" borderId="1" xfId="0" applyFont="1" applyFill="1"/>
    <xf numFmtId="0" fontId="14" fillId="52" borderId="2" xfId="0" applyFont="1" applyFill="1" applyBorder="1" applyAlignment="1">
      <alignment horizontal="left" vertical="center"/>
    </xf>
    <xf numFmtId="0" fontId="1" fillId="75" borderId="2" xfId="0" applyFont="1" applyFill="1" applyBorder="1" applyAlignment="1">
      <alignment vertical="center"/>
    </xf>
    <xf numFmtId="0" fontId="0" fillId="0" borderId="2" xfId="0" applyBorder="1"/>
    <xf numFmtId="0" fontId="19" fillId="21" borderId="19" xfId="0" applyFont="1" applyFill="1" applyBorder="1" applyAlignment="1">
      <alignment horizontal="center" vertical="center"/>
    </xf>
    <xf numFmtId="0" fontId="10" fillId="27" borderId="1" xfId="0" applyFont="1" applyFill="1" applyAlignment="1">
      <alignment wrapText="1"/>
    </xf>
    <xf numFmtId="0" fontId="5" fillId="25" borderId="2" xfId="0" applyFont="1" applyFill="1" applyBorder="1"/>
    <xf numFmtId="0" fontId="16" fillId="21" borderId="19" xfId="0" applyFont="1" applyFill="1" applyBorder="1" applyAlignment="1">
      <alignment horizontal="center" vertical="center"/>
    </xf>
    <xf numFmtId="0" fontId="12" fillId="30" borderId="1" xfId="0" applyFont="1" applyFill="1" applyAlignment="1">
      <alignment wrapText="1"/>
    </xf>
    <xf numFmtId="0" fontId="22" fillId="29" borderId="1" xfId="0" applyFont="1" applyFill="1" applyAlignment="1">
      <alignment wrapText="1"/>
    </xf>
    <xf numFmtId="0" fontId="5" fillId="20" borderId="2" xfId="0" applyFont="1" applyFill="1" applyBorder="1"/>
    <xf numFmtId="0" fontId="15" fillId="20" borderId="1" xfId="0" applyFont="1" applyFill="1" applyAlignment="1">
      <alignment horizontal="center" vertical="center"/>
    </xf>
    <xf numFmtId="0" fontId="5" fillId="19" borderId="2" xfId="0" applyFont="1" applyFill="1" applyBorder="1"/>
    <xf numFmtId="0" fontId="15" fillId="23" borderId="1" xfId="0" applyFont="1" applyFill="1" applyAlignment="1">
      <alignment horizontal="center" vertical="center"/>
    </xf>
    <xf numFmtId="0" fontId="20" fillId="21" borderId="19" xfId="0" applyFont="1" applyFill="1" applyBorder="1" applyAlignment="1">
      <alignment horizontal="center" vertical="center"/>
    </xf>
    <xf numFmtId="0" fontId="11" fillId="28" borderId="1" xfId="0" applyFont="1" applyFill="1" applyAlignment="1">
      <alignment wrapText="1"/>
    </xf>
    <xf numFmtId="0" fontId="17" fillId="22" borderId="1" xfId="0" applyFont="1" applyFill="1" applyAlignment="1">
      <alignment horizontal="center" vertical="center"/>
    </xf>
    <xf numFmtId="0" fontId="15" fillId="24" borderId="1" xfId="0" applyFont="1" applyFill="1" applyAlignment="1">
      <alignment horizontal="center" vertical="center"/>
    </xf>
    <xf numFmtId="0" fontId="3" fillId="41" borderId="1" xfId="0" applyFont="1" applyFill="1"/>
    <xf numFmtId="0" fontId="6" fillId="5" borderId="8" xfId="0" applyFont="1" applyFill="1" applyBorder="1"/>
    <xf numFmtId="0" fontId="23" fillId="26" borderId="1" xfId="0" applyFont="1" applyFill="1" applyAlignment="1">
      <alignment horizontal="center"/>
    </xf>
    <xf numFmtId="0" fontId="8" fillId="6" borderId="2" xfId="0" applyFont="1" applyFill="1" applyBorder="1"/>
    <xf numFmtId="0" fontId="8" fillId="7" borderId="2" xfId="0" applyFont="1" applyFill="1" applyBorder="1"/>
    <xf numFmtId="0" fontId="27" fillId="31" borderId="1" xfId="0" applyFont="1" applyFill="1" applyAlignment="1">
      <alignment horizontal="center"/>
    </xf>
    <xf numFmtId="171" fontId="8" fillId="55" borderId="20" xfId="0" applyNumberFormat="1" applyFont="1" applyFill="1" applyBorder="1" applyAlignment="1">
      <alignment horizontal="center" vertical="center" wrapText="1"/>
    </xf>
    <xf numFmtId="0" fontId="15" fillId="52" borderId="26" xfId="0" applyFont="1" applyFill="1" applyBorder="1" applyAlignment="1">
      <alignment horizontal="left" vertical="center" wrapText="1"/>
    </xf>
    <xf numFmtId="0" fontId="0" fillId="0" borderId="27" xfId="0" applyBorder="1"/>
    <xf numFmtId="0" fontId="0" fillId="0" borderId="28" xfId="0" applyBorder="1"/>
    <xf numFmtId="0" fontId="32" fillId="46" borderId="1" xfId="0" applyFont="1" applyFill="1" applyAlignment="1">
      <alignment horizontal="center"/>
    </xf>
    <xf numFmtId="0" fontId="0" fillId="0" borderId="4" xfId="0" applyBorder="1"/>
    <xf numFmtId="0" fontId="5" fillId="56" borderId="1" xfId="0" applyFont="1" applyFill="1" applyAlignment="1">
      <alignment horizontal="center" vertical="center"/>
    </xf>
    <xf numFmtId="0" fontId="5" fillId="52" borderId="1" xfId="0" applyFont="1" applyFill="1" applyAlignment="1">
      <alignment horizontal="left" vertical="center" wrapText="1"/>
    </xf>
    <xf numFmtId="1" fontId="8" fillId="55" borderId="19" xfId="0" applyNumberFormat="1" applyFont="1" applyFill="1" applyBorder="1" applyAlignment="1">
      <alignment horizontal="center" vertical="center"/>
    </xf>
    <xf numFmtId="0" fontId="25" fillId="30" borderId="1" xfId="0" applyFont="1" applyFill="1" applyAlignment="1">
      <alignment horizontal="center"/>
    </xf>
    <xf numFmtId="0" fontId="5" fillId="42" borderId="2" xfId="0" applyFont="1" applyFill="1" applyBorder="1"/>
    <xf numFmtId="0" fontId="5" fillId="53" borderId="4" xfId="0" applyFont="1" applyFill="1" applyBorder="1" applyAlignment="1">
      <alignment horizontal="left"/>
    </xf>
    <xf numFmtId="0" fontId="30" fillId="43" borderId="1" xfId="0" applyFont="1" applyFill="1" applyAlignment="1">
      <alignment horizontal="center" vertical="center"/>
    </xf>
    <xf numFmtId="0" fontId="11" fillId="37" borderId="22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5" fillId="75" borderId="0" xfId="0" applyFont="1" applyFill="1" applyBorder="1" applyAlignment="1">
      <alignment horizontal="left" vertical="center" wrapText="1"/>
    </xf>
    <xf numFmtId="0" fontId="1" fillId="75" borderId="0" xfId="0" applyFont="1" applyFill="1" applyBorder="1" applyAlignment="1">
      <alignment horizontal="left" vertical="center" wrapText="1"/>
    </xf>
    <xf numFmtId="0" fontId="12" fillId="39" borderId="24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5" fillId="53" borderId="4" xfId="0" applyFont="1" applyFill="1" applyBorder="1" applyAlignment="1">
      <alignment horizontal="left" vertical="center" wrapText="1"/>
    </xf>
    <xf numFmtId="0" fontId="13" fillId="36" borderId="21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5" fillId="20" borderId="1" xfId="0" applyFont="1" applyFill="1"/>
    <xf numFmtId="0" fontId="2" fillId="52" borderId="2" xfId="0" applyFont="1" applyFill="1" applyBorder="1" applyAlignment="1">
      <alignment horizontal="left" vertical="center"/>
    </xf>
    <xf numFmtId="0" fontId="31" fillId="44" borderId="1" xfId="0" applyFont="1" applyFill="1" applyAlignment="1">
      <alignment horizontal="center" vertical="center"/>
    </xf>
    <xf numFmtId="0" fontId="10" fillId="38" borderId="2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26" fillId="27" borderId="1" xfId="0" applyFont="1" applyFill="1" applyAlignment="1">
      <alignment horizontal="center"/>
    </xf>
    <xf numFmtId="0" fontId="6" fillId="0" borderId="1" xfId="0" applyFont="1"/>
    <xf numFmtId="0" fontId="11" fillId="18" borderId="1" xfId="0" applyFont="1" applyFill="1" applyAlignment="1">
      <alignment wrapText="1"/>
    </xf>
    <xf numFmtId="0" fontId="7" fillId="46" borderId="2" xfId="0" applyFont="1" applyFill="1" applyBorder="1" applyAlignment="1">
      <alignment horizontal="left" vertical="center" wrapText="1"/>
    </xf>
    <xf numFmtId="0" fontId="5" fillId="15" borderId="2" xfId="0" applyFont="1" applyFill="1" applyBorder="1"/>
    <xf numFmtId="0" fontId="10" fillId="51" borderId="8" xfId="0" applyFont="1" applyFill="1" applyBorder="1" applyAlignment="1">
      <alignment horizontal="center" vertical="center" wrapText="1"/>
    </xf>
    <xf numFmtId="0" fontId="10" fillId="16" borderId="1" xfId="0" applyFont="1" applyFill="1" applyAlignment="1">
      <alignment wrapText="1"/>
    </xf>
    <xf numFmtId="0" fontId="60" fillId="76" borderId="0" xfId="0" applyFont="1" applyFill="1" applyBorder="1" applyAlignment="1">
      <alignment horizontal="left" vertical="center" wrapText="1"/>
    </xf>
    <xf numFmtId="0" fontId="61" fillId="76" borderId="0" xfId="0" applyFont="1" applyFill="1" applyBorder="1" applyAlignment="1">
      <alignment horizontal="left" vertical="center" wrapText="1"/>
    </xf>
    <xf numFmtId="0" fontId="12" fillId="17" borderId="1" xfId="0" applyFont="1" applyFill="1" applyAlignment="1">
      <alignment wrapText="1"/>
    </xf>
    <xf numFmtId="171" fontId="36" fillId="5" borderId="19" xfId="0" applyNumberFormat="1" applyFont="1" applyFill="1" applyBorder="1" applyAlignment="1">
      <alignment horizontal="center" vertical="center" wrapText="1"/>
    </xf>
    <xf numFmtId="0" fontId="8" fillId="5" borderId="4" xfId="0" applyFont="1" applyFill="1" applyBorder="1"/>
    <xf numFmtId="0" fontId="36" fillId="5" borderId="19" xfId="0" applyFont="1" applyFill="1" applyBorder="1" applyAlignment="1">
      <alignment horizontal="center" vertical="center" wrapText="1"/>
    </xf>
    <xf numFmtId="0" fontId="24" fillId="33" borderId="3" xfId="0" applyFont="1" applyFill="1" applyBorder="1" applyAlignment="1">
      <alignment wrapText="1"/>
    </xf>
    <xf numFmtId="0" fontId="0" fillId="0" borderId="3" xfId="0" applyBorder="1"/>
    <xf numFmtId="0" fontId="24" fillId="33" borderId="1" xfId="0" applyFont="1" applyFill="1" applyAlignment="1">
      <alignment wrapText="1"/>
    </xf>
    <xf numFmtId="0" fontId="39" fillId="52" borderId="2" xfId="0" applyFont="1" applyFill="1" applyBorder="1" applyAlignment="1">
      <alignment horizontal="left" vertical="center"/>
    </xf>
    <xf numFmtId="0" fontId="49" fillId="62" borderId="1" xfId="0" applyFont="1" applyFill="1" applyAlignment="1">
      <alignment wrapText="1"/>
    </xf>
    <xf numFmtId="0" fontId="5" fillId="52" borderId="2" xfId="0" applyFont="1" applyFill="1" applyBorder="1" applyAlignment="1">
      <alignment horizontal="center" vertical="center"/>
    </xf>
    <xf numFmtId="0" fontId="50" fillId="64" borderId="0" xfId="0" applyFont="1" applyFill="1" applyBorder="1" applyAlignment="1">
      <alignment horizontal="left" vertical="center"/>
    </xf>
    <xf numFmtId="0" fontId="62" fillId="75" borderId="0" xfId="0" applyFont="1" applyFill="1" applyBorder="1" applyAlignment="1">
      <alignment vertical="center" wrapText="1"/>
    </xf>
    <xf numFmtId="0" fontId="57" fillId="70" borderId="0" xfId="0" applyFont="1" applyFill="1" applyBorder="1" applyAlignment="1">
      <alignment vertical="center" wrapText="1"/>
    </xf>
    <xf numFmtId="173" fontId="58" fillId="78" borderId="0" xfId="0" applyNumberFormat="1" applyFont="1" applyFill="1" applyBorder="1" applyAlignment="1">
      <alignment horizontal="center" vertical="center"/>
    </xf>
    <xf numFmtId="0" fontId="63" fillId="7" borderId="2" xfId="0" applyFont="1" applyFill="1" applyBorder="1" applyAlignment="1">
      <alignment horizontal="center" vertical="center" wrapText="1"/>
    </xf>
    <xf numFmtId="0" fontId="64" fillId="2" borderId="2" xfId="0" applyFont="1" applyFill="1" applyBorder="1" applyAlignment="1">
      <alignment horizontal="center" vertical="center" wrapText="1"/>
    </xf>
    <xf numFmtId="0" fontId="64" fillId="11" borderId="8" xfId="0" applyFont="1" applyFill="1" applyBorder="1" applyAlignment="1">
      <alignment vertical="center" wrapText="1"/>
    </xf>
    <xf numFmtId="0" fontId="65" fillId="0" borderId="0" xfId="0" applyFont="1" applyBorder="1"/>
    <xf numFmtId="0" fontId="66" fillId="7" borderId="2" xfId="0" applyFont="1" applyFill="1" applyBorder="1" applyAlignment="1">
      <alignment horizontal="center" vertical="center" wrapText="1"/>
    </xf>
    <xf numFmtId="0" fontId="67" fillId="0" borderId="0" xfId="0" applyFont="1" applyBorder="1"/>
    <xf numFmtId="0" fontId="5" fillId="79" borderId="26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58">
    <dxf>
      <font>
        <b/>
        <color rgb="FF334155"/>
      </font>
      <fill>
        <patternFill>
          <bgColor rgb="FFE2E8F0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B91C1C"/>
      </font>
      <fill>
        <patternFill>
          <bgColor rgb="FFFDE2E2"/>
        </patternFill>
      </fill>
    </dxf>
    <dxf>
      <fill>
        <patternFill>
          <bgColor rgb="FFFFFFFF"/>
        </patternFill>
      </fill>
    </dxf>
    <dxf>
      <fill>
        <patternFill>
          <bgColor rgb="FFF5F7FA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B91C1C"/>
      </font>
      <fill>
        <patternFill>
          <bgColor rgb="FFFDE2E2"/>
        </patternFill>
      </fill>
    </dxf>
    <dxf>
      <font>
        <color rgb="FF15803D"/>
      </font>
      <fill>
        <patternFill>
          <bgColor rgb="FFDCFCE7"/>
        </patternFill>
      </fill>
    </dxf>
    <dxf>
      <font>
        <b/>
        <color rgb="FFB42318"/>
      </font>
      <fill>
        <patternFill>
          <bgColor rgb="FFFEE4E2"/>
        </patternFill>
      </fill>
    </dxf>
    <dxf>
      <font>
        <b/>
        <color rgb="FFA32D2D"/>
      </font>
      <fill>
        <patternFill>
          <bgColor rgb="FFFBECEC"/>
        </patternFill>
      </fill>
    </dxf>
    <dxf>
      <font>
        <b/>
        <color rgb="FF0F6E56"/>
      </font>
      <fill>
        <patternFill>
          <bgColor rgb="FFE7F5EF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548235"/>
      </font>
      <fill>
        <patternFill>
          <bgColor rgb="FFE2F0D9"/>
        </patternFill>
      </fill>
    </dxf>
    <dxf>
      <font>
        <b/>
        <color rgb="FFE65100"/>
      </font>
      <fill>
        <patternFill>
          <bgColor rgb="FFFFF3E0"/>
        </patternFill>
      </fill>
    </dxf>
    <dxf>
      <font>
        <b/>
        <color rgb="FFB71C1C"/>
      </font>
      <fill>
        <patternFill>
          <bgColor rgb="FFFDECEC"/>
        </patternFill>
      </fill>
    </dxf>
    <dxf>
      <font>
        <b/>
        <color rgb="FF1B5E20"/>
      </font>
      <fill>
        <patternFill>
          <bgColor rgb="FFE8F5E9"/>
        </patternFill>
      </fill>
    </dxf>
    <dxf>
      <font>
        <b/>
        <color rgb="FFA32D2D"/>
      </font>
      <fill>
        <patternFill>
          <bgColor rgb="FFFBECEC"/>
        </patternFill>
      </fill>
    </dxf>
    <dxf>
      <font>
        <b/>
        <color rgb="FF0F6E56"/>
      </font>
      <fill>
        <patternFill>
          <bgColor rgb="FFE7F5EF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3F4F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075985"/>
      </font>
      <fill>
        <patternFill>
          <bgColor rgb="FFE0F2FE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548235"/>
      </font>
      <fill>
        <patternFill>
          <bgColor rgb="FFE2F0D9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1F4E79"/>
      </font>
      <fill>
        <patternFill>
          <bgColor rgb="FFDDEBF7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075985"/>
      </font>
      <fill>
        <patternFill>
          <bgColor rgb="FFE0F2FE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854F0B"/>
      </font>
      <fill>
        <patternFill>
          <bgColor rgb="FFFDF3E3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B71C1C"/>
      </font>
      <fill>
        <patternFill>
          <bgColor rgb="FFFDECEC"/>
        </patternFill>
      </fill>
    </dxf>
    <dxf>
      <font>
        <b/>
        <color rgb="FFA32D2D"/>
      </font>
      <fill>
        <patternFill>
          <bgColor rgb="FFFBECEC"/>
        </patternFill>
      </fill>
    </dxf>
    <dxf>
      <font>
        <b/>
        <color rgb="FFB42318"/>
      </font>
      <fill>
        <patternFill>
          <bgColor rgb="FFFEE4E2"/>
        </patternFill>
      </fill>
    </dxf>
    <dxf>
      <font>
        <b/>
        <color rgb="FF075985"/>
      </font>
      <fill>
        <patternFill>
          <bgColor rgb="FFE0F2FE"/>
        </patternFill>
      </fill>
    </dxf>
    <dxf>
      <font>
        <b/>
        <color rgb="FFB42318"/>
      </font>
      <fill>
        <patternFill>
          <bgColor rgb="FFFEE4E2"/>
        </patternFill>
      </fill>
    </dxf>
    <dxf>
      <font>
        <b/>
        <color rgb="FFA32D2D"/>
      </font>
      <fill>
        <patternFill>
          <bgColor rgb="FFFBECEC"/>
        </patternFill>
      </fill>
    </dxf>
    <dxf>
      <font>
        <b/>
        <color rgb="FF0F6E56"/>
      </font>
      <fill>
        <patternFill>
          <bgColor rgb="FFE7F5EF"/>
        </patternFill>
      </fill>
    </dxf>
    <dxf>
      <font>
        <b/>
        <color rgb="FFA32D2D"/>
      </font>
      <fill>
        <patternFill>
          <bgColor rgb="FFFBECEC"/>
        </patternFill>
      </fill>
    </dxf>
    <dxf>
      <font>
        <b/>
        <color rgb="FF0F6E56"/>
      </font>
      <fill>
        <patternFill>
          <bgColor rgb="FFE7F5EF"/>
        </patternFill>
      </fill>
    </dxf>
    <dxf>
      <font>
        <b/>
        <color rgb="FFA32D2D"/>
      </font>
      <fill>
        <patternFill>
          <bgColor rgb="FFFBECEC"/>
        </patternFill>
      </fill>
    </dxf>
    <dxf>
      <font>
        <b/>
        <color rgb="FFA32D2D"/>
      </font>
      <fill>
        <patternFill>
          <bgColor rgb="FFFBECEC"/>
        </patternFill>
      </fill>
    </dxf>
    <dxf>
      <font>
        <b/>
        <color rgb="FF0F6E56"/>
      </font>
      <fill>
        <patternFill>
          <bgColor rgb="FFE7F5EF"/>
        </patternFill>
      </fill>
    </dxf>
    <dxf>
      <font>
        <b/>
        <color rgb="FFB71C1C"/>
      </font>
      <fill>
        <patternFill>
          <bgColor rgb="FFFDECEC"/>
        </patternFill>
      </fill>
    </dxf>
    <dxf>
      <font>
        <color rgb="FF15803D"/>
      </font>
      <fill>
        <patternFill>
          <bgColor rgb="FFDCFCE7"/>
        </patternFill>
      </fill>
    </dxf>
    <dxf>
      <font>
        <b/>
        <color rgb="FFB42318"/>
      </font>
      <fill>
        <patternFill>
          <bgColor rgb="FFFEE4E2"/>
        </patternFill>
      </fill>
    </dxf>
    <dxf>
      <font>
        <b/>
        <color rgb="FFA32D2D"/>
      </font>
      <fill>
        <patternFill>
          <bgColor rgb="FFFBECEC"/>
        </patternFill>
      </fill>
    </dxf>
    <dxf>
      <font>
        <b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r>
              <a:rPr lang="tr-TR"/>
              <a:t>Aylık Nakit Performansı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Tahsilat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RAPOR!$B$12:$B$19</c:f>
              <c:numCache>
                <c:formatCode>mmm\ yyyy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RAPOR!$C$12:$C$19</c:f>
              <c:numCache>
                <c:formatCode>#,##0.00\ "₺";[Red]\-#,##0.00\ "₺";\-</c:formatCode>
                <c:ptCount val="8"/>
                <c:pt idx="0">
                  <c:v>320700</c:v>
                </c:pt>
                <c:pt idx="1">
                  <c:v>205500</c:v>
                </c:pt>
                <c:pt idx="2">
                  <c:v>263250</c:v>
                </c:pt>
                <c:pt idx="3">
                  <c:v>281200</c:v>
                </c:pt>
                <c:pt idx="4">
                  <c:v>347650</c:v>
                </c:pt>
                <c:pt idx="5">
                  <c:v>288350</c:v>
                </c:pt>
                <c:pt idx="6">
                  <c:v>204250</c:v>
                </c:pt>
                <c:pt idx="7">
                  <c:v>327900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88-F34D-B488-F14DC01F627D}"/>
            </c:ext>
          </c:extLst>
        </c:ser>
        <c:ser>
          <c:idx val="1"/>
          <c:order val="1"/>
          <c:tx>
            <c:v>Diğer Gelir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RAPOR!$B$12:$B$19</c:f>
              <c:numCache>
                <c:formatCode>mmm\ yyyy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RAPOR!$D$12:$D$19</c:f>
              <c:numCache>
                <c:formatCode>#,##0.00\ "₺";[Red]\-#,##0.00\ "₺";\-</c:formatCode>
                <c:ptCount val="8"/>
                <c:pt idx="0">
                  <c:v>0</c:v>
                </c:pt>
                <c:pt idx="1">
                  <c:v>97200</c:v>
                </c:pt>
                <c:pt idx="2">
                  <c:v>50000</c:v>
                </c:pt>
                <c:pt idx="3">
                  <c:v>147600</c:v>
                </c:pt>
                <c:pt idx="4">
                  <c:v>67250</c:v>
                </c:pt>
                <c:pt idx="5">
                  <c:v>38200</c:v>
                </c:pt>
                <c:pt idx="6">
                  <c:v>20000</c:v>
                </c:pt>
                <c:pt idx="7">
                  <c:v>63000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D88-F34D-B488-F14DC01F627D}"/>
            </c:ext>
          </c:extLst>
        </c:ser>
        <c:ser>
          <c:idx val="2"/>
          <c:order val="2"/>
          <c:tx>
            <c:v>Toplam Gelir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RAPOR!$B$12:$B$19</c:f>
              <c:numCache>
                <c:formatCode>mmm\ yyyy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RAPOR!$E$12:$E$19</c:f>
              <c:numCache>
                <c:formatCode>#,##0.00\ "₺";[Red]\-#,##0.00\ "₺";\-</c:formatCode>
                <c:ptCount val="8"/>
                <c:pt idx="0">
                  <c:v>320700</c:v>
                </c:pt>
                <c:pt idx="1">
                  <c:v>302700</c:v>
                </c:pt>
                <c:pt idx="2">
                  <c:v>313250</c:v>
                </c:pt>
                <c:pt idx="3">
                  <c:v>428800</c:v>
                </c:pt>
                <c:pt idx="4">
                  <c:v>414900</c:v>
                </c:pt>
                <c:pt idx="5">
                  <c:v>326550</c:v>
                </c:pt>
                <c:pt idx="6">
                  <c:v>224250</c:v>
                </c:pt>
                <c:pt idx="7">
                  <c:v>390900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D88-F34D-B488-F14DC01F627D}"/>
            </c:ext>
          </c:extLst>
        </c:ser>
        <c:ser>
          <c:idx val="3"/>
          <c:order val="3"/>
          <c:tx>
            <c:v>Gider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RAPOR!$B$12:$B$19</c:f>
              <c:numCache>
                <c:formatCode>mmm\ yyyy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RAPOR!$F$12:$F$19</c:f>
              <c:numCache>
                <c:formatCode>#,##0.00\ "₺";[Red]\-#,##0.00\ "₺";\-</c:formatCode>
                <c:ptCount val="8"/>
                <c:pt idx="0">
                  <c:v>82333.820000000007</c:v>
                </c:pt>
                <c:pt idx="1">
                  <c:v>282078.19000000006</c:v>
                </c:pt>
                <c:pt idx="2">
                  <c:v>158407.97</c:v>
                </c:pt>
                <c:pt idx="3">
                  <c:v>154094</c:v>
                </c:pt>
                <c:pt idx="4">
                  <c:v>195354</c:v>
                </c:pt>
                <c:pt idx="5">
                  <c:v>99110</c:v>
                </c:pt>
                <c:pt idx="6">
                  <c:v>107510</c:v>
                </c:pt>
                <c:pt idx="7">
                  <c:v>117300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D88-F34D-B488-F14DC01F627D}"/>
            </c:ext>
          </c:extLst>
        </c:ser>
        <c:ser>
          <c:idx val="4"/>
          <c:order val="4"/>
          <c:tx>
            <c:v>Nakit Kâr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RAPOR!$B$12:$B$19</c:f>
              <c:numCache>
                <c:formatCode>mmm\ yyyy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RAPOR!$G$12:$G$19</c:f>
              <c:numCache>
                <c:formatCode>#,##0.00\ "₺";[Red]\-#,##0.00\ "₺";\-</c:formatCode>
                <c:ptCount val="8"/>
                <c:pt idx="0">
                  <c:v>238366.18</c:v>
                </c:pt>
                <c:pt idx="1">
                  <c:v>20621.809999999939</c:v>
                </c:pt>
                <c:pt idx="2">
                  <c:v>154842.03</c:v>
                </c:pt>
                <c:pt idx="3">
                  <c:v>274706</c:v>
                </c:pt>
                <c:pt idx="4">
                  <c:v>219546</c:v>
                </c:pt>
                <c:pt idx="5">
                  <c:v>227440</c:v>
                </c:pt>
                <c:pt idx="6">
                  <c:v>116740</c:v>
                </c:pt>
                <c:pt idx="7">
                  <c:v>273600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D88-F34D-B488-F14DC01F6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usteriler" displayName="tblMusteriler" ref="B6:O156" totalsRowShown="0">
  <tableColumns count="14">
    <tableColumn id="1" xr3:uid="{00000000-0010-0000-0000-000001000000}" name="Müşteri No"/>
    <tableColumn id="2" xr3:uid="{00000000-0010-0000-0000-000002000000}" name="Müşteri / Mükellef Unvanı"/>
    <tableColumn id="3" xr3:uid="{00000000-0010-0000-0000-000003000000}" name="Durum"/>
    <tableColumn id="4" xr3:uid="{00000000-0010-0000-0000-000004000000}" name="Sorumlu Kişi"/>
    <tableColumn id="5" xr3:uid="{00000000-0010-0000-0000-000005000000}" name="Telefon"/>
    <tableColumn id="6" xr3:uid="{00000000-0010-0000-0000-000006000000}" name="Vergi No"/>
    <tableColumn id="7" xr3:uid="{00000000-0010-0000-0000-000007000000}" name="Ödeme Şekli"/>
    <tableColumn id="8" xr3:uid="{00000000-0010-0000-0000-000008000000}" name="Başlangıç Tarihi"/>
    <tableColumn id="9" xr3:uid="{00000000-0010-0000-0000-000009000000}" name="Devir Alacağı"/>
    <tableColumn id="10" xr3:uid="{00000000-0010-0000-0000-00000A000000}" name="Devir Alacak Tarihi"/>
    <tableColumn id="11" xr3:uid="{00000000-0010-0000-0000-00000B000000}" name="Devir Kaynağı"/>
    <tableColumn id="12" xr3:uid="{00000000-0010-0000-0000-00000C000000}" name="Özel Not"/>
    <tableColumn id="13" xr3:uid="{00000000-0010-0000-0000-00000D000000}" name="Bilgi Durumu"/>
    <tableColumn id="14" xr3:uid="{00000000-0010-0000-0000-00000E000000}" name="Kayıt Kontrolü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Ucretler" displayName="tblUcretler" ref="B6:M306" totalsRowShown="0">
  <tableColumns count="12">
    <tableColumn id="1" xr3:uid="{00000000-0010-0000-0100-000001000000}" name="Müşteri No"/>
    <tableColumn id="2" xr3:uid="{00000000-0010-0000-0100-000002000000}" name="Müşteri"/>
    <tableColumn id="3" xr3:uid="{00000000-0010-0000-0100-000003000000}" name="Ücret Başlangıç Tarihi"/>
    <tableColumn id="4" xr3:uid="{00000000-0010-0000-0100-000004000000}" name="Ücret Bitiş Tarihi"/>
    <tableColumn id="5" xr3:uid="{00000000-0010-0000-0100-000005000000}" name="Tahakkuk Modeli"/>
    <tableColumn id="6" xr3:uid="{00000000-0010-0000-0100-000006000000}" name="Ücret Tutarı"/>
    <tableColumn id="7" xr3:uid="{00000000-0010-0000-0100-000007000000}" name="Dönem Durumu"/>
    <tableColumn id="8" xr3:uid="{00000000-0010-0000-0100-000008000000}" name="Bugüne Kadar Oluşan"/>
    <tableColumn id="9" xr3:uid="{00000000-0010-0000-0100-000009000000}" name="Oluşan Dönem"/>
    <tableColumn id="10" xr3:uid="{00000000-0010-0000-0100-00000A000000}" name="Sistem Kontrolü"/>
    <tableColumn id="11" xr3:uid="{00000000-0010-0000-0100-00000B000000}" name="İlk Tahakkuk Tarihi"/>
    <tableColumn id="12" xr3:uid="{00000000-0010-0000-0100-00000C000000}" name="N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ahsilat" displayName="tblTahsilat" ref="B6:M650" totalsRowShown="0">
  <tableColumns count="12">
    <tableColumn id="1" xr3:uid="{00000000-0010-0000-0200-000001000000}" name="Tahsilat No"/>
    <tableColumn id="2" xr3:uid="{00000000-0010-0000-0200-000002000000}" name="Müşteri No"/>
    <tableColumn id="3" xr3:uid="{00000000-0010-0000-0200-000003000000}" name="Müşteri"/>
    <tableColumn id="4" xr3:uid="{00000000-0010-0000-0200-000004000000}" name="Tarih"/>
    <tableColumn id="5" xr3:uid="{00000000-0010-0000-0200-000005000000}" name="Tutar"/>
    <tableColumn id="6" xr3:uid="{00000000-0010-0000-0200-000006000000}" name="Kasa / Banka"/>
    <tableColumn id="7" xr3:uid="{00000000-0010-0000-0200-000007000000}" name="Ödeme Türü"/>
    <tableColumn id="8" xr3:uid="{00000000-0010-0000-0200-000008000000}" name="Belge No"/>
    <tableColumn id="9" xr3:uid="{00000000-0010-0000-0200-000009000000}" name="Açıklama"/>
    <tableColumn id="10" xr3:uid="{00000000-0010-0000-0200-00000A000000}" name="İşlemi Giren"/>
    <tableColumn id="11" xr3:uid="{00000000-0010-0000-0200-00000B000000}" name="Ay"/>
    <tableColumn id="12" xr3:uid="{00000000-0010-0000-0200-00000C000000}" name="Kayıt Kontrolü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GelirGider" displayName="tblGelirGider" ref="B6:P300" totalsRowShown="0">
  <tableColumns count="15">
    <tableColumn id="1" xr3:uid="{00000000-0010-0000-0300-000001000000}" name="Kayıt No"/>
    <tableColumn id="2" xr3:uid="{00000000-0010-0000-0300-000002000000}" name="Tarih"/>
    <tableColumn id="3" xr3:uid="{00000000-0010-0000-0300-000003000000}" name="Tür"/>
    <tableColumn id="4" xr3:uid="{00000000-0010-0000-0300-000004000000}" name="Kategori"/>
    <tableColumn id="5" xr3:uid="{00000000-0010-0000-0300-000005000000}" name="Açıklama"/>
    <tableColumn id="6" xr3:uid="{00000000-0010-0000-0300-000006000000}" name="Tutar"/>
    <tableColumn id="7" xr3:uid="{00000000-0010-0000-0300-000007000000}" name="Kasa / Banka"/>
    <tableColumn id="8" xr3:uid="{00000000-0010-0000-0300-000008000000}" name="Gerçekleşti"/>
    <tableColumn id="9" xr3:uid="{00000000-0010-0000-0300-000009000000}" name="Belge No"/>
    <tableColumn id="10" xr3:uid="{00000000-0010-0000-0300-00000A000000}" name="Sorumlu"/>
    <tableColumn id="11" xr3:uid="{00000000-0010-0000-0300-00000B000000}" name="Borçlu Taraf"/>
    <tableColumn id="12" xr3:uid="{00000000-0010-0000-0300-00000C000000}" name="Borçlu Hesap"/>
    <tableColumn id="13" xr3:uid="{00000000-0010-0000-0300-00000D000000}" name="Alacaklı Hesap"/>
    <tableColumn id="14" xr3:uid="{00000000-0010-0000-0300-00000E000000}" name="Ay"/>
    <tableColumn id="15" xr3:uid="{00000000-0010-0000-0300-00000F000000}" name="Kayıt Kontrolü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Virman" displayName="tblVirman" ref="B6:J200" totalsRowShown="0">
  <tableColumns count="9">
    <tableColumn id="1" xr3:uid="{00000000-0010-0000-0400-000001000000}" name="İşlem No"/>
    <tableColumn id="2" xr3:uid="{00000000-0010-0000-0400-000002000000}" name="Tarih"/>
    <tableColumn id="3" xr3:uid="{00000000-0010-0000-0400-000003000000}" name="Para Çıkan Hesap"/>
    <tableColumn id="4" xr3:uid="{00000000-0010-0000-0400-000004000000}" name="Para Giren Hesap"/>
    <tableColumn id="5" xr3:uid="{00000000-0010-0000-0400-000005000000}" name="Tutar"/>
    <tableColumn id="6" xr3:uid="{00000000-0010-0000-0400-000006000000}" name="Açıklama"/>
    <tableColumn id="7" xr3:uid="{00000000-0010-0000-0400-000007000000}" name="Belge No"/>
    <tableColumn id="8" xr3:uid="{00000000-0010-0000-0400-000008000000}" name="İşlemi Giren"/>
    <tableColumn id="9" xr3:uid="{00000000-0010-0000-0400-000009000000}" name="Sistem Kontrol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O29"/>
  <sheetViews>
    <sheetView showGridLines="0" tabSelected="1" workbookViewId="0"/>
  </sheetViews>
  <sheetFormatPr baseColWidth="10" defaultColWidth="8.83203125" defaultRowHeight="14"/>
  <cols>
    <col min="1" max="1" width="2.5" customWidth="1"/>
    <col min="2" max="6" width="14" customWidth="1"/>
    <col min="7" max="7" width="4" customWidth="1"/>
    <col min="8" max="13" width="14" customWidth="1"/>
    <col min="14" max="14" width="4" customWidth="1"/>
    <col min="15" max="15" width="14" customWidth="1"/>
  </cols>
  <sheetData>
    <row r="1" spans="1:15" ht="15">
      <c r="A1" s="75"/>
      <c r="B1" s="183" t="s">
        <v>0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</row>
    <row r="2" spans="1:15" ht="28" customHeight="1">
      <c r="A2" s="75"/>
      <c r="B2" s="184" t="s">
        <v>1</v>
      </c>
      <c r="C2" s="184"/>
      <c r="D2" s="184"/>
      <c r="E2" s="184"/>
      <c r="F2" s="184"/>
      <c r="G2" s="184"/>
      <c r="H2" s="184"/>
      <c r="I2" s="185"/>
      <c r="J2" s="185"/>
      <c r="K2" s="185"/>
      <c r="L2" s="185"/>
      <c r="M2" s="185"/>
      <c r="N2" s="185"/>
      <c r="O2" s="185"/>
    </row>
    <row r="3" spans="1:15" ht="16">
      <c r="A3" s="75"/>
      <c r="B3" s="182" t="s">
        <v>2</v>
      </c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5" ht="15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</row>
    <row r="5" spans="1:15">
      <c r="B5" s="193" t="s">
        <v>3</v>
      </c>
      <c r="C5" s="173"/>
      <c r="D5" s="173"/>
      <c r="E5" s="198" t="s">
        <v>4</v>
      </c>
      <c r="F5" s="173"/>
      <c r="G5" s="173"/>
      <c r="H5" s="195" t="s">
        <v>5</v>
      </c>
      <c r="I5" s="173"/>
      <c r="J5" s="173"/>
      <c r="K5" s="199" t="s">
        <v>6</v>
      </c>
      <c r="L5" s="173"/>
      <c r="M5" s="173"/>
    </row>
    <row r="6" spans="1:15">
      <c r="B6" s="189" t="str">
        <f>IFERROR(HYPERLINK("#PANO!A1","AÇ"),"AÇ")</f>
        <v>AÇ</v>
      </c>
      <c r="C6" s="173"/>
      <c r="D6" s="176"/>
      <c r="E6" s="175" t="str">
        <f>IFERROR(HYPERLINK("#BASLANGIC!A1","AÇ"),"AÇ")</f>
        <v>AÇ</v>
      </c>
      <c r="F6" s="173"/>
      <c r="G6" s="176"/>
      <c r="H6" s="186" t="str">
        <f>IFERROR(HYPERLINK("#RAPOR!A1","AÇ"),"AÇ")</f>
        <v>AÇ</v>
      </c>
      <c r="I6" s="173"/>
      <c r="J6" s="176"/>
      <c r="K6" s="196" t="str">
        <f>IFERROR(HYPERLINK("#KONTROL!A1","AÇ"),"AÇ")</f>
        <v>AÇ</v>
      </c>
      <c r="L6" s="173"/>
      <c r="M6" s="176"/>
    </row>
    <row r="7" spans="1:15">
      <c r="B7" s="177"/>
      <c r="C7" s="178"/>
      <c r="D7" s="176"/>
      <c r="E7" s="177"/>
      <c r="F7" s="178"/>
      <c r="G7" s="176"/>
      <c r="H7" s="177"/>
      <c r="I7" s="178"/>
      <c r="J7" s="176"/>
      <c r="K7" s="177"/>
      <c r="L7" s="178"/>
      <c r="M7" s="176"/>
    </row>
    <row r="8" spans="1:15">
      <c r="B8" s="179"/>
      <c r="C8" s="180"/>
      <c r="D8" s="181"/>
      <c r="E8" s="179"/>
      <c r="F8" s="180"/>
      <c r="G8" s="181"/>
      <c r="H8" s="179"/>
      <c r="I8" s="180"/>
      <c r="J8" s="181"/>
      <c r="K8" s="179"/>
      <c r="L8" s="180"/>
      <c r="M8" s="181"/>
    </row>
    <row r="10" spans="1:15" ht="16">
      <c r="B10" s="188" t="s">
        <v>7</v>
      </c>
      <c r="C10" s="185"/>
      <c r="D10" s="185"/>
      <c r="E10" s="185"/>
      <c r="F10" s="185"/>
      <c r="G10" s="185"/>
      <c r="I10" s="194" t="s">
        <v>8</v>
      </c>
      <c r="J10" s="185"/>
      <c r="K10" s="185"/>
      <c r="L10" s="185"/>
      <c r="M10" s="185"/>
      <c r="N10" s="185"/>
    </row>
    <row r="12" spans="1:15" ht="27" customHeight="1">
      <c r="B12" s="174" t="str">
        <f>IFERROR(HYPERLINK("#MUSTERILER!A1","MÜŞTERİLER"),"MÜŞTERİLER")</f>
        <v>MÜŞTERİLER</v>
      </c>
      <c r="C12" s="173"/>
      <c r="D12" s="173"/>
      <c r="E12" s="173"/>
      <c r="F12" s="173"/>
      <c r="G12" s="1"/>
      <c r="I12" s="172" t="str">
        <f>IFERROR(HYPERLINK("#MUSTERI_360!A1","MÜŞTERİ 360"),"MÜŞTERİ 360")</f>
        <v>MÜŞTERİ 360</v>
      </c>
      <c r="J12" s="173"/>
      <c r="K12" s="173"/>
      <c r="L12" s="173"/>
      <c r="M12" s="173"/>
      <c r="N12" s="173"/>
    </row>
    <row r="13" spans="1:15" ht="27" customHeight="1">
      <c r="B13" s="174" t="str">
        <f>IFERROR(HYPERLINK("#UCRETLER!A1","ÜCRETLER"),"ÜCRETLER")</f>
        <v>ÜCRETLER</v>
      </c>
      <c r="C13" s="173"/>
      <c r="D13" s="173"/>
      <c r="E13" s="173"/>
      <c r="F13" s="173"/>
      <c r="G13" s="1"/>
      <c r="I13" s="172" t="str">
        <f>IFERROR(HYPERLINK("#CARI_EKSTRE!A1","CARİ EKSTRE"),"CARİ EKSTRE")</f>
        <v>CARİ EKSTRE</v>
      </c>
      <c r="J13" s="173"/>
      <c r="K13" s="173"/>
      <c r="L13" s="173"/>
      <c r="M13" s="173"/>
      <c r="N13" s="173"/>
    </row>
    <row r="14" spans="1:15" ht="27" customHeight="1">
      <c r="B14" s="174" t="str">
        <f>IFERROR(HYPERLINK("#TAHSILAT!A1","TAHSİLAT"),"TAHSİLAT")</f>
        <v>TAHSİLAT</v>
      </c>
      <c r="C14" s="173"/>
      <c r="D14" s="173"/>
      <c r="E14" s="173"/>
      <c r="F14" s="173"/>
      <c r="G14" s="173"/>
      <c r="I14" s="172" t="str">
        <f>IFERROR(HYPERLINK("#ORTAK_EKSTRE!A1","ORTAK EKSTRE"),"ORTAK EKSTRE")</f>
        <v>ORTAK EKSTRE</v>
      </c>
      <c r="J14" s="173"/>
      <c r="K14" s="173"/>
      <c r="L14" s="173"/>
      <c r="M14" s="173"/>
      <c r="N14" s="173"/>
    </row>
    <row r="15" spans="1:15" ht="27" customHeight="1">
      <c r="B15" s="174" t="str">
        <f>IFERROR(HYPERLINK("#GELIR_GIDER!A1","GELİR / GİDER"),"GELİR / GİDER")</f>
        <v>GELİR / GİDER</v>
      </c>
      <c r="C15" s="173"/>
      <c r="D15" s="173"/>
      <c r="E15" s="173"/>
      <c r="F15" s="173"/>
      <c r="G15" s="173"/>
      <c r="I15" s="172" t="str">
        <f>IFERROR(HYPERLINK("#HESAPLAR!A1","HESAPLAR"),"HESAPLAR")</f>
        <v>HESAPLAR</v>
      </c>
      <c r="J15" s="173"/>
      <c r="K15" s="1"/>
      <c r="L15" s="173"/>
      <c r="M15" s="173"/>
      <c r="N15" s="173"/>
    </row>
    <row r="16" spans="1:15" ht="27" customHeight="1">
      <c r="B16" s="174" t="str">
        <f>IFERROR(HYPERLINK("#VIRMAN!A1","VİRMAN"),"VİRMAN")</f>
        <v>VİRMAN</v>
      </c>
      <c r="C16" s="173"/>
      <c r="D16" s="173"/>
      <c r="E16" s="173"/>
      <c r="F16" s="173"/>
      <c r="G16" s="1"/>
      <c r="I16" s="172" t="str">
        <f>IFERROR(HYPERLINK("#AY_SONU!A1","AY SONU"),"AY SONU")</f>
        <v>AY SONU</v>
      </c>
      <c r="J16" s="173"/>
      <c r="K16" s="173"/>
      <c r="L16" s="173"/>
      <c r="M16" s="173"/>
      <c r="N16" s="173"/>
    </row>
    <row r="17" spans="2:14" ht="27" customHeight="1">
      <c r="I17" s="172" t="str">
        <f>IFERROR(HYPERLINK("#ORTAKLAR!A1","ORTAKLAR"),"ORTAKLAR")</f>
        <v>ORTAKLAR</v>
      </c>
      <c r="J17" s="173"/>
      <c r="K17" s="173"/>
      <c r="L17" s="173"/>
      <c r="M17" s="173"/>
      <c r="N17" s="173"/>
    </row>
    <row r="18" spans="2:14" ht="27" customHeight="1">
      <c r="I18" s="172" t="str">
        <f>IFERROR(HYPERLINK("#KAR!A1","KÂR"),"KÂR")</f>
        <v>KÂR</v>
      </c>
      <c r="J18" s="173"/>
      <c r="K18" s="173"/>
      <c r="L18" s="173"/>
      <c r="M18" s="173"/>
      <c r="N18" s="173"/>
    </row>
    <row r="22" spans="2:14" ht="16">
      <c r="B22" s="192" t="s">
        <v>9</v>
      </c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</row>
    <row r="23" spans="2:14" ht="15">
      <c r="B23" s="197" t="s">
        <v>10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</row>
    <row r="24" spans="2:14" ht="15">
      <c r="B24" s="187" t="s">
        <v>11</v>
      </c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</row>
    <row r="25" spans="2:14" ht="15">
      <c r="B25" s="191" t="s">
        <v>12</v>
      </c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</row>
    <row r="26" spans="2:14" ht="15">
      <c r="B26" s="190" t="s">
        <v>13</v>
      </c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</row>
    <row r="28" spans="2:14" ht="16">
      <c r="B28" s="200" t="s">
        <v>14</v>
      </c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</row>
    <row r="29" spans="2:14">
      <c r="B29" s="173" t="s">
        <v>15</v>
      </c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t="str">
        <f>IFERROR(HYPERLINK("#KONTROL!A1","AÇ"),"AÇ")</f>
        <v>AÇ</v>
      </c>
    </row>
  </sheetData>
  <sheetProtection password="CC3D" sheet="1"/>
  <mergeCells count="43">
    <mergeCell ref="B28:N28"/>
    <mergeCell ref="B29:M29"/>
    <mergeCell ref="B12:C12"/>
    <mergeCell ref="B10:G10"/>
    <mergeCell ref="B6:D8"/>
    <mergeCell ref="I14:K14"/>
    <mergeCell ref="B26:N26"/>
    <mergeCell ref="D12:F12"/>
    <mergeCell ref="I17:K17"/>
    <mergeCell ref="B15:D15"/>
    <mergeCell ref="B25:N25"/>
    <mergeCell ref="B13:C13"/>
    <mergeCell ref="B22:N22"/>
    <mergeCell ref="I10:N10"/>
    <mergeCell ref="I13:K13"/>
    <mergeCell ref="K6:M8"/>
    <mergeCell ref="L17:N17"/>
    <mergeCell ref="B1:O2"/>
    <mergeCell ref="H6:J8"/>
    <mergeCell ref="I18:K18"/>
    <mergeCell ref="B24:N24"/>
    <mergeCell ref="E15:G15"/>
    <mergeCell ref="D16:F16"/>
    <mergeCell ref="B5:D5"/>
    <mergeCell ref="H5:J5"/>
    <mergeCell ref="L16:N16"/>
    <mergeCell ref="E14:G14"/>
    <mergeCell ref="B23:N23"/>
    <mergeCell ref="E5:G5"/>
    <mergeCell ref="K5:M5"/>
    <mergeCell ref="L13:N13"/>
    <mergeCell ref="L12:N12"/>
    <mergeCell ref="L18:N18"/>
    <mergeCell ref="E6:G8"/>
    <mergeCell ref="L14:N14"/>
    <mergeCell ref="I15:J15"/>
    <mergeCell ref="B3:O3"/>
    <mergeCell ref="I12:K12"/>
    <mergeCell ref="I16:K16"/>
    <mergeCell ref="L15:N15"/>
    <mergeCell ref="D13:F13"/>
    <mergeCell ref="B14:D14"/>
    <mergeCell ref="B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</sheetPr>
  <dimension ref="A1:O31"/>
  <sheetViews>
    <sheetView showGridLines="0" topLeftCell="A7" workbookViewId="0"/>
  </sheetViews>
  <sheetFormatPr baseColWidth="10" defaultColWidth="8.83203125" defaultRowHeight="14"/>
  <cols>
    <col min="1" max="1" width="22" customWidth="1"/>
    <col min="2" max="2" width="4" customWidth="1"/>
    <col min="3" max="3" width="18" customWidth="1"/>
    <col min="4" max="14" width="16" customWidth="1"/>
  </cols>
  <sheetData>
    <row r="1" spans="1:15" ht="38" customHeight="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32" t="s">
        <v>16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28" customHeight="1">
      <c r="A2" s="222" t="s">
        <v>17</v>
      </c>
      <c r="B2" s="223"/>
      <c r="C2" s="213" t="s">
        <v>18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1:15" ht="28" customHeight="1">
      <c r="A3" s="213" t="s">
        <v>19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5" ht="24" customHeight="1">
      <c r="A4" s="207" t="str">
        <f>IFERROR(HYPERLINK("#MENU!A1","← MENÜ   │   PANO"),"← MENÜ   │   PANO")</f>
        <v>← MENÜ   │   PANO</v>
      </c>
      <c r="B4" s="208"/>
      <c r="C4" s="208"/>
      <c r="D4" s="208"/>
      <c r="E4" s="208"/>
      <c r="F4" s="208"/>
      <c r="G4" s="209"/>
      <c r="H4" s="79" t="str">
        <f>IFERROR(HYPERLINK("#TAHSILAT!A1","TAHSİLAT"),"TAHSİLAT")</f>
        <v>TAHSİLAT</v>
      </c>
      <c r="I4" s="80"/>
      <c r="J4" s="79" t="str">
        <f>IFERROR(HYPERLINK("#GELIR_GIDER!A1","GELİR / GİDER"),"GELİR / GİDER")</f>
        <v>GELİR / GİDER</v>
      </c>
      <c r="K4" s="80"/>
      <c r="L4" s="79" t="str">
        <f>IFERROR(HYPERLINK("#VIRMAN!A1","VİRMAN"),"VİRMAN")</f>
        <v>VİRMAN</v>
      </c>
      <c r="M4" s="80"/>
      <c r="N4" s="79" t="str">
        <f>IFERROR(HYPERLINK("#RAPOR!A1","RAPOR"),"RAPOR")</f>
        <v>RAPOR</v>
      </c>
      <c r="O4" s="21"/>
    </row>
    <row r="5" spans="1:15" ht="16">
      <c r="A5" s="66" t="s">
        <v>20</v>
      </c>
      <c r="B5" s="66"/>
      <c r="C5" s="6"/>
      <c r="D5" s="227" t="s">
        <v>21</v>
      </c>
      <c r="E5" s="211"/>
      <c r="F5" s="211"/>
      <c r="G5" s="217" t="s">
        <v>22</v>
      </c>
      <c r="H5" s="211"/>
      <c r="I5" s="211"/>
      <c r="J5" s="35"/>
      <c r="K5" s="35"/>
      <c r="L5" s="211"/>
      <c r="M5" s="211"/>
      <c r="N5" s="211"/>
      <c r="O5" s="35"/>
    </row>
    <row r="6" spans="1:15" ht="25" customHeight="1">
      <c r="A6" s="67" t="str">
        <f>IFERROR(HYPERLINK("#RAPOR!A1","Yönetim Raporu"),"Yönetim Raporu")</f>
        <v>Yönetim Raporu</v>
      </c>
      <c r="B6" s="68" t="str">
        <f>IFERROR(HYPERLINK("#RAPOR!A1","›"),"›")</f>
        <v>›</v>
      </c>
      <c r="C6" s="6"/>
      <c r="D6" s="214">
        <f>COUNTIF(MUSTERILER!$D$7:$D$156,"Aktif")</f>
        <v>52</v>
      </c>
      <c r="E6" s="173"/>
      <c r="F6" s="176"/>
      <c r="G6" s="103">
        <f>SUMIFS(MUSTERI_360!$J$7:$J$156,MUSTERI_360!$J$7:$J$156,"&gt;0")</f>
        <v>1219008</v>
      </c>
      <c r="H6" s="173"/>
      <c r="I6" s="173"/>
      <c r="J6" s="180"/>
      <c r="K6" s="1"/>
      <c r="L6" s="33"/>
      <c r="M6" s="181"/>
      <c r="N6" s="173"/>
      <c r="O6" s="176"/>
    </row>
    <row r="7" spans="1:15" ht="25" customHeight="1">
      <c r="A7" s="67" t="str">
        <f>IFERROR(HYPERLINK("#MUSTERILER!A1","Müşteriler"),"Müşteriler")</f>
        <v>Müşteriler</v>
      </c>
      <c r="B7" s="68" t="str">
        <f>IFERROR(HYPERLINK("#MUSTERILER!A1","›"),"›")</f>
        <v>›</v>
      </c>
      <c r="C7" s="6"/>
      <c r="D7" s="179"/>
      <c r="E7" s="180"/>
      <c r="F7" s="181"/>
      <c r="G7" s="32"/>
      <c r="H7" s="180"/>
      <c r="I7" s="180"/>
      <c r="J7" s="180"/>
      <c r="K7" s="33"/>
      <c r="L7" s="33"/>
      <c r="M7" s="180"/>
      <c r="N7" s="180"/>
      <c r="O7" s="181"/>
    </row>
    <row r="8" spans="1:15" ht="25" customHeight="1">
      <c r="A8" s="67" t="str">
        <f>IFERROR(HYPERLINK("#UCRETLER!A1","Ücretler"),"Ücretler")</f>
        <v>Ücretler</v>
      </c>
      <c r="B8" s="68" t="str">
        <f>IFERROR(HYPERLINK("#UCRETLER!A1","›"),"›")</f>
        <v>›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ht="25" customHeight="1">
      <c r="A9" s="67" t="str">
        <f>IFERROR(HYPERLINK("#TAHSILAT!A1","Tahsilat"),"Tahsilat")</f>
        <v>Tahsilat</v>
      </c>
      <c r="B9" s="68" t="str">
        <f>IFERROR(HYPERLINK("#TAHSILAT!A1","›"),"›")</f>
        <v>›</v>
      </c>
      <c r="C9" s="6"/>
      <c r="D9" s="217" t="s">
        <v>23</v>
      </c>
      <c r="E9" s="211"/>
      <c r="F9" s="211"/>
      <c r="G9" s="217" t="s">
        <v>24</v>
      </c>
      <c r="H9" s="211"/>
      <c r="I9" s="211"/>
      <c r="J9" s="217" t="s">
        <v>25</v>
      </c>
      <c r="K9" s="211"/>
      <c r="L9" s="211"/>
      <c r="M9" s="217" t="s">
        <v>26</v>
      </c>
      <c r="N9" s="211"/>
      <c r="O9" s="211"/>
    </row>
    <row r="10" spans="1:15" ht="25" customHeight="1">
      <c r="A10" s="67" t="str">
        <f>IFERROR(HYPERLINK("#GELIR_GIDER!A1","Gelir / Gider"),"Gelir / Gider")</f>
        <v>Gelir / Gider</v>
      </c>
      <c r="B10" s="68" t="str">
        <f>IFERROR(HYPERLINK("#GELIR_GIDER!A1","›"),"›")</f>
        <v>›</v>
      </c>
      <c r="C10" s="6"/>
      <c r="D10" s="206">
        <f>SUMIFS(AY_SONU!$C$7:$C$42,AY_SONU!$B$7:$B$42,DATE(YEAR(SISTEM!$C$17),MONTH(SISTEM!$C$17),1))</f>
        <v>327900</v>
      </c>
      <c r="E10" s="173"/>
      <c r="F10" s="176"/>
      <c r="G10" s="104">
        <f>SUMIFS(AY_SONU!$G$7:$G$42,AY_SONU!$B$7:$B$42,DATE(YEAR(SISTEM!$C$17),MONTH(SISTEM!$C$17),1))</f>
        <v>273600</v>
      </c>
      <c r="H10" s="181"/>
      <c r="I10" s="180"/>
      <c r="J10" s="181"/>
      <c r="K10" s="1"/>
      <c r="L10" s="176"/>
      <c r="M10" s="181"/>
      <c r="N10" s="173"/>
      <c r="O10" s="30"/>
    </row>
    <row r="11" spans="1:15" ht="25" customHeight="1">
      <c r="A11" s="67" t="str">
        <f>IFERROR(HYPERLINK("#VIRMAN!A1","Virman"),"Virman")</f>
        <v>Virman</v>
      </c>
      <c r="B11" s="68" t="str">
        <f>IFERROR(HYPERLINK("#VIRMAN!A1","›"),"›")</f>
        <v>›</v>
      </c>
      <c r="C11" s="6"/>
      <c r="D11" s="179"/>
      <c r="E11" s="173"/>
      <c r="F11" s="173"/>
      <c r="G11" s="31"/>
      <c r="H11" s="173"/>
      <c r="I11" s="173"/>
      <c r="J11" s="180"/>
      <c r="K11" s="33"/>
      <c r="L11" s="181"/>
      <c r="M11" s="173"/>
      <c r="N11" s="176"/>
      <c r="O11" s="34"/>
    </row>
    <row r="12" spans="1:15" ht="25" customHeight="1">
      <c r="A12" s="67" t="str">
        <f>IFERROR(HYPERLINK("#MUSTERI_360!A1","Müşteri 360"),"Müşteri 360")</f>
        <v>Müşteri 360</v>
      </c>
      <c r="B12" s="68" t="str">
        <f>IFERROR(HYPERLINK("#MUSTERI_360!A1","›"),"›")</f>
        <v>›</v>
      </c>
      <c r="C12" s="6"/>
      <c r="D12" s="32"/>
      <c r="E12" s="33"/>
      <c r="F12" s="33"/>
      <c r="G12" s="6"/>
      <c r="H12" s="180"/>
      <c r="I12" s="180"/>
      <c r="J12" s="180"/>
      <c r="K12" s="6"/>
      <c r="L12" s="180"/>
      <c r="M12" s="180"/>
      <c r="N12" s="181"/>
      <c r="O12" s="6"/>
    </row>
    <row r="13" spans="1:15" ht="25" customHeight="1">
      <c r="A13" s="67" t="str">
        <f>IFERROR(HYPERLINK("#CARI_EKSTRE!A1","Cari Ekstre"),"Cari Ekstre")</f>
        <v>Cari Ekstre</v>
      </c>
      <c r="B13" s="68" t="str">
        <f>IFERROR(HYPERLINK("#CARI_EKSTRE!A1","›"),"›")</f>
        <v>›</v>
      </c>
      <c r="C13" s="6"/>
      <c r="D13" s="203" t="s">
        <v>27</v>
      </c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</row>
    <row r="14" spans="1:15" ht="25" customHeight="1">
      <c r="A14" s="67" t="str">
        <f>IFERROR(HYPERLINK("#ORTAK_EKSTRE!A1","Ortak Ekstre"),"Ortak Ekstre")</f>
        <v>Ortak Ekstre</v>
      </c>
      <c r="B14" s="68" t="str">
        <f>IFERROR(HYPERLINK("#ORTAK_EKSTRE!A1","›"),"›")</f>
        <v>›</v>
      </c>
      <c r="C14" s="6"/>
      <c r="D14" s="228" t="str">
        <f>IFERROR(HYPERLINK("#KONTROL!A1","KRİTİK KONTROLLER — AÇ"),"KRİTİK KONTROLLER — AÇ")</f>
        <v>KRİTİK KONTROLLER — AÇ</v>
      </c>
      <c r="E14" s="229"/>
      <c r="F14" s="230"/>
      <c r="G14" s="219" t="str">
        <f>IFERROR(HYPERLINK("#GELIR_GIDER!A1","ÖMER TAHAKKUKU — AÇ"),"ÖMER TAHAKKUKU — AÇ")</f>
        <v>ÖMER TAHAKKUKU — AÇ</v>
      </c>
      <c r="H14" s="220"/>
      <c r="I14" s="221"/>
      <c r="J14" s="234" t="str">
        <f>HYPERLINK("#ORTAK_EKSTRE!A1","ÖMER CARİ: "&amp;TEXT(ORTAKLAR!G8,"#,##0.00")&amp;" TL — AÇ")</f>
        <v>ÖMER CARİ: 734650,000 TL — AÇ</v>
      </c>
      <c r="K14" s="235"/>
      <c r="L14" s="236"/>
      <c r="M14" s="224" t="str">
        <f>IFERROR(HYPERLINK("#RAPOR!A1","YÖNETİM RAPORU — AÇ"),"YÖNETİM RAPORU — AÇ")</f>
        <v>YÖNETİM RAPORU — AÇ</v>
      </c>
      <c r="N14" s="225"/>
      <c r="O14" s="226"/>
    </row>
    <row r="15" spans="1:15" ht="25" customHeight="1">
      <c r="A15" s="67" t="str">
        <f>IFERROR(HYPERLINK("#HESAPLAR!A1","Hesaplar"),"Hesaplar")</f>
        <v>Hesaplar</v>
      </c>
      <c r="B15" s="68" t="str">
        <f>IFERROR(HYPERLINK("#HESAPLAR!A1","›"),"›")</f>
        <v>›</v>
      </c>
      <c r="C15" s="6"/>
      <c r="D15" s="177"/>
      <c r="E15" s="178"/>
      <c r="F15" s="176"/>
      <c r="G15" s="177"/>
      <c r="H15" s="178"/>
      <c r="I15" s="176"/>
      <c r="J15" s="177"/>
      <c r="K15" s="178"/>
      <c r="L15" s="176"/>
      <c r="M15" s="177"/>
      <c r="N15" s="178"/>
      <c r="O15" s="176"/>
    </row>
    <row r="16" spans="1:15" ht="25" customHeight="1">
      <c r="A16" s="67" t="str">
        <f>IFERROR(HYPERLINK("#AY_SONU!A1","Ay Sonu"),"Ay Sonu")</f>
        <v>Ay Sonu</v>
      </c>
      <c r="B16" s="68" t="str">
        <f>IFERROR(HYPERLINK("#AY_SONU!A1","›"),"›")</f>
        <v>›</v>
      </c>
      <c r="C16" s="6"/>
      <c r="D16" s="179"/>
      <c r="E16" s="180"/>
      <c r="F16" s="181"/>
      <c r="G16" s="179"/>
      <c r="H16" s="180"/>
      <c r="I16" s="181"/>
      <c r="J16" s="179"/>
      <c r="K16" s="180"/>
      <c r="L16" s="181"/>
      <c r="M16" s="179"/>
      <c r="N16" s="180"/>
      <c r="O16" s="181"/>
    </row>
    <row r="17" spans="1:15" ht="25" customHeight="1">
      <c r="A17" s="67" t="str">
        <f>IFERROR(HYPERLINK("#ORTAKLAR!A1","Ortaklar"),"Ortaklar")</f>
        <v>Ortaklar</v>
      </c>
      <c r="B17" s="68" t="str">
        <f>IFERROR(HYPERLINK("#ORTAKLAR!A1","›"),"›")</f>
        <v>›</v>
      </c>
      <c r="C17" s="6"/>
      <c r="D17" s="238"/>
      <c r="E17" s="173"/>
      <c r="F17" s="173"/>
      <c r="G17" s="173"/>
      <c r="H17" s="173"/>
      <c r="I17" s="173"/>
      <c r="J17" s="173"/>
      <c r="K17" s="173"/>
      <c r="L17" s="173"/>
      <c r="M17" s="173"/>
      <c r="N17" s="6"/>
      <c r="O17" s="6"/>
    </row>
    <row r="18" spans="1:15" ht="25" customHeight="1">
      <c r="A18" s="67" t="str">
        <f>IFERROR(HYPERLINK("#KAR!A1","Kâr"),"Kâr")</f>
        <v>Kâr</v>
      </c>
      <c r="B18" s="68" t="str">
        <f>IFERROR(HYPERLINK("#KAR!A1","›"),"›")</f>
        <v>›</v>
      </c>
      <c r="C18" s="6"/>
      <c r="D18" s="204" t="s">
        <v>28</v>
      </c>
      <c r="E18" s="185"/>
      <c r="F18" s="185"/>
      <c r="G18" s="185"/>
      <c r="H18" s="185"/>
      <c r="I18" s="185"/>
      <c r="J18" s="185"/>
      <c r="K18" s="185"/>
      <c r="L18" s="185"/>
      <c r="M18" s="185"/>
      <c r="N18" s="29"/>
      <c r="O18" s="29"/>
    </row>
    <row r="19" spans="1:15" ht="25" customHeight="1">
      <c r="A19" s="67" t="str">
        <f>IFERROR(HYPERLINK("#SISTEM!A1","Sistem"),"Sistem")</f>
        <v>Sistem</v>
      </c>
      <c r="B19" s="68" t="str">
        <f>IFERROR(HYPERLINK("#SISTEM!A1","›"),"›")</f>
        <v>›</v>
      </c>
      <c r="C19" s="6"/>
      <c r="D19" s="201" t="str">
        <f>SISTEM!B19</f>
        <v>Gelir/Gider tanımsız borçlu</v>
      </c>
      <c r="E19" s="180"/>
      <c r="F19" s="180"/>
      <c r="G19" s="180"/>
      <c r="H19" s="180"/>
      <c r="I19" s="180"/>
      <c r="J19" s="180"/>
      <c r="K19" s="180"/>
      <c r="L19" s="180"/>
      <c r="M19" s="180"/>
      <c r="N19" s="33"/>
      <c r="O19" s="33"/>
    </row>
    <row r="20" spans="1:15" ht="25" customHeight="1">
      <c r="A20" s="67" t="str">
        <f>IFERROR(HYPERLINK("#BASLANGIC!A1","Başucu Rehberi"),"Başucu Rehberi")</f>
        <v>Başucu Rehberi</v>
      </c>
      <c r="B20" s="68" t="str">
        <f>IFERROR(HYPERLINK("#BASLANGIC!A1","›"),"›")</f>
        <v>›</v>
      </c>
      <c r="C20" s="6"/>
      <c r="D20" s="201" t="str">
        <f>SISTEM!B20</f>
        <v>Nakitsiz tahakkukta kasa seçilmiş</v>
      </c>
      <c r="E20" s="180"/>
      <c r="F20" s="180"/>
      <c r="G20" s="180"/>
      <c r="H20" s="180"/>
      <c r="I20" s="180"/>
      <c r="J20" s="180"/>
      <c r="K20" s="180"/>
      <c r="L20" s="180"/>
      <c r="M20" s="180"/>
      <c r="N20" s="33"/>
      <c r="O20" s="33"/>
    </row>
    <row r="21" spans="1:15" ht="25" customHeight="1">
      <c r="A21" s="69" t="str">
        <f>IFERROR(HYPERLINK("#KONTROL!A1","Kontrol Merkezi"),"Kontrol Merkezi")</f>
        <v>Kontrol Merkezi</v>
      </c>
      <c r="B21" s="70" t="str">
        <f>IFERROR(HYPERLINK("#KONTROL!A1","›"),"›")</f>
        <v>›</v>
      </c>
      <c r="C21" s="6"/>
      <c r="D21" s="201" t="str">
        <f>SISTEM!B21</f>
        <v>Eski SGK/Muhasebe işlemi yanlış VIRMAN'da</v>
      </c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</row>
    <row r="22" spans="1:15" ht="16">
      <c r="A22" s="7"/>
      <c r="B22" s="7"/>
      <c r="C22" s="6"/>
      <c r="D22" s="201" t="str">
        <f>SISTEM!B22</f>
        <v>Yalıkent/Grand06 yapay kasa çifti</v>
      </c>
      <c r="E22" s="180"/>
      <c r="F22" s="180"/>
      <c r="G22" s="180"/>
      <c r="H22" s="180"/>
      <c r="I22" s="180"/>
      <c r="J22" s="180"/>
      <c r="K22" s="180"/>
      <c r="L22" s="180"/>
      <c r="M22" s="201" t="str">
        <f>SISTEM!E22</f>
        <v>GEÇTİ</v>
      </c>
      <c r="N22" s="180"/>
      <c r="O22" s="180"/>
    </row>
    <row r="23" spans="1:15" ht="16">
      <c r="A23" s="7"/>
      <c r="B23" s="7"/>
      <c r="C23" s="6"/>
      <c r="D23" s="201" t="str">
        <f>SISTEM!B23</f>
        <v>Eksik tarihli gerçek Gelir/Gider kaydı</v>
      </c>
      <c r="E23" s="180"/>
      <c r="F23" s="180"/>
      <c r="G23" s="180"/>
      <c r="H23" s="180"/>
      <c r="I23" s="180"/>
      <c r="J23" s="180"/>
      <c r="K23" s="180"/>
      <c r="L23" s="180"/>
      <c r="M23" s="201" t="str">
        <f>SISTEM!E23</f>
        <v>GEÇTİ</v>
      </c>
      <c r="N23" s="180"/>
      <c r="O23" s="180"/>
    </row>
    <row r="24" spans="1:15" ht="16">
      <c r="A24" s="7"/>
      <c r="B24" s="7"/>
      <c r="C24" s="6"/>
      <c r="D24" s="201" t="str">
        <f>SISTEM!B24</f>
        <v>Nakit olmayan mahsup kaydı fiziki kasada</v>
      </c>
      <c r="E24" s="180"/>
      <c r="F24" s="180"/>
      <c r="G24" s="180"/>
      <c r="H24" s="180"/>
      <c r="I24" s="180"/>
      <c r="J24" s="180"/>
      <c r="K24" s="180"/>
      <c r="L24" s="180"/>
      <c r="M24" s="201" t="str">
        <f>SISTEM!E24</f>
        <v>GEÇTİ</v>
      </c>
      <c r="N24" s="180"/>
      <c r="O24" s="180"/>
    </row>
    <row r="25" spans="1:15" ht="16">
      <c r="A25" s="7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6">
      <c r="A26" s="7"/>
      <c r="B26" s="7"/>
      <c r="C26" s="6"/>
      <c r="D26" s="231" t="s">
        <v>29</v>
      </c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</row>
    <row r="27" spans="1:15" ht="16">
      <c r="A27" s="7"/>
      <c r="B27" s="7"/>
      <c r="C27" s="6"/>
      <c r="D27" s="202" t="s">
        <v>30</v>
      </c>
      <c r="E27" s="173"/>
      <c r="F27" s="173"/>
      <c r="G27" s="237" t="s">
        <v>31</v>
      </c>
      <c r="H27" s="173"/>
      <c r="I27" s="173"/>
      <c r="J27" s="205" t="s">
        <v>32</v>
      </c>
      <c r="K27" s="173"/>
      <c r="L27" s="173"/>
      <c r="M27" s="215" t="s">
        <v>33</v>
      </c>
      <c r="N27" s="173"/>
      <c r="O27" s="173"/>
    </row>
    <row r="28" spans="1:15" ht="16">
      <c r="A28" s="7"/>
      <c r="B28" s="7"/>
      <c r="C28" s="6"/>
      <c r="D28" s="216" t="s">
        <v>34</v>
      </c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</row>
    <row r="29" spans="1:15" ht="16">
      <c r="A29" s="7"/>
      <c r="B29" s="7"/>
      <c r="C29" s="6"/>
      <c r="D29" s="218">
        <f>COUNTIFS(KONTROL!$D$6:$D$53,"KRİTİK",KONTROL!$F$6:$F$53,"KALDI")</f>
        <v>2</v>
      </c>
      <c r="E29" s="173"/>
      <c r="F29" s="173"/>
      <c r="G29" s="173"/>
      <c r="H29" s="173"/>
      <c r="I29" s="233">
        <f>COUNTIF(KONTROL!$F$6:$F$53,"UYARI")</f>
        <v>1</v>
      </c>
      <c r="J29" s="173"/>
      <c r="K29" s="173"/>
      <c r="L29" s="173"/>
      <c r="M29" s="212" t="str">
        <f>HYPERLINK("#'KONTROL'!A1","KONTROLÜ AÇ")</f>
        <v>KONTROLÜ AÇ</v>
      </c>
      <c r="N29" s="173"/>
      <c r="O29" s="173"/>
    </row>
    <row r="30" spans="1:15" ht="16">
      <c r="A30" s="7"/>
      <c r="B30" s="7"/>
      <c r="C30" s="6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</row>
    <row r="31" spans="1:15" ht="15">
      <c r="D31" s="210" t="s">
        <v>35</v>
      </c>
      <c r="E31" s="173"/>
      <c r="F31" s="173"/>
      <c r="G31" s="173"/>
      <c r="H31" s="173"/>
      <c r="I31" s="210" t="s">
        <v>36</v>
      </c>
      <c r="J31" s="173"/>
      <c r="K31" s="173"/>
      <c r="L31" s="173"/>
      <c r="M31" s="210" t="s">
        <v>37</v>
      </c>
      <c r="N31" s="173"/>
      <c r="O31" s="173"/>
    </row>
  </sheetData>
  <sheetProtection password="CC3D" sheet="1"/>
  <mergeCells count="49">
    <mergeCell ref="C1:O1"/>
    <mergeCell ref="I29:L30"/>
    <mergeCell ref="M6:O7"/>
    <mergeCell ref="H10:J10"/>
    <mergeCell ref="J14:L16"/>
    <mergeCell ref="G27:I27"/>
    <mergeCell ref="M9:O9"/>
    <mergeCell ref="D17:M17"/>
    <mergeCell ref="D22:L22"/>
    <mergeCell ref="J9:L9"/>
    <mergeCell ref="C2:O2"/>
    <mergeCell ref="A2:B2"/>
    <mergeCell ref="M23:O23"/>
    <mergeCell ref="H11:J12"/>
    <mergeCell ref="M14:O16"/>
    <mergeCell ref="D5:F5"/>
    <mergeCell ref="D23:L23"/>
    <mergeCell ref="D14:F16"/>
    <mergeCell ref="G9:I9"/>
    <mergeCell ref="A3:O3"/>
    <mergeCell ref="M21:O21"/>
    <mergeCell ref="D6:F7"/>
    <mergeCell ref="L10:N10"/>
    <mergeCell ref="M27:O27"/>
    <mergeCell ref="G5:I5"/>
    <mergeCell ref="D9:F9"/>
    <mergeCell ref="D20:M20"/>
    <mergeCell ref="M24:O24"/>
    <mergeCell ref="G14:I16"/>
    <mergeCell ref="D19:M19"/>
    <mergeCell ref="D24:L24"/>
    <mergeCell ref="H6:J7"/>
    <mergeCell ref="D26:O26"/>
    <mergeCell ref="A4:G4"/>
    <mergeCell ref="M31:O31"/>
    <mergeCell ref="L5:N5"/>
    <mergeCell ref="M29:O30"/>
    <mergeCell ref="D31:H31"/>
    <mergeCell ref="D28:O28"/>
    <mergeCell ref="I31:L31"/>
    <mergeCell ref="D29:H30"/>
    <mergeCell ref="D21:L21"/>
    <mergeCell ref="D27:F27"/>
    <mergeCell ref="L11:N12"/>
    <mergeCell ref="D13:O13"/>
    <mergeCell ref="D18:M18"/>
    <mergeCell ref="J27:L27"/>
    <mergeCell ref="M22:O22"/>
    <mergeCell ref="D10:F11"/>
  </mergeCells>
  <conditionalFormatting sqref="D29:H30">
    <cfRule type="expression" dxfId="57" priority="17">
      <formula>D29=0</formula>
    </cfRule>
    <cfRule type="expression" dxfId="56" priority="18">
      <formula>D29&gt;0</formula>
    </cfRule>
  </conditionalFormatting>
  <conditionalFormatting sqref="D16:N21">
    <cfRule type="expression" dxfId="55" priority="1">
      <formula>$N16="KALDI"</formula>
    </cfRule>
    <cfRule type="expression" dxfId="54" priority="2">
      <formula>$N16="GEÇTİ"</formula>
    </cfRule>
  </conditionalFormatting>
  <conditionalFormatting sqref="J6">
    <cfRule type="expression" dxfId="53" priority="19">
      <formula>J6&lt;0</formula>
    </cfRule>
  </conditionalFormatting>
  <conditionalFormatting sqref="M19:O24">
    <cfRule type="expression" dxfId="52" priority="5">
      <formula>M19="GEÇTİ"</formula>
    </cfRule>
    <cfRule type="expression" dxfId="51" priority="6">
      <formula>M19="KALDI"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A15B"/>
  </sheetPr>
  <dimension ref="A1:O122"/>
  <sheetViews>
    <sheetView showGridLines="0" topLeftCell="B105" workbookViewId="0">
      <selection activeCell="E126" sqref="E126"/>
    </sheetView>
  </sheetViews>
  <sheetFormatPr baseColWidth="10" defaultColWidth="8.83203125" defaultRowHeight="14"/>
  <cols>
    <col min="1" max="1" width="10" customWidth="1"/>
    <col min="2" max="2" width="15.83203125" bestFit="1" customWidth="1"/>
    <col min="3" max="4" width="24" customWidth="1"/>
    <col min="5" max="5" width="46" customWidth="1"/>
    <col min="6" max="6" width="42.33203125" bestFit="1" customWidth="1"/>
    <col min="7" max="7" width="24" customWidth="1"/>
    <col min="8" max="10" width="18" customWidth="1"/>
    <col min="11" max="11" width="24" customWidth="1"/>
    <col min="12" max="14" width="18" customWidth="1"/>
    <col min="15" max="15" width="4" customWidth="1"/>
  </cols>
  <sheetData>
    <row r="1" spans="1:15" ht="2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32" t="s">
        <v>38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>
      <c r="A2" s="244" t="s">
        <v>39</v>
      </c>
      <c r="B2" s="245"/>
      <c r="C2" s="213" t="s">
        <v>40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1:15">
      <c r="A3" s="213" t="s">
        <v>41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5">
      <c r="A4" s="207" t="str">
        <f>IFERROR(HYPERLINK("#MENU!A1","← MENÜ   │   BAŞLANGIÇ"),"← MENÜ   │   BAŞLANGIÇ")</f>
        <v>← MENÜ   │   BAŞLANGIÇ</v>
      </c>
      <c r="B4" s="208"/>
      <c r="C4" s="208"/>
      <c r="D4" s="208"/>
      <c r="E4" s="208"/>
      <c r="F4" s="208"/>
      <c r="G4" s="209"/>
      <c r="H4" s="79" t="str">
        <f>IFERROR(HYPERLINK("#TAHSILAT!A1","TAHSİLAT"),"TAHSİLAT")</f>
        <v>TAHSİLAT</v>
      </c>
      <c r="I4" s="80"/>
      <c r="J4" s="79" t="str">
        <f>IFERROR(HYPERLINK("#GELIR_GIDER!A1","GELİR / GİDER"),"GELİR / GİDER")</f>
        <v>GELİR / GİDER</v>
      </c>
      <c r="K4" s="77"/>
      <c r="L4" s="79" t="str">
        <f>IFERROR(HYPERLINK("#VIRMAN!A1","VİRMAN"),"VİRMAN")</f>
        <v>VİRMAN</v>
      </c>
      <c r="M4" s="77"/>
      <c r="N4" s="79" t="str">
        <f>IFERROR(HYPERLINK("#RAPOR!A1","RAPOR"),"RAPOR")</f>
        <v>RAPOR</v>
      </c>
      <c r="O4" s="37"/>
    </row>
    <row r="5" spans="1:15" ht="16">
      <c r="A5" s="6"/>
      <c r="B5" s="240" t="s">
        <v>42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6"/>
    </row>
    <row r="6" spans="1:15" ht="17">
      <c r="A6" s="6"/>
      <c r="B6" s="260" t="s">
        <v>43</v>
      </c>
      <c r="C6" s="260" t="s">
        <v>44</v>
      </c>
      <c r="D6" s="260" t="s">
        <v>45</v>
      </c>
      <c r="E6" s="260" t="s">
        <v>46</v>
      </c>
      <c r="F6" s="6"/>
      <c r="G6" s="242" t="str">
        <f>IFERROR(HYPERLINK("#BASLANGIC!B5","1 · 30 Saniyede Başlayın"),"1 · 30 Saniyede Başlayın")</f>
        <v>1 · 30 Saniyede Başlayın</v>
      </c>
      <c r="H6" s="180"/>
      <c r="I6" s="180"/>
      <c r="J6" s="180"/>
      <c r="K6" s="242" t="str">
        <f>IFERROR(HYPERLINK("#BASLANGIC!B15","2 · Renk Kılavuzu"),"2 · Renk Kılavuzu")</f>
        <v>2 · Renk Kılavuzu</v>
      </c>
      <c r="L6" s="180"/>
      <c r="M6" s="180"/>
      <c r="N6" s="180"/>
      <c r="O6" s="6"/>
    </row>
    <row r="7" spans="1:15" ht="34">
      <c r="A7" s="6"/>
      <c r="B7" s="4" t="s">
        <v>47</v>
      </c>
      <c r="C7" s="4" t="s">
        <v>48</v>
      </c>
      <c r="D7" s="4" t="s">
        <v>49</v>
      </c>
      <c r="E7" s="4" t="s">
        <v>50</v>
      </c>
      <c r="F7" s="6"/>
      <c r="G7" s="242" t="str">
        <f>IFERROR(HYPERLINK("#BASLANGIC!B25","3 · Ekran Haritası"),"3 · Ekran Haritası")</f>
        <v>3 · Ekran Haritası</v>
      </c>
      <c r="H7" s="180"/>
      <c r="I7" s="180"/>
      <c r="J7" s="180"/>
      <c r="K7" s="242" t="str">
        <f>IFERROR(HYPERLINK("#BASLANGIC!B43","4 · Senaryo Kataloğu"),"4 · Senaryo Kataloğu")</f>
        <v>4 · Senaryo Kataloğu</v>
      </c>
      <c r="L7" s="180"/>
      <c r="M7" s="180"/>
      <c r="N7" s="180"/>
      <c r="O7" s="6"/>
    </row>
    <row r="8" spans="1:15" ht="34">
      <c r="A8" s="6"/>
      <c r="B8" s="4" t="s">
        <v>51</v>
      </c>
      <c r="C8" s="4" t="s">
        <v>52</v>
      </c>
      <c r="D8" s="4" t="s">
        <v>53</v>
      </c>
      <c r="E8" s="4" t="s">
        <v>54</v>
      </c>
      <c r="F8" s="6"/>
      <c r="G8" s="242" t="str">
        <f>IFERROR(HYPERLINK("#BASLANGIC!B70","5 · Uyarı Sözlüğü"),"5 · Uyarı Sözlüğü")</f>
        <v>5 · Uyarı Sözlüğü</v>
      </c>
      <c r="H8" s="180"/>
      <c r="I8" s="180"/>
      <c r="J8" s="180"/>
      <c r="K8" s="242" t="str">
        <f>IFERROR(HYPERLINK("#BASLANGIC!B85","6 · Sorun Giderme"),"6 · Sorun Giderme")</f>
        <v>6 · Sorun Giderme</v>
      </c>
      <c r="L8" s="180"/>
      <c r="M8" s="180"/>
      <c r="N8" s="180"/>
      <c r="O8" s="6"/>
    </row>
    <row r="9" spans="1:15" ht="34">
      <c r="A9" s="6"/>
      <c r="B9" s="4" t="s">
        <v>55</v>
      </c>
      <c r="C9" s="4" t="s">
        <v>56</v>
      </c>
      <c r="D9" s="4" t="s">
        <v>57</v>
      </c>
      <c r="E9" s="4" t="s">
        <v>58</v>
      </c>
      <c r="F9" s="6"/>
      <c r="G9" s="242" t="str">
        <f>IFERROR(HYPERLINK("#BASLANGIC!B100","7 · Ömer Cari Akışı"),"7 · Ömer Cari Akışı")</f>
        <v>7 · Ömer Cari Akışı</v>
      </c>
      <c r="H9" s="180"/>
      <c r="I9" s="180"/>
      <c r="J9" s="180"/>
      <c r="K9" s="242" t="str">
        <f>IFERROR(HYPERLINK("#BASLANGIC!B118","8 · Yedek / Güvenlik"),"8 · Yedek / Güvenlik")</f>
        <v>8 · Yedek / Güvenlik</v>
      </c>
      <c r="L9" s="180"/>
      <c r="M9" s="180"/>
      <c r="N9" s="180"/>
      <c r="O9" s="6"/>
    </row>
    <row r="10" spans="1:15" ht="34">
      <c r="A10" s="6"/>
      <c r="B10" s="4" t="s">
        <v>59</v>
      </c>
      <c r="C10" s="4" t="s">
        <v>60</v>
      </c>
      <c r="D10" s="4" t="s">
        <v>61</v>
      </c>
      <c r="E10" s="4" t="s">
        <v>62</v>
      </c>
      <c r="F10" s="6"/>
      <c r="G10" s="38" t="str">
        <f>HYPERLINK("#'BASLANGIC'!B100","None")</f>
        <v>None</v>
      </c>
      <c r="H10" s="6"/>
      <c r="I10" s="6"/>
      <c r="J10" s="6"/>
      <c r="K10" s="38" t="str">
        <f>HYPERLINK("#'BASLANGIC'!B118","None")</f>
        <v>None</v>
      </c>
      <c r="L10" s="6"/>
      <c r="M10" s="6"/>
      <c r="N10" s="6"/>
      <c r="O10" s="6"/>
    </row>
    <row r="11" spans="1:15" ht="34">
      <c r="A11" s="6"/>
      <c r="B11" s="4" t="s">
        <v>63</v>
      </c>
      <c r="C11" s="4" t="s">
        <v>64</v>
      </c>
      <c r="D11" s="4" t="s">
        <v>61</v>
      </c>
      <c r="E11" s="4" t="s">
        <v>65</v>
      </c>
      <c r="F11" s="6"/>
      <c r="G11" s="241" t="s">
        <v>66</v>
      </c>
      <c r="H11" s="185"/>
      <c r="I11" s="185"/>
      <c r="J11" s="185"/>
      <c r="K11" s="185"/>
      <c r="L11" s="185"/>
      <c r="M11" s="185"/>
      <c r="N11" s="185"/>
      <c r="O11" s="6"/>
    </row>
    <row r="12" spans="1:15" ht="34">
      <c r="A12" s="6"/>
      <c r="B12" s="4" t="s">
        <v>67</v>
      </c>
      <c r="C12" s="4" t="s">
        <v>68</v>
      </c>
      <c r="D12" s="4" t="s">
        <v>69</v>
      </c>
      <c r="E12" s="4" t="s">
        <v>70</v>
      </c>
      <c r="F12" s="6"/>
      <c r="G12" s="239" t="s">
        <v>71</v>
      </c>
      <c r="H12" s="173"/>
      <c r="I12" s="173"/>
      <c r="J12" s="173"/>
      <c r="K12" s="173"/>
      <c r="L12" s="173"/>
      <c r="M12" s="173"/>
      <c r="N12" s="173"/>
      <c r="O12" s="6"/>
    </row>
    <row r="13" spans="1:15" ht="35">
      <c r="A13" s="6"/>
      <c r="B13" s="5" t="s">
        <v>72</v>
      </c>
      <c r="C13" s="5" t="s">
        <v>73</v>
      </c>
      <c r="D13" s="5" t="s">
        <v>74</v>
      </c>
      <c r="E13" s="5" t="s">
        <v>75</v>
      </c>
      <c r="F13" s="6"/>
      <c r="G13" s="243" t="s">
        <v>76</v>
      </c>
      <c r="H13" s="173"/>
      <c r="I13" s="173"/>
      <c r="J13" s="173"/>
      <c r="K13" s="173"/>
      <c r="L13" s="173"/>
      <c r="M13" s="173"/>
      <c r="N13" s="173"/>
      <c r="O13" s="6"/>
    </row>
    <row r="14" spans="1:15" ht="16">
      <c r="A14" s="6"/>
      <c r="B14" s="6"/>
      <c r="C14" s="6"/>
      <c r="D14" s="6"/>
      <c r="E14" s="6"/>
      <c r="F14" s="6"/>
      <c r="G14" s="246" t="s">
        <v>77</v>
      </c>
      <c r="H14" s="173"/>
      <c r="I14" s="173"/>
      <c r="J14" s="173"/>
      <c r="K14" s="173"/>
      <c r="L14" s="173"/>
      <c r="M14" s="173"/>
      <c r="N14" s="173"/>
      <c r="O14" s="6"/>
    </row>
    <row r="15" spans="1:15" ht="16">
      <c r="A15" s="6"/>
      <c r="B15" s="240" t="s">
        <v>78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6"/>
    </row>
    <row r="16" spans="1:15" ht="16">
      <c r="A16" s="6"/>
      <c r="B16" s="261" t="s">
        <v>79</v>
      </c>
      <c r="C16" s="261" t="s">
        <v>80</v>
      </c>
      <c r="D16" s="261" t="s">
        <v>81</v>
      </c>
      <c r="E16" s="261" t="s">
        <v>82</v>
      </c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30">
      <c r="A17" s="6"/>
      <c r="B17" s="54" t="s">
        <v>83</v>
      </c>
      <c r="C17" s="55" t="s">
        <v>84</v>
      </c>
      <c r="D17" s="55" t="s">
        <v>85</v>
      </c>
      <c r="E17" s="55" t="s">
        <v>86</v>
      </c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6">
      <c r="A18" s="6"/>
      <c r="B18" s="56" t="s">
        <v>87</v>
      </c>
      <c r="C18" s="55" t="s">
        <v>88</v>
      </c>
      <c r="D18" s="55" t="s">
        <v>89</v>
      </c>
      <c r="E18" s="55" t="s">
        <v>90</v>
      </c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30">
      <c r="A19" s="6"/>
      <c r="B19" s="57" t="s">
        <v>91</v>
      </c>
      <c r="C19" s="55" t="s">
        <v>92</v>
      </c>
      <c r="D19" s="55" t="s">
        <v>93</v>
      </c>
      <c r="E19" s="55" t="s">
        <v>94</v>
      </c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6">
      <c r="A20" s="6"/>
      <c r="B20" s="58" t="s">
        <v>95</v>
      </c>
      <c r="C20" s="55" t="s">
        <v>96</v>
      </c>
      <c r="D20" s="55" t="s">
        <v>97</v>
      </c>
      <c r="E20" s="55" t="s">
        <v>98</v>
      </c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6">
      <c r="A21" s="6"/>
      <c r="B21" s="59" t="s">
        <v>99</v>
      </c>
      <c r="C21" s="55" t="s">
        <v>100</v>
      </c>
      <c r="D21" s="55" t="s">
        <v>101</v>
      </c>
      <c r="E21" s="55" t="s">
        <v>102</v>
      </c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30">
      <c r="A22" s="6"/>
      <c r="B22" s="60" t="s">
        <v>103</v>
      </c>
      <c r="C22" s="55" t="s">
        <v>104</v>
      </c>
      <c r="D22" s="55" t="s">
        <v>105</v>
      </c>
      <c r="E22" s="55" t="s">
        <v>106</v>
      </c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30">
      <c r="A23" s="6"/>
      <c r="B23" s="262" t="s">
        <v>107</v>
      </c>
      <c r="C23" s="61" t="s">
        <v>108</v>
      </c>
      <c r="D23" s="61" t="s">
        <v>109</v>
      </c>
      <c r="E23" s="61" t="s">
        <v>110</v>
      </c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6">
      <c r="A25" s="6"/>
      <c r="B25" s="240" t="s">
        <v>111</v>
      </c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6"/>
    </row>
    <row r="26" spans="1:15" ht="16">
      <c r="A26" s="6"/>
      <c r="B26" s="261" t="s">
        <v>112</v>
      </c>
      <c r="C26" s="261" t="s">
        <v>113</v>
      </c>
      <c r="D26" s="261" t="s">
        <v>114</v>
      </c>
      <c r="E26" s="261" t="s">
        <v>115</v>
      </c>
      <c r="F26" s="261" t="s">
        <v>116</v>
      </c>
      <c r="G26" s="6"/>
      <c r="H26" s="6"/>
      <c r="I26" s="6"/>
      <c r="J26" s="6"/>
      <c r="K26" s="6"/>
      <c r="L26" s="6"/>
      <c r="M26" s="6"/>
      <c r="N26" s="6"/>
      <c r="O26" s="6"/>
    </row>
    <row r="27" spans="1:15" ht="16">
      <c r="A27" s="6"/>
      <c r="B27" s="55" t="s">
        <v>117</v>
      </c>
      <c r="C27" s="62" t="s">
        <v>118</v>
      </c>
      <c r="D27" s="55" t="s">
        <v>119</v>
      </c>
      <c r="E27" s="55" t="s">
        <v>120</v>
      </c>
      <c r="F27" s="55" t="s">
        <v>121</v>
      </c>
      <c r="G27" s="6"/>
      <c r="H27" s="6"/>
      <c r="I27" s="6"/>
      <c r="J27" s="6"/>
      <c r="K27" s="6"/>
      <c r="L27" s="6"/>
      <c r="M27" s="6"/>
      <c r="N27" s="6"/>
      <c r="O27" s="6"/>
    </row>
    <row r="28" spans="1:15" ht="16">
      <c r="A28" s="6"/>
      <c r="B28" s="55" t="s">
        <v>49</v>
      </c>
      <c r="C28" s="63" t="s">
        <v>122</v>
      </c>
      <c r="D28" s="55" t="s">
        <v>123</v>
      </c>
      <c r="E28" s="55" t="s">
        <v>124</v>
      </c>
      <c r="F28" s="55" t="s">
        <v>125</v>
      </c>
      <c r="G28" s="6"/>
      <c r="H28" s="6"/>
      <c r="I28" s="6"/>
      <c r="J28" s="6"/>
      <c r="K28" s="6"/>
      <c r="L28" s="6"/>
      <c r="M28" s="6"/>
      <c r="N28" s="6"/>
      <c r="O28" s="6"/>
    </row>
    <row r="29" spans="1:15" ht="16">
      <c r="A29" s="6"/>
      <c r="B29" s="55" t="s">
        <v>53</v>
      </c>
      <c r="C29" s="63" t="s">
        <v>122</v>
      </c>
      <c r="D29" s="55" t="s">
        <v>126</v>
      </c>
      <c r="E29" s="55" t="s">
        <v>124</v>
      </c>
      <c r="F29" s="55" t="s">
        <v>127</v>
      </c>
      <c r="G29" s="6"/>
      <c r="H29" s="6"/>
      <c r="I29" s="6"/>
      <c r="J29" s="6"/>
      <c r="K29" s="6"/>
      <c r="L29" s="6"/>
      <c r="M29" s="6"/>
      <c r="N29" s="6"/>
      <c r="O29" s="6"/>
    </row>
    <row r="30" spans="1:15" ht="16">
      <c r="A30" s="6"/>
      <c r="B30" s="55" t="s">
        <v>57</v>
      </c>
      <c r="C30" s="63" t="s">
        <v>122</v>
      </c>
      <c r="D30" s="55" t="s">
        <v>128</v>
      </c>
      <c r="E30" s="55" t="s">
        <v>124</v>
      </c>
      <c r="F30" s="55" t="s">
        <v>129</v>
      </c>
      <c r="G30" s="6"/>
      <c r="H30" s="6"/>
      <c r="I30" s="6"/>
      <c r="J30" s="6"/>
      <c r="K30" s="6"/>
      <c r="L30" s="6"/>
      <c r="M30" s="6"/>
      <c r="N30" s="6"/>
      <c r="O30" s="6"/>
    </row>
    <row r="31" spans="1:15" ht="16">
      <c r="A31" s="6"/>
      <c r="B31" s="55" t="s">
        <v>61</v>
      </c>
      <c r="C31" s="63" t="s">
        <v>122</v>
      </c>
      <c r="D31" s="55" t="s">
        <v>130</v>
      </c>
      <c r="E31" s="55" t="s">
        <v>124</v>
      </c>
      <c r="F31" s="55" t="s">
        <v>131</v>
      </c>
      <c r="G31" s="6"/>
      <c r="H31" s="6"/>
      <c r="I31" s="6"/>
      <c r="J31" s="6"/>
      <c r="K31" s="6"/>
      <c r="L31" s="6"/>
      <c r="M31" s="6"/>
      <c r="N31" s="6"/>
      <c r="O31" s="6"/>
    </row>
    <row r="32" spans="1:15" ht="16">
      <c r="A32" s="6"/>
      <c r="B32" s="55" t="s">
        <v>69</v>
      </c>
      <c r="C32" s="63" t="s">
        <v>122</v>
      </c>
      <c r="D32" s="55" t="s">
        <v>132</v>
      </c>
      <c r="E32" s="55" t="s">
        <v>124</v>
      </c>
      <c r="F32" s="55" t="s">
        <v>133</v>
      </c>
      <c r="G32" s="6"/>
      <c r="H32" s="6"/>
      <c r="I32" s="6"/>
      <c r="J32" s="6"/>
      <c r="K32" s="6"/>
      <c r="L32" s="6"/>
      <c r="M32" s="6"/>
      <c r="N32" s="6"/>
      <c r="O32" s="6"/>
    </row>
    <row r="33" spans="1:15" ht="16">
      <c r="A33" s="6"/>
      <c r="B33" s="55" t="s">
        <v>134</v>
      </c>
      <c r="C33" s="62" t="s">
        <v>118</v>
      </c>
      <c r="D33" s="55" t="s">
        <v>135</v>
      </c>
      <c r="E33" s="55" t="s">
        <v>120</v>
      </c>
      <c r="F33" s="55" t="s">
        <v>136</v>
      </c>
      <c r="G33" s="6"/>
      <c r="H33" s="6"/>
      <c r="I33" s="6"/>
      <c r="J33" s="6"/>
      <c r="K33" s="6"/>
      <c r="L33" s="6"/>
      <c r="M33" s="6"/>
      <c r="N33" s="6"/>
      <c r="O33" s="6"/>
    </row>
    <row r="34" spans="1:15" ht="16">
      <c r="A34" s="6"/>
      <c r="B34" s="55" t="s">
        <v>137</v>
      </c>
      <c r="C34" s="62" t="s">
        <v>118</v>
      </c>
      <c r="D34" s="55" t="s">
        <v>138</v>
      </c>
      <c r="E34" s="55" t="s">
        <v>139</v>
      </c>
      <c r="F34" s="55" t="s">
        <v>140</v>
      </c>
      <c r="G34" s="6"/>
      <c r="H34" s="6"/>
      <c r="I34" s="6"/>
      <c r="J34" s="6"/>
      <c r="K34" s="6"/>
      <c r="L34" s="6"/>
      <c r="M34" s="6"/>
      <c r="N34" s="6"/>
      <c r="O34" s="6"/>
    </row>
    <row r="35" spans="1:15" ht="16">
      <c r="A35" s="6"/>
      <c r="B35" s="55" t="s">
        <v>141</v>
      </c>
      <c r="C35" s="62" t="s">
        <v>118</v>
      </c>
      <c r="D35" s="55" t="s">
        <v>142</v>
      </c>
      <c r="E35" s="55" t="s">
        <v>143</v>
      </c>
      <c r="F35" s="55" t="s">
        <v>144</v>
      </c>
      <c r="G35" s="6"/>
      <c r="H35" s="6"/>
      <c r="I35" s="6"/>
      <c r="J35" s="6"/>
      <c r="K35" s="6"/>
      <c r="L35" s="6"/>
      <c r="M35" s="6"/>
      <c r="N35" s="6"/>
      <c r="O35" s="6"/>
    </row>
    <row r="36" spans="1:15" ht="16">
      <c r="A36" s="6"/>
      <c r="B36" s="55" t="s">
        <v>145</v>
      </c>
      <c r="C36" s="64" t="s">
        <v>146</v>
      </c>
      <c r="D36" s="55" t="s">
        <v>147</v>
      </c>
      <c r="E36" s="55" t="s">
        <v>148</v>
      </c>
      <c r="F36" s="55" t="s">
        <v>149</v>
      </c>
      <c r="G36" s="6"/>
      <c r="H36" s="6"/>
      <c r="I36" s="6"/>
      <c r="J36" s="6"/>
      <c r="K36" s="6"/>
      <c r="L36" s="6"/>
      <c r="M36" s="6"/>
      <c r="N36" s="6"/>
      <c r="O36" s="6"/>
    </row>
    <row r="37" spans="1:15" ht="16">
      <c r="A37" s="6"/>
      <c r="B37" s="55" t="s">
        <v>150</v>
      </c>
      <c r="C37" s="64" t="s">
        <v>146</v>
      </c>
      <c r="D37" s="55" t="s">
        <v>151</v>
      </c>
      <c r="E37" s="55" t="s">
        <v>152</v>
      </c>
      <c r="F37" s="55" t="s">
        <v>153</v>
      </c>
      <c r="G37" s="6"/>
      <c r="H37" s="6"/>
      <c r="I37" s="6"/>
      <c r="J37" s="6"/>
      <c r="K37" s="6"/>
      <c r="L37" s="6"/>
      <c r="M37" s="6"/>
      <c r="N37" s="6"/>
      <c r="O37" s="6"/>
    </row>
    <row r="38" spans="1:15" ht="16">
      <c r="A38" s="6"/>
      <c r="B38" s="55" t="s">
        <v>154</v>
      </c>
      <c r="C38" s="62" t="s">
        <v>118</v>
      </c>
      <c r="D38" s="55" t="s">
        <v>155</v>
      </c>
      <c r="E38" s="55" t="s">
        <v>120</v>
      </c>
      <c r="F38" s="55" t="s">
        <v>156</v>
      </c>
      <c r="G38" s="6"/>
      <c r="H38" s="6"/>
      <c r="I38" s="6"/>
      <c r="J38" s="6"/>
      <c r="K38" s="6"/>
      <c r="L38" s="6"/>
      <c r="M38" s="6"/>
      <c r="N38" s="6"/>
      <c r="O38" s="6"/>
    </row>
    <row r="39" spans="1:15" ht="16">
      <c r="A39" s="6"/>
      <c r="B39" s="55" t="s">
        <v>157</v>
      </c>
      <c r="C39" s="62" t="s">
        <v>118</v>
      </c>
      <c r="D39" s="55" t="s">
        <v>158</v>
      </c>
      <c r="E39" s="55" t="s">
        <v>120</v>
      </c>
      <c r="F39" s="55" t="s">
        <v>159</v>
      </c>
      <c r="G39" s="6"/>
      <c r="H39" s="6"/>
      <c r="I39" s="6"/>
      <c r="J39" s="6"/>
      <c r="K39" s="6"/>
      <c r="L39" s="6"/>
      <c r="M39" s="6"/>
      <c r="N39" s="6"/>
      <c r="O39" s="6"/>
    </row>
    <row r="40" spans="1:15" ht="16">
      <c r="A40" s="6"/>
      <c r="B40" s="55" t="s">
        <v>160</v>
      </c>
      <c r="C40" s="64" t="s">
        <v>146</v>
      </c>
      <c r="D40" s="55" t="s">
        <v>161</v>
      </c>
      <c r="E40" s="55" t="s">
        <v>162</v>
      </c>
      <c r="F40" s="55" t="s">
        <v>163</v>
      </c>
      <c r="G40" s="6"/>
      <c r="H40" s="6"/>
      <c r="I40" s="6"/>
      <c r="J40" s="6"/>
      <c r="K40" s="6"/>
      <c r="L40" s="6"/>
      <c r="M40" s="6"/>
      <c r="N40" s="6"/>
      <c r="O40" s="6"/>
    </row>
    <row r="41" spans="1:15" ht="16">
      <c r="A41" s="6"/>
      <c r="B41" s="61" t="s">
        <v>31</v>
      </c>
      <c r="C41" s="65" t="s">
        <v>118</v>
      </c>
      <c r="D41" s="61" t="s">
        <v>164</v>
      </c>
      <c r="E41" s="61" t="s">
        <v>120</v>
      </c>
      <c r="F41" s="61" t="s">
        <v>165</v>
      </c>
      <c r="G41" s="6"/>
      <c r="H41" s="6"/>
      <c r="I41" s="6"/>
      <c r="J41" s="6"/>
      <c r="K41" s="6"/>
      <c r="L41" s="6"/>
      <c r="M41" s="6"/>
      <c r="N41" s="6"/>
      <c r="O41" s="6"/>
    </row>
    <row r="42" spans="1:15" ht="1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ht="16">
      <c r="A43" s="6"/>
      <c r="B43" s="240" t="s">
        <v>166</v>
      </c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6"/>
    </row>
    <row r="44" spans="1:15" ht="17">
      <c r="A44" s="6"/>
      <c r="B44" s="260" t="s">
        <v>167</v>
      </c>
      <c r="C44" s="260" t="s">
        <v>168</v>
      </c>
      <c r="D44" s="260" t="s">
        <v>112</v>
      </c>
      <c r="E44" s="260" t="s">
        <v>169</v>
      </c>
      <c r="F44" s="260" t="s">
        <v>170</v>
      </c>
      <c r="G44" s="6"/>
      <c r="H44" s="6"/>
      <c r="I44" s="6"/>
      <c r="J44" s="6"/>
      <c r="K44" s="6"/>
      <c r="L44" s="6"/>
      <c r="M44" s="6"/>
      <c r="N44" s="6"/>
      <c r="O44" s="6"/>
    </row>
    <row r="45" spans="1:15" ht="17">
      <c r="A45" s="6"/>
      <c r="B45" s="4" t="s">
        <v>47</v>
      </c>
      <c r="C45" s="4" t="s">
        <v>171</v>
      </c>
      <c r="D45" s="4" t="s">
        <v>49</v>
      </c>
      <c r="E45" s="4" t="s">
        <v>172</v>
      </c>
      <c r="F45" s="4" t="s">
        <v>173</v>
      </c>
      <c r="G45" s="6"/>
      <c r="H45" s="6"/>
      <c r="I45" s="6"/>
      <c r="J45" s="6"/>
      <c r="K45" s="6"/>
      <c r="L45" s="6"/>
      <c r="M45" s="6"/>
      <c r="N45" s="6"/>
      <c r="O45" s="6"/>
    </row>
    <row r="46" spans="1:15" ht="17">
      <c r="A46" s="6"/>
      <c r="B46" s="4" t="s">
        <v>51</v>
      </c>
      <c r="C46" s="4" t="s">
        <v>174</v>
      </c>
      <c r="D46" s="4" t="s">
        <v>53</v>
      </c>
      <c r="E46" s="4" t="s">
        <v>175</v>
      </c>
      <c r="F46" s="4" t="s">
        <v>176</v>
      </c>
      <c r="G46" s="6"/>
      <c r="H46" s="6"/>
      <c r="I46" s="6"/>
      <c r="J46" s="6"/>
      <c r="K46" s="6"/>
      <c r="L46" s="6"/>
      <c r="M46" s="6"/>
      <c r="N46" s="6"/>
      <c r="O46" s="6"/>
    </row>
    <row r="47" spans="1:15" ht="17">
      <c r="A47" s="6"/>
      <c r="B47" s="4" t="s">
        <v>55</v>
      </c>
      <c r="C47" s="4" t="s">
        <v>177</v>
      </c>
      <c r="D47" s="4" t="s">
        <v>53</v>
      </c>
      <c r="E47" s="4" t="s">
        <v>178</v>
      </c>
      <c r="F47" s="4" t="s">
        <v>179</v>
      </c>
      <c r="G47" s="6"/>
      <c r="H47" s="6"/>
      <c r="I47" s="6"/>
      <c r="J47" s="6"/>
      <c r="K47" s="6"/>
      <c r="L47" s="6"/>
      <c r="M47" s="6"/>
      <c r="N47" s="6"/>
      <c r="O47" s="6"/>
    </row>
    <row r="48" spans="1:15" ht="17">
      <c r="A48" s="6"/>
      <c r="B48" s="4" t="s">
        <v>59</v>
      </c>
      <c r="C48" s="4" t="s">
        <v>180</v>
      </c>
      <c r="D48" s="4" t="s">
        <v>57</v>
      </c>
      <c r="E48" s="4" t="s">
        <v>181</v>
      </c>
      <c r="F48" s="4" t="s">
        <v>182</v>
      </c>
      <c r="G48" s="6"/>
      <c r="H48" s="6"/>
      <c r="I48" s="6"/>
      <c r="J48" s="6"/>
      <c r="K48" s="6"/>
      <c r="L48" s="6"/>
      <c r="M48" s="6"/>
      <c r="N48" s="6"/>
      <c r="O48" s="6"/>
    </row>
    <row r="49" spans="1:15" ht="34">
      <c r="A49" s="6"/>
      <c r="B49" s="4" t="s">
        <v>63</v>
      </c>
      <c r="C49" s="4" t="s">
        <v>183</v>
      </c>
      <c r="D49" s="4" t="s">
        <v>57</v>
      </c>
      <c r="E49" s="4" t="s">
        <v>184</v>
      </c>
      <c r="F49" s="4" t="s">
        <v>185</v>
      </c>
      <c r="G49" s="6"/>
      <c r="H49" s="6"/>
      <c r="I49" s="6"/>
      <c r="J49" s="6"/>
      <c r="K49" s="6"/>
      <c r="L49" s="6"/>
      <c r="M49" s="6"/>
      <c r="N49" s="6"/>
      <c r="O49" s="6"/>
    </row>
    <row r="50" spans="1:15" ht="34">
      <c r="A50" s="6"/>
      <c r="B50" s="4" t="s">
        <v>67</v>
      </c>
      <c r="C50" s="4" t="s">
        <v>186</v>
      </c>
      <c r="D50" s="4" t="s">
        <v>57</v>
      </c>
      <c r="E50" s="4" t="s">
        <v>187</v>
      </c>
      <c r="F50" s="4" t="s">
        <v>188</v>
      </c>
      <c r="G50" s="6"/>
      <c r="H50" s="6"/>
      <c r="I50" s="6"/>
      <c r="J50" s="6"/>
      <c r="K50" s="6"/>
      <c r="L50" s="6"/>
      <c r="M50" s="6"/>
      <c r="N50" s="6"/>
      <c r="O50" s="6"/>
    </row>
    <row r="51" spans="1:15" ht="17">
      <c r="A51" s="6"/>
      <c r="B51" s="4" t="s">
        <v>72</v>
      </c>
      <c r="C51" s="4" t="s">
        <v>189</v>
      </c>
      <c r="D51" s="4" t="s">
        <v>61</v>
      </c>
      <c r="E51" s="4" t="s">
        <v>190</v>
      </c>
      <c r="F51" s="4" t="s">
        <v>191</v>
      </c>
      <c r="G51" s="6"/>
      <c r="H51" s="6"/>
      <c r="I51" s="6"/>
      <c r="J51" s="6"/>
      <c r="K51" s="6"/>
      <c r="L51" s="6"/>
      <c r="M51" s="6"/>
      <c r="N51" s="6"/>
      <c r="O51" s="6"/>
    </row>
    <row r="52" spans="1:15" ht="17">
      <c r="A52" s="6"/>
      <c r="B52" s="4" t="s">
        <v>192</v>
      </c>
      <c r="C52" s="4" t="s">
        <v>193</v>
      </c>
      <c r="D52" s="4" t="s">
        <v>61</v>
      </c>
      <c r="E52" s="4" t="s">
        <v>194</v>
      </c>
      <c r="F52" s="4" t="s">
        <v>195</v>
      </c>
      <c r="G52" s="6"/>
      <c r="H52" s="6"/>
      <c r="I52" s="6"/>
      <c r="J52" s="6"/>
      <c r="K52" s="6"/>
      <c r="L52" s="6"/>
      <c r="M52" s="6"/>
      <c r="N52" s="6"/>
      <c r="O52" s="6"/>
    </row>
    <row r="53" spans="1:15" ht="34">
      <c r="A53" s="6"/>
      <c r="B53" s="4" t="s">
        <v>196</v>
      </c>
      <c r="C53" s="4" t="s">
        <v>197</v>
      </c>
      <c r="D53" s="4" t="s">
        <v>61</v>
      </c>
      <c r="E53" s="4" t="s">
        <v>198</v>
      </c>
      <c r="F53" s="4" t="s">
        <v>199</v>
      </c>
      <c r="G53" s="6"/>
      <c r="H53" s="6"/>
      <c r="I53" s="6"/>
      <c r="J53" s="6"/>
      <c r="K53" s="6"/>
      <c r="L53" s="6"/>
      <c r="M53" s="6"/>
      <c r="N53" s="6"/>
      <c r="O53" s="6"/>
    </row>
    <row r="54" spans="1:15" ht="34">
      <c r="A54" s="6"/>
      <c r="B54" s="4" t="s">
        <v>200</v>
      </c>
      <c r="C54" s="4" t="s">
        <v>201</v>
      </c>
      <c r="D54" s="4" t="s">
        <v>69</v>
      </c>
      <c r="E54" s="4" t="s">
        <v>202</v>
      </c>
      <c r="F54" s="4" t="s">
        <v>203</v>
      </c>
      <c r="G54" s="6"/>
      <c r="H54" s="6"/>
      <c r="I54" s="6"/>
      <c r="J54" s="6"/>
      <c r="K54" s="6"/>
      <c r="L54" s="6"/>
      <c r="M54" s="6"/>
      <c r="N54" s="6"/>
      <c r="O54" s="6"/>
    </row>
    <row r="55" spans="1:15" ht="34">
      <c r="A55" s="6"/>
      <c r="B55" s="4" t="s">
        <v>204</v>
      </c>
      <c r="C55" s="4" t="s">
        <v>205</v>
      </c>
      <c r="D55" s="4" t="s">
        <v>69</v>
      </c>
      <c r="E55" s="4" t="s">
        <v>206</v>
      </c>
      <c r="F55" s="4" t="s">
        <v>207</v>
      </c>
      <c r="G55" s="6"/>
      <c r="H55" s="6"/>
      <c r="I55" s="6"/>
      <c r="J55" s="6"/>
      <c r="K55" s="6"/>
      <c r="L55" s="6"/>
      <c r="M55" s="6"/>
      <c r="N55" s="6"/>
      <c r="O55" s="6"/>
    </row>
    <row r="56" spans="1:15" ht="34">
      <c r="A56" s="6"/>
      <c r="B56" s="4" t="s">
        <v>208</v>
      </c>
      <c r="C56" s="4" t="s">
        <v>209</v>
      </c>
      <c r="D56" s="4" t="s">
        <v>69</v>
      </c>
      <c r="E56" s="4" t="s">
        <v>206</v>
      </c>
      <c r="F56" s="4" t="s">
        <v>210</v>
      </c>
      <c r="G56" s="6"/>
      <c r="H56" s="6"/>
      <c r="I56" s="6"/>
      <c r="J56" s="6"/>
      <c r="K56" s="6"/>
      <c r="L56" s="6"/>
      <c r="M56" s="6"/>
      <c r="N56" s="6"/>
      <c r="O56" s="6"/>
    </row>
    <row r="57" spans="1:15" ht="34">
      <c r="A57" s="6"/>
      <c r="B57" s="4" t="s">
        <v>211</v>
      </c>
      <c r="C57" s="4" t="s">
        <v>212</v>
      </c>
      <c r="D57" s="4" t="s">
        <v>69</v>
      </c>
      <c r="E57" s="4" t="s">
        <v>213</v>
      </c>
      <c r="F57" s="4" t="s">
        <v>214</v>
      </c>
      <c r="G57" s="6"/>
      <c r="H57" s="6"/>
      <c r="I57" s="6"/>
      <c r="J57" s="6"/>
      <c r="K57" s="6"/>
      <c r="L57" s="6"/>
      <c r="M57" s="6"/>
      <c r="N57" s="6"/>
      <c r="O57" s="6"/>
    </row>
    <row r="58" spans="1:15" ht="17">
      <c r="A58" s="6"/>
      <c r="B58" s="4" t="s">
        <v>215</v>
      </c>
      <c r="C58" s="4" t="s">
        <v>216</v>
      </c>
      <c r="D58" s="4" t="s">
        <v>69</v>
      </c>
      <c r="E58" s="4" t="s">
        <v>217</v>
      </c>
      <c r="F58" s="4" t="s">
        <v>218</v>
      </c>
      <c r="G58" s="6"/>
      <c r="H58" s="6"/>
      <c r="I58" s="6"/>
      <c r="J58" s="6"/>
      <c r="K58" s="6"/>
      <c r="L58" s="6"/>
      <c r="M58" s="6"/>
      <c r="N58" s="6"/>
      <c r="O58" s="6"/>
    </row>
    <row r="59" spans="1:15" ht="34">
      <c r="A59" s="6"/>
      <c r="B59" s="4" t="s">
        <v>219</v>
      </c>
      <c r="C59" s="4" t="s">
        <v>220</v>
      </c>
      <c r="D59" s="4" t="s">
        <v>57</v>
      </c>
      <c r="E59" s="4" t="s">
        <v>221</v>
      </c>
      <c r="F59" s="4" t="s">
        <v>222</v>
      </c>
      <c r="G59" s="6"/>
      <c r="H59" s="6"/>
      <c r="I59" s="6"/>
      <c r="J59" s="6"/>
      <c r="K59" s="6"/>
      <c r="L59" s="6"/>
      <c r="M59" s="6"/>
      <c r="N59" s="6"/>
      <c r="O59" s="6"/>
    </row>
    <row r="60" spans="1:15" ht="34">
      <c r="A60" s="6"/>
      <c r="B60" s="4" t="s">
        <v>223</v>
      </c>
      <c r="C60" s="4" t="s">
        <v>224</v>
      </c>
      <c r="D60" s="4" t="s">
        <v>137</v>
      </c>
      <c r="E60" s="4" t="s">
        <v>225</v>
      </c>
      <c r="F60" s="4" t="s">
        <v>226</v>
      </c>
      <c r="G60" s="6"/>
      <c r="H60" s="6"/>
      <c r="I60" s="6"/>
      <c r="J60" s="6"/>
      <c r="K60" s="6"/>
      <c r="L60" s="6"/>
      <c r="M60" s="6"/>
      <c r="N60" s="6"/>
      <c r="O60" s="6"/>
    </row>
    <row r="61" spans="1:15" ht="34">
      <c r="A61" s="6"/>
      <c r="B61" s="4" t="s">
        <v>227</v>
      </c>
      <c r="C61" s="4" t="s">
        <v>228</v>
      </c>
      <c r="D61" s="4" t="s">
        <v>134</v>
      </c>
      <c r="E61" s="4" t="s">
        <v>229</v>
      </c>
      <c r="F61" s="4" t="s">
        <v>230</v>
      </c>
      <c r="G61" s="6"/>
      <c r="H61" s="6"/>
      <c r="I61" s="6"/>
      <c r="J61" s="6"/>
      <c r="K61" s="6"/>
      <c r="L61" s="6"/>
      <c r="M61" s="6"/>
      <c r="N61" s="6"/>
      <c r="O61" s="6"/>
    </row>
    <row r="62" spans="1:15" ht="34">
      <c r="A62" s="6"/>
      <c r="B62" s="4" t="s">
        <v>231</v>
      </c>
      <c r="C62" s="4" t="s">
        <v>232</v>
      </c>
      <c r="D62" s="4" t="s">
        <v>233</v>
      </c>
      <c r="E62" s="4" t="s">
        <v>234</v>
      </c>
      <c r="F62" s="4" t="s">
        <v>235</v>
      </c>
      <c r="G62" s="6"/>
      <c r="H62" s="6"/>
      <c r="I62" s="6"/>
      <c r="J62" s="6"/>
      <c r="K62" s="6"/>
      <c r="L62" s="6"/>
      <c r="M62" s="6"/>
      <c r="N62" s="6"/>
      <c r="O62" s="6"/>
    </row>
    <row r="63" spans="1:15" ht="17">
      <c r="A63" s="6"/>
      <c r="B63" s="4" t="s">
        <v>236</v>
      </c>
      <c r="C63" s="4" t="s">
        <v>237</v>
      </c>
      <c r="D63" s="4" t="s">
        <v>238</v>
      </c>
      <c r="E63" s="4" t="s">
        <v>239</v>
      </c>
      <c r="F63" s="4" t="s">
        <v>240</v>
      </c>
      <c r="G63" s="6"/>
      <c r="H63" s="6"/>
      <c r="I63" s="6"/>
      <c r="J63" s="6"/>
      <c r="K63" s="6"/>
      <c r="L63" s="6"/>
      <c r="M63" s="6"/>
      <c r="N63" s="6"/>
      <c r="O63" s="6"/>
    </row>
    <row r="64" spans="1:15" ht="34">
      <c r="A64" s="6"/>
      <c r="B64" s="4" t="s">
        <v>241</v>
      </c>
      <c r="C64" s="4" t="s">
        <v>242</v>
      </c>
      <c r="D64" s="4" t="s">
        <v>145</v>
      </c>
      <c r="E64" s="4" t="s">
        <v>243</v>
      </c>
      <c r="F64" s="4" t="s">
        <v>244</v>
      </c>
      <c r="G64" s="6"/>
      <c r="H64" s="6"/>
      <c r="I64" s="6"/>
      <c r="J64" s="6"/>
      <c r="K64" s="6"/>
      <c r="L64" s="6"/>
      <c r="M64" s="6"/>
      <c r="N64" s="6"/>
      <c r="O64" s="6"/>
    </row>
    <row r="65" spans="1:15" ht="17">
      <c r="A65" s="6"/>
      <c r="B65" s="4" t="s">
        <v>245</v>
      </c>
      <c r="C65" s="4" t="s">
        <v>246</v>
      </c>
      <c r="D65" s="4" t="s">
        <v>160</v>
      </c>
      <c r="E65" s="4" t="s">
        <v>247</v>
      </c>
      <c r="F65" s="4" t="s">
        <v>248</v>
      </c>
      <c r="G65" s="6"/>
      <c r="H65" s="6"/>
      <c r="I65" s="6"/>
      <c r="J65" s="6"/>
      <c r="K65" s="6"/>
      <c r="L65" s="6"/>
      <c r="M65" s="6"/>
      <c r="N65" s="6"/>
      <c r="O65" s="6"/>
    </row>
    <row r="66" spans="1:15" ht="34">
      <c r="A66" s="6"/>
      <c r="B66" s="4" t="s">
        <v>249</v>
      </c>
      <c r="C66" s="4" t="s">
        <v>250</v>
      </c>
      <c r="D66" s="4" t="s">
        <v>61</v>
      </c>
      <c r="E66" s="4" t="s">
        <v>251</v>
      </c>
      <c r="F66" s="4" t="s">
        <v>252</v>
      </c>
      <c r="G66" s="6"/>
      <c r="H66" s="6"/>
      <c r="I66" s="6"/>
      <c r="J66" s="6"/>
      <c r="K66" s="6"/>
      <c r="L66" s="6"/>
      <c r="M66" s="6"/>
      <c r="N66" s="6"/>
      <c r="O66" s="6"/>
    </row>
    <row r="67" spans="1:15" ht="34">
      <c r="A67" s="6"/>
      <c r="B67" s="4" t="s">
        <v>253</v>
      </c>
      <c r="C67" s="4" t="s">
        <v>254</v>
      </c>
      <c r="D67" s="4" t="s">
        <v>255</v>
      </c>
      <c r="E67" s="4" t="s">
        <v>256</v>
      </c>
      <c r="F67" s="4" t="s">
        <v>257</v>
      </c>
      <c r="G67" s="6"/>
      <c r="H67" s="6"/>
      <c r="I67" s="6"/>
      <c r="J67" s="6"/>
      <c r="K67" s="6"/>
      <c r="L67" s="6"/>
      <c r="M67" s="6"/>
      <c r="N67" s="6"/>
      <c r="O67" s="6"/>
    </row>
    <row r="68" spans="1:15" ht="17">
      <c r="A68" s="6"/>
      <c r="B68" s="5" t="s">
        <v>258</v>
      </c>
      <c r="C68" s="5" t="s">
        <v>259</v>
      </c>
      <c r="D68" s="5" t="s">
        <v>31</v>
      </c>
      <c r="E68" s="5" t="s">
        <v>260</v>
      </c>
      <c r="F68" s="5" t="s">
        <v>261</v>
      </c>
      <c r="G68" s="6"/>
      <c r="H68" s="6"/>
      <c r="I68" s="6"/>
      <c r="J68" s="6"/>
      <c r="K68" s="6"/>
      <c r="L68" s="6"/>
      <c r="M68" s="6"/>
      <c r="N68" s="6"/>
      <c r="O68" s="6"/>
    </row>
    <row r="69" spans="1:15" ht="1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ht="16">
      <c r="A70" s="6"/>
      <c r="B70" s="240" t="s">
        <v>262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6"/>
    </row>
    <row r="71" spans="1:15" ht="17">
      <c r="A71" s="6"/>
      <c r="B71" s="260" t="s">
        <v>263</v>
      </c>
      <c r="C71" s="260" t="s">
        <v>264</v>
      </c>
      <c r="D71" s="260" t="s">
        <v>265</v>
      </c>
      <c r="E71" s="260" t="s">
        <v>266</v>
      </c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ht="34">
      <c r="A72" s="6"/>
      <c r="B72" s="4" t="s">
        <v>267</v>
      </c>
      <c r="C72" s="4" t="s">
        <v>268</v>
      </c>
      <c r="D72" s="4" t="s">
        <v>269</v>
      </c>
      <c r="E72" s="4" t="s">
        <v>270</v>
      </c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ht="51">
      <c r="A73" s="6"/>
      <c r="B73" s="4" t="s">
        <v>271</v>
      </c>
      <c r="C73" s="4" t="s">
        <v>61</v>
      </c>
      <c r="D73" s="4" t="s">
        <v>272</v>
      </c>
      <c r="E73" s="4" t="s">
        <v>273</v>
      </c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ht="34">
      <c r="A74" s="6"/>
      <c r="B74" s="4" t="s">
        <v>274</v>
      </c>
      <c r="C74" s="4" t="s">
        <v>61</v>
      </c>
      <c r="D74" s="4" t="s">
        <v>275</v>
      </c>
      <c r="E74" s="4" t="s">
        <v>276</v>
      </c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ht="34">
      <c r="A75" s="6"/>
      <c r="B75" s="4" t="s">
        <v>277</v>
      </c>
      <c r="C75" s="4" t="s">
        <v>61</v>
      </c>
      <c r="D75" s="4" t="s">
        <v>278</v>
      </c>
      <c r="E75" s="4" t="s">
        <v>279</v>
      </c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ht="51">
      <c r="A76" s="6"/>
      <c r="B76" s="4" t="s">
        <v>280</v>
      </c>
      <c r="C76" s="4" t="s">
        <v>61</v>
      </c>
      <c r="D76" s="4" t="s">
        <v>281</v>
      </c>
      <c r="E76" s="4" t="s">
        <v>282</v>
      </c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ht="51">
      <c r="A77" s="6"/>
      <c r="B77" s="4" t="s">
        <v>283</v>
      </c>
      <c r="C77" s="4" t="s">
        <v>69</v>
      </c>
      <c r="D77" s="4" t="s">
        <v>284</v>
      </c>
      <c r="E77" s="4" t="s">
        <v>285</v>
      </c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ht="34">
      <c r="A78" s="6"/>
      <c r="B78" s="4" t="s">
        <v>286</v>
      </c>
      <c r="C78" s="4" t="s">
        <v>69</v>
      </c>
      <c r="D78" s="4" t="s">
        <v>287</v>
      </c>
      <c r="E78" s="4" t="s">
        <v>288</v>
      </c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ht="34">
      <c r="A79" s="6"/>
      <c r="B79" s="4" t="s">
        <v>289</v>
      </c>
      <c r="C79" s="4" t="s">
        <v>145</v>
      </c>
      <c r="D79" s="4" t="s">
        <v>290</v>
      </c>
      <c r="E79" s="4" t="s">
        <v>291</v>
      </c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ht="34">
      <c r="A80" s="6"/>
      <c r="B80" s="4" t="s">
        <v>292</v>
      </c>
      <c r="C80" s="4" t="s">
        <v>134</v>
      </c>
      <c r="D80" s="4" t="s">
        <v>293</v>
      </c>
      <c r="E80" s="4" t="s">
        <v>294</v>
      </c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ht="34">
      <c r="A81" s="6"/>
      <c r="B81" s="4" t="s">
        <v>295</v>
      </c>
      <c r="C81" s="4" t="s">
        <v>296</v>
      </c>
      <c r="D81" s="4" t="s">
        <v>297</v>
      </c>
      <c r="E81" s="4" t="s">
        <v>298</v>
      </c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ht="17">
      <c r="A82" s="6"/>
      <c r="B82" s="4" t="s">
        <v>299</v>
      </c>
      <c r="C82" s="4" t="s">
        <v>296</v>
      </c>
      <c r="D82" s="4" t="s">
        <v>300</v>
      </c>
      <c r="E82" s="4" t="s">
        <v>270</v>
      </c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ht="34">
      <c r="A83" s="6"/>
      <c r="B83" s="5" t="s">
        <v>301</v>
      </c>
      <c r="C83" s="5" t="s">
        <v>154</v>
      </c>
      <c r="D83" s="5" t="s">
        <v>302</v>
      </c>
      <c r="E83" s="5" t="s">
        <v>303</v>
      </c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ht="1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ht="16">
      <c r="A85" s="6"/>
      <c r="B85" s="240" t="s">
        <v>304</v>
      </c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6"/>
    </row>
    <row r="86" spans="1:15" ht="17">
      <c r="A86" s="6"/>
      <c r="B86" s="260" t="s">
        <v>305</v>
      </c>
      <c r="C86" s="260" t="s">
        <v>306</v>
      </c>
      <c r="D86" s="260" t="s">
        <v>307</v>
      </c>
      <c r="E86" s="260" t="s">
        <v>308</v>
      </c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ht="34">
      <c r="A87" s="6"/>
      <c r="B87" s="4" t="s">
        <v>309</v>
      </c>
      <c r="C87" s="4" t="s">
        <v>310</v>
      </c>
      <c r="D87" s="4" t="s">
        <v>311</v>
      </c>
      <c r="E87" s="4" t="s">
        <v>312</v>
      </c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ht="51">
      <c r="A88" s="6"/>
      <c r="B88" s="4" t="s">
        <v>313</v>
      </c>
      <c r="C88" s="4" t="s">
        <v>314</v>
      </c>
      <c r="D88" s="4" t="s">
        <v>315</v>
      </c>
      <c r="E88" s="4" t="s">
        <v>316</v>
      </c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ht="51">
      <c r="A89" s="6"/>
      <c r="B89" s="4" t="s">
        <v>317</v>
      </c>
      <c r="C89" s="4" t="s">
        <v>318</v>
      </c>
      <c r="D89" s="4" t="s">
        <v>319</v>
      </c>
      <c r="E89" s="4" t="s">
        <v>320</v>
      </c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ht="68">
      <c r="A90" s="6"/>
      <c r="B90" s="4" t="s">
        <v>321</v>
      </c>
      <c r="C90" s="4" t="s">
        <v>322</v>
      </c>
      <c r="D90" s="4" t="s">
        <v>323</v>
      </c>
      <c r="E90" s="4" t="s">
        <v>324</v>
      </c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ht="34">
      <c r="A91" s="6"/>
      <c r="B91" s="4" t="s">
        <v>325</v>
      </c>
      <c r="C91" s="4" t="s">
        <v>326</v>
      </c>
      <c r="D91" s="4" t="s">
        <v>327</v>
      </c>
      <c r="E91" s="4" t="s">
        <v>328</v>
      </c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ht="51">
      <c r="A92" s="6"/>
      <c r="B92" s="4" t="s">
        <v>329</v>
      </c>
      <c r="C92" s="4" t="s">
        <v>330</v>
      </c>
      <c r="D92" s="4" t="s">
        <v>331</v>
      </c>
      <c r="E92" s="4" t="s">
        <v>332</v>
      </c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ht="51">
      <c r="A93" s="6"/>
      <c r="B93" s="4" t="s">
        <v>333</v>
      </c>
      <c r="C93" s="4" t="s">
        <v>334</v>
      </c>
      <c r="D93" s="4" t="s">
        <v>335</v>
      </c>
      <c r="E93" s="4" t="s">
        <v>336</v>
      </c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ht="51">
      <c r="A94" s="6"/>
      <c r="B94" s="4" t="s">
        <v>337</v>
      </c>
      <c r="C94" s="4" t="s">
        <v>338</v>
      </c>
      <c r="D94" s="4" t="s">
        <v>339</v>
      </c>
      <c r="E94" s="4" t="s">
        <v>340</v>
      </c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ht="34">
      <c r="A95" s="6"/>
      <c r="B95" s="4" t="s">
        <v>341</v>
      </c>
      <c r="C95" s="4" t="s">
        <v>342</v>
      </c>
      <c r="D95" s="4" t="s">
        <v>343</v>
      </c>
      <c r="E95" s="4" t="s">
        <v>344</v>
      </c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ht="51">
      <c r="A96" s="6"/>
      <c r="B96" s="4" t="s">
        <v>345</v>
      </c>
      <c r="C96" s="4" t="s">
        <v>346</v>
      </c>
      <c r="D96" s="4" t="s">
        <v>347</v>
      </c>
      <c r="E96" s="4" t="s">
        <v>348</v>
      </c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ht="51">
      <c r="A97" s="6"/>
      <c r="B97" s="4" t="s">
        <v>349</v>
      </c>
      <c r="C97" s="4" t="s">
        <v>350</v>
      </c>
      <c r="D97" s="4" t="s">
        <v>351</v>
      </c>
      <c r="E97" s="4" t="s">
        <v>352</v>
      </c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ht="51">
      <c r="A98" s="6"/>
      <c r="B98" s="5" t="s">
        <v>353</v>
      </c>
      <c r="C98" s="5" t="s">
        <v>354</v>
      </c>
      <c r="D98" s="5" t="s">
        <v>355</v>
      </c>
      <c r="E98" s="5" t="s">
        <v>356</v>
      </c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ht="1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ht="16">
      <c r="A100" s="6"/>
      <c r="B100" s="240" t="s">
        <v>357</v>
      </c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6"/>
    </row>
    <row r="101" spans="1:15" ht="17">
      <c r="A101" s="6"/>
      <c r="B101" s="260" t="s">
        <v>358</v>
      </c>
      <c r="C101" s="260" t="s">
        <v>359</v>
      </c>
      <c r="D101" s="260" t="s">
        <v>360</v>
      </c>
      <c r="E101" s="260" t="s">
        <v>361</v>
      </c>
      <c r="F101" s="260" t="s">
        <v>362</v>
      </c>
      <c r="G101" s="6"/>
      <c r="H101" s="6"/>
      <c r="I101" s="6"/>
      <c r="J101" s="6"/>
      <c r="K101" s="6"/>
      <c r="L101" s="6"/>
      <c r="M101" s="6"/>
      <c r="N101" s="6"/>
      <c r="O101" s="6"/>
    </row>
    <row r="102" spans="1:15" ht="51">
      <c r="A102" s="6"/>
      <c r="B102" s="4" t="s">
        <v>363</v>
      </c>
      <c r="C102" s="4" t="s">
        <v>364</v>
      </c>
      <c r="D102" s="4" t="s">
        <v>365</v>
      </c>
      <c r="E102" s="4" t="s">
        <v>366</v>
      </c>
      <c r="F102" s="4" t="s">
        <v>367</v>
      </c>
      <c r="G102" s="6"/>
      <c r="H102" s="6"/>
      <c r="I102" s="6"/>
      <c r="J102" s="6"/>
      <c r="K102" s="6"/>
      <c r="L102" s="6"/>
      <c r="M102" s="6"/>
      <c r="N102" s="6"/>
      <c r="O102" s="6"/>
    </row>
    <row r="103" spans="1:15" ht="51">
      <c r="A103" s="6"/>
      <c r="B103" s="4" t="s">
        <v>197</v>
      </c>
      <c r="C103" s="4" t="s">
        <v>368</v>
      </c>
      <c r="D103" s="4" t="s">
        <v>369</v>
      </c>
      <c r="E103" s="4" t="s">
        <v>366</v>
      </c>
      <c r="F103" s="4" t="s">
        <v>370</v>
      </c>
      <c r="G103" s="6"/>
      <c r="H103" s="6"/>
      <c r="I103" s="6"/>
      <c r="J103" s="6"/>
      <c r="K103" s="6"/>
      <c r="L103" s="6"/>
      <c r="M103" s="6"/>
      <c r="N103" s="6"/>
      <c r="O103" s="6"/>
    </row>
    <row r="104" spans="1:15" ht="34">
      <c r="A104" s="6"/>
      <c r="B104" s="4" t="s">
        <v>371</v>
      </c>
      <c r="C104" s="4" t="s">
        <v>372</v>
      </c>
      <c r="D104" s="4" t="s">
        <v>373</v>
      </c>
      <c r="E104" s="4" t="s">
        <v>374</v>
      </c>
      <c r="F104" s="4" t="s">
        <v>375</v>
      </c>
      <c r="G104" s="6"/>
      <c r="H104" s="6"/>
      <c r="I104" s="6"/>
      <c r="J104" s="6"/>
      <c r="K104" s="6"/>
      <c r="L104" s="6"/>
      <c r="M104" s="6"/>
      <c r="N104" s="6"/>
      <c r="O104" s="6"/>
    </row>
    <row r="105" spans="1:15" ht="34">
      <c r="A105" s="6"/>
      <c r="B105" s="5" t="s">
        <v>376</v>
      </c>
      <c r="C105" s="5" t="s">
        <v>377</v>
      </c>
      <c r="D105" s="5" t="s">
        <v>378</v>
      </c>
      <c r="E105" s="5" t="s">
        <v>379</v>
      </c>
      <c r="F105" s="5" t="s">
        <v>380</v>
      </c>
      <c r="G105" s="6"/>
      <c r="H105" s="6"/>
      <c r="I105" s="6"/>
      <c r="J105" s="6"/>
      <c r="K105" s="6"/>
      <c r="L105" s="6"/>
      <c r="M105" s="6"/>
      <c r="N105" s="6"/>
      <c r="O105" s="6"/>
    </row>
    <row r="106" spans="1:15" ht="1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ht="16">
      <c r="A107" s="6"/>
      <c r="B107" s="203" t="s">
        <v>381</v>
      </c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6"/>
    </row>
    <row r="108" spans="1:15" s="265" customFormat="1" ht="17">
      <c r="A108" s="263"/>
      <c r="B108" s="264" t="s">
        <v>382</v>
      </c>
      <c r="C108" s="264" t="s">
        <v>383</v>
      </c>
      <c r="D108" s="264" t="s">
        <v>384</v>
      </c>
      <c r="E108" s="264" t="s">
        <v>385</v>
      </c>
      <c r="F108" s="263"/>
      <c r="G108" s="263"/>
      <c r="H108" s="263"/>
      <c r="I108" s="263"/>
      <c r="J108" s="263"/>
      <c r="K108" s="263"/>
      <c r="L108" s="263"/>
      <c r="M108" s="263"/>
      <c r="N108" s="263"/>
      <c r="O108" s="263"/>
    </row>
    <row r="109" spans="1:15" ht="34">
      <c r="A109" s="6"/>
      <c r="B109" s="4" t="s">
        <v>386</v>
      </c>
      <c r="C109" s="4" t="s">
        <v>387</v>
      </c>
      <c r="D109" s="4" t="s">
        <v>388</v>
      </c>
      <c r="E109" s="4" t="s">
        <v>389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ht="34">
      <c r="A110" s="6"/>
      <c r="B110" s="4" t="s">
        <v>390</v>
      </c>
      <c r="C110" s="4" t="s">
        <v>391</v>
      </c>
      <c r="D110" s="4" t="s">
        <v>392</v>
      </c>
      <c r="E110" s="4" t="s">
        <v>393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ht="51">
      <c r="A111" s="6"/>
      <c r="B111" s="4" t="s">
        <v>394</v>
      </c>
      <c r="C111" s="4" t="s">
        <v>395</v>
      </c>
      <c r="D111" s="4" t="s">
        <v>396</v>
      </c>
      <c r="E111" s="4" t="s">
        <v>397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ht="34">
      <c r="A112" s="6"/>
      <c r="B112" s="4" t="s">
        <v>398</v>
      </c>
      <c r="C112" s="4" t="s">
        <v>399</v>
      </c>
      <c r="D112" s="4" t="s">
        <v>400</v>
      </c>
      <c r="E112" s="4" t="s">
        <v>401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34">
      <c r="A113" s="6"/>
      <c r="B113" s="5" t="s">
        <v>402</v>
      </c>
      <c r="C113" s="5" t="s">
        <v>403</v>
      </c>
      <c r="D113" s="5" t="s">
        <v>404</v>
      </c>
      <c r="E113" s="5" t="s">
        <v>405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8" spans="1:15">
      <c r="B118" s="240" t="s">
        <v>406</v>
      </c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</row>
    <row r="119" spans="1:15" ht="15">
      <c r="B119" s="27" t="s">
        <v>407</v>
      </c>
      <c r="C119" s="27" t="s">
        <v>408</v>
      </c>
      <c r="D119" s="27" t="s">
        <v>409</v>
      </c>
      <c r="E119" s="27" t="s">
        <v>410</v>
      </c>
    </row>
    <row r="120" spans="1:15" ht="30">
      <c r="B120" s="27" t="s">
        <v>411</v>
      </c>
      <c r="C120" s="27" t="s">
        <v>412</v>
      </c>
      <c r="D120" s="27" t="s">
        <v>413</v>
      </c>
      <c r="E120" s="27" t="s">
        <v>414</v>
      </c>
    </row>
    <row r="121" spans="1:15" ht="15">
      <c r="B121" s="28" t="s">
        <v>415</v>
      </c>
      <c r="C121" s="28" t="s">
        <v>416</v>
      </c>
      <c r="D121" s="28" t="s">
        <v>417</v>
      </c>
      <c r="E121" s="28" t="s">
        <v>418</v>
      </c>
    </row>
    <row r="122" spans="1:15" ht="30">
      <c r="B122" s="28" t="s">
        <v>419</v>
      </c>
      <c r="C122" s="28" t="s">
        <v>420</v>
      </c>
      <c r="D122" s="28" t="s">
        <v>421</v>
      </c>
      <c r="E122" s="28" t="s">
        <v>422</v>
      </c>
    </row>
  </sheetData>
  <mergeCells count="26">
    <mergeCell ref="C1:O1"/>
    <mergeCell ref="B107:N107"/>
    <mergeCell ref="G6:J6"/>
    <mergeCell ref="K8:N8"/>
    <mergeCell ref="C2:O2"/>
    <mergeCell ref="A2:B2"/>
    <mergeCell ref="G8:J8"/>
    <mergeCell ref="B43:N43"/>
    <mergeCell ref="B70:N70"/>
    <mergeCell ref="G7:J7"/>
    <mergeCell ref="G14:N14"/>
    <mergeCell ref="A3:O3"/>
    <mergeCell ref="B85:N85"/>
    <mergeCell ref="B5:N5"/>
    <mergeCell ref="K6:N6"/>
    <mergeCell ref="G9:J9"/>
    <mergeCell ref="G13:N13"/>
    <mergeCell ref="B25:N25"/>
    <mergeCell ref="K9:N9"/>
    <mergeCell ref="G12:N12"/>
    <mergeCell ref="B118:N118"/>
    <mergeCell ref="G11:N11"/>
    <mergeCell ref="A4:G4"/>
    <mergeCell ref="K7:N7"/>
    <mergeCell ref="B15:N15"/>
    <mergeCell ref="B100:N10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66E"/>
  </sheetPr>
  <dimension ref="A1:O32"/>
  <sheetViews>
    <sheetView showGridLines="0" workbookViewId="0">
      <selection activeCell="B6" sqref="B6:D6"/>
    </sheetView>
  </sheetViews>
  <sheetFormatPr baseColWidth="10" defaultColWidth="8.83203125" defaultRowHeight="14"/>
  <cols>
    <col min="1" max="1" width="10" customWidth="1"/>
    <col min="2" max="2" width="8.5" bestFit="1" customWidth="1"/>
    <col min="3" max="7" width="15" customWidth="1"/>
  </cols>
  <sheetData>
    <row r="1" spans="1:15" ht="38" customHeight="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32" t="s">
        <v>423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28" customHeight="1">
      <c r="A2" s="222" t="s">
        <v>17</v>
      </c>
      <c r="B2" s="223"/>
      <c r="C2" s="213" t="s">
        <v>424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1:15" ht="28" customHeight="1">
      <c r="A3" s="213" t="s">
        <v>425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5" ht="24" customHeight="1">
      <c r="A4" s="207" t="str">
        <f>IFERROR(HYPERLINK("#MENU!A1","← MENÜ   │   RAPOR"),"← MENÜ   │   RAPOR")</f>
        <v>← MENÜ   │   RAPOR</v>
      </c>
      <c r="B4" s="208"/>
      <c r="C4" s="208"/>
      <c r="D4" s="208"/>
      <c r="E4" s="208"/>
      <c r="F4" s="208"/>
      <c r="G4" s="209"/>
      <c r="H4" s="79" t="str">
        <f>IFERROR(HYPERLINK("#TAHSILAT!A1","TAHSİLAT"),"TAHSİLAT")</f>
        <v>TAHSİLAT</v>
      </c>
      <c r="I4" s="80"/>
      <c r="J4" s="79" t="str">
        <f>IFERROR(HYPERLINK("#GELIR_GIDER!A1","GELİR / GİDER"),"GELİR / GİDER")</f>
        <v>GELİR / GİDER</v>
      </c>
      <c r="K4" s="77"/>
      <c r="L4" s="79" t="str">
        <f>IFERROR(HYPERLINK("#VIRMAN!A1","VİRMAN"),"VİRMAN")</f>
        <v>VİRMAN</v>
      </c>
      <c r="M4" s="77"/>
      <c r="N4" s="79" t="str">
        <f>IFERROR(HYPERLINK("#RAPOR!A1","RAPOR"),"RAPOR")</f>
        <v>RAPOR</v>
      </c>
      <c r="O4" s="37"/>
    </row>
    <row r="5" spans="1:15" ht="16">
      <c r="A5" s="6"/>
      <c r="B5" s="203" t="s">
        <v>426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</row>
    <row r="6" spans="1:15" ht="16">
      <c r="A6" s="6"/>
      <c r="B6" s="248" t="s">
        <v>427</v>
      </c>
      <c r="C6" s="211"/>
      <c r="D6" s="211"/>
      <c r="E6" s="248" t="s">
        <v>428</v>
      </c>
      <c r="F6" s="211"/>
      <c r="G6" s="211"/>
      <c r="H6" s="248" t="s">
        <v>22</v>
      </c>
      <c r="I6" s="211"/>
      <c r="J6" s="211"/>
      <c r="K6" s="248" t="s">
        <v>429</v>
      </c>
      <c r="L6" s="211"/>
      <c r="M6" s="211"/>
      <c r="N6" s="248" t="s">
        <v>26</v>
      </c>
      <c r="O6" s="211"/>
    </row>
    <row r="7" spans="1:15" ht="16">
      <c r="A7" s="6"/>
      <c r="B7" s="247">
        <f>KAR!C22</f>
        <v>1525862.02</v>
      </c>
      <c r="C7" s="173"/>
      <c r="D7" s="176"/>
      <c r="E7" s="247">
        <f>SUMIFS(HESAPLAR!$K$7:$K$16,HESAPLAR!$C$7:$C$16,"Kasa")+SUMIFS(HESAPLAR!$K$7:$K$16,HESAPLAR!$C$7:$C$16,"Banka")</f>
        <v>-440300.02</v>
      </c>
      <c r="F7" s="173"/>
      <c r="G7" s="176"/>
      <c r="H7" s="247">
        <f>PANO!G6</f>
        <v>1219008</v>
      </c>
      <c r="I7" s="173"/>
      <c r="J7" s="176"/>
      <c r="K7" s="247">
        <f>ORTAKLAR!I8</f>
        <v>634731.02</v>
      </c>
      <c r="L7" s="173"/>
      <c r="M7" s="176"/>
      <c r="N7" s="249">
        <f>COUNTIF(SISTEM!$E$19:$E$24,"KALDI")</f>
        <v>0</v>
      </c>
      <c r="O7" s="176"/>
    </row>
    <row r="8" spans="1:15" ht="16">
      <c r="A8" s="6"/>
      <c r="B8" s="179"/>
      <c r="C8" s="180"/>
      <c r="D8" s="181"/>
      <c r="E8" s="179"/>
      <c r="F8" s="180"/>
      <c r="G8" s="181"/>
      <c r="H8" s="179"/>
      <c r="I8" s="180"/>
      <c r="J8" s="181"/>
      <c r="K8" s="179"/>
      <c r="L8" s="180"/>
      <c r="M8" s="181"/>
      <c r="N8" s="179"/>
      <c r="O8" s="181"/>
    </row>
    <row r="9" spans="1:15" ht="1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ht="17">
      <c r="A11" s="6"/>
      <c r="B11" s="39" t="s">
        <v>430</v>
      </c>
      <c r="C11" s="39" t="s">
        <v>431</v>
      </c>
      <c r="D11" s="39" t="s">
        <v>432</v>
      </c>
      <c r="E11" s="39" t="s">
        <v>433</v>
      </c>
      <c r="F11" s="39" t="s">
        <v>434</v>
      </c>
      <c r="G11" s="39" t="s">
        <v>435</v>
      </c>
      <c r="H11" s="6"/>
      <c r="I11" s="6"/>
      <c r="J11" s="6"/>
      <c r="K11" s="6"/>
      <c r="L11" s="6"/>
      <c r="M11" s="6"/>
      <c r="N11" s="6"/>
      <c r="O11" s="6"/>
    </row>
    <row r="12" spans="1:15" ht="16">
      <c r="A12" s="6"/>
      <c r="B12" s="40">
        <f>AY_SONU!B7</f>
        <v>46023</v>
      </c>
      <c r="C12" s="71">
        <f>AY_SONU!C7</f>
        <v>320700</v>
      </c>
      <c r="D12" s="71">
        <f>AY_SONU!D7</f>
        <v>0</v>
      </c>
      <c r="E12" s="71">
        <f>AY_SONU!E7</f>
        <v>320700</v>
      </c>
      <c r="F12" s="71">
        <f>AY_SONU!F7</f>
        <v>82333.820000000007</v>
      </c>
      <c r="G12" s="71">
        <f>AY_SONU!G7</f>
        <v>238366.18</v>
      </c>
      <c r="H12" s="6"/>
      <c r="I12" s="6"/>
      <c r="J12" s="6"/>
      <c r="K12" s="6"/>
      <c r="L12" s="6"/>
      <c r="M12" s="6"/>
      <c r="N12" s="6"/>
      <c r="O12" s="6"/>
    </row>
    <row r="13" spans="1:15" ht="16">
      <c r="A13" s="6"/>
      <c r="B13" s="40">
        <f>AY_SONU!B8</f>
        <v>46054</v>
      </c>
      <c r="C13" s="71">
        <f>AY_SONU!C8</f>
        <v>205500</v>
      </c>
      <c r="D13" s="71">
        <f>AY_SONU!D8</f>
        <v>97200</v>
      </c>
      <c r="E13" s="71">
        <f>AY_SONU!E8</f>
        <v>302700</v>
      </c>
      <c r="F13" s="71">
        <f>AY_SONU!F8</f>
        <v>282078.19000000006</v>
      </c>
      <c r="G13" s="71">
        <f>AY_SONU!G8</f>
        <v>20621.809999999939</v>
      </c>
      <c r="H13" s="6"/>
      <c r="I13" s="6"/>
      <c r="J13" s="6"/>
      <c r="K13" s="6"/>
      <c r="L13" s="6"/>
      <c r="M13" s="6"/>
      <c r="N13" s="6"/>
      <c r="O13" s="6"/>
    </row>
    <row r="14" spans="1:15" ht="16">
      <c r="A14" s="6"/>
      <c r="B14" s="40">
        <f>AY_SONU!B9</f>
        <v>46082</v>
      </c>
      <c r="C14" s="71">
        <f>AY_SONU!C9</f>
        <v>263250</v>
      </c>
      <c r="D14" s="71">
        <f>AY_SONU!D9</f>
        <v>50000</v>
      </c>
      <c r="E14" s="71">
        <f>AY_SONU!E9</f>
        <v>313250</v>
      </c>
      <c r="F14" s="71">
        <f>AY_SONU!F9</f>
        <v>158407.97</v>
      </c>
      <c r="G14" s="71">
        <f>AY_SONU!G9</f>
        <v>154842.03</v>
      </c>
      <c r="H14" s="6"/>
      <c r="I14" s="6"/>
      <c r="J14" s="6"/>
      <c r="K14" s="6"/>
      <c r="L14" s="6"/>
      <c r="M14" s="6"/>
      <c r="N14" s="6"/>
      <c r="O14" s="6"/>
    </row>
    <row r="15" spans="1:15" ht="16">
      <c r="A15" s="6"/>
      <c r="B15" s="40">
        <f>AY_SONU!B10</f>
        <v>46113</v>
      </c>
      <c r="C15" s="71">
        <f>AY_SONU!C10</f>
        <v>281200</v>
      </c>
      <c r="D15" s="71">
        <f>AY_SONU!D10</f>
        <v>147600</v>
      </c>
      <c r="E15" s="71">
        <f>AY_SONU!E10</f>
        <v>428800</v>
      </c>
      <c r="F15" s="71">
        <f>AY_SONU!F10</f>
        <v>154094</v>
      </c>
      <c r="G15" s="71">
        <f>AY_SONU!G10</f>
        <v>274706</v>
      </c>
      <c r="H15" s="6"/>
      <c r="I15" s="6"/>
      <c r="J15" s="6"/>
      <c r="K15" s="6"/>
      <c r="L15" s="6"/>
      <c r="M15" s="6"/>
      <c r="N15" s="6"/>
      <c r="O15" s="6"/>
    </row>
    <row r="16" spans="1:15" ht="16">
      <c r="A16" s="6"/>
      <c r="B16" s="40">
        <f>AY_SONU!B11</f>
        <v>46143</v>
      </c>
      <c r="C16" s="71">
        <f>AY_SONU!C11</f>
        <v>347650</v>
      </c>
      <c r="D16" s="71">
        <f>AY_SONU!D11</f>
        <v>67250</v>
      </c>
      <c r="E16" s="71">
        <f>AY_SONU!E11</f>
        <v>414900</v>
      </c>
      <c r="F16" s="71">
        <f>AY_SONU!F11</f>
        <v>195354</v>
      </c>
      <c r="G16" s="71">
        <f>AY_SONU!G11</f>
        <v>219546</v>
      </c>
      <c r="H16" s="6"/>
      <c r="I16" s="6"/>
      <c r="J16" s="6"/>
      <c r="K16" s="6"/>
      <c r="L16" s="6"/>
      <c r="M16" s="6"/>
      <c r="N16" s="6"/>
      <c r="O16" s="6"/>
    </row>
    <row r="17" spans="1:15" ht="16">
      <c r="A17" s="6"/>
      <c r="B17" s="40">
        <f>AY_SONU!B12</f>
        <v>46174</v>
      </c>
      <c r="C17" s="71">
        <f>AY_SONU!C12</f>
        <v>288350</v>
      </c>
      <c r="D17" s="71">
        <f>AY_SONU!D12</f>
        <v>38200</v>
      </c>
      <c r="E17" s="71">
        <f>AY_SONU!E12</f>
        <v>326550</v>
      </c>
      <c r="F17" s="71">
        <f>AY_SONU!F12</f>
        <v>99110</v>
      </c>
      <c r="G17" s="71">
        <f>AY_SONU!G12</f>
        <v>227440</v>
      </c>
      <c r="H17" s="6"/>
      <c r="I17" s="6"/>
      <c r="J17" s="6"/>
      <c r="K17" s="6"/>
      <c r="L17" s="6"/>
      <c r="M17" s="6"/>
      <c r="N17" s="6"/>
      <c r="O17" s="6"/>
    </row>
    <row r="18" spans="1:15" ht="16">
      <c r="A18" s="6"/>
      <c r="B18" s="40">
        <f>AY_SONU!B13</f>
        <v>46204</v>
      </c>
      <c r="C18" s="71">
        <f>AY_SONU!C13</f>
        <v>204250</v>
      </c>
      <c r="D18" s="71">
        <f>AY_SONU!D13</f>
        <v>20000</v>
      </c>
      <c r="E18" s="71">
        <f>AY_SONU!E13</f>
        <v>224250</v>
      </c>
      <c r="F18" s="71">
        <f>AY_SONU!F13</f>
        <v>107510</v>
      </c>
      <c r="G18" s="71">
        <f>AY_SONU!G13</f>
        <v>116740</v>
      </c>
      <c r="H18" s="6"/>
      <c r="I18" s="6"/>
      <c r="J18" s="6"/>
      <c r="K18" s="6"/>
      <c r="L18" s="6"/>
      <c r="M18" s="6"/>
      <c r="N18" s="6"/>
      <c r="O18" s="6"/>
    </row>
    <row r="19" spans="1:15" ht="16">
      <c r="A19" s="6"/>
      <c r="B19" s="40">
        <f>AY_SONU!B14</f>
        <v>46235</v>
      </c>
      <c r="C19" s="71">
        <f>AY_SONU!C14</f>
        <v>327900</v>
      </c>
      <c r="D19" s="71">
        <f>AY_SONU!D14</f>
        <v>63000</v>
      </c>
      <c r="E19" s="71">
        <f>AY_SONU!E14</f>
        <v>390900</v>
      </c>
      <c r="F19" s="71">
        <f>AY_SONU!F14</f>
        <v>117300</v>
      </c>
      <c r="G19" s="71">
        <f>AY_SONU!G14</f>
        <v>273600</v>
      </c>
      <c r="H19" s="6"/>
      <c r="I19" s="6"/>
      <c r="J19" s="6"/>
      <c r="K19" s="6"/>
      <c r="L19" s="6"/>
      <c r="M19" s="6"/>
      <c r="N19" s="6"/>
      <c r="O19" s="6"/>
    </row>
    <row r="20" spans="1:15" ht="16">
      <c r="A20" s="6"/>
      <c r="B20" s="40">
        <f>AY_SONU!B15</f>
        <v>46266</v>
      </c>
      <c r="C20" s="71">
        <f>AY_SONU!C15</f>
        <v>0</v>
      </c>
      <c r="D20" s="71">
        <f>AY_SONU!D15</f>
        <v>0</v>
      </c>
      <c r="E20" s="71">
        <f>AY_SONU!E15</f>
        <v>0</v>
      </c>
      <c r="F20" s="71">
        <f>AY_SONU!F15</f>
        <v>0</v>
      </c>
      <c r="G20" s="71">
        <f>AY_SONU!G15</f>
        <v>0</v>
      </c>
      <c r="H20" s="6"/>
      <c r="I20" s="6"/>
      <c r="J20" s="6"/>
      <c r="K20" s="6"/>
      <c r="L20" s="6"/>
      <c r="M20" s="6"/>
      <c r="N20" s="6"/>
      <c r="O20" s="6"/>
    </row>
    <row r="21" spans="1:15" ht="16">
      <c r="A21" s="6"/>
      <c r="B21" s="40">
        <f>AY_SONU!B16</f>
        <v>46296</v>
      </c>
      <c r="C21" s="71">
        <f>AY_SONU!C16</f>
        <v>0</v>
      </c>
      <c r="D21" s="71">
        <f>AY_SONU!D16</f>
        <v>0</v>
      </c>
      <c r="E21" s="71">
        <f>AY_SONU!E16</f>
        <v>0</v>
      </c>
      <c r="F21" s="71">
        <f>AY_SONU!F16</f>
        <v>0</v>
      </c>
      <c r="G21" s="71">
        <f>AY_SONU!G16</f>
        <v>0</v>
      </c>
      <c r="H21" s="6"/>
      <c r="I21" s="6"/>
      <c r="J21" s="6"/>
      <c r="K21" s="6"/>
      <c r="L21" s="6"/>
      <c r="M21" s="6"/>
      <c r="N21" s="6"/>
      <c r="O21" s="6"/>
    </row>
    <row r="22" spans="1:15" ht="16">
      <c r="A22" s="6"/>
      <c r="B22" s="40">
        <f>AY_SONU!B17</f>
        <v>46327</v>
      </c>
      <c r="C22" s="71">
        <f>AY_SONU!C17</f>
        <v>0</v>
      </c>
      <c r="D22" s="71">
        <f>AY_SONU!D17</f>
        <v>0</v>
      </c>
      <c r="E22" s="71">
        <f>AY_SONU!E17</f>
        <v>0</v>
      </c>
      <c r="F22" s="71">
        <f>AY_SONU!F17</f>
        <v>0</v>
      </c>
      <c r="G22" s="71">
        <f>AY_SONU!G17</f>
        <v>0</v>
      </c>
      <c r="H22" s="6"/>
      <c r="I22" s="6"/>
      <c r="J22" s="6"/>
      <c r="K22" s="6"/>
      <c r="L22" s="6"/>
      <c r="M22" s="6"/>
      <c r="N22" s="6"/>
      <c r="O22" s="6"/>
    </row>
    <row r="23" spans="1:15" ht="16">
      <c r="A23" s="6"/>
      <c r="B23" s="19">
        <f>AY_SONU!B18</f>
        <v>46357</v>
      </c>
      <c r="C23" s="72">
        <f>AY_SONU!C18</f>
        <v>0</v>
      </c>
      <c r="D23" s="72">
        <f>AY_SONU!D18</f>
        <v>0</v>
      </c>
      <c r="E23" s="72">
        <f>AY_SONU!E18</f>
        <v>0</v>
      </c>
      <c r="F23" s="72">
        <f>AY_SONU!F18</f>
        <v>0</v>
      </c>
      <c r="G23" s="72">
        <f>AY_SONU!G18</f>
        <v>0</v>
      </c>
      <c r="H23" s="6"/>
      <c r="I23" s="6"/>
      <c r="J23" s="6"/>
      <c r="K23" s="6"/>
      <c r="L23" s="6"/>
      <c r="M23" s="6"/>
      <c r="N23" s="6"/>
      <c r="O23" s="6"/>
    </row>
    <row r="24" spans="1:15" ht="1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6">
      <c r="A26" s="6"/>
      <c r="B26" s="204" t="s">
        <v>436</v>
      </c>
      <c r="C26" s="185"/>
      <c r="D26" s="185"/>
      <c r="E26" s="185"/>
      <c r="F26" s="185"/>
      <c r="G26" s="185"/>
      <c r="H26" s="6"/>
      <c r="I26" s="6"/>
      <c r="J26" s="6"/>
      <c r="K26" s="6"/>
      <c r="L26" s="6"/>
      <c r="M26" s="6"/>
      <c r="N26" s="6"/>
      <c r="O26" s="6"/>
    </row>
    <row r="27" spans="1:15" ht="16">
      <c r="A27" s="6"/>
      <c r="B27" s="201" t="str">
        <f>SISTEM!B19</f>
        <v>Gelir/Gider tanımsız borçlu</v>
      </c>
      <c r="C27" s="180"/>
      <c r="D27" s="180"/>
      <c r="E27" s="180"/>
      <c r="F27" s="201" t="str">
        <f>SISTEM!E19</f>
        <v>GEÇTİ</v>
      </c>
      <c r="G27" s="180"/>
      <c r="H27" s="6"/>
      <c r="I27" s="6"/>
      <c r="J27" s="6"/>
      <c r="K27" s="6"/>
      <c r="L27" s="6"/>
      <c r="M27" s="6"/>
      <c r="N27" s="6"/>
      <c r="O27" s="6"/>
    </row>
    <row r="28" spans="1:15" ht="16">
      <c r="A28" s="6"/>
      <c r="B28" s="201" t="str">
        <f>SISTEM!B20</f>
        <v>Nakitsiz tahakkukta kasa seçilmiş</v>
      </c>
      <c r="C28" s="180"/>
      <c r="D28" s="180"/>
      <c r="E28" s="180"/>
      <c r="F28" s="201" t="str">
        <f>SISTEM!E20</f>
        <v>GEÇTİ</v>
      </c>
      <c r="G28" s="180"/>
      <c r="H28" s="6"/>
      <c r="I28" s="6"/>
      <c r="J28" s="6"/>
      <c r="K28" s="6"/>
      <c r="L28" s="6"/>
      <c r="M28" s="6"/>
      <c r="N28" s="6"/>
      <c r="O28" s="6"/>
    </row>
    <row r="29" spans="1:15" ht="16">
      <c r="A29" s="6"/>
      <c r="B29" s="201" t="str">
        <f>SISTEM!B21</f>
        <v>Eski SGK/Muhasebe işlemi yanlış VIRMAN'da</v>
      </c>
      <c r="C29" s="180"/>
      <c r="D29" s="180"/>
      <c r="E29" s="180"/>
      <c r="F29" s="201" t="str">
        <f>SISTEM!E21</f>
        <v>GEÇTİ</v>
      </c>
      <c r="G29" s="180"/>
      <c r="H29" s="6"/>
      <c r="I29" s="6"/>
      <c r="J29" s="6"/>
      <c r="K29" s="6"/>
      <c r="L29" s="6"/>
      <c r="M29" s="6"/>
      <c r="N29" s="6"/>
      <c r="O29" s="6"/>
    </row>
    <row r="30" spans="1:15" ht="16">
      <c r="A30" s="6"/>
      <c r="B30" s="201" t="str">
        <f>SISTEM!B22</f>
        <v>Yalıkent/Grand06 yapay kasa çifti</v>
      </c>
      <c r="C30" s="180"/>
      <c r="D30" s="180"/>
      <c r="E30" s="180"/>
      <c r="F30" s="201" t="str">
        <f>SISTEM!E22</f>
        <v>GEÇTİ</v>
      </c>
      <c r="G30" s="180"/>
      <c r="H30" s="6"/>
      <c r="I30" s="6"/>
      <c r="J30" s="6"/>
      <c r="K30" s="6"/>
      <c r="L30" s="6"/>
      <c r="M30" s="6"/>
      <c r="N30" s="6"/>
      <c r="O30" s="6"/>
    </row>
    <row r="31" spans="1:15" ht="16">
      <c r="A31" s="6"/>
      <c r="B31" s="201" t="str">
        <f>SISTEM!B23</f>
        <v>Eksik tarihli gerçek Gelir/Gider kaydı</v>
      </c>
      <c r="C31" s="180"/>
      <c r="D31" s="180"/>
      <c r="E31" s="180"/>
      <c r="F31" s="201" t="str">
        <f>SISTEM!E23</f>
        <v>GEÇTİ</v>
      </c>
      <c r="G31" s="180"/>
      <c r="H31" s="6"/>
      <c r="I31" s="6"/>
      <c r="J31" s="6"/>
      <c r="K31" s="6"/>
      <c r="L31" s="6"/>
      <c r="M31" s="6"/>
      <c r="N31" s="6"/>
      <c r="O31" s="6"/>
    </row>
    <row r="32" spans="1:15" ht="16">
      <c r="A32" s="6"/>
      <c r="B32" s="201" t="str">
        <f>SISTEM!B24</f>
        <v>Nakit olmayan mahsup kaydı fiziki kasada</v>
      </c>
      <c r="C32" s="180"/>
      <c r="D32" s="180"/>
      <c r="E32" s="180"/>
      <c r="F32" s="201" t="str">
        <f>SISTEM!E24</f>
        <v>GEÇTİ</v>
      </c>
      <c r="G32" s="180"/>
      <c r="H32" s="6"/>
      <c r="I32" s="6"/>
      <c r="J32" s="6"/>
      <c r="K32" s="6"/>
      <c r="L32" s="6"/>
      <c r="M32" s="6"/>
      <c r="N32" s="6"/>
      <c r="O32" s="6"/>
    </row>
  </sheetData>
  <mergeCells count="29">
    <mergeCell ref="C1:O1"/>
    <mergeCell ref="F27:G27"/>
    <mergeCell ref="H7:J8"/>
    <mergeCell ref="N6:O6"/>
    <mergeCell ref="B29:E29"/>
    <mergeCell ref="E7:G8"/>
    <mergeCell ref="B5:O5"/>
    <mergeCell ref="B28:E28"/>
    <mergeCell ref="C2:O2"/>
    <mergeCell ref="H6:J6"/>
    <mergeCell ref="A2:B2"/>
    <mergeCell ref="K6:M6"/>
    <mergeCell ref="N7:O8"/>
    <mergeCell ref="F31:G31"/>
    <mergeCell ref="B26:G26"/>
    <mergeCell ref="F28:G28"/>
    <mergeCell ref="A3:O3"/>
    <mergeCell ref="E6:G6"/>
    <mergeCell ref="B32:E32"/>
    <mergeCell ref="F30:G30"/>
    <mergeCell ref="F32:G32"/>
    <mergeCell ref="B6:D6"/>
    <mergeCell ref="B31:E31"/>
    <mergeCell ref="B27:E27"/>
    <mergeCell ref="F29:G29"/>
    <mergeCell ref="K7:M8"/>
    <mergeCell ref="B30:E30"/>
    <mergeCell ref="A4:G4"/>
    <mergeCell ref="B7:D8"/>
  </mergeCells>
  <conditionalFormatting sqref="E7:G8">
    <cfRule type="expression" dxfId="50" priority="14">
      <formula>E7&lt;0</formula>
    </cfRule>
  </conditionalFormatting>
  <conditionalFormatting sqref="F27:G32">
    <cfRule type="expression" dxfId="49" priority="1">
      <formula>F27="GEÇTİ"</formula>
    </cfRule>
    <cfRule type="expression" dxfId="48" priority="2">
      <formula>F27="KALDI"</formula>
    </cfRule>
  </conditionalFormatting>
  <conditionalFormatting sqref="G12:G23">
    <cfRule type="dataBar" priority="13">
      <dataBar>
        <cfvo type="min"/>
        <cfvo type="max"/>
        <color rgb="FF0F6E56"/>
      </dataBar>
    </cfRule>
  </conditionalFormatting>
  <conditionalFormatting sqref="N7:O8">
    <cfRule type="expression" dxfId="47" priority="15">
      <formula>N7=0</formula>
    </cfRule>
    <cfRule type="expression" dxfId="46" priority="16">
      <formula>N7&gt;0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563EB"/>
  </sheetPr>
  <dimension ref="A1:O156"/>
  <sheetViews>
    <sheetView showGridLines="0" workbookViewId="0"/>
  </sheetViews>
  <sheetFormatPr baseColWidth="10" defaultColWidth="8.83203125" defaultRowHeight="14"/>
  <cols>
    <col min="1" max="1" width="10" customWidth="1"/>
    <col min="2" max="2" width="16" customWidth="1"/>
    <col min="3" max="3" width="24" customWidth="1"/>
    <col min="4" max="4" width="12" customWidth="1"/>
    <col min="5" max="5" width="17" customWidth="1"/>
    <col min="6" max="6" width="15" customWidth="1"/>
    <col min="7" max="7" width="16" customWidth="1"/>
    <col min="8" max="9" width="14" customWidth="1"/>
    <col min="10" max="10" width="16" customWidth="1"/>
    <col min="11" max="11" width="14" customWidth="1"/>
    <col min="12" max="12" width="24" customWidth="1"/>
    <col min="13" max="13" width="25" customWidth="1"/>
    <col min="14" max="15" width="18" customWidth="1"/>
  </cols>
  <sheetData>
    <row r="1" spans="1:15" ht="38" customHeight="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32" t="s">
        <v>437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28" customHeight="1">
      <c r="A2" s="244" t="s">
        <v>438</v>
      </c>
      <c r="B2" s="245"/>
      <c r="C2" s="213" t="s">
        <v>439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1:15" ht="28" customHeight="1">
      <c r="A3" s="213" t="s">
        <v>440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5" ht="24" customHeight="1">
      <c r="A4" s="207" t="str">
        <f>IFERROR(HYPERLINK("#MENU!A1","← MENÜ   │   MÜŞTERİLER"),"← MENÜ   │   MÜŞTERİLER")</f>
        <v>← MENÜ   │   MÜŞTERİLER</v>
      </c>
      <c r="B4" s="208"/>
      <c r="C4" s="208"/>
      <c r="D4" s="208"/>
      <c r="E4" s="208"/>
      <c r="F4" s="208"/>
      <c r="G4" s="209"/>
      <c r="H4" s="79" t="str">
        <f>IFERROR(HYPERLINK("#TAHSILAT!A1","TAHSİLAT"),"TAHSİLAT")</f>
        <v>TAHSİLAT</v>
      </c>
      <c r="I4" s="80"/>
      <c r="J4" s="79" t="str">
        <f>IFERROR(HYPERLINK("#GELIR_GIDER!A1","GELİR / GİDER"),"GELİR / GİDER")</f>
        <v>GELİR / GİDER</v>
      </c>
      <c r="K4" s="80"/>
      <c r="L4" s="79" t="str">
        <f>IFERROR(HYPERLINK("#VIRMAN!A1","VİRMAN"),"VİRMAN")</f>
        <v>VİRMAN</v>
      </c>
      <c r="M4" s="80"/>
      <c r="N4" s="79" t="str">
        <f>IFERROR(HYPERLINK("#RAPOR!A1","RAPOR"),"RAPOR")</f>
        <v>RAPOR</v>
      </c>
      <c r="O4" s="21"/>
    </row>
    <row r="5" spans="1:15" ht="16">
      <c r="A5" s="6"/>
      <c r="B5" s="8" t="s">
        <v>441</v>
      </c>
      <c r="C5" s="8">
        <f>COUNTIF($B$7:$B$156,"&lt;&gt;")</f>
        <v>55</v>
      </c>
      <c r="D5" s="8"/>
      <c r="E5" s="8" t="s">
        <v>442</v>
      </c>
      <c r="F5" s="8">
        <f>COUNTIF($D$7:$D$156,"Aktif")</f>
        <v>52</v>
      </c>
      <c r="G5" s="8"/>
      <c r="H5" s="8" t="s">
        <v>443</v>
      </c>
      <c r="I5" s="8">
        <f>COUNTIF($D$7:$D$156,"Pasif")</f>
        <v>3</v>
      </c>
      <c r="J5" s="8"/>
      <c r="K5" s="250" t="s">
        <v>444</v>
      </c>
      <c r="L5" s="251"/>
      <c r="M5" s="251"/>
      <c r="N5" s="251"/>
      <c r="O5" s="251"/>
    </row>
    <row r="6" spans="1:15" ht="32" customHeight="1">
      <c r="A6" s="6"/>
      <c r="B6" s="87" t="s">
        <v>445</v>
      </c>
      <c r="C6" s="87" t="s">
        <v>446</v>
      </c>
      <c r="D6" s="87" t="s">
        <v>447</v>
      </c>
      <c r="E6" s="87" t="s">
        <v>448</v>
      </c>
      <c r="F6" s="87" t="s">
        <v>449</v>
      </c>
      <c r="G6" s="87" t="s">
        <v>450</v>
      </c>
      <c r="H6" s="87" t="s">
        <v>451</v>
      </c>
      <c r="I6" s="87" t="s">
        <v>452</v>
      </c>
      <c r="J6" s="87" t="s">
        <v>453</v>
      </c>
      <c r="K6" s="87" t="s">
        <v>454</v>
      </c>
      <c r="L6" s="87" t="s">
        <v>455</v>
      </c>
      <c r="M6" s="87" t="s">
        <v>456</v>
      </c>
      <c r="N6" s="87" t="s">
        <v>457</v>
      </c>
      <c r="O6" s="87" t="s">
        <v>458</v>
      </c>
    </row>
    <row r="7" spans="1:15" ht="17">
      <c r="A7" s="6"/>
      <c r="B7" s="92" t="s">
        <v>459</v>
      </c>
      <c r="C7" s="92" t="s">
        <v>460</v>
      </c>
      <c r="D7" s="92" t="s">
        <v>461</v>
      </c>
      <c r="E7" s="92"/>
      <c r="F7" s="92"/>
      <c r="G7" s="92"/>
      <c r="H7" s="92" t="s">
        <v>462</v>
      </c>
      <c r="I7" s="93">
        <v>46023</v>
      </c>
      <c r="J7" s="94">
        <v>0</v>
      </c>
      <c r="K7" s="93"/>
      <c r="L7" s="92"/>
      <c r="M7" s="92"/>
      <c r="N7" s="92"/>
      <c r="O7" s="3" t="str">
        <f t="shared" ref="O7:O38" si="0">IF(AND(B7="",C7=""),"",IF(OR(B7="",C7="",D7=""),"EKSİK",IF(COUNTIF($B$7:$B$156,B7)&gt;1,"MÜKERRER NO","UYGUN")))</f>
        <v>UYGUN</v>
      </c>
    </row>
    <row r="8" spans="1:15" ht="17">
      <c r="A8" s="6"/>
      <c r="B8" s="92" t="s">
        <v>463</v>
      </c>
      <c r="C8" s="92" t="s">
        <v>464</v>
      </c>
      <c r="D8" s="92" t="s">
        <v>461</v>
      </c>
      <c r="E8" s="92"/>
      <c r="F8" s="92"/>
      <c r="G8" s="92"/>
      <c r="H8" s="92" t="s">
        <v>462</v>
      </c>
      <c r="I8" s="93">
        <v>46023</v>
      </c>
      <c r="J8" s="94">
        <v>0</v>
      </c>
      <c r="K8" s="93"/>
      <c r="L8" s="92"/>
      <c r="M8" s="92"/>
      <c r="N8" s="92"/>
      <c r="O8" s="3" t="str">
        <f t="shared" si="0"/>
        <v>UYGUN</v>
      </c>
    </row>
    <row r="9" spans="1:15" ht="17">
      <c r="A9" s="6"/>
      <c r="B9" s="92" t="s">
        <v>465</v>
      </c>
      <c r="C9" s="92" t="s">
        <v>466</v>
      </c>
      <c r="D9" s="92" t="s">
        <v>461</v>
      </c>
      <c r="E9" s="92"/>
      <c r="F9" s="92"/>
      <c r="G9" s="92"/>
      <c r="H9" s="92" t="s">
        <v>462</v>
      </c>
      <c r="I9" s="93">
        <v>46023</v>
      </c>
      <c r="J9" s="94">
        <v>0</v>
      </c>
      <c r="K9" s="93"/>
      <c r="L9" s="92"/>
      <c r="M9" s="92"/>
      <c r="N9" s="92"/>
      <c r="O9" s="3" t="str">
        <f t="shared" si="0"/>
        <v>UYGUN</v>
      </c>
    </row>
    <row r="10" spans="1:15" ht="17">
      <c r="A10" s="6"/>
      <c r="B10" s="92" t="s">
        <v>467</v>
      </c>
      <c r="C10" s="92" t="s">
        <v>468</v>
      </c>
      <c r="D10" s="92" t="s">
        <v>461</v>
      </c>
      <c r="E10" s="92"/>
      <c r="F10" s="92"/>
      <c r="G10" s="92"/>
      <c r="H10" s="92" t="s">
        <v>462</v>
      </c>
      <c r="I10" s="93">
        <v>46023</v>
      </c>
      <c r="J10" s="94">
        <v>0</v>
      </c>
      <c r="K10" s="93"/>
      <c r="L10" s="92"/>
      <c r="M10" s="92"/>
      <c r="N10" s="92"/>
      <c r="O10" s="3" t="str">
        <f t="shared" si="0"/>
        <v>UYGUN</v>
      </c>
    </row>
    <row r="11" spans="1:15" ht="17">
      <c r="A11" s="6"/>
      <c r="B11" s="92" t="s">
        <v>469</v>
      </c>
      <c r="C11" s="92" t="s">
        <v>470</v>
      </c>
      <c r="D11" s="92" t="s">
        <v>461</v>
      </c>
      <c r="E11" s="92"/>
      <c r="F11" s="92"/>
      <c r="G11" s="92"/>
      <c r="H11" s="92" t="s">
        <v>462</v>
      </c>
      <c r="I11" s="93">
        <v>46023</v>
      </c>
      <c r="J11" s="94">
        <v>0</v>
      </c>
      <c r="K11" s="93"/>
      <c r="L11" s="92"/>
      <c r="M11" s="92"/>
      <c r="N11" s="92"/>
      <c r="O11" s="3" t="str">
        <f t="shared" si="0"/>
        <v>UYGUN</v>
      </c>
    </row>
    <row r="12" spans="1:15" ht="17">
      <c r="A12" s="6"/>
      <c r="B12" s="92" t="s">
        <v>471</v>
      </c>
      <c r="C12" s="92" t="s">
        <v>472</v>
      </c>
      <c r="D12" s="92" t="s">
        <v>461</v>
      </c>
      <c r="E12" s="92"/>
      <c r="F12" s="92"/>
      <c r="G12" s="92"/>
      <c r="H12" s="92" t="s">
        <v>462</v>
      </c>
      <c r="I12" s="93">
        <v>46023</v>
      </c>
      <c r="J12" s="94">
        <v>0</v>
      </c>
      <c r="K12" s="93"/>
      <c r="L12" s="92"/>
      <c r="M12" s="92"/>
      <c r="N12" s="92"/>
      <c r="O12" s="3" t="str">
        <f t="shared" si="0"/>
        <v>UYGUN</v>
      </c>
    </row>
    <row r="13" spans="1:15" ht="17">
      <c r="A13" s="6"/>
      <c r="B13" s="92" t="s">
        <v>473</v>
      </c>
      <c r="C13" s="92" t="s">
        <v>474</v>
      </c>
      <c r="D13" s="92" t="s">
        <v>461</v>
      </c>
      <c r="E13" s="92"/>
      <c r="F13" s="92"/>
      <c r="G13" s="92"/>
      <c r="H13" s="92" t="s">
        <v>462</v>
      </c>
      <c r="I13" s="93">
        <v>46023</v>
      </c>
      <c r="J13" s="94">
        <v>0</v>
      </c>
      <c r="K13" s="93"/>
      <c r="L13" s="92"/>
      <c r="M13" s="92"/>
      <c r="N13" s="92"/>
      <c r="O13" s="3" t="str">
        <f t="shared" si="0"/>
        <v>UYGUN</v>
      </c>
    </row>
    <row r="14" spans="1:15" ht="17">
      <c r="A14" s="6"/>
      <c r="B14" s="92" t="s">
        <v>475</v>
      </c>
      <c r="C14" s="92" t="s">
        <v>476</v>
      </c>
      <c r="D14" s="92" t="s">
        <v>461</v>
      </c>
      <c r="E14" s="92"/>
      <c r="F14" s="92"/>
      <c r="G14" s="92"/>
      <c r="H14" s="92" t="s">
        <v>462</v>
      </c>
      <c r="I14" s="93">
        <v>46023</v>
      </c>
      <c r="J14" s="94">
        <v>0</v>
      </c>
      <c r="K14" s="93"/>
      <c r="L14" s="92"/>
      <c r="M14" s="92"/>
      <c r="N14" s="92"/>
      <c r="O14" s="3" t="str">
        <f t="shared" si="0"/>
        <v>UYGUN</v>
      </c>
    </row>
    <row r="15" spans="1:15" ht="17">
      <c r="A15" s="6"/>
      <c r="B15" s="92" t="s">
        <v>477</v>
      </c>
      <c r="C15" s="92" t="s">
        <v>478</v>
      </c>
      <c r="D15" s="92" t="s">
        <v>461</v>
      </c>
      <c r="E15" s="92"/>
      <c r="F15" s="92"/>
      <c r="G15" s="92"/>
      <c r="H15" s="92" t="s">
        <v>462</v>
      </c>
      <c r="I15" s="93">
        <v>46023</v>
      </c>
      <c r="J15" s="94">
        <v>0</v>
      </c>
      <c r="K15" s="93"/>
      <c r="L15" s="92"/>
      <c r="M15" s="92"/>
      <c r="N15" s="92"/>
      <c r="O15" s="3" t="str">
        <f t="shared" si="0"/>
        <v>UYGUN</v>
      </c>
    </row>
    <row r="16" spans="1:15" ht="17">
      <c r="A16" s="6"/>
      <c r="B16" s="92" t="s">
        <v>479</v>
      </c>
      <c r="C16" s="92" t="s">
        <v>480</v>
      </c>
      <c r="D16" s="92" t="s">
        <v>461</v>
      </c>
      <c r="E16" s="92"/>
      <c r="F16" s="92"/>
      <c r="G16" s="92"/>
      <c r="H16" s="92" t="s">
        <v>462</v>
      </c>
      <c r="I16" s="93">
        <v>46023</v>
      </c>
      <c r="J16" s="94">
        <v>0</v>
      </c>
      <c r="K16" s="93"/>
      <c r="L16" s="92"/>
      <c r="M16" s="92"/>
      <c r="N16" s="92"/>
      <c r="O16" s="3" t="str">
        <f t="shared" si="0"/>
        <v>UYGUN</v>
      </c>
    </row>
    <row r="17" spans="1:15" ht="17">
      <c r="A17" s="6"/>
      <c r="B17" s="92" t="s">
        <v>481</v>
      </c>
      <c r="C17" s="92" t="s">
        <v>482</v>
      </c>
      <c r="D17" s="92" t="s">
        <v>461</v>
      </c>
      <c r="E17" s="92"/>
      <c r="F17" s="92"/>
      <c r="G17" s="92"/>
      <c r="H17" s="92" t="s">
        <v>462</v>
      </c>
      <c r="I17" s="93">
        <v>46023</v>
      </c>
      <c r="J17" s="94">
        <v>0</v>
      </c>
      <c r="K17" s="93"/>
      <c r="L17" s="92"/>
      <c r="M17" s="92"/>
      <c r="N17" s="92"/>
      <c r="O17" s="3" t="str">
        <f t="shared" si="0"/>
        <v>UYGUN</v>
      </c>
    </row>
    <row r="18" spans="1:15" ht="17">
      <c r="A18" s="6"/>
      <c r="B18" s="92" t="s">
        <v>483</v>
      </c>
      <c r="C18" s="92" t="s">
        <v>484</v>
      </c>
      <c r="D18" s="92" t="s">
        <v>461</v>
      </c>
      <c r="E18" s="92"/>
      <c r="F18" s="92"/>
      <c r="G18" s="92"/>
      <c r="H18" s="92" t="s">
        <v>462</v>
      </c>
      <c r="I18" s="93">
        <v>46023</v>
      </c>
      <c r="J18" s="94">
        <v>0</v>
      </c>
      <c r="K18" s="93"/>
      <c r="L18" s="92"/>
      <c r="M18" s="92"/>
      <c r="N18" s="92"/>
      <c r="O18" s="3" t="str">
        <f t="shared" si="0"/>
        <v>UYGUN</v>
      </c>
    </row>
    <row r="19" spans="1:15" ht="17">
      <c r="A19" s="6"/>
      <c r="B19" s="92" t="s">
        <v>485</v>
      </c>
      <c r="C19" s="92" t="s">
        <v>486</v>
      </c>
      <c r="D19" s="92" t="s">
        <v>461</v>
      </c>
      <c r="E19" s="92"/>
      <c r="F19" s="92"/>
      <c r="G19" s="92"/>
      <c r="H19" s="92" t="s">
        <v>462</v>
      </c>
      <c r="I19" s="93">
        <v>46023</v>
      </c>
      <c r="J19" s="94">
        <v>0</v>
      </c>
      <c r="K19" s="93"/>
      <c r="L19" s="92"/>
      <c r="M19" s="92"/>
      <c r="N19" s="92"/>
      <c r="O19" s="3" t="str">
        <f t="shared" si="0"/>
        <v>UYGUN</v>
      </c>
    </row>
    <row r="20" spans="1:15" ht="17">
      <c r="A20" s="6"/>
      <c r="B20" s="92" t="s">
        <v>487</v>
      </c>
      <c r="C20" s="92" t="s">
        <v>488</v>
      </c>
      <c r="D20" s="92" t="s">
        <v>461</v>
      </c>
      <c r="E20" s="92"/>
      <c r="F20" s="92"/>
      <c r="G20" s="92"/>
      <c r="H20" s="92" t="s">
        <v>462</v>
      </c>
      <c r="I20" s="93">
        <v>46039</v>
      </c>
      <c r="J20" s="94">
        <v>0</v>
      </c>
      <c r="K20" s="93"/>
      <c r="L20" s="92"/>
      <c r="M20" s="92"/>
      <c r="N20" s="92"/>
      <c r="O20" s="3" t="str">
        <f t="shared" si="0"/>
        <v>UYGUN</v>
      </c>
    </row>
    <row r="21" spans="1:15" ht="17">
      <c r="A21" s="6"/>
      <c r="B21" s="92" t="s">
        <v>489</v>
      </c>
      <c r="C21" s="92" t="s">
        <v>490</v>
      </c>
      <c r="D21" s="92" t="s">
        <v>461</v>
      </c>
      <c r="E21" s="92"/>
      <c r="F21" s="92"/>
      <c r="G21" s="92"/>
      <c r="H21" s="92" t="s">
        <v>462</v>
      </c>
      <c r="I21" s="93">
        <v>46023</v>
      </c>
      <c r="J21" s="94">
        <v>0</v>
      </c>
      <c r="K21" s="93"/>
      <c r="L21" s="92"/>
      <c r="M21" s="92"/>
      <c r="N21" s="92"/>
      <c r="O21" s="3" t="str">
        <f t="shared" si="0"/>
        <v>UYGUN</v>
      </c>
    </row>
    <row r="22" spans="1:15" ht="17">
      <c r="A22" s="6"/>
      <c r="B22" s="92" t="s">
        <v>491</v>
      </c>
      <c r="C22" s="92" t="s">
        <v>492</v>
      </c>
      <c r="D22" s="92" t="s">
        <v>461</v>
      </c>
      <c r="E22" s="92"/>
      <c r="F22" s="92"/>
      <c r="G22" s="92"/>
      <c r="H22" s="92" t="s">
        <v>462</v>
      </c>
      <c r="I22" s="93">
        <v>46023</v>
      </c>
      <c r="J22" s="94">
        <v>0</v>
      </c>
      <c r="K22" s="93"/>
      <c r="L22" s="92"/>
      <c r="M22" s="92"/>
      <c r="N22" s="92"/>
      <c r="O22" s="3" t="str">
        <f t="shared" si="0"/>
        <v>UYGUN</v>
      </c>
    </row>
    <row r="23" spans="1:15" ht="17">
      <c r="A23" s="6"/>
      <c r="B23" s="92" t="s">
        <v>493</v>
      </c>
      <c r="C23" s="92" t="s">
        <v>494</v>
      </c>
      <c r="D23" s="92" t="s">
        <v>461</v>
      </c>
      <c r="E23" s="92"/>
      <c r="F23" s="92"/>
      <c r="G23" s="92"/>
      <c r="H23" s="92" t="s">
        <v>462</v>
      </c>
      <c r="I23" s="93">
        <v>46023</v>
      </c>
      <c r="J23" s="94">
        <v>0</v>
      </c>
      <c r="K23" s="93"/>
      <c r="L23" s="92"/>
      <c r="M23" s="92"/>
      <c r="N23" s="92"/>
      <c r="O23" s="3" t="str">
        <f t="shared" si="0"/>
        <v>UYGUN</v>
      </c>
    </row>
    <row r="24" spans="1:15" ht="34">
      <c r="A24" s="6"/>
      <c r="B24" s="92" t="s">
        <v>495</v>
      </c>
      <c r="C24" s="92" t="s">
        <v>496</v>
      </c>
      <c r="D24" s="92" t="s">
        <v>461</v>
      </c>
      <c r="E24" s="92"/>
      <c r="F24" s="92"/>
      <c r="G24" s="92"/>
      <c r="H24" s="92" t="s">
        <v>462</v>
      </c>
      <c r="I24" s="93">
        <v>46023</v>
      </c>
      <c r="J24" s="94">
        <v>0</v>
      </c>
      <c r="K24" s="93"/>
      <c r="L24" s="92"/>
      <c r="M24" s="92"/>
      <c r="N24" s="92"/>
      <c r="O24" s="3" t="str">
        <f t="shared" si="0"/>
        <v>UYGUN</v>
      </c>
    </row>
    <row r="25" spans="1:15" ht="17">
      <c r="A25" s="6"/>
      <c r="B25" s="92" t="s">
        <v>497</v>
      </c>
      <c r="C25" s="92" t="s">
        <v>498</v>
      </c>
      <c r="D25" s="92" t="s">
        <v>461</v>
      </c>
      <c r="E25" s="92"/>
      <c r="F25" s="92"/>
      <c r="G25" s="92"/>
      <c r="H25" s="92" t="s">
        <v>462</v>
      </c>
      <c r="I25" s="93">
        <v>46023</v>
      </c>
      <c r="J25" s="94">
        <v>0</v>
      </c>
      <c r="K25" s="93"/>
      <c r="L25" s="92"/>
      <c r="M25" s="92"/>
      <c r="N25" s="92"/>
      <c r="O25" s="3" t="str">
        <f t="shared" si="0"/>
        <v>UYGUN</v>
      </c>
    </row>
    <row r="26" spans="1:15" ht="17">
      <c r="A26" s="6"/>
      <c r="B26" s="92" t="s">
        <v>499</v>
      </c>
      <c r="C26" s="92" t="s">
        <v>500</v>
      </c>
      <c r="D26" s="92" t="s">
        <v>461</v>
      </c>
      <c r="E26" s="92"/>
      <c r="F26" s="92"/>
      <c r="G26" s="92"/>
      <c r="H26" s="92" t="s">
        <v>462</v>
      </c>
      <c r="I26" s="93">
        <v>46023</v>
      </c>
      <c r="J26" s="94">
        <v>0</v>
      </c>
      <c r="K26" s="93"/>
      <c r="L26" s="92"/>
      <c r="M26" s="92"/>
      <c r="N26" s="92"/>
      <c r="O26" s="3" t="str">
        <f t="shared" si="0"/>
        <v>UYGUN</v>
      </c>
    </row>
    <row r="27" spans="1:15" ht="17">
      <c r="A27" s="6"/>
      <c r="B27" s="92" t="s">
        <v>501</v>
      </c>
      <c r="C27" s="92" t="s">
        <v>502</v>
      </c>
      <c r="D27" s="92" t="s">
        <v>461</v>
      </c>
      <c r="E27" s="92"/>
      <c r="F27" s="92"/>
      <c r="G27" s="92"/>
      <c r="H27" s="92" t="s">
        <v>462</v>
      </c>
      <c r="I27" s="93">
        <v>46023</v>
      </c>
      <c r="J27" s="94">
        <v>0</v>
      </c>
      <c r="K27" s="93"/>
      <c r="L27" s="92"/>
      <c r="M27" s="92"/>
      <c r="N27" s="92"/>
      <c r="O27" s="3" t="str">
        <f t="shared" si="0"/>
        <v>UYGUN</v>
      </c>
    </row>
    <row r="28" spans="1:15" ht="17">
      <c r="A28" s="6"/>
      <c r="B28" s="92" t="s">
        <v>503</v>
      </c>
      <c r="C28" s="92" t="s">
        <v>504</v>
      </c>
      <c r="D28" s="92" t="s">
        <v>461</v>
      </c>
      <c r="E28" s="92"/>
      <c r="F28" s="92"/>
      <c r="G28" s="92"/>
      <c r="H28" s="92" t="s">
        <v>462</v>
      </c>
      <c r="I28" s="93">
        <v>46023</v>
      </c>
      <c r="J28" s="94">
        <v>0</v>
      </c>
      <c r="K28" s="93"/>
      <c r="L28" s="92"/>
      <c r="M28" s="92"/>
      <c r="N28" s="92"/>
      <c r="O28" s="3" t="str">
        <f t="shared" si="0"/>
        <v>UYGUN</v>
      </c>
    </row>
    <row r="29" spans="1:15" ht="17">
      <c r="A29" s="6"/>
      <c r="B29" s="92" t="s">
        <v>505</v>
      </c>
      <c r="C29" s="92" t="s">
        <v>506</v>
      </c>
      <c r="D29" s="92" t="s">
        <v>461</v>
      </c>
      <c r="E29" s="92"/>
      <c r="F29" s="92"/>
      <c r="G29" s="92"/>
      <c r="H29" s="92" t="s">
        <v>462</v>
      </c>
      <c r="I29" s="93">
        <v>46023</v>
      </c>
      <c r="J29" s="94">
        <v>0</v>
      </c>
      <c r="K29" s="93"/>
      <c r="L29" s="92"/>
      <c r="M29" s="92"/>
      <c r="N29" s="92"/>
      <c r="O29" s="3" t="str">
        <f t="shared" si="0"/>
        <v>UYGUN</v>
      </c>
    </row>
    <row r="30" spans="1:15" ht="17">
      <c r="A30" s="6"/>
      <c r="B30" s="92" t="s">
        <v>507</v>
      </c>
      <c r="C30" s="92" t="s">
        <v>508</v>
      </c>
      <c r="D30" s="92" t="s">
        <v>461</v>
      </c>
      <c r="E30" s="92"/>
      <c r="F30" s="92"/>
      <c r="G30" s="92"/>
      <c r="H30" s="92" t="s">
        <v>462</v>
      </c>
      <c r="I30" s="93">
        <v>46023</v>
      </c>
      <c r="J30" s="94">
        <v>0</v>
      </c>
      <c r="K30" s="93"/>
      <c r="L30" s="92"/>
      <c r="M30" s="92"/>
      <c r="N30" s="92"/>
      <c r="O30" s="3" t="str">
        <f t="shared" si="0"/>
        <v>UYGUN</v>
      </c>
    </row>
    <row r="31" spans="1:15" ht="17">
      <c r="A31" s="6"/>
      <c r="B31" s="92" t="s">
        <v>509</v>
      </c>
      <c r="C31" s="92" t="s">
        <v>510</v>
      </c>
      <c r="D31" s="92" t="s">
        <v>461</v>
      </c>
      <c r="E31" s="92"/>
      <c r="F31" s="92"/>
      <c r="G31" s="92"/>
      <c r="H31" s="92" t="s">
        <v>462</v>
      </c>
      <c r="I31" s="93">
        <v>46023</v>
      </c>
      <c r="J31" s="94">
        <v>0</v>
      </c>
      <c r="K31" s="93"/>
      <c r="L31" s="92"/>
      <c r="M31" s="92"/>
      <c r="N31" s="92"/>
      <c r="O31" s="3" t="str">
        <f t="shared" si="0"/>
        <v>UYGUN</v>
      </c>
    </row>
    <row r="32" spans="1:15" ht="17">
      <c r="A32" s="6"/>
      <c r="B32" s="92" t="s">
        <v>511</v>
      </c>
      <c r="C32" s="92" t="s">
        <v>512</v>
      </c>
      <c r="D32" s="92" t="s">
        <v>461</v>
      </c>
      <c r="E32" s="92"/>
      <c r="F32" s="92"/>
      <c r="G32" s="92"/>
      <c r="H32" s="92" t="s">
        <v>462</v>
      </c>
      <c r="I32" s="93">
        <v>46023</v>
      </c>
      <c r="J32" s="94">
        <v>0</v>
      </c>
      <c r="K32" s="93"/>
      <c r="L32" s="92"/>
      <c r="M32" s="92"/>
      <c r="N32" s="92"/>
      <c r="O32" s="3" t="str">
        <f t="shared" si="0"/>
        <v>UYGUN</v>
      </c>
    </row>
    <row r="33" spans="1:15" ht="17">
      <c r="A33" s="6"/>
      <c r="B33" s="92" t="s">
        <v>513</v>
      </c>
      <c r="C33" s="92" t="s">
        <v>514</v>
      </c>
      <c r="D33" s="92" t="s">
        <v>461</v>
      </c>
      <c r="E33" s="92"/>
      <c r="F33" s="92"/>
      <c r="G33" s="92"/>
      <c r="H33" s="92" t="s">
        <v>462</v>
      </c>
      <c r="I33" s="93">
        <v>46023</v>
      </c>
      <c r="J33" s="94">
        <v>0</v>
      </c>
      <c r="K33" s="93"/>
      <c r="L33" s="92"/>
      <c r="M33" s="92"/>
      <c r="N33" s="92"/>
      <c r="O33" s="3" t="str">
        <f t="shared" si="0"/>
        <v>UYGUN</v>
      </c>
    </row>
    <row r="34" spans="1:15" ht="17">
      <c r="A34" s="6"/>
      <c r="B34" s="92" t="s">
        <v>515</v>
      </c>
      <c r="C34" s="92" t="s">
        <v>516</v>
      </c>
      <c r="D34" s="92" t="s">
        <v>461</v>
      </c>
      <c r="E34" s="92"/>
      <c r="F34" s="92"/>
      <c r="G34" s="92"/>
      <c r="H34" s="92" t="s">
        <v>462</v>
      </c>
      <c r="I34" s="93">
        <v>46023</v>
      </c>
      <c r="J34" s="94">
        <v>0</v>
      </c>
      <c r="K34" s="93"/>
      <c r="L34" s="92"/>
      <c r="M34" s="92"/>
      <c r="N34" s="92"/>
      <c r="O34" s="3" t="str">
        <f t="shared" si="0"/>
        <v>UYGUN</v>
      </c>
    </row>
    <row r="35" spans="1:15" ht="17">
      <c r="A35" s="6"/>
      <c r="B35" s="92" t="s">
        <v>517</v>
      </c>
      <c r="C35" s="92" t="s">
        <v>518</v>
      </c>
      <c r="D35" s="92" t="s">
        <v>461</v>
      </c>
      <c r="E35" s="92"/>
      <c r="F35" s="92"/>
      <c r="G35" s="92"/>
      <c r="H35" s="92" t="s">
        <v>462</v>
      </c>
      <c r="I35" s="93">
        <v>46023</v>
      </c>
      <c r="J35" s="94">
        <v>0</v>
      </c>
      <c r="K35" s="93"/>
      <c r="L35" s="92"/>
      <c r="M35" s="92"/>
      <c r="N35" s="92"/>
      <c r="O35" s="3" t="str">
        <f t="shared" si="0"/>
        <v>UYGUN</v>
      </c>
    </row>
    <row r="36" spans="1:15" ht="17">
      <c r="A36" s="6"/>
      <c r="B36" s="92" t="s">
        <v>519</v>
      </c>
      <c r="C36" s="92" t="s">
        <v>520</v>
      </c>
      <c r="D36" s="92" t="s">
        <v>461</v>
      </c>
      <c r="E36" s="92"/>
      <c r="F36" s="92"/>
      <c r="G36" s="92"/>
      <c r="H36" s="92" t="s">
        <v>462</v>
      </c>
      <c r="I36" s="93">
        <v>46023</v>
      </c>
      <c r="J36" s="94">
        <v>0</v>
      </c>
      <c r="K36" s="93"/>
      <c r="L36" s="92"/>
      <c r="M36" s="92"/>
      <c r="N36" s="92"/>
      <c r="O36" s="3" t="str">
        <f t="shared" si="0"/>
        <v>UYGUN</v>
      </c>
    </row>
    <row r="37" spans="1:15" ht="17">
      <c r="A37" s="6"/>
      <c r="B37" s="92" t="s">
        <v>521</v>
      </c>
      <c r="C37" s="92" t="s">
        <v>522</v>
      </c>
      <c r="D37" s="92" t="s">
        <v>461</v>
      </c>
      <c r="E37" s="92"/>
      <c r="F37" s="92"/>
      <c r="G37" s="92"/>
      <c r="H37" s="92" t="s">
        <v>462</v>
      </c>
      <c r="I37" s="93">
        <v>46023</v>
      </c>
      <c r="J37" s="94">
        <v>0</v>
      </c>
      <c r="K37" s="93"/>
      <c r="L37" s="92"/>
      <c r="M37" s="92"/>
      <c r="N37" s="92"/>
      <c r="O37" s="3" t="str">
        <f t="shared" si="0"/>
        <v>UYGUN</v>
      </c>
    </row>
    <row r="38" spans="1:15" ht="17">
      <c r="A38" s="6"/>
      <c r="B38" s="92" t="s">
        <v>523</v>
      </c>
      <c r="C38" s="92" t="s">
        <v>524</v>
      </c>
      <c r="D38" s="92" t="s">
        <v>461</v>
      </c>
      <c r="E38" s="92"/>
      <c r="F38" s="92"/>
      <c r="G38" s="92"/>
      <c r="H38" s="92" t="s">
        <v>462</v>
      </c>
      <c r="I38" s="93">
        <v>46023</v>
      </c>
      <c r="J38" s="94">
        <v>0</v>
      </c>
      <c r="K38" s="93"/>
      <c r="L38" s="92"/>
      <c r="M38" s="92"/>
      <c r="N38" s="92"/>
      <c r="O38" s="3" t="str">
        <f t="shared" si="0"/>
        <v>UYGUN</v>
      </c>
    </row>
    <row r="39" spans="1:15" ht="17">
      <c r="A39" s="6"/>
      <c r="B39" s="92" t="s">
        <v>525</v>
      </c>
      <c r="C39" s="92" t="s">
        <v>526</v>
      </c>
      <c r="D39" s="92" t="s">
        <v>461</v>
      </c>
      <c r="E39" s="92"/>
      <c r="F39" s="92"/>
      <c r="G39" s="92"/>
      <c r="H39" s="92" t="s">
        <v>462</v>
      </c>
      <c r="I39" s="93">
        <v>46023</v>
      </c>
      <c r="J39" s="94">
        <v>0</v>
      </c>
      <c r="K39" s="93"/>
      <c r="L39" s="92"/>
      <c r="M39" s="92"/>
      <c r="N39" s="92"/>
      <c r="O39" s="3" t="str">
        <f t="shared" ref="O39:O70" si="1">IF(AND(B39="",C39=""),"",IF(OR(B39="",C39="",D39=""),"EKSİK",IF(COUNTIF($B$7:$B$156,B39)&gt;1,"MÜKERRER NO","UYGUN")))</f>
        <v>UYGUN</v>
      </c>
    </row>
    <row r="40" spans="1:15" ht="17">
      <c r="A40" s="6"/>
      <c r="B40" s="92" t="s">
        <v>527</v>
      </c>
      <c r="C40" s="92" t="s">
        <v>528</v>
      </c>
      <c r="D40" s="92" t="s">
        <v>529</v>
      </c>
      <c r="E40" s="92"/>
      <c r="F40" s="92"/>
      <c r="G40" s="92"/>
      <c r="H40" s="92" t="s">
        <v>462</v>
      </c>
      <c r="I40" s="93">
        <v>46023</v>
      </c>
      <c r="J40" s="94">
        <v>0</v>
      </c>
      <c r="K40" s="93"/>
      <c r="L40" s="92"/>
      <c r="M40" s="92"/>
      <c r="N40" s="92"/>
      <c r="O40" s="3" t="str">
        <f t="shared" si="1"/>
        <v>UYGUN</v>
      </c>
    </row>
    <row r="41" spans="1:15" ht="17">
      <c r="A41" s="6"/>
      <c r="B41" s="92" t="s">
        <v>530</v>
      </c>
      <c r="C41" s="92" t="s">
        <v>531</v>
      </c>
      <c r="D41" s="92" t="s">
        <v>461</v>
      </c>
      <c r="E41" s="92"/>
      <c r="F41" s="92"/>
      <c r="G41" s="92"/>
      <c r="H41" s="92" t="s">
        <v>462</v>
      </c>
      <c r="I41" s="93">
        <v>46023</v>
      </c>
      <c r="J41" s="94">
        <v>0</v>
      </c>
      <c r="K41" s="93"/>
      <c r="L41" s="92"/>
      <c r="M41" s="92"/>
      <c r="N41" s="92"/>
      <c r="O41" s="3" t="str">
        <f t="shared" si="1"/>
        <v>UYGUN</v>
      </c>
    </row>
    <row r="42" spans="1:15" ht="17">
      <c r="A42" s="6"/>
      <c r="B42" s="92" t="s">
        <v>532</v>
      </c>
      <c r="C42" s="92" t="s">
        <v>533</v>
      </c>
      <c r="D42" s="92" t="s">
        <v>461</v>
      </c>
      <c r="E42" s="92"/>
      <c r="F42" s="92"/>
      <c r="G42" s="92"/>
      <c r="H42" s="92" t="s">
        <v>462</v>
      </c>
      <c r="I42" s="93">
        <v>46023</v>
      </c>
      <c r="J42" s="94">
        <v>0</v>
      </c>
      <c r="K42" s="93"/>
      <c r="L42" s="92"/>
      <c r="M42" s="92"/>
      <c r="N42" s="92"/>
      <c r="O42" s="3" t="str">
        <f t="shared" si="1"/>
        <v>UYGUN</v>
      </c>
    </row>
    <row r="43" spans="1:15" ht="17">
      <c r="A43" s="6"/>
      <c r="B43" s="92" t="s">
        <v>534</v>
      </c>
      <c r="C43" s="92" t="s">
        <v>535</v>
      </c>
      <c r="D43" s="92" t="s">
        <v>461</v>
      </c>
      <c r="E43" s="92"/>
      <c r="F43" s="92"/>
      <c r="G43" s="92"/>
      <c r="H43" s="92" t="s">
        <v>462</v>
      </c>
      <c r="I43" s="93">
        <v>46023</v>
      </c>
      <c r="J43" s="94">
        <v>0</v>
      </c>
      <c r="K43" s="93"/>
      <c r="L43" s="92"/>
      <c r="M43" s="92"/>
      <c r="N43" s="92"/>
      <c r="O43" s="3" t="str">
        <f t="shared" si="1"/>
        <v>UYGUN</v>
      </c>
    </row>
    <row r="44" spans="1:15" ht="17">
      <c r="A44" s="6"/>
      <c r="B44" s="92" t="s">
        <v>536</v>
      </c>
      <c r="C44" s="92" t="s">
        <v>537</v>
      </c>
      <c r="D44" s="92" t="s">
        <v>461</v>
      </c>
      <c r="E44" s="92"/>
      <c r="F44" s="92"/>
      <c r="G44" s="92"/>
      <c r="H44" s="92" t="s">
        <v>462</v>
      </c>
      <c r="I44" s="93">
        <v>46023</v>
      </c>
      <c r="J44" s="94">
        <v>0</v>
      </c>
      <c r="K44" s="93"/>
      <c r="L44" s="92"/>
      <c r="M44" s="92"/>
      <c r="N44" s="92"/>
      <c r="O44" s="3" t="str">
        <f t="shared" si="1"/>
        <v>UYGUN</v>
      </c>
    </row>
    <row r="45" spans="1:15" ht="17">
      <c r="A45" s="6"/>
      <c r="B45" s="92" t="s">
        <v>538</v>
      </c>
      <c r="C45" s="92" t="s">
        <v>539</v>
      </c>
      <c r="D45" s="92" t="s">
        <v>461</v>
      </c>
      <c r="E45" s="92"/>
      <c r="F45" s="92"/>
      <c r="G45" s="92"/>
      <c r="H45" s="92" t="s">
        <v>462</v>
      </c>
      <c r="I45" s="93">
        <v>46023</v>
      </c>
      <c r="J45" s="94">
        <v>0</v>
      </c>
      <c r="K45" s="93"/>
      <c r="L45" s="92"/>
      <c r="M45" s="92"/>
      <c r="N45" s="92"/>
      <c r="O45" s="3" t="str">
        <f t="shared" si="1"/>
        <v>UYGUN</v>
      </c>
    </row>
    <row r="46" spans="1:15" ht="17">
      <c r="A46" s="6"/>
      <c r="B46" s="92" t="s">
        <v>540</v>
      </c>
      <c r="C46" s="92" t="s">
        <v>541</v>
      </c>
      <c r="D46" s="92" t="s">
        <v>461</v>
      </c>
      <c r="E46" s="92"/>
      <c r="F46" s="92"/>
      <c r="G46" s="92"/>
      <c r="H46" s="92" t="s">
        <v>462</v>
      </c>
      <c r="I46" s="93">
        <v>46023</v>
      </c>
      <c r="J46" s="94">
        <v>0</v>
      </c>
      <c r="K46" s="93"/>
      <c r="L46" s="92"/>
      <c r="M46" s="92"/>
      <c r="N46" s="92"/>
      <c r="O46" s="3" t="str">
        <f t="shared" si="1"/>
        <v>UYGUN</v>
      </c>
    </row>
    <row r="47" spans="1:15" ht="17">
      <c r="A47" s="6"/>
      <c r="B47" s="92" t="s">
        <v>542</v>
      </c>
      <c r="C47" s="92" t="s">
        <v>543</v>
      </c>
      <c r="D47" s="92" t="s">
        <v>461</v>
      </c>
      <c r="E47" s="92"/>
      <c r="F47" s="92"/>
      <c r="G47" s="92"/>
      <c r="H47" s="92" t="s">
        <v>462</v>
      </c>
      <c r="I47" s="93">
        <v>46023</v>
      </c>
      <c r="J47" s="94">
        <v>0</v>
      </c>
      <c r="K47" s="93"/>
      <c r="L47" s="92"/>
      <c r="M47" s="92"/>
      <c r="N47" s="92"/>
      <c r="O47" s="3" t="str">
        <f t="shared" si="1"/>
        <v>UYGUN</v>
      </c>
    </row>
    <row r="48" spans="1:15" ht="17">
      <c r="A48" s="6"/>
      <c r="B48" s="92" t="s">
        <v>544</v>
      </c>
      <c r="C48" s="92" t="s">
        <v>545</v>
      </c>
      <c r="D48" s="92" t="s">
        <v>461</v>
      </c>
      <c r="E48" s="92"/>
      <c r="F48" s="92"/>
      <c r="G48" s="92"/>
      <c r="H48" s="92" t="s">
        <v>462</v>
      </c>
      <c r="I48" s="93">
        <v>46023</v>
      </c>
      <c r="J48" s="94">
        <v>0</v>
      </c>
      <c r="K48" s="93"/>
      <c r="L48" s="92"/>
      <c r="M48" s="92"/>
      <c r="N48" s="92"/>
      <c r="O48" s="3" t="str">
        <f t="shared" si="1"/>
        <v>UYGUN</v>
      </c>
    </row>
    <row r="49" spans="1:15" ht="17">
      <c r="A49" s="6"/>
      <c r="B49" s="92" t="s">
        <v>546</v>
      </c>
      <c r="C49" s="92" t="s">
        <v>547</v>
      </c>
      <c r="D49" s="92" t="s">
        <v>461</v>
      </c>
      <c r="E49" s="92"/>
      <c r="F49" s="92"/>
      <c r="G49" s="92"/>
      <c r="H49" s="92" t="s">
        <v>462</v>
      </c>
      <c r="I49" s="93">
        <v>46023</v>
      </c>
      <c r="J49" s="94">
        <v>0</v>
      </c>
      <c r="K49" s="93"/>
      <c r="L49" s="92"/>
      <c r="M49" s="92"/>
      <c r="N49" s="92"/>
      <c r="O49" s="3" t="str">
        <f t="shared" si="1"/>
        <v>UYGUN</v>
      </c>
    </row>
    <row r="50" spans="1:15" ht="17">
      <c r="A50" s="6"/>
      <c r="B50" s="92" t="s">
        <v>548</v>
      </c>
      <c r="C50" s="92" t="s">
        <v>549</v>
      </c>
      <c r="D50" s="92" t="s">
        <v>461</v>
      </c>
      <c r="E50" s="92"/>
      <c r="F50" s="92"/>
      <c r="G50" s="92"/>
      <c r="H50" s="92" t="s">
        <v>462</v>
      </c>
      <c r="I50" s="93">
        <v>46023</v>
      </c>
      <c r="J50" s="94">
        <v>0</v>
      </c>
      <c r="K50" s="93"/>
      <c r="L50" s="92"/>
      <c r="M50" s="92"/>
      <c r="N50" s="92"/>
      <c r="O50" s="3" t="str">
        <f t="shared" si="1"/>
        <v>UYGUN</v>
      </c>
    </row>
    <row r="51" spans="1:15" ht="17">
      <c r="A51" s="6"/>
      <c r="B51" s="92" t="s">
        <v>550</v>
      </c>
      <c r="C51" s="92" t="s">
        <v>551</v>
      </c>
      <c r="D51" s="92" t="s">
        <v>529</v>
      </c>
      <c r="E51" s="92"/>
      <c r="F51" s="92"/>
      <c r="G51" s="92"/>
      <c r="H51" s="92" t="s">
        <v>462</v>
      </c>
      <c r="I51" s="93">
        <v>46023</v>
      </c>
      <c r="J51" s="94"/>
      <c r="K51" s="93"/>
      <c r="L51" s="92"/>
      <c r="M51" s="92"/>
      <c r="N51" s="92"/>
      <c r="O51" s="3" t="str">
        <f t="shared" si="1"/>
        <v>UYGUN</v>
      </c>
    </row>
    <row r="52" spans="1:15" ht="17">
      <c r="A52" s="6"/>
      <c r="B52" s="92" t="s">
        <v>552</v>
      </c>
      <c r="C52" s="92" t="s">
        <v>553</v>
      </c>
      <c r="D52" s="92" t="s">
        <v>461</v>
      </c>
      <c r="E52" s="92"/>
      <c r="F52" s="92"/>
      <c r="G52" s="92"/>
      <c r="H52" s="92" t="s">
        <v>462</v>
      </c>
      <c r="I52" s="93">
        <v>46023</v>
      </c>
      <c r="J52" s="94">
        <v>0</v>
      </c>
      <c r="K52" s="93"/>
      <c r="L52" s="92"/>
      <c r="M52" s="92"/>
      <c r="N52" s="92"/>
      <c r="O52" s="3" t="str">
        <f t="shared" si="1"/>
        <v>UYGUN</v>
      </c>
    </row>
    <row r="53" spans="1:15" ht="17">
      <c r="A53" s="6"/>
      <c r="B53" s="92" t="s">
        <v>554</v>
      </c>
      <c r="C53" s="92" t="s">
        <v>555</v>
      </c>
      <c r="D53" s="92" t="s">
        <v>461</v>
      </c>
      <c r="E53" s="92"/>
      <c r="F53" s="92"/>
      <c r="G53" s="92"/>
      <c r="H53" s="92" t="s">
        <v>462</v>
      </c>
      <c r="I53" s="93">
        <v>46023</v>
      </c>
      <c r="J53" s="94">
        <v>0</v>
      </c>
      <c r="K53" s="93"/>
      <c r="L53" s="92"/>
      <c r="M53" s="92"/>
      <c r="N53" s="92"/>
      <c r="O53" s="3" t="str">
        <f t="shared" si="1"/>
        <v>UYGUN</v>
      </c>
    </row>
    <row r="54" spans="1:15" ht="17">
      <c r="A54" s="6"/>
      <c r="B54" s="92" t="s">
        <v>556</v>
      </c>
      <c r="C54" s="92" t="s">
        <v>557</v>
      </c>
      <c r="D54" s="92" t="s">
        <v>461</v>
      </c>
      <c r="E54" s="92"/>
      <c r="F54" s="92"/>
      <c r="G54" s="92"/>
      <c r="H54" s="92" t="s">
        <v>462</v>
      </c>
      <c r="I54" s="93">
        <v>46023</v>
      </c>
      <c r="J54" s="94">
        <v>0</v>
      </c>
      <c r="K54" s="93"/>
      <c r="L54" s="92"/>
      <c r="M54" s="92"/>
      <c r="N54" s="92"/>
      <c r="O54" s="3" t="str">
        <f t="shared" si="1"/>
        <v>UYGUN</v>
      </c>
    </row>
    <row r="55" spans="1:15" ht="17">
      <c r="A55" s="6"/>
      <c r="B55" s="92" t="s">
        <v>558</v>
      </c>
      <c r="C55" s="92" t="s">
        <v>559</v>
      </c>
      <c r="D55" s="92" t="s">
        <v>461</v>
      </c>
      <c r="E55" s="92"/>
      <c r="F55" s="92"/>
      <c r="G55" s="92"/>
      <c r="H55" s="92" t="s">
        <v>462</v>
      </c>
      <c r="I55" s="93">
        <v>46023</v>
      </c>
      <c r="J55" s="94">
        <v>0</v>
      </c>
      <c r="K55" s="93"/>
      <c r="L55" s="92"/>
      <c r="M55" s="92"/>
      <c r="N55" s="92"/>
      <c r="O55" s="3" t="str">
        <f t="shared" si="1"/>
        <v>UYGUN</v>
      </c>
    </row>
    <row r="56" spans="1:15" ht="17">
      <c r="A56" s="6"/>
      <c r="B56" s="92" t="s">
        <v>560</v>
      </c>
      <c r="C56" s="92" t="s">
        <v>561</v>
      </c>
      <c r="D56" s="92" t="s">
        <v>461</v>
      </c>
      <c r="E56" s="92"/>
      <c r="F56" s="92"/>
      <c r="G56" s="92"/>
      <c r="H56" s="92" t="s">
        <v>462</v>
      </c>
      <c r="I56" s="93">
        <v>46023</v>
      </c>
      <c r="J56" s="94">
        <v>0</v>
      </c>
      <c r="K56" s="93"/>
      <c r="L56" s="92"/>
      <c r="M56" s="92"/>
      <c r="N56" s="92"/>
      <c r="O56" s="3" t="str">
        <f t="shared" si="1"/>
        <v>UYGUN</v>
      </c>
    </row>
    <row r="57" spans="1:15" ht="17">
      <c r="A57" s="6"/>
      <c r="B57" s="92" t="s">
        <v>562</v>
      </c>
      <c r="C57" s="92" t="s">
        <v>563</v>
      </c>
      <c r="D57" s="92" t="s">
        <v>461</v>
      </c>
      <c r="E57" s="92"/>
      <c r="F57" s="92"/>
      <c r="G57" s="92"/>
      <c r="H57" s="92" t="s">
        <v>462</v>
      </c>
      <c r="I57" s="93">
        <v>46023</v>
      </c>
      <c r="J57" s="94">
        <v>0</v>
      </c>
      <c r="K57" s="93"/>
      <c r="L57" s="92"/>
      <c r="M57" s="92"/>
      <c r="N57" s="92"/>
      <c r="O57" s="3" t="str">
        <f t="shared" si="1"/>
        <v>UYGUN</v>
      </c>
    </row>
    <row r="58" spans="1:15" ht="17">
      <c r="A58" s="6"/>
      <c r="B58" s="92" t="s">
        <v>564</v>
      </c>
      <c r="C58" s="92" t="s">
        <v>565</v>
      </c>
      <c r="D58" s="92" t="s">
        <v>529</v>
      </c>
      <c r="E58" s="92"/>
      <c r="F58" s="92"/>
      <c r="G58" s="92"/>
      <c r="H58" s="92" t="s">
        <v>462</v>
      </c>
      <c r="I58" s="93">
        <v>46023</v>
      </c>
      <c r="J58" s="94"/>
      <c r="K58" s="93"/>
      <c r="L58" s="92"/>
      <c r="M58" s="92"/>
      <c r="N58" s="92"/>
      <c r="O58" s="3" t="str">
        <f t="shared" si="1"/>
        <v>UYGUN</v>
      </c>
    </row>
    <row r="59" spans="1:15" ht="17">
      <c r="A59" s="6"/>
      <c r="B59" s="92" t="s">
        <v>566</v>
      </c>
      <c r="C59" s="92" t="s">
        <v>567</v>
      </c>
      <c r="D59" s="92" t="s">
        <v>461</v>
      </c>
      <c r="E59" s="92"/>
      <c r="F59" s="92"/>
      <c r="G59" s="92"/>
      <c r="H59" s="92" t="s">
        <v>462</v>
      </c>
      <c r="I59" s="93">
        <v>46023</v>
      </c>
      <c r="J59" s="94">
        <v>0</v>
      </c>
      <c r="K59" s="93"/>
      <c r="L59" s="92"/>
      <c r="M59" s="92"/>
      <c r="N59" s="92"/>
      <c r="O59" s="3" t="str">
        <f t="shared" si="1"/>
        <v>UYGUN</v>
      </c>
    </row>
    <row r="60" spans="1:15" ht="17">
      <c r="A60" s="6"/>
      <c r="B60" s="92" t="s">
        <v>568</v>
      </c>
      <c r="C60" s="92" t="s">
        <v>569</v>
      </c>
      <c r="D60" s="92" t="s">
        <v>461</v>
      </c>
      <c r="E60" s="92"/>
      <c r="F60" s="92"/>
      <c r="G60" s="92"/>
      <c r="H60" s="92" t="s">
        <v>462</v>
      </c>
      <c r="I60" s="93">
        <v>46023</v>
      </c>
      <c r="J60" s="94">
        <v>0</v>
      </c>
      <c r="K60" s="93"/>
      <c r="L60" s="92"/>
      <c r="M60" s="92"/>
      <c r="N60" s="92"/>
      <c r="O60" s="3" t="str">
        <f t="shared" si="1"/>
        <v>UYGUN</v>
      </c>
    </row>
    <row r="61" spans="1:15" ht="17">
      <c r="A61" s="6"/>
      <c r="B61" s="92" t="s">
        <v>570</v>
      </c>
      <c r="C61" s="92" t="s">
        <v>571</v>
      </c>
      <c r="D61" s="92" t="s">
        <v>461</v>
      </c>
      <c r="E61" s="92"/>
      <c r="F61" s="92"/>
      <c r="G61" s="92"/>
      <c r="H61" s="92" t="s">
        <v>462</v>
      </c>
      <c r="I61" s="93">
        <v>46023</v>
      </c>
      <c r="J61" s="94">
        <v>0</v>
      </c>
      <c r="K61" s="93"/>
      <c r="L61" s="92"/>
      <c r="M61" s="92"/>
      <c r="N61" s="92"/>
      <c r="O61" s="3" t="str">
        <f t="shared" si="1"/>
        <v>UYGUN</v>
      </c>
    </row>
    <row r="62" spans="1:15" ht="17">
      <c r="A62" s="6"/>
      <c r="B62" s="92"/>
      <c r="C62" s="92"/>
      <c r="D62" s="92"/>
      <c r="E62" s="92"/>
      <c r="F62" s="92"/>
      <c r="G62" s="92"/>
      <c r="H62" s="92"/>
      <c r="I62" s="93"/>
      <c r="J62" s="94"/>
      <c r="K62" s="93"/>
      <c r="L62" s="92"/>
      <c r="M62" s="92"/>
      <c r="N62" s="92"/>
      <c r="O62" s="3" t="str">
        <f t="shared" si="1"/>
        <v/>
      </c>
    </row>
    <row r="63" spans="1:15" ht="17">
      <c r="A63" s="6"/>
      <c r="B63" s="92"/>
      <c r="C63" s="92"/>
      <c r="D63" s="92"/>
      <c r="E63" s="92"/>
      <c r="F63" s="92"/>
      <c r="G63" s="92"/>
      <c r="H63" s="92"/>
      <c r="I63" s="93"/>
      <c r="J63" s="94"/>
      <c r="K63" s="93"/>
      <c r="L63" s="92"/>
      <c r="M63" s="92"/>
      <c r="N63" s="92"/>
      <c r="O63" s="3" t="str">
        <f t="shared" si="1"/>
        <v/>
      </c>
    </row>
    <row r="64" spans="1:15" ht="17">
      <c r="A64" s="6"/>
      <c r="B64" s="92"/>
      <c r="C64" s="92"/>
      <c r="D64" s="92"/>
      <c r="E64" s="92"/>
      <c r="F64" s="92"/>
      <c r="G64" s="92"/>
      <c r="H64" s="92"/>
      <c r="I64" s="93"/>
      <c r="J64" s="94"/>
      <c r="K64" s="93"/>
      <c r="L64" s="92"/>
      <c r="M64" s="92"/>
      <c r="N64" s="92"/>
      <c r="O64" s="3" t="str">
        <f t="shared" si="1"/>
        <v/>
      </c>
    </row>
    <row r="65" spans="1:15" ht="17">
      <c r="A65" s="6"/>
      <c r="B65" s="92"/>
      <c r="C65" s="92"/>
      <c r="D65" s="92"/>
      <c r="E65" s="92"/>
      <c r="F65" s="92"/>
      <c r="G65" s="92"/>
      <c r="H65" s="92"/>
      <c r="I65" s="93"/>
      <c r="J65" s="94"/>
      <c r="K65" s="93"/>
      <c r="L65" s="92"/>
      <c r="M65" s="92"/>
      <c r="N65" s="92"/>
      <c r="O65" s="3" t="str">
        <f t="shared" si="1"/>
        <v/>
      </c>
    </row>
    <row r="66" spans="1:15" ht="17">
      <c r="A66" s="6"/>
      <c r="B66" s="92"/>
      <c r="C66" s="92"/>
      <c r="D66" s="92"/>
      <c r="E66" s="92"/>
      <c r="F66" s="92"/>
      <c r="G66" s="92"/>
      <c r="H66" s="92"/>
      <c r="I66" s="93"/>
      <c r="J66" s="94"/>
      <c r="K66" s="93"/>
      <c r="L66" s="92"/>
      <c r="M66" s="92"/>
      <c r="N66" s="92"/>
      <c r="O66" s="3" t="str">
        <f t="shared" si="1"/>
        <v/>
      </c>
    </row>
    <row r="67" spans="1:15" ht="17">
      <c r="A67" s="6"/>
      <c r="B67" s="92"/>
      <c r="C67" s="92"/>
      <c r="D67" s="92"/>
      <c r="E67" s="92"/>
      <c r="F67" s="92"/>
      <c r="G67" s="92"/>
      <c r="H67" s="92"/>
      <c r="I67" s="93"/>
      <c r="J67" s="94"/>
      <c r="K67" s="93"/>
      <c r="L67" s="92"/>
      <c r="M67" s="92"/>
      <c r="N67" s="92"/>
      <c r="O67" s="3" t="str">
        <f t="shared" si="1"/>
        <v/>
      </c>
    </row>
    <row r="68" spans="1:15" ht="17">
      <c r="A68" s="6"/>
      <c r="B68" s="92"/>
      <c r="C68" s="92"/>
      <c r="D68" s="92"/>
      <c r="E68" s="92"/>
      <c r="F68" s="92"/>
      <c r="G68" s="92"/>
      <c r="H68" s="92"/>
      <c r="I68" s="93"/>
      <c r="J68" s="94"/>
      <c r="K68" s="93"/>
      <c r="L68" s="92"/>
      <c r="M68" s="92"/>
      <c r="N68" s="92"/>
      <c r="O68" s="3" t="str">
        <f t="shared" si="1"/>
        <v/>
      </c>
    </row>
    <row r="69" spans="1:15" ht="17">
      <c r="A69" s="6"/>
      <c r="B69" s="92"/>
      <c r="C69" s="92"/>
      <c r="D69" s="92"/>
      <c r="E69" s="92"/>
      <c r="F69" s="92"/>
      <c r="G69" s="92"/>
      <c r="H69" s="92"/>
      <c r="I69" s="93"/>
      <c r="J69" s="94"/>
      <c r="K69" s="93"/>
      <c r="L69" s="92"/>
      <c r="M69" s="92"/>
      <c r="N69" s="92"/>
      <c r="O69" s="3" t="str">
        <f t="shared" si="1"/>
        <v/>
      </c>
    </row>
    <row r="70" spans="1:15" ht="17">
      <c r="A70" s="6"/>
      <c r="B70" s="92"/>
      <c r="C70" s="92"/>
      <c r="D70" s="92"/>
      <c r="E70" s="92"/>
      <c r="F70" s="92"/>
      <c r="G70" s="92"/>
      <c r="H70" s="92"/>
      <c r="I70" s="93"/>
      <c r="J70" s="94"/>
      <c r="K70" s="93"/>
      <c r="L70" s="92"/>
      <c r="M70" s="92"/>
      <c r="N70" s="92"/>
      <c r="O70" s="3" t="str">
        <f t="shared" si="1"/>
        <v/>
      </c>
    </row>
    <row r="71" spans="1:15" ht="17">
      <c r="A71" s="6"/>
      <c r="B71" s="92"/>
      <c r="C71" s="92"/>
      <c r="D71" s="92"/>
      <c r="E71" s="92"/>
      <c r="F71" s="92"/>
      <c r="G71" s="92"/>
      <c r="H71" s="92"/>
      <c r="I71" s="93"/>
      <c r="J71" s="94"/>
      <c r="K71" s="93"/>
      <c r="L71" s="92"/>
      <c r="M71" s="92"/>
      <c r="N71" s="92"/>
      <c r="O71" s="3" t="str">
        <f t="shared" ref="O71:O102" si="2">IF(AND(B71="",C71=""),"",IF(OR(B71="",C71="",D71=""),"EKSİK",IF(COUNTIF($B$7:$B$156,B71)&gt;1,"MÜKERRER NO","UYGUN")))</f>
        <v/>
      </c>
    </row>
    <row r="72" spans="1:15" ht="17">
      <c r="A72" s="6"/>
      <c r="B72" s="92"/>
      <c r="C72" s="92"/>
      <c r="D72" s="92"/>
      <c r="E72" s="92"/>
      <c r="F72" s="92"/>
      <c r="G72" s="92"/>
      <c r="H72" s="92"/>
      <c r="I72" s="93"/>
      <c r="J72" s="94"/>
      <c r="K72" s="93"/>
      <c r="L72" s="92"/>
      <c r="M72" s="92"/>
      <c r="N72" s="92"/>
      <c r="O72" s="3" t="str">
        <f t="shared" si="2"/>
        <v/>
      </c>
    </row>
    <row r="73" spans="1:15" ht="17">
      <c r="A73" s="6"/>
      <c r="B73" s="92"/>
      <c r="C73" s="92"/>
      <c r="D73" s="92"/>
      <c r="E73" s="92"/>
      <c r="F73" s="92"/>
      <c r="G73" s="92"/>
      <c r="H73" s="92"/>
      <c r="I73" s="93"/>
      <c r="J73" s="94"/>
      <c r="K73" s="93"/>
      <c r="L73" s="92"/>
      <c r="M73" s="92"/>
      <c r="N73" s="92"/>
      <c r="O73" s="3" t="str">
        <f t="shared" si="2"/>
        <v/>
      </c>
    </row>
    <row r="74" spans="1:15" ht="17">
      <c r="A74" s="6"/>
      <c r="B74" s="92"/>
      <c r="C74" s="92"/>
      <c r="D74" s="92"/>
      <c r="E74" s="92"/>
      <c r="F74" s="92"/>
      <c r="G74" s="92"/>
      <c r="H74" s="92"/>
      <c r="I74" s="93"/>
      <c r="J74" s="94"/>
      <c r="K74" s="93"/>
      <c r="L74" s="92"/>
      <c r="M74" s="92"/>
      <c r="N74" s="92"/>
      <c r="O74" s="3" t="str">
        <f t="shared" si="2"/>
        <v/>
      </c>
    </row>
    <row r="75" spans="1:15" ht="17">
      <c r="A75" s="6"/>
      <c r="B75" s="92"/>
      <c r="C75" s="92"/>
      <c r="D75" s="92"/>
      <c r="E75" s="92"/>
      <c r="F75" s="92"/>
      <c r="G75" s="92"/>
      <c r="H75" s="92"/>
      <c r="I75" s="93"/>
      <c r="J75" s="94"/>
      <c r="K75" s="93"/>
      <c r="L75" s="92"/>
      <c r="M75" s="92"/>
      <c r="N75" s="92"/>
      <c r="O75" s="3" t="str">
        <f t="shared" si="2"/>
        <v/>
      </c>
    </row>
    <row r="76" spans="1:15" ht="17">
      <c r="A76" s="6"/>
      <c r="B76" s="92"/>
      <c r="C76" s="92"/>
      <c r="D76" s="92"/>
      <c r="E76" s="92"/>
      <c r="F76" s="92"/>
      <c r="G76" s="92"/>
      <c r="H76" s="92"/>
      <c r="I76" s="93"/>
      <c r="J76" s="94"/>
      <c r="K76" s="93"/>
      <c r="L76" s="92"/>
      <c r="M76" s="92"/>
      <c r="N76" s="92"/>
      <c r="O76" s="3" t="str">
        <f t="shared" si="2"/>
        <v/>
      </c>
    </row>
    <row r="77" spans="1:15" ht="17">
      <c r="A77" s="6"/>
      <c r="B77" s="92"/>
      <c r="C77" s="92"/>
      <c r="D77" s="92"/>
      <c r="E77" s="92"/>
      <c r="F77" s="92"/>
      <c r="G77" s="92"/>
      <c r="H77" s="92"/>
      <c r="I77" s="93"/>
      <c r="J77" s="94"/>
      <c r="K77" s="93"/>
      <c r="L77" s="92"/>
      <c r="M77" s="92"/>
      <c r="N77" s="92"/>
      <c r="O77" s="3" t="str">
        <f t="shared" si="2"/>
        <v/>
      </c>
    </row>
    <row r="78" spans="1:15" ht="17">
      <c r="A78" s="6"/>
      <c r="B78" s="92"/>
      <c r="C78" s="92"/>
      <c r="D78" s="92"/>
      <c r="E78" s="92"/>
      <c r="F78" s="92"/>
      <c r="G78" s="92"/>
      <c r="H78" s="92"/>
      <c r="I78" s="93"/>
      <c r="J78" s="94"/>
      <c r="K78" s="93"/>
      <c r="L78" s="92"/>
      <c r="M78" s="92"/>
      <c r="N78" s="92"/>
      <c r="O78" s="3" t="str">
        <f t="shared" si="2"/>
        <v/>
      </c>
    </row>
    <row r="79" spans="1:15" ht="17">
      <c r="A79" s="6"/>
      <c r="B79" s="92"/>
      <c r="C79" s="92"/>
      <c r="D79" s="92"/>
      <c r="E79" s="92"/>
      <c r="F79" s="92"/>
      <c r="G79" s="92"/>
      <c r="H79" s="92"/>
      <c r="I79" s="93"/>
      <c r="J79" s="94"/>
      <c r="K79" s="93"/>
      <c r="L79" s="92"/>
      <c r="M79" s="92"/>
      <c r="N79" s="92"/>
      <c r="O79" s="3" t="str">
        <f t="shared" si="2"/>
        <v/>
      </c>
    </row>
    <row r="80" spans="1:15" ht="17">
      <c r="A80" s="6"/>
      <c r="B80" s="92"/>
      <c r="C80" s="92"/>
      <c r="D80" s="92"/>
      <c r="E80" s="92"/>
      <c r="F80" s="92"/>
      <c r="G80" s="92"/>
      <c r="H80" s="92"/>
      <c r="I80" s="93"/>
      <c r="J80" s="94"/>
      <c r="K80" s="93"/>
      <c r="L80" s="92"/>
      <c r="M80" s="92"/>
      <c r="N80" s="92"/>
      <c r="O80" s="3" t="str">
        <f t="shared" si="2"/>
        <v/>
      </c>
    </row>
    <row r="81" spans="1:15" ht="17">
      <c r="A81" s="6"/>
      <c r="B81" s="92"/>
      <c r="C81" s="92"/>
      <c r="D81" s="92"/>
      <c r="E81" s="92"/>
      <c r="F81" s="92"/>
      <c r="G81" s="92"/>
      <c r="H81" s="92"/>
      <c r="I81" s="93"/>
      <c r="J81" s="94"/>
      <c r="K81" s="93"/>
      <c r="L81" s="92"/>
      <c r="M81" s="92"/>
      <c r="N81" s="92"/>
      <c r="O81" s="3" t="str">
        <f t="shared" si="2"/>
        <v/>
      </c>
    </row>
    <row r="82" spans="1:15" ht="17">
      <c r="A82" s="6"/>
      <c r="B82" s="92"/>
      <c r="C82" s="92"/>
      <c r="D82" s="92"/>
      <c r="E82" s="92"/>
      <c r="F82" s="92"/>
      <c r="G82" s="92"/>
      <c r="H82" s="92"/>
      <c r="I82" s="93"/>
      <c r="J82" s="94"/>
      <c r="K82" s="93"/>
      <c r="L82" s="92"/>
      <c r="M82" s="92"/>
      <c r="N82" s="92"/>
      <c r="O82" s="3" t="str">
        <f t="shared" si="2"/>
        <v/>
      </c>
    </row>
    <row r="83" spans="1:15" ht="17">
      <c r="A83" s="6"/>
      <c r="B83" s="92"/>
      <c r="C83" s="92"/>
      <c r="D83" s="92"/>
      <c r="E83" s="92"/>
      <c r="F83" s="92"/>
      <c r="G83" s="92"/>
      <c r="H83" s="92"/>
      <c r="I83" s="93"/>
      <c r="J83" s="94"/>
      <c r="K83" s="93"/>
      <c r="L83" s="92"/>
      <c r="M83" s="92"/>
      <c r="N83" s="92"/>
      <c r="O83" s="3" t="str">
        <f t="shared" si="2"/>
        <v/>
      </c>
    </row>
    <row r="84" spans="1:15" ht="17">
      <c r="A84" s="6"/>
      <c r="B84" s="92"/>
      <c r="C84" s="92"/>
      <c r="D84" s="92"/>
      <c r="E84" s="92"/>
      <c r="F84" s="92"/>
      <c r="G84" s="92"/>
      <c r="H84" s="92"/>
      <c r="I84" s="93"/>
      <c r="J84" s="94"/>
      <c r="K84" s="93"/>
      <c r="L84" s="92"/>
      <c r="M84" s="92"/>
      <c r="N84" s="92"/>
      <c r="O84" s="3" t="str">
        <f t="shared" si="2"/>
        <v/>
      </c>
    </row>
    <row r="85" spans="1:15" ht="17">
      <c r="A85" s="6"/>
      <c r="B85" s="92"/>
      <c r="C85" s="92"/>
      <c r="D85" s="92"/>
      <c r="E85" s="92"/>
      <c r="F85" s="92"/>
      <c r="G85" s="92"/>
      <c r="H85" s="92"/>
      <c r="I85" s="93"/>
      <c r="J85" s="94"/>
      <c r="K85" s="93"/>
      <c r="L85" s="92"/>
      <c r="M85" s="92"/>
      <c r="N85" s="92"/>
      <c r="O85" s="3" t="str">
        <f t="shared" si="2"/>
        <v/>
      </c>
    </row>
    <row r="86" spans="1:15" ht="17">
      <c r="A86" s="6"/>
      <c r="B86" s="92"/>
      <c r="C86" s="92"/>
      <c r="D86" s="92"/>
      <c r="E86" s="92"/>
      <c r="F86" s="92"/>
      <c r="G86" s="92"/>
      <c r="H86" s="92"/>
      <c r="I86" s="93"/>
      <c r="J86" s="94"/>
      <c r="K86" s="93"/>
      <c r="L86" s="92"/>
      <c r="M86" s="92"/>
      <c r="N86" s="92"/>
      <c r="O86" s="3" t="str">
        <f t="shared" si="2"/>
        <v/>
      </c>
    </row>
    <row r="87" spans="1:15" ht="17">
      <c r="A87" s="6"/>
      <c r="B87" s="92"/>
      <c r="C87" s="92"/>
      <c r="D87" s="92"/>
      <c r="E87" s="92"/>
      <c r="F87" s="92"/>
      <c r="G87" s="92"/>
      <c r="H87" s="92"/>
      <c r="I87" s="93"/>
      <c r="J87" s="94"/>
      <c r="K87" s="93"/>
      <c r="L87" s="92"/>
      <c r="M87" s="92"/>
      <c r="N87" s="92"/>
      <c r="O87" s="3" t="str">
        <f t="shared" si="2"/>
        <v/>
      </c>
    </row>
    <row r="88" spans="1:15" ht="17">
      <c r="A88" s="6"/>
      <c r="B88" s="92"/>
      <c r="C88" s="92"/>
      <c r="D88" s="92"/>
      <c r="E88" s="92"/>
      <c r="F88" s="92"/>
      <c r="G88" s="92"/>
      <c r="H88" s="92"/>
      <c r="I88" s="93"/>
      <c r="J88" s="94"/>
      <c r="K88" s="93"/>
      <c r="L88" s="92"/>
      <c r="M88" s="92"/>
      <c r="N88" s="92"/>
      <c r="O88" s="3" t="str">
        <f t="shared" si="2"/>
        <v/>
      </c>
    </row>
    <row r="89" spans="1:15" ht="17">
      <c r="A89" s="6"/>
      <c r="B89" s="92"/>
      <c r="C89" s="92"/>
      <c r="D89" s="92"/>
      <c r="E89" s="92"/>
      <c r="F89" s="92"/>
      <c r="G89" s="92"/>
      <c r="H89" s="92"/>
      <c r="I89" s="93"/>
      <c r="J89" s="94"/>
      <c r="K89" s="93"/>
      <c r="L89" s="92"/>
      <c r="M89" s="92"/>
      <c r="N89" s="92"/>
      <c r="O89" s="3" t="str">
        <f t="shared" si="2"/>
        <v/>
      </c>
    </row>
    <row r="90" spans="1:15" ht="17">
      <c r="A90" s="6"/>
      <c r="B90" s="92"/>
      <c r="C90" s="92"/>
      <c r="D90" s="92"/>
      <c r="E90" s="92"/>
      <c r="F90" s="92"/>
      <c r="G90" s="92"/>
      <c r="H90" s="92"/>
      <c r="I90" s="93"/>
      <c r="J90" s="94"/>
      <c r="K90" s="93"/>
      <c r="L90" s="92"/>
      <c r="M90" s="92"/>
      <c r="N90" s="92"/>
      <c r="O90" s="3" t="str">
        <f t="shared" si="2"/>
        <v/>
      </c>
    </row>
    <row r="91" spans="1:15" ht="17">
      <c r="A91" s="6"/>
      <c r="B91" s="92"/>
      <c r="C91" s="92"/>
      <c r="D91" s="92"/>
      <c r="E91" s="92"/>
      <c r="F91" s="92"/>
      <c r="G91" s="92"/>
      <c r="H91" s="92"/>
      <c r="I91" s="93"/>
      <c r="J91" s="94"/>
      <c r="K91" s="93"/>
      <c r="L91" s="92"/>
      <c r="M91" s="92"/>
      <c r="N91" s="92"/>
      <c r="O91" s="3" t="str">
        <f t="shared" si="2"/>
        <v/>
      </c>
    </row>
    <row r="92" spans="1:15" ht="17">
      <c r="A92" s="6"/>
      <c r="B92" s="92"/>
      <c r="C92" s="92"/>
      <c r="D92" s="92"/>
      <c r="E92" s="92"/>
      <c r="F92" s="92"/>
      <c r="G92" s="92"/>
      <c r="H92" s="92"/>
      <c r="I92" s="93"/>
      <c r="J92" s="94"/>
      <c r="K92" s="93"/>
      <c r="L92" s="92"/>
      <c r="M92" s="92"/>
      <c r="N92" s="92"/>
      <c r="O92" s="3" t="str">
        <f t="shared" si="2"/>
        <v/>
      </c>
    </row>
    <row r="93" spans="1:15" ht="17">
      <c r="A93" s="6"/>
      <c r="B93" s="92"/>
      <c r="C93" s="92"/>
      <c r="D93" s="92"/>
      <c r="E93" s="92"/>
      <c r="F93" s="92"/>
      <c r="G93" s="92"/>
      <c r="H93" s="92"/>
      <c r="I93" s="93"/>
      <c r="J93" s="94"/>
      <c r="K93" s="93"/>
      <c r="L93" s="92"/>
      <c r="M93" s="92"/>
      <c r="N93" s="92"/>
      <c r="O93" s="3" t="str">
        <f t="shared" si="2"/>
        <v/>
      </c>
    </row>
    <row r="94" spans="1:15" ht="17">
      <c r="A94" s="6"/>
      <c r="B94" s="92"/>
      <c r="C94" s="92"/>
      <c r="D94" s="92"/>
      <c r="E94" s="92"/>
      <c r="F94" s="92"/>
      <c r="G94" s="92"/>
      <c r="H94" s="92"/>
      <c r="I94" s="93"/>
      <c r="J94" s="94"/>
      <c r="K94" s="93"/>
      <c r="L94" s="92"/>
      <c r="M94" s="92"/>
      <c r="N94" s="92"/>
      <c r="O94" s="3" t="str">
        <f t="shared" si="2"/>
        <v/>
      </c>
    </row>
    <row r="95" spans="1:15" ht="17">
      <c r="A95" s="6"/>
      <c r="B95" s="92"/>
      <c r="C95" s="92"/>
      <c r="D95" s="92"/>
      <c r="E95" s="92"/>
      <c r="F95" s="92"/>
      <c r="G95" s="92"/>
      <c r="H95" s="92"/>
      <c r="I95" s="93"/>
      <c r="J95" s="94"/>
      <c r="K95" s="93"/>
      <c r="L95" s="92"/>
      <c r="M95" s="92"/>
      <c r="N95" s="92"/>
      <c r="O95" s="3" t="str">
        <f t="shared" si="2"/>
        <v/>
      </c>
    </row>
    <row r="96" spans="1:15" ht="17">
      <c r="A96" s="6"/>
      <c r="B96" s="92"/>
      <c r="C96" s="92"/>
      <c r="D96" s="92"/>
      <c r="E96" s="92"/>
      <c r="F96" s="92"/>
      <c r="G96" s="92"/>
      <c r="H96" s="92"/>
      <c r="I96" s="93"/>
      <c r="J96" s="94"/>
      <c r="K96" s="93"/>
      <c r="L96" s="92"/>
      <c r="M96" s="92"/>
      <c r="N96" s="92"/>
      <c r="O96" s="3" t="str">
        <f t="shared" si="2"/>
        <v/>
      </c>
    </row>
    <row r="97" spans="1:15" ht="17">
      <c r="A97" s="6"/>
      <c r="B97" s="92"/>
      <c r="C97" s="92"/>
      <c r="D97" s="92"/>
      <c r="E97" s="92"/>
      <c r="F97" s="92"/>
      <c r="G97" s="92"/>
      <c r="H97" s="92"/>
      <c r="I97" s="93"/>
      <c r="J97" s="94"/>
      <c r="K97" s="93"/>
      <c r="L97" s="92"/>
      <c r="M97" s="92"/>
      <c r="N97" s="92"/>
      <c r="O97" s="3" t="str">
        <f t="shared" si="2"/>
        <v/>
      </c>
    </row>
    <row r="98" spans="1:15" ht="17">
      <c r="A98" s="6"/>
      <c r="B98" s="92"/>
      <c r="C98" s="92"/>
      <c r="D98" s="92"/>
      <c r="E98" s="92"/>
      <c r="F98" s="92"/>
      <c r="G98" s="92"/>
      <c r="H98" s="92"/>
      <c r="I98" s="93"/>
      <c r="J98" s="94"/>
      <c r="K98" s="93"/>
      <c r="L98" s="92"/>
      <c r="M98" s="92"/>
      <c r="N98" s="92"/>
      <c r="O98" s="3" t="str">
        <f t="shared" si="2"/>
        <v/>
      </c>
    </row>
    <row r="99" spans="1:15" ht="17">
      <c r="A99" s="6"/>
      <c r="B99" s="92"/>
      <c r="C99" s="92"/>
      <c r="D99" s="92"/>
      <c r="E99" s="92"/>
      <c r="F99" s="92"/>
      <c r="G99" s="92"/>
      <c r="H99" s="92"/>
      <c r="I99" s="93"/>
      <c r="J99" s="94"/>
      <c r="K99" s="93"/>
      <c r="L99" s="92"/>
      <c r="M99" s="92"/>
      <c r="N99" s="92"/>
      <c r="O99" s="3" t="str">
        <f t="shared" si="2"/>
        <v/>
      </c>
    </row>
    <row r="100" spans="1:15" ht="17">
      <c r="A100" s="6"/>
      <c r="B100" s="92"/>
      <c r="C100" s="92"/>
      <c r="D100" s="92"/>
      <c r="E100" s="92"/>
      <c r="F100" s="92"/>
      <c r="G100" s="92"/>
      <c r="H100" s="92"/>
      <c r="I100" s="93"/>
      <c r="J100" s="94"/>
      <c r="K100" s="93"/>
      <c r="L100" s="92"/>
      <c r="M100" s="92"/>
      <c r="N100" s="92"/>
      <c r="O100" s="3" t="str">
        <f t="shared" si="2"/>
        <v/>
      </c>
    </row>
    <row r="101" spans="1:15" ht="17">
      <c r="A101" s="6"/>
      <c r="B101" s="92"/>
      <c r="C101" s="92"/>
      <c r="D101" s="92"/>
      <c r="E101" s="92"/>
      <c r="F101" s="92"/>
      <c r="G101" s="92"/>
      <c r="H101" s="92"/>
      <c r="I101" s="93"/>
      <c r="J101" s="94"/>
      <c r="K101" s="93"/>
      <c r="L101" s="92"/>
      <c r="M101" s="92"/>
      <c r="N101" s="92"/>
      <c r="O101" s="3" t="str">
        <f t="shared" si="2"/>
        <v/>
      </c>
    </row>
    <row r="102" spans="1:15" ht="17">
      <c r="A102" s="6"/>
      <c r="B102" s="92"/>
      <c r="C102" s="92"/>
      <c r="D102" s="92"/>
      <c r="E102" s="92"/>
      <c r="F102" s="92"/>
      <c r="G102" s="92"/>
      <c r="H102" s="92"/>
      <c r="I102" s="93"/>
      <c r="J102" s="94"/>
      <c r="K102" s="93"/>
      <c r="L102" s="92"/>
      <c r="M102" s="92"/>
      <c r="N102" s="92"/>
      <c r="O102" s="3" t="str">
        <f t="shared" si="2"/>
        <v/>
      </c>
    </row>
    <row r="103" spans="1:15" ht="17">
      <c r="A103" s="6"/>
      <c r="B103" s="92"/>
      <c r="C103" s="92"/>
      <c r="D103" s="92"/>
      <c r="E103" s="92"/>
      <c r="F103" s="92"/>
      <c r="G103" s="92"/>
      <c r="H103" s="92"/>
      <c r="I103" s="93"/>
      <c r="J103" s="94"/>
      <c r="K103" s="93"/>
      <c r="L103" s="92"/>
      <c r="M103" s="92"/>
      <c r="N103" s="92"/>
      <c r="O103" s="3" t="str">
        <f t="shared" ref="O103:O134" si="3">IF(AND(B103="",C103=""),"",IF(OR(B103="",C103="",D103=""),"EKSİK",IF(COUNTIF($B$7:$B$156,B103)&gt;1,"MÜKERRER NO","UYGUN")))</f>
        <v/>
      </c>
    </row>
    <row r="104" spans="1:15" ht="17">
      <c r="A104" s="6"/>
      <c r="B104" s="92"/>
      <c r="C104" s="92"/>
      <c r="D104" s="92"/>
      <c r="E104" s="92"/>
      <c r="F104" s="92"/>
      <c r="G104" s="92"/>
      <c r="H104" s="92"/>
      <c r="I104" s="93"/>
      <c r="J104" s="94"/>
      <c r="K104" s="93"/>
      <c r="L104" s="92"/>
      <c r="M104" s="92"/>
      <c r="N104" s="92"/>
      <c r="O104" s="3" t="str">
        <f t="shared" si="3"/>
        <v/>
      </c>
    </row>
    <row r="105" spans="1:15" ht="17">
      <c r="A105" s="6"/>
      <c r="B105" s="92"/>
      <c r="C105" s="92"/>
      <c r="D105" s="92"/>
      <c r="E105" s="92"/>
      <c r="F105" s="92"/>
      <c r="G105" s="92"/>
      <c r="H105" s="92"/>
      <c r="I105" s="93"/>
      <c r="J105" s="94"/>
      <c r="K105" s="93"/>
      <c r="L105" s="92"/>
      <c r="M105" s="92"/>
      <c r="N105" s="92"/>
      <c r="O105" s="3" t="str">
        <f t="shared" si="3"/>
        <v/>
      </c>
    </row>
    <row r="106" spans="1:15" ht="17">
      <c r="A106" s="6"/>
      <c r="B106" s="92"/>
      <c r="C106" s="92"/>
      <c r="D106" s="92"/>
      <c r="E106" s="92"/>
      <c r="F106" s="92"/>
      <c r="G106" s="92"/>
      <c r="H106" s="92"/>
      <c r="I106" s="93"/>
      <c r="J106" s="94"/>
      <c r="K106" s="93"/>
      <c r="L106" s="92"/>
      <c r="M106" s="92"/>
      <c r="N106" s="92"/>
      <c r="O106" s="3" t="str">
        <f t="shared" si="3"/>
        <v/>
      </c>
    </row>
    <row r="107" spans="1:15" ht="17">
      <c r="A107" s="6"/>
      <c r="B107" s="92"/>
      <c r="C107" s="92"/>
      <c r="D107" s="92"/>
      <c r="E107" s="92"/>
      <c r="F107" s="92"/>
      <c r="G107" s="92"/>
      <c r="H107" s="92"/>
      <c r="I107" s="93"/>
      <c r="J107" s="94"/>
      <c r="K107" s="93"/>
      <c r="L107" s="92"/>
      <c r="M107" s="92"/>
      <c r="N107" s="92"/>
      <c r="O107" s="3" t="str">
        <f t="shared" si="3"/>
        <v/>
      </c>
    </row>
    <row r="108" spans="1:15" ht="17">
      <c r="A108" s="6"/>
      <c r="B108" s="92"/>
      <c r="C108" s="92"/>
      <c r="D108" s="92"/>
      <c r="E108" s="92"/>
      <c r="F108" s="92"/>
      <c r="G108" s="92"/>
      <c r="H108" s="92"/>
      <c r="I108" s="93"/>
      <c r="J108" s="94"/>
      <c r="K108" s="93"/>
      <c r="L108" s="92"/>
      <c r="M108" s="92"/>
      <c r="N108" s="92"/>
      <c r="O108" s="3" t="str">
        <f t="shared" si="3"/>
        <v/>
      </c>
    </row>
    <row r="109" spans="1:15" ht="17">
      <c r="A109" s="6"/>
      <c r="B109" s="92"/>
      <c r="C109" s="92"/>
      <c r="D109" s="92"/>
      <c r="E109" s="92"/>
      <c r="F109" s="92"/>
      <c r="G109" s="92"/>
      <c r="H109" s="92"/>
      <c r="I109" s="93"/>
      <c r="J109" s="94"/>
      <c r="K109" s="93"/>
      <c r="L109" s="92"/>
      <c r="M109" s="92"/>
      <c r="N109" s="92"/>
      <c r="O109" s="3" t="str">
        <f t="shared" si="3"/>
        <v/>
      </c>
    </row>
    <row r="110" spans="1:15" ht="17">
      <c r="A110" s="6"/>
      <c r="B110" s="92"/>
      <c r="C110" s="92"/>
      <c r="D110" s="92"/>
      <c r="E110" s="92"/>
      <c r="F110" s="92"/>
      <c r="G110" s="92"/>
      <c r="H110" s="92"/>
      <c r="I110" s="93"/>
      <c r="J110" s="94"/>
      <c r="K110" s="93"/>
      <c r="L110" s="92"/>
      <c r="M110" s="92"/>
      <c r="N110" s="92"/>
      <c r="O110" s="3" t="str">
        <f t="shared" si="3"/>
        <v/>
      </c>
    </row>
    <row r="111" spans="1:15" ht="17">
      <c r="A111" s="6"/>
      <c r="B111" s="92"/>
      <c r="C111" s="92"/>
      <c r="D111" s="92"/>
      <c r="E111" s="92"/>
      <c r="F111" s="92"/>
      <c r="G111" s="92"/>
      <c r="H111" s="92"/>
      <c r="I111" s="93"/>
      <c r="J111" s="94"/>
      <c r="K111" s="93"/>
      <c r="L111" s="92"/>
      <c r="M111" s="92"/>
      <c r="N111" s="92"/>
      <c r="O111" s="3" t="str">
        <f t="shared" si="3"/>
        <v/>
      </c>
    </row>
    <row r="112" spans="1:15" ht="17">
      <c r="A112" s="6"/>
      <c r="B112" s="92"/>
      <c r="C112" s="92"/>
      <c r="D112" s="92"/>
      <c r="E112" s="92"/>
      <c r="F112" s="92"/>
      <c r="G112" s="92"/>
      <c r="H112" s="92"/>
      <c r="I112" s="93"/>
      <c r="J112" s="94"/>
      <c r="K112" s="93"/>
      <c r="L112" s="92"/>
      <c r="M112" s="92"/>
      <c r="N112" s="92"/>
      <c r="O112" s="3" t="str">
        <f t="shared" si="3"/>
        <v/>
      </c>
    </row>
    <row r="113" spans="1:15" ht="17">
      <c r="A113" s="6"/>
      <c r="B113" s="92"/>
      <c r="C113" s="92"/>
      <c r="D113" s="92"/>
      <c r="E113" s="92"/>
      <c r="F113" s="92"/>
      <c r="G113" s="92"/>
      <c r="H113" s="92"/>
      <c r="I113" s="93"/>
      <c r="J113" s="94"/>
      <c r="K113" s="93"/>
      <c r="L113" s="92"/>
      <c r="M113" s="92"/>
      <c r="N113" s="92"/>
      <c r="O113" s="3" t="str">
        <f t="shared" si="3"/>
        <v/>
      </c>
    </row>
    <row r="114" spans="1:15" ht="17">
      <c r="A114" s="6"/>
      <c r="B114" s="92"/>
      <c r="C114" s="92"/>
      <c r="D114" s="92"/>
      <c r="E114" s="92"/>
      <c r="F114" s="92"/>
      <c r="G114" s="92"/>
      <c r="H114" s="92"/>
      <c r="I114" s="93"/>
      <c r="J114" s="94"/>
      <c r="K114" s="93"/>
      <c r="L114" s="92"/>
      <c r="M114" s="92"/>
      <c r="N114" s="92"/>
      <c r="O114" s="3" t="str">
        <f t="shared" si="3"/>
        <v/>
      </c>
    </row>
    <row r="115" spans="1:15" ht="17">
      <c r="A115" s="6"/>
      <c r="B115" s="92"/>
      <c r="C115" s="92"/>
      <c r="D115" s="92"/>
      <c r="E115" s="92"/>
      <c r="F115" s="92"/>
      <c r="G115" s="92"/>
      <c r="H115" s="92"/>
      <c r="I115" s="93"/>
      <c r="J115" s="94"/>
      <c r="K115" s="93"/>
      <c r="L115" s="92"/>
      <c r="M115" s="92"/>
      <c r="N115" s="92"/>
      <c r="O115" s="3" t="str">
        <f t="shared" si="3"/>
        <v/>
      </c>
    </row>
    <row r="116" spans="1:15" ht="17">
      <c r="A116" s="6"/>
      <c r="B116" s="92"/>
      <c r="C116" s="92"/>
      <c r="D116" s="92"/>
      <c r="E116" s="92"/>
      <c r="F116" s="92"/>
      <c r="G116" s="92"/>
      <c r="H116" s="92"/>
      <c r="I116" s="93"/>
      <c r="J116" s="94"/>
      <c r="K116" s="93"/>
      <c r="L116" s="92"/>
      <c r="M116" s="92"/>
      <c r="N116" s="92"/>
      <c r="O116" s="3" t="str">
        <f t="shared" si="3"/>
        <v/>
      </c>
    </row>
    <row r="117" spans="1:15" ht="17">
      <c r="A117" s="6"/>
      <c r="B117" s="92"/>
      <c r="C117" s="92"/>
      <c r="D117" s="92"/>
      <c r="E117" s="92"/>
      <c r="F117" s="92"/>
      <c r="G117" s="92"/>
      <c r="H117" s="92"/>
      <c r="I117" s="93"/>
      <c r="J117" s="94"/>
      <c r="K117" s="93"/>
      <c r="L117" s="92"/>
      <c r="M117" s="92"/>
      <c r="N117" s="92"/>
      <c r="O117" s="3" t="str">
        <f t="shared" si="3"/>
        <v/>
      </c>
    </row>
    <row r="118" spans="1:15" ht="17">
      <c r="A118" s="6"/>
      <c r="B118" s="92"/>
      <c r="C118" s="92"/>
      <c r="D118" s="92"/>
      <c r="E118" s="92"/>
      <c r="F118" s="92"/>
      <c r="G118" s="92"/>
      <c r="H118" s="92"/>
      <c r="I118" s="93"/>
      <c r="J118" s="94"/>
      <c r="K118" s="93"/>
      <c r="L118" s="92"/>
      <c r="M118" s="92"/>
      <c r="N118" s="92"/>
      <c r="O118" s="3" t="str">
        <f t="shared" si="3"/>
        <v/>
      </c>
    </row>
    <row r="119" spans="1:15" ht="17">
      <c r="A119" s="6"/>
      <c r="B119" s="92"/>
      <c r="C119" s="92"/>
      <c r="D119" s="92"/>
      <c r="E119" s="92"/>
      <c r="F119" s="92"/>
      <c r="G119" s="92"/>
      <c r="H119" s="92"/>
      <c r="I119" s="93"/>
      <c r="J119" s="94"/>
      <c r="K119" s="93"/>
      <c r="L119" s="92"/>
      <c r="M119" s="92"/>
      <c r="N119" s="92"/>
      <c r="O119" s="3" t="str">
        <f t="shared" si="3"/>
        <v/>
      </c>
    </row>
    <row r="120" spans="1:15" ht="17">
      <c r="A120" s="6"/>
      <c r="B120" s="92"/>
      <c r="C120" s="92"/>
      <c r="D120" s="92"/>
      <c r="E120" s="92"/>
      <c r="F120" s="92"/>
      <c r="G120" s="92"/>
      <c r="H120" s="92"/>
      <c r="I120" s="93"/>
      <c r="J120" s="94"/>
      <c r="K120" s="93"/>
      <c r="L120" s="92"/>
      <c r="M120" s="92"/>
      <c r="N120" s="92"/>
      <c r="O120" s="3" t="str">
        <f t="shared" si="3"/>
        <v/>
      </c>
    </row>
    <row r="121" spans="1:15" ht="17">
      <c r="A121" s="6"/>
      <c r="B121" s="92"/>
      <c r="C121" s="92"/>
      <c r="D121" s="92"/>
      <c r="E121" s="92"/>
      <c r="F121" s="92"/>
      <c r="G121" s="92"/>
      <c r="H121" s="92"/>
      <c r="I121" s="93"/>
      <c r="J121" s="94"/>
      <c r="K121" s="93"/>
      <c r="L121" s="92"/>
      <c r="M121" s="92"/>
      <c r="N121" s="92"/>
      <c r="O121" s="3" t="str">
        <f t="shared" si="3"/>
        <v/>
      </c>
    </row>
    <row r="122" spans="1:15" ht="17">
      <c r="A122" s="6"/>
      <c r="B122" s="92"/>
      <c r="C122" s="92"/>
      <c r="D122" s="92"/>
      <c r="E122" s="92"/>
      <c r="F122" s="92"/>
      <c r="G122" s="92"/>
      <c r="H122" s="92"/>
      <c r="I122" s="93"/>
      <c r="J122" s="94"/>
      <c r="K122" s="93"/>
      <c r="L122" s="92"/>
      <c r="M122" s="92"/>
      <c r="N122" s="92"/>
      <c r="O122" s="3" t="str">
        <f t="shared" si="3"/>
        <v/>
      </c>
    </row>
    <row r="123" spans="1:15" ht="17">
      <c r="A123" s="6"/>
      <c r="B123" s="92"/>
      <c r="C123" s="92"/>
      <c r="D123" s="92"/>
      <c r="E123" s="92"/>
      <c r="F123" s="92"/>
      <c r="G123" s="92"/>
      <c r="H123" s="92"/>
      <c r="I123" s="93"/>
      <c r="J123" s="94"/>
      <c r="K123" s="93"/>
      <c r="L123" s="92"/>
      <c r="M123" s="92"/>
      <c r="N123" s="92"/>
      <c r="O123" s="3" t="str">
        <f t="shared" si="3"/>
        <v/>
      </c>
    </row>
    <row r="124" spans="1:15" ht="17">
      <c r="A124" s="6"/>
      <c r="B124" s="92"/>
      <c r="C124" s="92"/>
      <c r="D124" s="92"/>
      <c r="E124" s="92"/>
      <c r="F124" s="92"/>
      <c r="G124" s="92"/>
      <c r="H124" s="92"/>
      <c r="I124" s="93"/>
      <c r="J124" s="94"/>
      <c r="K124" s="93"/>
      <c r="L124" s="92"/>
      <c r="M124" s="92"/>
      <c r="N124" s="92"/>
      <c r="O124" s="3" t="str">
        <f t="shared" si="3"/>
        <v/>
      </c>
    </row>
    <row r="125" spans="1:15" ht="17">
      <c r="A125" s="6"/>
      <c r="B125" s="92"/>
      <c r="C125" s="92"/>
      <c r="D125" s="92"/>
      <c r="E125" s="92"/>
      <c r="F125" s="92"/>
      <c r="G125" s="92"/>
      <c r="H125" s="92"/>
      <c r="I125" s="93"/>
      <c r="J125" s="94"/>
      <c r="K125" s="93"/>
      <c r="L125" s="92"/>
      <c r="M125" s="92"/>
      <c r="N125" s="92"/>
      <c r="O125" s="3" t="str">
        <f t="shared" si="3"/>
        <v/>
      </c>
    </row>
    <row r="126" spans="1:15" ht="17">
      <c r="A126" s="6"/>
      <c r="B126" s="92"/>
      <c r="C126" s="92"/>
      <c r="D126" s="92"/>
      <c r="E126" s="92"/>
      <c r="F126" s="92"/>
      <c r="G126" s="92"/>
      <c r="H126" s="92"/>
      <c r="I126" s="93"/>
      <c r="J126" s="94"/>
      <c r="K126" s="93"/>
      <c r="L126" s="92"/>
      <c r="M126" s="92"/>
      <c r="N126" s="92"/>
      <c r="O126" s="3" t="str">
        <f t="shared" si="3"/>
        <v/>
      </c>
    </row>
    <row r="127" spans="1:15" ht="17">
      <c r="A127" s="6"/>
      <c r="B127" s="92"/>
      <c r="C127" s="92"/>
      <c r="D127" s="92"/>
      <c r="E127" s="92"/>
      <c r="F127" s="92"/>
      <c r="G127" s="92"/>
      <c r="H127" s="92"/>
      <c r="I127" s="93"/>
      <c r="J127" s="94"/>
      <c r="K127" s="93"/>
      <c r="L127" s="92"/>
      <c r="M127" s="92"/>
      <c r="N127" s="92"/>
      <c r="O127" s="3" t="str">
        <f t="shared" si="3"/>
        <v/>
      </c>
    </row>
    <row r="128" spans="1:15" ht="17">
      <c r="A128" s="6"/>
      <c r="B128" s="92"/>
      <c r="C128" s="92"/>
      <c r="D128" s="92"/>
      <c r="E128" s="92"/>
      <c r="F128" s="92"/>
      <c r="G128" s="92"/>
      <c r="H128" s="92"/>
      <c r="I128" s="93"/>
      <c r="J128" s="94"/>
      <c r="K128" s="93"/>
      <c r="L128" s="92"/>
      <c r="M128" s="92"/>
      <c r="N128" s="92"/>
      <c r="O128" s="3" t="str">
        <f t="shared" si="3"/>
        <v/>
      </c>
    </row>
    <row r="129" spans="1:15" ht="17">
      <c r="A129" s="6"/>
      <c r="B129" s="92"/>
      <c r="C129" s="92"/>
      <c r="D129" s="92"/>
      <c r="E129" s="92"/>
      <c r="F129" s="92"/>
      <c r="G129" s="92"/>
      <c r="H129" s="92"/>
      <c r="I129" s="93"/>
      <c r="J129" s="94"/>
      <c r="K129" s="93"/>
      <c r="L129" s="92"/>
      <c r="M129" s="92"/>
      <c r="N129" s="92"/>
      <c r="O129" s="3" t="str">
        <f t="shared" si="3"/>
        <v/>
      </c>
    </row>
    <row r="130" spans="1:15" ht="17">
      <c r="A130" s="6"/>
      <c r="B130" s="92"/>
      <c r="C130" s="92"/>
      <c r="D130" s="92"/>
      <c r="E130" s="92"/>
      <c r="F130" s="92"/>
      <c r="G130" s="92"/>
      <c r="H130" s="92"/>
      <c r="I130" s="93"/>
      <c r="J130" s="94"/>
      <c r="K130" s="93"/>
      <c r="L130" s="92"/>
      <c r="M130" s="92"/>
      <c r="N130" s="92"/>
      <c r="O130" s="3" t="str">
        <f t="shared" si="3"/>
        <v/>
      </c>
    </row>
    <row r="131" spans="1:15" ht="17">
      <c r="A131" s="6"/>
      <c r="B131" s="92"/>
      <c r="C131" s="92"/>
      <c r="D131" s="92"/>
      <c r="E131" s="92"/>
      <c r="F131" s="92"/>
      <c r="G131" s="92"/>
      <c r="H131" s="92"/>
      <c r="I131" s="93"/>
      <c r="J131" s="94"/>
      <c r="K131" s="93"/>
      <c r="L131" s="92"/>
      <c r="M131" s="92"/>
      <c r="N131" s="92"/>
      <c r="O131" s="3" t="str">
        <f t="shared" si="3"/>
        <v/>
      </c>
    </row>
    <row r="132" spans="1:15" ht="17">
      <c r="A132" s="6"/>
      <c r="B132" s="92"/>
      <c r="C132" s="92"/>
      <c r="D132" s="92"/>
      <c r="E132" s="92"/>
      <c r="F132" s="92"/>
      <c r="G132" s="92"/>
      <c r="H132" s="92"/>
      <c r="I132" s="93"/>
      <c r="J132" s="94"/>
      <c r="K132" s="93"/>
      <c r="L132" s="92"/>
      <c r="M132" s="92"/>
      <c r="N132" s="92"/>
      <c r="O132" s="3" t="str">
        <f t="shared" si="3"/>
        <v/>
      </c>
    </row>
    <row r="133" spans="1:15" ht="17">
      <c r="A133" s="6"/>
      <c r="B133" s="92"/>
      <c r="C133" s="92"/>
      <c r="D133" s="92"/>
      <c r="E133" s="92"/>
      <c r="F133" s="92"/>
      <c r="G133" s="92"/>
      <c r="H133" s="92"/>
      <c r="I133" s="93"/>
      <c r="J133" s="94"/>
      <c r="K133" s="93"/>
      <c r="L133" s="92"/>
      <c r="M133" s="92"/>
      <c r="N133" s="92"/>
      <c r="O133" s="3" t="str">
        <f t="shared" si="3"/>
        <v/>
      </c>
    </row>
    <row r="134" spans="1:15" ht="17">
      <c r="A134" s="6"/>
      <c r="B134" s="92"/>
      <c r="C134" s="92"/>
      <c r="D134" s="92"/>
      <c r="E134" s="92"/>
      <c r="F134" s="92"/>
      <c r="G134" s="92"/>
      <c r="H134" s="92"/>
      <c r="I134" s="93"/>
      <c r="J134" s="94"/>
      <c r="K134" s="93"/>
      <c r="L134" s="92"/>
      <c r="M134" s="92"/>
      <c r="N134" s="92"/>
      <c r="O134" s="3" t="str">
        <f t="shared" si="3"/>
        <v/>
      </c>
    </row>
    <row r="135" spans="1:15" ht="17">
      <c r="A135" s="6"/>
      <c r="B135" s="92"/>
      <c r="C135" s="92"/>
      <c r="D135" s="92"/>
      <c r="E135" s="92"/>
      <c r="F135" s="92"/>
      <c r="G135" s="92"/>
      <c r="H135" s="92"/>
      <c r="I135" s="93"/>
      <c r="J135" s="94"/>
      <c r="K135" s="93"/>
      <c r="L135" s="92"/>
      <c r="M135" s="92"/>
      <c r="N135" s="92"/>
      <c r="O135" s="3" t="str">
        <f t="shared" ref="O135:O156" si="4">IF(AND(B135="",C135=""),"",IF(OR(B135="",C135="",D135=""),"EKSİK",IF(COUNTIF($B$7:$B$156,B135)&gt;1,"MÜKERRER NO","UYGUN")))</f>
        <v/>
      </c>
    </row>
    <row r="136" spans="1:15" ht="17">
      <c r="A136" s="6"/>
      <c r="B136" s="92"/>
      <c r="C136" s="92"/>
      <c r="D136" s="92"/>
      <c r="E136" s="92"/>
      <c r="F136" s="92"/>
      <c r="G136" s="92"/>
      <c r="H136" s="92"/>
      <c r="I136" s="93"/>
      <c r="J136" s="94"/>
      <c r="K136" s="93"/>
      <c r="L136" s="92"/>
      <c r="M136" s="92"/>
      <c r="N136" s="92"/>
      <c r="O136" s="3" t="str">
        <f t="shared" si="4"/>
        <v/>
      </c>
    </row>
    <row r="137" spans="1:15" ht="17">
      <c r="A137" s="6"/>
      <c r="B137" s="92"/>
      <c r="C137" s="92"/>
      <c r="D137" s="92"/>
      <c r="E137" s="92"/>
      <c r="F137" s="92"/>
      <c r="G137" s="92"/>
      <c r="H137" s="92"/>
      <c r="I137" s="93"/>
      <c r="J137" s="94"/>
      <c r="K137" s="93"/>
      <c r="L137" s="92"/>
      <c r="M137" s="92"/>
      <c r="N137" s="92"/>
      <c r="O137" s="3" t="str">
        <f t="shared" si="4"/>
        <v/>
      </c>
    </row>
    <row r="138" spans="1:15" ht="17">
      <c r="A138" s="6"/>
      <c r="B138" s="92"/>
      <c r="C138" s="92"/>
      <c r="D138" s="92"/>
      <c r="E138" s="92"/>
      <c r="F138" s="92"/>
      <c r="G138" s="92"/>
      <c r="H138" s="92"/>
      <c r="I138" s="93"/>
      <c r="J138" s="94"/>
      <c r="K138" s="93"/>
      <c r="L138" s="92"/>
      <c r="M138" s="92"/>
      <c r="N138" s="92"/>
      <c r="O138" s="3" t="str">
        <f t="shared" si="4"/>
        <v/>
      </c>
    </row>
    <row r="139" spans="1:15" ht="17">
      <c r="A139" s="6"/>
      <c r="B139" s="92"/>
      <c r="C139" s="92"/>
      <c r="D139" s="92"/>
      <c r="E139" s="92"/>
      <c r="F139" s="92"/>
      <c r="G139" s="92"/>
      <c r="H139" s="92"/>
      <c r="I139" s="93"/>
      <c r="J139" s="94"/>
      <c r="K139" s="93"/>
      <c r="L139" s="92"/>
      <c r="M139" s="92"/>
      <c r="N139" s="92"/>
      <c r="O139" s="3" t="str">
        <f t="shared" si="4"/>
        <v/>
      </c>
    </row>
    <row r="140" spans="1:15" ht="17">
      <c r="A140" s="6"/>
      <c r="B140" s="92"/>
      <c r="C140" s="92"/>
      <c r="D140" s="92"/>
      <c r="E140" s="92"/>
      <c r="F140" s="92"/>
      <c r="G140" s="92"/>
      <c r="H140" s="92"/>
      <c r="I140" s="93"/>
      <c r="J140" s="94"/>
      <c r="K140" s="93"/>
      <c r="L140" s="92"/>
      <c r="M140" s="92"/>
      <c r="N140" s="92"/>
      <c r="O140" s="3" t="str">
        <f t="shared" si="4"/>
        <v/>
      </c>
    </row>
    <row r="141" spans="1:15" ht="17">
      <c r="A141" s="6"/>
      <c r="B141" s="92"/>
      <c r="C141" s="92"/>
      <c r="D141" s="92"/>
      <c r="E141" s="92"/>
      <c r="F141" s="92"/>
      <c r="G141" s="92"/>
      <c r="H141" s="92"/>
      <c r="I141" s="93"/>
      <c r="J141" s="94"/>
      <c r="K141" s="93"/>
      <c r="L141" s="92"/>
      <c r="M141" s="92"/>
      <c r="N141" s="92"/>
      <c r="O141" s="3" t="str">
        <f t="shared" si="4"/>
        <v/>
      </c>
    </row>
    <row r="142" spans="1:15" ht="17">
      <c r="A142" s="6"/>
      <c r="B142" s="92"/>
      <c r="C142" s="92"/>
      <c r="D142" s="92"/>
      <c r="E142" s="92"/>
      <c r="F142" s="92"/>
      <c r="G142" s="92"/>
      <c r="H142" s="92"/>
      <c r="I142" s="93"/>
      <c r="J142" s="94"/>
      <c r="K142" s="93"/>
      <c r="L142" s="92"/>
      <c r="M142" s="92"/>
      <c r="N142" s="92"/>
      <c r="O142" s="3" t="str">
        <f t="shared" si="4"/>
        <v/>
      </c>
    </row>
    <row r="143" spans="1:15" ht="17">
      <c r="A143" s="6"/>
      <c r="B143" s="92"/>
      <c r="C143" s="92"/>
      <c r="D143" s="92"/>
      <c r="E143" s="92"/>
      <c r="F143" s="92"/>
      <c r="G143" s="92"/>
      <c r="H143" s="92"/>
      <c r="I143" s="93"/>
      <c r="J143" s="94"/>
      <c r="K143" s="93"/>
      <c r="L143" s="92"/>
      <c r="M143" s="92"/>
      <c r="N143" s="92"/>
      <c r="O143" s="3" t="str">
        <f t="shared" si="4"/>
        <v/>
      </c>
    </row>
    <row r="144" spans="1:15" ht="17">
      <c r="A144" s="6"/>
      <c r="B144" s="92"/>
      <c r="C144" s="92"/>
      <c r="D144" s="92"/>
      <c r="E144" s="92"/>
      <c r="F144" s="92"/>
      <c r="G144" s="92"/>
      <c r="H144" s="92"/>
      <c r="I144" s="93"/>
      <c r="J144" s="94"/>
      <c r="K144" s="93"/>
      <c r="L144" s="92"/>
      <c r="M144" s="92"/>
      <c r="N144" s="92"/>
      <c r="O144" s="3" t="str">
        <f t="shared" si="4"/>
        <v/>
      </c>
    </row>
    <row r="145" spans="1:15" ht="17">
      <c r="A145" s="6"/>
      <c r="B145" s="92"/>
      <c r="C145" s="92"/>
      <c r="D145" s="92"/>
      <c r="E145" s="92"/>
      <c r="F145" s="92"/>
      <c r="G145" s="92"/>
      <c r="H145" s="92"/>
      <c r="I145" s="93"/>
      <c r="J145" s="94"/>
      <c r="K145" s="93"/>
      <c r="L145" s="92"/>
      <c r="M145" s="92"/>
      <c r="N145" s="92"/>
      <c r="O145" s="3" t="str">
        <f t="shared" si="4"/>
        <v/>
      </c>
    </row>
    <row r="146" spans="1:15" ht="17">
      <c r="A146" s="6"/>
      <c r="B146" s="92"/>
      <c r="C146" s="92"/>
      <c r="D146" s="92"/>
      <c r="E146" s="92"/>
      <c r="F146" s="92"/>
      <c r="G146" s="92"/>
      <c r="H146" s="92"/>
      <c r="I146" s="93"/>
      <c r="J146" s="94"/>
      <c r="K146" s="93"/>
      <c r="L146" s="92"/>
      <c r="M146" s="92"/>
      <c r="N146" s="92"/>
      <c r="O146" s="3" t="str">
        <f t="shared" si="4"/>
        <v/>
      </c>
    </row>
    <row r="147" spans="1:15" ht="17">
      <c r="A147" s="6"/>
      <c r="B147" s="92"/>
      <c r="C147" s="92"/>
      <c r="D147" s="92"/>
      <c r="E147" s="92"/>
      <c r="F147" s="92"/>
      <c r="G147" s="92"/>
      <c r="H147" s="92"/>
      <c r="I147" s="93"/>
      <c r="J147" s="94"/>
      <c r="K147" s="93"/>
      <c r="L147" s="92"/>
      <c r="M147" s="92"/>
      <c r="N147" s="92"/>
      <c r="O147" s="3" t="str">
        <f t="shared" si="4"/>
        <v/>
      </c>
    </row>
    <row r="148" spans="1:15" ht="17">
      <c r="A148" s="6"/>
      <c r="B148" s="92"/>
      <c r="C148" s="92"/>
      <c r="D148" s="92"/>
      <c r="E148" s="92"/>
      <c r="F148" s="92"/>
      <c r="G148" s="92"/>
      <c r="H148" s="92"/>
      <c r="I148" s="93"/>
      <c r="J148" s="94"/>
      <c r="K148" s="93"/>
      <c r="L148" s="92"/>
      <c r="M148" s="92"/>
      <c r="N148" s="92"/>
      <c r="O148" s="3" t="str">
        <f t="shared" si="4"/>
        <v/>
      </c>
    </row>
    <row r="149" spans="1:15" ht="17">
      <c r="A149" s="6"/>
      <c r="B149" s="92"/>
      <c r="C149" s="92"/>
      <c r="D149" s="92"/>
      <c r="E149" s="92"/>
      <c r="F149" s="92"/>
      <c r="G149" s="92"/>
      <c r="H149" s="92"/>
      <c r="I149" s="93"/>
      <c r="J149" s="94"/>
      <c r="K149" s="93"/>
      <c r="L149" s="92"/>
      <c r="M149" s="92"/>
      <c r="N149" s="92"/>
      <c r="O149" s="3" t="str">
        <f t="shared" si="4"/>
        <v/>
      </c>
    </row>
    <row r="150" spans="1:15" ht="17">
      <c r="A150" s="6"/>
      <c r="B150" s="92"/>
      <c r="C150" s="92"/>
      <c r="D150" s="92"/>
      <c r="E150" s="92"/>
      <c r="F150" s="92"/>
      <c r="G150" s="92"/>
      <c r="H150" s="92"/>
      <c r="I150" s="93"/>
      <c r="J150" s="94"/>
      <c r="K150" s="93"/>
      <c r="L150" s="92"/>
      <c r="M150" s="92"/>
      <c r="N150" s="92"/>
      <c r="O150" s="3" t="str">
        <f t="shared" si="4"/>
        <v/>
      </c>
    </row>
    <row r="151" spans="1:15" ht="17">
      <c r="A151" s="6"/>
      <c r="B151" s="92"/>
      <c r="C151" s="92"/>
      <c r="D151" s="92"/>
      <c r="E151" s="92"/>
      <c r="F151" s="92"/>
      <c r="G151" s="92"/>
      <c r="H151" s="92"/>
      <c r="I151" s="93"/>
      <c r="J151" s="94"/>
      <c r="K151" s="93"/>
      <c r="L151" s="92"/>
      <c r="M151" s="92"/>
      <c r="N151" s="92"/>
      <c r="O151" s="3" t="str">
        <f t="shared" si="4"/>
        <v/>
      </c>
    </row>
    <row r="152" spans="1:15" ht="17">
      <c r="A152" s="6"/>
      <c r="B152" s="92"/>
      <c r="C152" s="92"/>
      <c r="D152" s="92"/>
      <c r="E152" s="92"/>
      <c r="F152" s="92"/>
      <c r="G152" s="92"/>
      <c r="H152" s="92"/>
      <c r="I152" s="93"/>
      <c r="J152" s="94"/>
      <c r="K152" s="93"/>
      <c r="L152" s="92"/>
      <c r="M152" s="92"/>
      <c r="N152" s="92"/>
      <c r="O152" s="3" t="str">
        <f t="shared" si="4"/>
        <v/>
      </c>
    </row>
    <row r="153" spans="1:15" ht="17">
      <c r="A153" s="6"/>
      <c r="B153" s="92"/>
      <c r="C153" s="92"/>
      <c r="D153" s="92"/>
      <c r="E153" s="92"/>
      <c r="F153" s="92"/>
      <c r="G153" s="92"/>
      <c r="H153" s="92"/>
      <c r="I153" s="93"/>
      <c r="J153" s="94"/>
      <c r="K153" s="93"/>
      <c r="L153" s="92"/>
      <c r="M153" s="92"/>
      <c r="N153" s="92"/>
      <c r="O153" s="3" t="str">
        <f t="shared" si="4"/>
        <v/>
      </c>
    </row>
    <row r="154" spans="1:15" ht="17">
      <c r="A154" s="6"/>
      <c r="B154" s="92"/>
      <c r="C154" s="92"/>
      <c r="D154" s="92"/>
      <c r="E154" s="92"/>
      <c r="F154" s="92"/>
      <c r="G154" s="92"/>
      <c r="H154" s="92"/>
      <c r="I154" s="93"/>
      <c r="J154" s="94"/>
      <c r="K154" s="93"/>
      <c r="L154" s="92"/>
      <c r="M154" s="92"/>
      <c r="N154" s="92"/>
      <c r="O154" s="3" t="str">
        <f t="shared" si="4"/>
        <v/>
      </c>
    </row>
    <row r="155" spans="1:15" ht="17">
      <c r="A155" s="6"/>
      <c r="B155" s="92"/>
      <c r="C155" s="92"/>
      <c r="D155" s="92"/>
      <c r="E155" s="92"/>
      <c r="F155" s="92"/>
      <c r="G155" s="92"/>
      <c r="H155" s="92"/>
      <c r="I155" s="93"/>
      <c r="J155" s="94"/>
      <c r="K155" s="93"/>
      <c r="L155" s="92"/>
      <c r="M155" s="92"/>
      <c r="N155" s="92"/>
      <c r="O155" s="3" t="str">
        <f t="shared" si="4"/>
        <v/>
      </c>
    </row>
    <row r="156" spans="1:15" ht="17">
      <c r="A156" s="6"/>
      <c r="B156" s="92"/>
      <c r="C156" s="92"/>
      <c r="D156" s="92"/>
      <c r="E156" s="92"/>
      <c r="F156" s="92"/>
      <c r="G156" s="92"/>
      <c r="H156" s="92"/>
      <c r="I156" s="93"/>
      <c r="J156" s="94"/>
      <c r="K156" s="93"/>
      <c r="L156" s="92"/>
      <c r="M156" s="92"/>
      <c r="N156" s="92"/>
      <c r="O156" s="3" t="str">
        <f t="shared" si="4"/>
        <v/>
      </c>
    </row>
  </sheetData>
  <mergeCells count="6">
    <mergeCell ref="A2:B2"/>
    <mergeCell ref="A4:G4"/>
    <mergeCell ref="K5:O5"/>
    <mergeCell ref="C1:O1"/>
    <mergeCell ref="A3:O3"/>
    <mergeCell ref="C2:O2"/>
  </mergeCells>
  <dataValidations count="2">
    <dataValidation type="list" sqref="D7:D156" xr:uid="{00000000-0002-0000-0400-000000000000}">
      <formula1>"Aktif,Pasif"</formula1>
    </dataValidation>
    <dataValidation type="list" sqref="H7:H156" xr:uid="{00000000-0002-0000-0400-000001000000}">
      <formula1>"Nakit,Havale/EFT,Kart,Diğer"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563EB"/>
  </sheetPr>
  <dimension ref="A1:P306"/>
  <sheetViews>
    <sheetView showGridLines="0" topLeftCell="A47" workbookViewId="0"/>
  </sheetViews>
  <sheetFormatPr baseColWidth="10" defaultColWidth="8.83203125" defaultRowHeight="14"/>
  <cols>
    <col min="1" max="1" width="10" customWidth="1"/>
    <col min="2" max="2" width="16" customWidth="1"/>
    <col min="3" max="3" width="24" customWidth="1"/>
    <col min="4" max="7" width="14" customWidth="1"/>
    <col min="8" max="8" width="12" customWidth="1"/>
    <col min="9" max="9" width="16" customWidth="1"/>
    <col min="10" max="13" width="14" customWidth="1"/>
    <col min="14" max="16" width="2.5" hidden="1" customWidth="1"/>
  </cols>
  <sheetData>
    <row r="1" spans="1:16" ht="38" customHeight="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32" t="s">
        <v>572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6" ht="28" customHeight="1">
      <c r="A2" s="244" t="s">
        <v>438</v>
      </c>
      <c r="B2" s="245"/>
      <c r="C2" s="213" t="s">
        <v>573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1:16" ht="28" customHeight="1">
      <c r="A3" s="213" t="s">
        <v>574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6" ht="24" customHeight="1">
      <c r="A4" s="207" t="str">
        <f>IFERROR(HYPERLINK("#MENU!A1","← MENÜ   │   ÜCRETLER"),"← MENÜ   │   ÜCRETLER")</f>
        <v>← MENÜ   │   ÜCRETLER</v>
      </c>
      <c r="B4" s="208"/>
      <c r="C4" s="208"/>
      <c r="D4" s="208"/>
      <c r="E4" s="208"/>
      <c r="F4" s="208"/>
      <c r="G4" s="209"/>
      <c r="H4" s="79" t="str">
        <f>IFERROR(HYPERLINK("#TAHSILAT!A1","TAHSİLAT"),"TAHSİLAT")</f>
        <v>TAHSİLAT</v>
      </c>
      <c r="I4" s="80"/>
      <c r="J4" s="79" t="str">
        <f>IFERROR(HYPERLINK("#GELIR_GIDER!A1","GELİR / GİDER"),"GELİR / GİDER")</f>
        <v>GELİR / GİDER</v>
      </c>
      <c r="K4" s="80"/>
      <c r="L4" s="79" t="str">
        <f>IFERROR(HYPERLINK("#VIRMAN!A1","VİRMAN"),"VİRMAN")</f>
        <v>VİRMAN</v>
      </c>
      <c r="M4" s="80"/>
      <c r="N4" s="79" t="str">
        <f>IFERROR(HYPERLINK("#RAPOR!A1","RAPOR"),"RAPOR")</f>
        <v>RAPOR</v>
      </c>
      <c r="O4" s="21"/>
    </row>
    <row r="5" spans="1:16" ht="16">
      <c r="A5" s="6"/>
      <c r="B5" s="9" t="s">
        <v>575</v>
      </c>
      <c r="C5" s="9">
        <f>COUNTIF($H$7:$H$306,"Aktif")</f>
        <v>53</v>
      </c>
      <c r="D5" s="9"/>
      <c r="E5" s="9" t="s">
        <v>576</v>
      </c>
      <c r="F5" s="10">
        <f>SUMIFS($G$7:$G$306,$H$7:$H$306,"Aktif")</f>
        <v>210751</v>
      </c>
      <c r="G5" s="9"/>
      <c r="H5" s="9"/>
      <c r="I5" s="9"/>
      <c r="J5" s="252" t="s">
        <v>577</v>
      </c>
      <c r="K5" s="173"/>
      <c r="L5" s="173"/>
      <c r="M5" s="173"/>
      <c r="N5" s="6"/>
      <c r="O5" s="6"/>
    </row>
    <row r="6" spans="1:16" ht="32" customHeight="1">
      <c r="A6" s="6"/>
      <c r="B6" s="88" t="s">
        <v>445</v>
      </c>
      <c r="C6" s="88" t="s">
        <v>578</v>
      </c>
      <c r="D6" s="88" t="s">
        <v>579</v>
      </c>
      <c r="E6" s="88" t="s">
        <v>580</v>
      </c>
      <c r="F6" s="88" t="s">
        <v>581</v>
      </c>
      <c r="G6" s="88" t="s">
        <v>582</v>
      </c>
      <c r="H6" s="88" t="s">
        <v>583</v>
      </c>
      <c r="I6" s="88" t="s">
        <v>584</v>
      </c>
      <c r="J6" s="88" t="s">
        <v>585</v>
      </c>
      <c r="K6" s="88" t="s">
        <v>586</v>
      </c>
      <c r="L6" s="88" t="s">
        <v>587</v>
      </c>
      <c r="M6" s="88" t="s">
        <v>588</v>
      </c>
      <c r="N6" s="89" t="s">
        <v>589</v>
      </c>
      <c r="O6" s="89" t="s">
        <v>590</v>
      </c>
      <c r="P6" s="89" t="s">
        <v>591</v>
      </c>
    </row>
    <row r="7" spans="1:16" ht="17">
      <c r="A7" s="6"/>
      <c r="B7" s="95" t="s">
        <v>459</v>
      </c>
      <c r="C7" s="96" t="s">
        <v>460</v>
      </c>
      <c r="D7" s="97">
        <v>46023</v>
      </c>
      <c r="E7" s="97"/>
      <c r="F7" s="96" t="s">
        <v>592</v>
      </c>
      <c r="G7" s="98">
        <v>4000</v>
      </c>
      <c r="H7" s="41" t="str">
        <f>IF(OR(B7="",D7="",F7="",G7=""),"",IF(AND(E7&lt;&gt;"",E7&lt;SISTEM!$C$17),"Pasif","Aktif"))</f>
        <v>Aktif</v>
      </c>
      <c r="I7" s="74">
        <f t="shared" ref="I7:I70" si="0">IF(P7=0,0,P7*G7)</f>
        <v>32000</v>
      </c>
      <c r="J7" s="42">
        <f t="shared" ref="J7:J70" si="1">IF(OR(G7="",G7=0),"",I7/G7)</f>
        <v>8</v>
      </c>
      <c r="K7" s="43" t="str">
        <f>IF(AND(B7="",C7=""),"",IF(OR(B7="",C7="",D7="",F7="",G7=""),"EKSİK",IF(COUNTIF(MUSTERILER!$B$7:$B$156,B7)=0,"TANIMSIZ MÜŞTERİ","UYGUN")))</f>
        <v>UYGUN</v>
      </c>
      <c r="L7" s="43">
        <f t="shared" ref="L7:L70" si="2">IF(D7="","",IF(F7="Haftalık",D7+MOD(6-WEEKDAY(D7,2),7),EOMONTH(D7,0)))</f>
        <v>46053</v>
      </c>
      <c r="M7" s="96">
        <v>7</v>
      </c>
      <c r="N7" s="22">
        <f>IF(B7="","",IF(E7="",SISTEM!$C$17,MIN(E7,SISTEM!$C$17)))</f>
        <v>46261</v>
      </c>
      <c r="O7" s="22">
        <f t="shared" ref="O7:O70" si="3">L7</f>
        <v>46053</v>
      </c>
      <c r="P7" s="22">
        <f t="shared" ref="P7:P70" si="4">IF(OR(B7="",O7="",N7=""),0,IF(F7="Haftalık",MAX(0,INT((N7-O7)/7)+1),IF(F7="Aylık",MAX(0,(YEAR(N7)-YEAR(O7))*12+MONTH(N7)-MONTH(O7)+1),0)))</f>
        <v>8</v>
      </c>
    </row>
    <row r="8" spans="1:16" ht="17">
      <c r="A8" s="6"/>
      <c r="B8" s="95" t="s">
        <v>463</v>
      </c>
      <c r="C8" s="96" t="s">
        <v>464</v>
      </c>
      <c r="D8" s="97">
        <v>46023</v>
      </c>
      <c r="E8" s="97"/>
      <c r="F8" s="96" t="s">
        <v>592</v>
      </c>
      <c r="G8" s="98">
        <v>3000</v>
      </c>
      <c r="H8" s="41" t="str">
        <f>IF(OR(B8="",D8="",F8="",G8=""),"",IF(AND(E8&lt;&gt;"",E8&lt;SISTEM!$C$17),"Pasif","Aktif"))</f>
        <v>Aktif</v>
      </c>
      <c r="I8" s="74">
        <f t="shared" si="0"/>
        <v>24000</v>
      </c>
      <c r="J8" s="42">
        <f t="shared" si="1"/>
        <v>8</v>
      </c>
      <c r="K8" s="43" t="str">
        <f>IF(AND(B8="",C8=""),"",IF(OR(B8="",C8="",D8="",F8="",G8=""),"EKSİK",IF(COUNTIF(MUSTERILER!$B$7:$B$156,B8)=0,"TANIMSIZ MÜŞTERİ","UYGUN")))</f>
        <v>UYGUN</v>
      </c>
      <c r="L8" s="43">
        <f t="shared" si="2"/>
        <v>46053</v>
      </c>
      <c r="M8" s="96">
        <v>7</v>
      </c>
      <c r="N8" s="22">
        <f>IF(B8="","",IF(E8="",SISTEM!$C$17,MIN(E8,SISTEM!$C$17)))</f>
        <v>46261</v>
      </c>
      <c r="O8" s="22">
        <f t="shared" si="3"/>
        <v>46053</v>
      </c>
      <c r="P8" s="22">
        <f t="shared" si="4"/>
        <v>8</v>
      </c>
    </row>
    <row r="9" spans="1:16" ht="17">
      <c r="A9" s="6"/>
      <c r="B9" s="95" t="s">
        <v>465</v>
      </c>
      <c r="C9" s="96" t="s">
        <v>466</v>
      </c>
      <c r="D9" s="97">
        <v>46266</v>
      </c>
      <c r="E9" s="97"/>
      <c r="F9" s="96" t="s">
        <v>592</v>
      </c>
      <c r="G9" s="98">
        <v>10000</v>
      </c>
      <c r="H9" s="41" t="str">
        <f>IF(OR(B9="",D9="",F9="",G9=""),"",IF(AND(E9&lt;&gt;"",E9&lt;SISTEM!$C$17),"Pasif","Aktif"))</f>
        <v>Aktif</v>
      </c>
      <c r="I9" s="74">
        <f t="shared" si="0"/>
        <v>0</v>
      </c>
      <c r="J9" s="42">
        <f t="shared" si="1"/>
        <v>0</v>
      </c>
      <c r="K9" s="43" t="str">
        <f>IF(AND(B9="",C9=""),"",IF(OR(B9="",C9="",D9="",F9="",G9=""),"EKSİK",IF(COUNTIF(MUSTERILER!$B$7:$B$156,B9)=0,"TANIMSIZ MÜŞTERİ","UYGUN")))</f>
        <v>UYGUN</v>
      </c>
      <c r="L9" s="43">
        <f t="shared" si="2"/>
        <v>46295</v>
      </c>
      <c r="M9" s="96">
        <v>0</v>
      </c>
      <c r="N9" s="22">
        <f>IF(B9="","",IF(E9="",SISTEM!$C$17,MIN(E9,SISTEM!$C$17)))</f>
        <v>46261</v>
      </c>
      <c r="O9" s="22">
        <f t="shared" si="3"/>
        <v>46295</v>
      </c>
      <c r="P9" s="22">
        <f t="shared" si="4"/>
        <v>0</v>
      </c>
    </row>
    <row r="10" spans="1:16" ht="17">
      <c r="A10" s="6"/>
      <c r="B10" s="95" t="s">
        <v>467</v>
      </c>
      <c r="C10" s="96" t="s">
        <v>468</v>
      </c>
      <c r="D10" s="97">
        <v>46023</v>
      </c>
      <c r="E10" s="97"/>
      <c r="F10" s="96" t="s">
        <v>593</v>
      </c>
      <c r="G10" s="98">
        <v>4000</v>
      </c>
      <c r="H10" s="41" t="str">
        <f>IF(OR(B10="",D10="",F10="",G10=""),"",IF(AND(E10&lt;&gt;"",E10&lt;SISTEM!$C$17),"Pasif","Aktif"))</f>
        <v>Aktif</v>
      </c>
      <c r="I10" s="74">
        <f t="shared" si="0"/>
        <v>136000</v>
      </c>
      <c r="J10" s="42">
        <f t="shared" si="1"/>
        <v>34</v>
      </c>
      <c r="K10" s="43" t="str">
        <f>IF(AND(B10="",C10=""),"",IF(OR(B10="",C10="",D10="",F10="",G10=""),"EKSİK",IF(COUNTIF(MUSTERILER!$B$7:$B$156,B10)=0,"TANIMSIZ MÜŞTERİ","UYGUN")))</f>
        <v>UYGUN</v>
      </c>
      <c r="L10" s="43">
        <f t="shared" si="2"/>
        <v>46025</v>
      </c>
      <c r="M10" s="96">
        <v>34</v>
      </c>
      <c r="N10" s="22">
        <f>IF(B10="","",IF(E10="",SISTEM!$C$17,MIN(E10,SISTEM!$C$17)))</f>
        <v>46261</v>
      </c>
      <c r="O10" s="22">
        <f t="shared" si="3"/>
        <v>46025</v>
      </c>
      <c r="P10" s="22">
        <f t="shared" si="4"/>
        <v>34</v>
      </c>
    </row>
    <row r="11" spans="1:16" ht="17">
      <c r="A11" s="6"/>
      <c r="B11" s="95" t="s">
        <v>469</v>
      </c>
      <c r="C11" s="96" t="s">
        <v>470</v>
      </c>
      <c r="D11" s="97">
        <v>46023</v>
      </c>
      <c r="E11" s="97"/>
      <c r="F11" s="96" t="s">
        <v>592</v>
      </c>
      <c r="G11" s="98">
        <v>3000</v>
      </c>
      <c r="H11" s="41" t="str">
        <f>IF(OR(B11="",D11="",F11="",G11=""),"",IF(AND(E11&lt;&gt;"",E11&lt;SISTEM!$C$17),"Pasif","Aktif"))</f>
        <v>Aktif</v>
      </c>
      <c r="I11" s="74">
        <f t="shared" si="0"/>
        <v>24000</v>
      </c>
      <c r="J11" s="42">
        <f t="shared" si="1"/>
        <v>8</v>
      </c>
      <c r="K11" s="43" t="str">
        <f>IF(AND(B11="",C11=""),"",IF(OR(B11="",C11="",D11="",F11="",G11=""),"EKSİK",IF(COUNTIF(MUSTERILER!$B$7:$B$156,B11)=0,"TANIMSIZ MÜŞTERİ","UYGUN")))</f>
        <v>UYGUN</v>
      </c>
      <c r="L11" s="43">
        <f t="shared" si="2"/>
        <v>46053</v>
      </c>
      <c r="M11" s="96">
        <v>7</v>
      </c>
      <c r="N11" s="22">
        <f>IF(B11="","",IF(E11="",SISTEM!$C$17,MIN(E11,SISTEM!$C$17)))</f>
        <v>46261</v>
      </c>
      <c r="O11" s="22">
        <f t="shared" si="3"/>
        <v>46053</v>
      </c>
      <c r="P11" s="22">
        <f t="shared" si="4"/>
        <v>8</v>
      </c>
    </row>
    <row r="12" spans="1:16" ht="17">
      <c r="A12" s="6"/>
      <c r="B12" s="95" t="s">
        <v>471</v>
      </c>
      <c r="C12" s="96" t="s">
        <v>472</v>
      </c>
      <c r="D12" s="97">
        <v>46023</v>
      </c>
      <c r="E12" s="97"/>
      <c r="F12" s="96" t="s">
        <v>592</v>
      </c>
      <c r="G12" s="98">
        <v>10000</v>
      </c>
      <c r="H12" s="41" t="str">
        <f>IF(OR(B12="",D12="",F12="",G12=""),"",IF(AND(E12&lt;&gt;"",E12&lt;SISTEM!$C$17),"Pasif","Aktif"))</f>
        <v>Aktif</v>
      </c>
      <c r="I12" s="74">
        <f t="shared" si="0"/>
        <v>80000</v>
      </c>
      <c r="J12" s="42">
        <f t="shared" si="1"/>
        <v>8</v>
      </c>
      <c r="K12" s="43" t="str">
        <f>IF(AND(B12="",C12=""),"",IF(OR(B12="",C12="",D12="",F12="",G12=""),"EKSİK",IF(COUNTIF(MUSTERILER!$B$7:$B$156,B12)=0,"TANIMSIZ MÜŞTERİ","UYGUN")))</f>
        <v>UYGUN</v>
      </c>
      <c r="L12" s="43">
        <f t="shared" si="2"/>
        <v>46053</v>
      </c>
      <c r="M12" s="96">
        <v>7</v>
      </c>
      <c r="N12" s="22">
        <f>IF(B12="","",IF(E12="",SISTEM!$C$17,MIN(E12,SISTEM!$C$17)))</f>
        <v>46261</v>
      </c>
      <c r="O12" s="22">
        <f t="shared" si="3"/>
        <v>46053</v>
      </c>
      <c r="P12" s="22">
        <f t="shared" si="4"/>
        <v>8</v>
      </c>
    </row>
    <row r="13" spans="1:16" ht="17">
      <c r="A13" s="6"/>
      <c r="B13" s="95" t="s">
        <v>473</v>
      </c>
      <c r="C13" s="96" t="s">
        <v>474</v>
      </c>
      <c r="D13" s="97">
        <v>46023</v>
      </c>
      <c r="E13" s="97"/>
      <c r="F13" s="96" t="s">
        <v>593</v>
      </c>
      <c r="G13" s="98">
        <v>2000</v>
      </c>
      <c r="H13" s="41" t="str">
        <f>IF(OR(B13="",D13="",F13="",G13=""),"",IF(AND(E13&lt;&gt;"",E13&lt;SISTEM!$C$17),"Pasif","Aktif"))</f>
        <v>Aktif</v>
      </c>
      <c r="I13" s="74">
        <f t="shared" si="0"/>
        <v>68000</v>
      </c>
      <c r="J13" s="42">
        <f t="shared" si="1"/>
        <v>34</v>
      </c>
      <c r="K13" s="43" t="str">
        <f>IF(AND(B13="",C13=""),"",IF(OR(B13="",C13="",D13="",F13="",G13=""),"EKSİK",IF(COUNTIF(MUSTERILER!$B$7:$B$156,B13)=0,"TANIMSIZ MÜŞTERİ","UYGUN")))</f>
        <v>UYGUN</v>
      </c>
      <c r="L13" s="43">
        <f t="shared" si="2"/>
        <v>46025</v>
      </c>
      <c r="M13" s="96">
        <v>34</v>
      </c>
      <c r="N13" s="22">
        <f>IF(B13="","",IF(E13="",SISTEM!$C$17,MIN(E13,SISTEM!$C$17)))</f>
        <v>46261</v>
      </c>
      <c r="O13" s="22">
        <f t="shared" si="3"/>
        <v>46025</v>
      </c>
      <c r="P13" s="22">
        <f t="shared" si="4"/>
        <v>34</v>
      </c>
    </row>
    <row r="14" spans="1:16" ht="17">
      <c r="A14" s="6"/>
      <c r="B14" s="95" t="s">
        <v>475</v>
      </c>
      <c r="C14" s="96" t="s">
        <v>476</v>
      </c>
      <c r="D14" s="97">
        <v>46023</v>
      </c>
      <c r="E14" s="97"/>
      <c r="F14" s="96" t="s">
        <v>593</v>
      </c>
      <c r="G14" s="98">
        <v>2500</v>
      </c>
      <c r="H14" s="41" t="str">
        <f>IF(OR(B14="",D14="",F14="",G14=""),"",IF(AND(E14&lt;&gt;"",E14&lt;SISTEM!$C$17),"Pasif","Aktif"))</f>
        <v>Aktif</v>
      </c>
      <c r="I14" s="74">
        <f t="shared" si="0"/>
        <v>85000</v>
      </c>
      <c r="J14" s="42">
        <f t="shared" si="1"/>
        <v>34</v>
      </c>
      <c r="K14" s="43" t="str">
        <f>IF(AND(B14="",C14=""),"",IF(OR(B14="",C14="",D14="",F14="",G14=""),"EKSİK",IF(COUNTIF(MUSTERILER!$B$7:$B$156,B14)=0,"TANIMSIZ MÜŞTERİ","UYGUN")))</f>
        <v>UYGUN</v>
      </c>
      <c r="L14" s="43">
        <f t="shared" si="2"/>
        <v>46025</v>
      </c>
      <c r="M14" s="96">
        <v>34</v>
      </c>
      <c r="N14" s="22">
        <f>IF(B14="","",IF(E14="",SISTEM!$C$17,MIN(E14,SISTEM!$C$17)))</f>
        <v>46261</v>
      </c>
      <c r="O14" s="22">
        <f t="shared" si="3"/>
        <v>46025</v>
      </c>
      <c r="P14" s="22">
        <f t="shared" si="4"/>
        <v>34</v>
      </c>
    </row>
    <row r="15" spans="1:16" ht="17">
      <c r="A15" s="6"/>
      <c r="B15" s="95" t="s">
        <v>477</v>
      </c>
      <c r="C15" s="96" t="s">
        <v>478</v>
      </c>
      <c r="D15" s="97">
        <v>46023</v>
      </c>
      <c r="E15" s="97"/>
      <c r="F15" s="96" t="s">
        <v>592</v>
      </c>
      <c r="G15" s="98">
        <v>7500</v>
      </c>
      <c r="H15" s="41" t="str">
        <f>IF(OR(B15="",D15="",F15="",G15=""),"",IF(AND(E15&lt;&gt;"",E15&lt;SISTEM!$C$17),"Pasif","Aktif"))</f>
        <v>Aktif</v>
      </c>
      <c r="I15" s="74">
        <f t="shared" si="0"/>
        <v>60000</v>
      </c>
      <c r="J15" s="42">
        <f t="shared" si="1"/>
        <v>8</v>
      </c>
      <c r="K15" s="43" t="str">
        <f>IF(AND(B15="",C15=""),"",IF(OR(B15="",C15="",D15="",F15="",G15=""),"EKSİK",IF(COUNTIF(MUSTERILER!$B$7:$B$156,B15)=0,"TANIMSIZ MÜŞTERİ","UYGUN")))</f>
        <v>UYGUN</v>
      </c>
      <c r="L15" s="43">
        <f t="shared" si="2"/>
        <v>46053</v>
      </c>
      <c r="M15" s="96">
        <v>7</v>
      </c>
      <c r="N15" s="22">
        <f>IF(B15="","",IF(E15="",SISTEM!$C$17,MIN(E15,SISTEM!$C$17)))</f>
        <v>46261</v>
      </c>
      <c r="O15" s="22">
        <f t="shared" si="3"/>
        <v>46053</v>
      </c>
      <c r="P15" s="22">
        <f t="shared" si="4"/>
        <v>8</v>
      </c>
    </row>
    <row r="16" spans="1:16" ht="17">
      <c r="A16" s="6"/>
      <c r="B16" s="95" t="s">
        <v>481</v>
      </c>
      <c r="C16" s="96" t="s">
        <v>482</v>
      </c>
      <c r="D16" s="97">
        <v>46023</v>
      </c>
      <c r="E16" s="97"/>
      <c r="F16" s="96" t="s">
        <v>592</v>
      </c>
      <c r="G16" s="98">
        <v>4000</v>
      </c>
      <c r="H16" s="41" t="str">
        <f>IF(OR(B16="",D16="",F16="",G16=""),"",IF(AND(E16&lt;&gt;"",E16&lt;SISTEM!$C$17),"Pasif","Aktif"))</f>
        <v>Aktif</v>
      </c>
      <c r="I16" s="74">
        <f t="shared" si="0"/>
        <v>32000</v>
      </c>
      <c r="J16" s="42">
        <f t="shared" si="1"/>
        <v>8</v>
      </c>
      <c r="K16" s="43" t="str">
        <f>IF(AND(B16="",C16=""),"",IF(OR(B16="",C16="",D16="",F16="",G16=""),"EKSİK",IF(COUNTIF(MUSTERILER!$B$7:$B$156,B16)=0,"TANIMSIZ MÜŞTERİ","UYGUN")))</f>
        <v>UYGUN</v>
      </c>
      <c r="L16" s="43">
        <f t="shared" si="2"/>
        <v>46053</v>
      </c>
      <c r="M16" s="96">
        <v>7</v>
      </c>
      <c r="N16" s="22">
        <f>IF(B16="","",IF(E16="",SISTEM!$C$17,MIN(E16,SISTEM!$C$17)))</f>
        <v>46261</v>
      </c>
      <c r="O16" s="22">
        <f t="shared" si="3"/>
        <v>46053</v>
      </c>
      <c r="P16" s="22">
        <f t="shared" si="4"/>
        <v>8</v>
      </c>
    </row>
    <row r="17" spans="1:16" ht="17">
      <c r="A17" s="6"/>
      <c r="B17" s="95" t="s">
        <v>479</v>
      </c>
      <c r="C17" s="96" t="s">
        <v>480</v>
      </c>
      <c r="D17" s="97">
        <v>46023</v>
      </c>
      <c r="E17" s="97"/>
      <c r="F17" s="96" t="s">
        <v>593</v>
      </c>
      <c r="G17" s="98">
        <v>3000</v>
      </c>
      <c r="H17" s="41" t="str">
        <f>IF(OR(B17="",D17="",F17="",G17=""),"",IF(AND(E17&lt;&gt;"",E17&lt;SISTEM!$C$17),"Pasif","Aktif"))</f>
        <v>Aktif</v>
      </c>
      <c r="I17" s="74">
        <f t="shared" si="0"/>
        <v>102000</v>
      </c>
      <c r="J17" s="42">
        <f t="shared" si="1"/>
        <v>34</v>
      </c>
      <c r="K17" s="43" t="str">
        <f>IF(AND(B17="",C17=""),"",IF(OR(B17="",C17="",D17="",F17="",G17=""),"EKSİK",IF(COUNTIF(MUSTERILER!$B$7:$B$156,B17)=0,"TANIMSIZ MÜŞTERİ","UYGUN")))</f>
        <v>UYGUN</v>
      </c>
      <c r="L17" s="43">
        <f t="shared" si="2"/>
        <v>46025</v>
      </c>
      <c r="M17" s="96">
        <v>34</v>
      </c>
      <c r="N17" s="22">
        <f>IF(B17="","",IF(E17="",SISTEM!$C$17,MIN(E17,SISTEM!$C$17)))</f>
        <v>46261</v>
      </c>
      <c r="O17" s="22">
        <f t="shared" si="3"/>
        <v>46025</v>
      </c>
      <c r="P17" s="22">
        <f t="shared" si="4"/>
        <v>34</v>
      </c>
    </row>
    <row r="18" spans="1:16" ht="17">
      <c r="A18" s="6"/>
      <c r="B18" s="95" t="s">
        <v>483</v>
      </c>
      <c r="C18" s="96" t="s">
        <v>484</v>
      </c>
      <c r="D18" s="97">
        <v>46023</v>
      </c>
      <c r="E18" s="97">
        <v>46248</v>
      </c>
      <c r="F18" s="96" t="s">
        <v>593</v>
      </c>
      <c r="G18" s="98">
        <v>2500</v>
      </c>
      <c r="H18" s="41" t="str">
        <f>IF(OR(B18="",D18="",F18="",G18=""),"",IF(AND(E18&lt;&gt;"",E18&lt;SISTEM!$C$17),"Pasif","Aktif"))</f>
        <v>Pasif</v>
      </c>
      <c r="I18" s="74">
        <f t="shared" si="0"/>
        <v>80000</v>
      </c>
      <c r="J18" s="42">
        <f t="shared" si="1"/>
        <v>32</v>
      </c>
      <c r="K18" s="43" t="str">
        <f>IF(AND(B18="",C18=""),"",IF(OR(B18="",C18="",D18="",F18="",G18=""),"EKSİK",IF(COUNTIF(MUSTERILER!$B$7:$B$156,B18)=0,"TANIMSIZ MÜŞTERİ","UYGUN")))</f>
        <v>UYGUN</v>
      </c>
      <c r="L18" s="43">
        <f t="shared" si="2"/>
        <v>46025</v>
      </c>
      <c r="M18" s="96">
        <v>32</v>
      </c>
      <c r="N18" s="22">
        <f>IF(B18="","",IF(E18="",SISTEM!$C$17,MIN(E18,SISTEM!$C$17)))</f>
        <v>46248</v>
      </c>
      <c r="O18" s="22">
        <f t="shared" si="3"/>
        <v>46025</v>
      </c>
      <c r="P18" s="22">
        <f t="shared" si="4"/>
        <v>32</v>
      </c>
    </row>
    <row r="19" spans="1:16" ht="17">
      <c r="A19" s="6"/>
      <c r="B19" s="95" t="s">
        <v>485</v>
      </c>
      <c r="C19" s="96" t="s">
        <v>486</v>
      </c>
      <c r="D19" s="97">
        <v>46023</v>
      </c>
      <c r="E19" s="97"/>
      <c r="F19" s="96" t="s">
        <v>592</v>
      </c>
      <c r="G19" s="98">
        <v>10000</v>
      </c>
      <c r="H19" s="41" t="str">
        <f>IF(OR(B19="",D19="",F19="",G19=""),"",IF(AND(E19&lt;&gt;"",E19&lt;SISTEM!$C$17),"Pasif","Aktif"))</f>
        <v>Aktif</v>
      </c>
      <c r="I19" s="74">
        <f t="shared" si="0"/>
        <v>80000</v>
      </c>
      <c r="J19" s="42">
        <f t="shared" si="1"/>
        <v>8</v>
      </c>
      <c r="K19" s="43" t="str">
        <f>IF(AND(B19="",C19=""),"",IF(OR(B19="",C19="",D19="",F19="",G19=""),"EKSİK",IF(COUNTIF(MUSTERILER!$B$7:$B$156,B19)=0,"TANIMSIZ MÜŞTERİ","UYGUN")))</f>
        <v>UYGUN</v>
      </c>
      <c r="L19" s="43">
        <f t="shared" si="2"/>
        <v>46053</v>
      </c>
      <c r="M19" s="96">
        <v>7</v>
      </c>
      <c r="N19" s="22">
        <f>IF(B19="","",IF(E19="",SISTEM!$C$17,MIN(E19,SISTEM!$C$17)))</f>
        <v>46261</v>
      </c>
      <c r="O19" s="22">
        <f t="shared" si="3"/>
        <v>46053</v>
      </c>
      <c r="P19" s="22">
        <f t="shared" si="4"/>
        <v>8</v>
      </c>
    </row>
    <row r="20" spans="1:16" ht="17">
      <c r="A20" s="6"/>
      <c r="B20" s="95" t="s">
        <v>487</v>
      </c>
      <c r="C20" s="96" t="s">
        <v>488</v>
      </c>
      <c r="D20" s="97">
        <v>46039</v>
      </c>
      <c r="E20" s="97">
        <v>46109</v>
      </c>
      <c r="F20" s="96" t="s">
        <v>593</v>
      </c>
      <c r="G20" s="98">
        <v>3000</v>
      </c>
      <c r="H20" s="41" t="str">
        <f>IF(OR(B20="",D20="",F20="",G20=""),"",IF(AND(E20&lt;&gt;"",E20&lt;SISTEM!$C$17),"Pasif","Aktif"))</f>
        <v>Pasif</v>
      </c>
      <c r="I20" s="74">
        <f t="shared" si="0"/>
        <v>33000</v>
      </c>
      <c r="J20" s="42">
        <f t="shared" si="1"/>
        <v>11</v>
      </c>
      <c r="K20" s="43" t="str">
        <f>IF(AND(B20="",C20=""),"",IF(OR(B20="",C20="",D20="",F20="",G20=""),"EKSİK",IF(COUNTIF(MUSTERILER!$B$7:$B$156,B20)=0,"TANIMSIZ MÜŞTERİ","UYGUN")))</f>
        <v>UYGUN</v>
      </c>
      <c r="L20" s="43">
        <f t="shared" si="2"/>
        <v>46039</v>
      </c>
      <c r="M20" s="96">
        <v>11</v>
      </c>
      <c r="N20" s="22">
        <f>IF(B20="","",IF(E20="",SISTEM!$C$17,MIN(E20,SISTEM!$C$17)))</f>
        <v>46109</v>
      </c>
      <c r="O20" s="22">
        <f t="shared" si="3"/>
        <v>46039</v>
      </c>
      <c r="P20" s="22">
        <f t="shared" si="4"/>
        <v>11</v>
      </c>
    </row>
    <row r="21" spans="1:16" ht="17">
      <c r="A21" s="6"/>
      <c r="B21" s="95" t="s">
        <v>489</v>
      </c>
      <c r="C21" s="96" t="s">
        <v>490</v>
      </c>
      <c r="D21" s="97">
        <v>46023</v>
      </c>
      <c r="E21" s="97"/>
      <c r="F21" s="96" t="s">
        <v>592</v>
      </c>
      <c r="G21" s="98">
        <v>2000</v>
      </c>
      <c r="H21" s="41" t="str">
        <f>IF(OR(B21="",D21="",F21="",G21=""),"",IF(AND(E21&lt;&gt;"",E21&lt;SISTEM!$C$17),"Pasif","Aktif"))</f>
        <v>Aktif</v>
      </c>
      <c r="I21" s="74">
        <f t="shared" si="0"/>
        <v>16000</v>
      </c>
      <c r="J21" s="42">
        <f t="shared" si="1"/>
        <v>8</v>
      </c>
      <c r="K21" s="43" t="str">
        <f>IF(AND(B21="",C21=""),"",IF(OR(B21="",C21="",D21="",F21="",G21=""),"EKSİK",IF(COUNTIF(MUSTERILER!$B$7:$B$156,B21)=0,"TANIMSIZ MÜŞTERİ","UYGUN")))</f>
        <v>UYGUN</v>
      </c>
      <c r="L21" s="43">
        <f t="shared" si="2"/>
        <v>46053</v>
      </c>
      <c r="M21" s="96">
        <v>7</v>
      </c>
      <c r="N21" s="22">
        <f>IF(B21="","",IF(E21="",SISTEM!$C$17,MIN(E21,SISTEM!$C$17)))</f>
        <v>46261</v>
      </c>
      <c r="O21" s="22">
        <f t="shared" si="3"/>
        <v>46053</v>
      </c>
      <c r="P21" s="22">
        <f t="shared" si="4"/>
        <v>8</v>
      </c>
    </row>
    <row r="22" spans="1:16" ht="17">
      <c r="A22" s="6"/>
      <c r="B22" s="95" t="s">
        <v>491</v>
      </c>
      <c r="C22" s="96" t="s">
        <v>492</v>
      </c>
      <c r="D22" s="97">
        <v>46023</v>
      </c>
      <c r="E22" s="97"/>
      <c r="F22" s="96" t="s">
        <v>593</v>
      </c>
      <c r="G22" s="98">
        <v>3500</v>
      </c>
      <c r="H22" s="41" t="str">
        <f>IF(OR(B22="",D22="",F22="",G22=""),"",IF(AND(E22&lt;&gt;"",E22&lt;SISTEM!$C$17),"Pasif","Aktif"))</f>
        <v>Aktif</v>
      </c>
      <c r="I22" s="74">
        <f t="shared" si="0"/>
        <v>119000</v>
      </c>
      <c r="J22" s="42">
        <f t="shared" si="1"/>
        <v>34</v>
      </c>
      <c r="K22" s="43" t="str">
        <f>IF(AND(B22="",C22=""),"",IF(OR(B22="",C22="",D22="",F22="",G22=""),"EKSİK",IF(COUNTIF(MUSTERILER!$B$7:$B$156,B22)=0,"TANIMSIZ MÜŞTERİ","UYGUN")))</f>
        <v>UYGUN</v>
      </c>
      <c r="L22" s="43">
        <f t="shared" si="2"/>
        <v>46025</v>
      </c>
      <c r="M22" s="96">
        <v>34</v>
      </c>
      <c r="N22" s="22">
        <f>IF(B22="","",IF(E22="",SISTEM!$C$17,MIN(E22,SISTEM!$C$17)))</f>
        <v>46261</v>
      </c>
      <c r="O22" s="22">
        <f t="shared" si="3"/>
        <v>46025</v>
      </c>
      <c r="P22" s="22">
        <f t="shared" si="4"/>
        <v>34</v>
      </c>
    </row>
    <row r="23" spans="1:16" ht="17">
      <c r="A23" s="6"/>
      <c r="B23" s="95" t="s">
        <v>493</v>
      </c>
      <c r="C23" s="96" t="s">
        <v>494</v>
      </c>
      <c r="D23" s="97">
        <v>46023</v>
      </c>
      <c r="E23" s="97"/>
      <c r="F23" s="96" t="s">
        <v>592</v>
      </c>
      <c r="G23" s="98">
        <v>2000</v>
      </c>
      <c r="H23" s="41" t="str">
        <f>IF(OR(B23="",D23="",F23="",G23=""),"",IF(AND(E23&lt;&gt;"",E23&lt;SISTEM!$C$17),"Pasif","Aktif"))</f>
        <v>Aktif</v>
      </c>
      <c r="I23" s="74">
        <f t="shared" si="0"/>
        <v>16000</v>
      </c>
      <c r="J23" s="42">
        <f t="shared" si="1"/>
        <v>8</v>
      </c>
      <c r="K23" s="43" t="str">
        <f>IF(AND(B23="",C23=""),"",IF(OR(B23="",C23="",D23="",F23="",G23=""),"EKSİK",IF(COUNTIF(MUSTERILER!$B$7:$B$156,B23)=0,"TANIMSIZ MÜŞTERİ","UYGUN")))</f>
        <v>UYGUN</v>
      </c>
      <c r="L23" s="43">
        <f t="shared" si="2"/>
        <v>46053</v>
      </c>
      <c r="M23" s="96">
        <v>7</v>
      </c>
      <c r="N23" s="22">
        <f>IF(B23="","",IF(E23="",SISTEM!$C$17,MIN(E23,SISTEM!$C$17)))</f>
        <v>46261</v>
      </c>
      <c r="O23" s="22">
        <f t="shared" si="3"/>
        <v>46053</v>
      </c>
      <c r="P23" s="22">
        <f t="shared" si="4"/>
        <v>8</v>
      </c>
    </row>
    <row r="24" spans="1:16" ht="34">
      <c r="A24" s="6"/>
      <c r="B24" s="95" t="s">
        <v>495</v>
      </c>
      <c r="C24" s="96" t="s">
        <v>496</v>
      </c>
      <c r="D24" s="97">
        <v>46023</v>
      </c>
      <c r="E24" s="97">
        <v>46115</v>
      </c>
      <c r="F24" s="96" t="s">
        <v>593</v>
      </c>
      <c r="G24" s="98">
        <v>2000</v>
      </c>
      <c r="H24" s="41" t="str">
        <f>IF(OR(B24="",D24="",F24="",G24=""),"",IF(AND(E24&lt;&gt;"",E24&lt;SISTEM!$C$17),"Pasif","Aktif"))</f>
        <v>Pasif</v>
      </c>
      <c r="I24" s="74">
        <f t="shared" si="0"/>
        <v>26000</v>
      </c>
      <c r="J24" s="42">
        <f t="shared" si="1"/>
        <v>13</v>
      </c>
      <c r="K24" s="43" t="str">
        <f>IF(AND(B24="",C24=""),"",IF(OR(B24="",C24="",D24="",F24="",G24=""),"EKSİK",IF(COUNTIF(MUSTERILER!$B$7:$B$156,B24)=0,"TANIMSIZ MÜŞTERİ","UYGUN")))</f>
        <v>UYGUN</v>
      </c>
      <c r="L24" s="43">
        <f t="shared" si="2"/>
        <v>46025</v>
      </c>
      <c r="M24" s="96">
        <v>13</v>
      </c>
      <c r="N24" s="22">
        <f>IF(B24="","",IF(E24="",SISTEM!$C$17,MIN(E24,SISTEM!$C$17)))</f>
        <v>46115</v>
      </c>
      <c r="O24" s="22">
        <f t="shared" si="3"/>
        <v>46025</v>
      </c>
      <c r="P24" s="22">
        <f t="shared" si="4"/>
        <v>13</v>
      </c>
    </row>
    <row r="25" spans="1:16" ht="17">
      <c r="A25" s="6"/>
      <c r="B25" s="95" t="s">
        <v>497</v>
      </c>
      <c r="C25" s="96" t="s">
        <v>498</v>
      </c>
      <c r="D25" s="97">
        <v>46023</v>
      </c>
      <c r="E25" s="97"/>
      <c r="F25" s="96" t="s">
        <v>592</v>
      </c>
      <c r="G25" s="98">
        <v>3000</v>
      </c>
      <c r="H25" s="41" t="str">
        <f>IF(OR(B25="",D25="",F25="",G25=""),"",IF(AND(E25&lt;&gt;"",E25&lt;SISTEM!$C$17),"Pasif","Aktif"))</f>
        <v>Aktif</v>
      </c>
      <c r="I25" s="74">
        <f t="shared" si="0"/>
        <v>24000</v>
      </c>
      <c r="J25" s="42">
        <f t="shared" si="1"/>
        <v>8</v>
      </c>
      <c r="K25" s="43" t="str">
        <f>IF(AND(B25="",C25=""),"",IF(OR(B25="",C25="",D25="",F25="",G25=""),"EKSİK",IF(COUNTIF(MUSTERILER!$B$7:$B$156,B25)=0,"TANIMSIZ MÜŞTERİ","UYGUN")))</f>
        <v>UYGUN</v>
      </c>
      <c r="L25" s="43">
        <f t="shared" si="2"/>
        <v>46053</v>
      </c>
      <c r="M25" s="96">
        <v>7</v>
      </c>
      <c r="N25" s="22">
        <f>IF(B25="","",IF(E25="",SISTEM!$C$17,MIN(E25,SISTEM!$C$17)))</f>
        <v>46261</v>
      </c>
      <c r="O25" s="22">
        <f t="shared" si="3"/>
        <v>46053</v>
      </c>
      <c r="P25" s="22">
        <f t="shared" si="4"/>
        <v>8</v>
      </c>
    </row>
    <row r="26" spans="1:16" ht="17">
      <c r="A26" s="6"/>
      <c r="B26" s="95" t="s">
        <v>499</v>
      </c>
      <c r="C26" s="96" t="s">
        <v>500</v>
      </c>
      <c r="D26" s="97">
        <v>46023</v>
      </c>
      <c r="E26" s="97"/>
      <c r="F26" s="96" t="s">
        <v>592</v>
      </c>
      <c r="G26" s="98">
        <v>1000</v>
      </c>
      <c r="H26" s="41" t="str">
        <f>IF(OR(B26="",D26="",F26="",G26=""),"",IF(AND(E26&lt;&gt;"",E26&lt;SISTEM!$C$17),"Pasif","Aktif"))</f>
        <v>Aktif</v>
      </c>
      <c r="I26" s="74">
        <f t="shared" si="0"/>
        <v>8000</v>
      </c>
      <c r="J26" s="42">
        <f t="shared" si="1"/>
        <v>8</v>
      </c>
      <c r="K26" s="43" t="str">
        <f>IF(AND(B26="",C26=""),"",IF(OR(B26="",C26="",D26="",F26="",G26=""),"EKSİK",IF(COUNTIF(MUSTERILER!$B$7:$B$156,B26)=0,"TANIMSIZ MÜŞTERİ","UYGUN")))</f>
        <v>UYGUN</v>
      </c>
      <c r="L26" s="43">
        <f t="shared" si="2"/>
        <v>46053</v>
      </c>
      <c r="M26" s="96">
        <v>7</v>
      </c>
      <c r="N26" s="22">
        <f>IF(B26="","",IF(E26="",SISTEM!$C$17,MIN(E26,SISTEM!$C$17)))</f>
        <v>46261</v>
      </c>
      <c r="O26" s="22">
        <f t="shared" si="3"/>
        <v>46053</v>
      </c>
      <c r="P26" s="22">
        <f t="shared" si="4"/>
        <v>8</v>
      </c>
    </row>
    <row r="27" spans="1:16" ht="17">
      <c r="A27" s="6"/>
      <c r="B27" s="95" t="s">
        <v>507</v>
      </c>
      <c r="C27" s="96" t="s">
        <v>508</v>
      </c>
      <c r="D27" s="97">
        <v>46023</v>
      </c>
      <c r="E27" s="97"/>
      <c r="F27" s="96" t="s">
        <v>592</v>
      </c>
      <c r="G27" s="98">
        <v>7500</v>
      </c>
      <c r="H27" s="41" t="str">
        <f>IF(OR(B27="",D27="",F27="",G27=""),"",IF(AND(E27&lt;&gt;"",E27&lt;SISTEM!$C$17),"Pasif","Aktif"))</f>
        <v>Aktif</v>
      </c>
      <c r="I27" s="74">
        <f t="shared" si="0"/>
        <v>60000</v>
      </c>
      <c r="J27" s="42">
        <f t="shared" si="1"/>
        <v>8</v>
      </c>
      <c r="K27" s="43" t="str">
        <f>IF(AND(B27="",C27=""),"",IF(OR(B27="",C27="",D27="",F27="",G27=""),"EKSİK",IF(COUNTIF(MUSTERILER!$B$7:$B$156,B27)=0,"TANIMSIZ MÜŞTERİ","UYGUN")))</f>
        <v>UYGUN</v>
      </c>
      <c r="L27" s="43">
        <f t="shared" si="2"/>
        <v>46053</v>
      </c>
      <c r="M27" s="96">
        <v>7</v>
      </c>
      <c r="N27" s="22">
        <f>IF(B27="","",IF(E27="",SISTEM!$C$17,MIN(E27,SISTEM!$C$17)))</f>
        <v>46261</v>
      </c>
      <c r="O27" s="22">
        <f t="shared" si="3"/>
        <v>46053</v>
      </c>
      <c r="P27" s="22">
        <f t="shared" si="4"/>
        <v>8</v>
      </c>
    </row>
    <row r="28" spans="1:16" ht="17">
      <c r="A28" s="6"/>
      <c r="B28" s="95" t="s">
        <v>501</v>
      </c>
      <c r="C28" s="96" t="s">
        <v>502</v>
      </c>
      <c r="D28" s="97">
        <v>46023</v>
      </c>
      <c r="E28" s="97">
        <v>46081</v>
      </c>
      <c r="F28" s="96" t="s">
        <v>593</v>
      </c>
      <c r="G28" s="98">
        <v>1500</v>
      </c>
      <c r="H28" s="41" t="str">
        <f>IF(OR(B28="",D28="",F28="",G28=""),"",IF(AND(E28&lt;&gt;"",E28&lt;SISTEM!$C$17),"Pasif","Aktif"))</f>
        <v>Pasif</v>
      </c>
      <c r="I28" s="74">
        <f t="shared" si="0"/>
        <v>13500</v>
      </c>
      <c r="J28" s="42">
        <f t="shared" si="1"/>
        <v>9</v>
      </c>
      <c r="K28" s="43" t="str">
        <f>IF(AND(B28="",C28=""),"",IF(OR(B28="",C28="",D28="",F28="",G28=""),"EKSİK",IF(COUNTIF(MUSTERILER!$B$7:$B$156,B28)=0,"TANIMSIZ MÜŞTERİ","UYGUN")))</f>
        <v>UYGUN</v>
      </c>
      <c r="L28" s="43">
        <f t="shared" si="2"/>
        <v>46025</v>
      </c>
      <c r="M28" s="96">
        <v>9</v>
      </c>
      <c r="N28" s="22">
        <f>IF(B28="","",IF(E28="",SISTEM!$C$17,MIN(E28,SISTEM!$C$17)))</f>
        <v>46081</v>
      </c>
      <c r="O28" s="22">
        <f t="shared" si="3"/>
        <v>46025</v>
      </c>
      <c r="P28" s="22">
        <f t="shared" si="4"/>
        <v>9</v>
      </c>
    </row>
    <row r="29" spans="1:16" ht="17">
      <c r="A29" s="6"/>
      <c r="B29" s="95" t="s">
        <v>503</v>
      </c>
      <c r="C29" s="96" t="s">
        <v>504</v>
      </c>
      <c r="D29" s="97">
        <v>46023</v>
      </c>
      <c r="E29" s="97">
        <v>46112</v>
      </c>
      <c r="F29" s="96" t="s">
        <v>593</v>
      </c>
      <c r="G29" s="98">
        <v>2000</v>
      </c>
      <c r="H29" s="41" t="str">
        <f>IF(OR(B29="",D29="",F29="",G29=""),"",IF(AND(E29&lt;&gt;"",E29&lt;SISTEM!$C$17),"Pasif","Aktif"))</f>
        <v>Pasif</v>
      </c>
      <c r="I29" s="74">
        <f t="shared" si="0"/>
        <v>26000</v>
      </c>
      <c r="J29" s="42">
        <f t="shared" si="1"/>
        <v>13</v>
      </c>
      <c r="K29" s="43" t="str">
        <f>IF(AND(B29="",C29=""),"",IF(OR(B29="",C29="",D29="",F29="",G29=""),"EKSİK",IF(COUNTIF(MUSTERILER!$B$7:$B$156,B29)=0,"TANIMSIZ MÜŞTERİ","UYGUN")))</f>
        <v>UYGUN</v>
      </c>
      <c r="L29" s="43">
        <f t="shared" si="2"/>
        <v>46025</v>
      </c>
      <c r="M29" s="96">
        <v>13</v>
      </c>
      <c r="N29" s="22">
        <f>IF(B29="","",IF(E29="",SISTEM!$C$17,MIN(E29,SISTEM!$C$17)))</f>
        <v>46112</v>
      </c>
      <c r="O29" s="22">
        <f t="shared" si="3"/>
        <v>46025</v>
      </c>
      <c r="P29" s="22">
        <f t="shared" si="4"/>
        <v>13</v>
      </c>
    </row>
    <row r="30" spans="1:16" ht="17">
      <c r="A30" s="6"/>
      <c r="B30" s="95" t="s">
        <v>505</v>
      </c>
      <c r="C30" s="96" t="s">
        <v>506</v>
      </c>
      <c r="D30" s="97">
        <v>46023</v>
      </c>
      <c r="E30" s="97"/>
      <c r="F30" s="96" t="s">
        <v>592</v>
      </c>
      <c r="G30" s="98">
        <v>3500</v>
      </c>
      <c r="H30" s="41" t="str">
        <f>IF(OR(B30="",D30="",F30="",G30=""),"",IF(AND(E30&lt;&gt;"",E30&lt;SISTEM!$C$17),"Pasif","Aktif"))</f>
        <v>Aktif</v>
      </c>
      <c r="I30" s="74">
        <f t="shared" si="0"/>
        <v>28000</v>
      </c>
      <c r="J30" s="42">
        <f t="shared" si="1"/>
        <v>8</v>
      </c>
      <c r="K30" s="43" t="str">
        <f>IF(AND(B30="",C30=""),"",IF(OR(B30="",C30="",D30="",F30="",G30=""),"EKSİK",IF(COUNTIF(MUSTERILER!$B$7:$B$156,B30)=0,"TANIMSIZ MÜŞTERİ","UYGUN")))</f>
        <v>UYGUN</v>
      </c>
      <c r="L30" s="43">
        <f t="shared" si="2"/>
        <v>46053</v>
      </c>
      <c r="M30" s="96">
        <v>7</v>
      </c>
      <c r="N30" s="22">
        <f>IF(B30="","",IF(E30="",SISTEM!$C$17,MIN(E30,SISTEM!$C$17)))</f>
        <v>46261</v>
      </c>
      <c r="O30" s="22">
        <f t="shared" si="3"/>
        <v>46053</v>
      </c>
      <c r="P30" s="22">
        <f t="shared" si="4"/>
        <v>8</v>
      </c>
    </row>
    <row r="31" spans="1:16" ht="17">
      <c r="A31" s="6"/>
      <c r="B31" s="95" t="s">
        <v>509</v>
      </c>
      <c r="C31" s="96" t="s">
        <v>510</v>
      </c>
      <c r="D31" s="97">
        <v>46023</v>
      </c>
      <c r="E31" s="97"/>
      <c r="F31" s="96" t="s">
        <v>592</v>
      </c>
      <c r="G31" s="98">
        <v>4000</v>
      </c>
      <c r="H31" s="41" t="str">
        <f>IF(OR(B31="",D31="",F31="",G31=""),"",IF(AND(E31&lt;&gt;"",E31&lt;SISTEM!$C$17),"Pasif","Aktif"))</f>
        <v>Aktif</v>
      </c>
      <c r="I31" s="74">
        <f t="shared" si="0"/>
        <v>32000</v>
      </c>
      <c r="J31" s="42">
        <f t="shared" si="1"/>
        <v>8</v>
      </c>
      <c r="K31" s="43" t="str">
        <f>IF(AND(B31="",C31=""),"",IF(OR(B31="",C31="",D31="",F31="",G31=""),"EKSİK",IF(COUNTIF(MUSTERILER!$B$7:$B$156,B31)=0,"TANIMSIZ MÜŞTERİ","UYGUN")))</f>
        <v>UYGUN</v>
      </c>
      <c r="L31" s="43">
        <f t="shared" si="2"/>
        <v>46053</v>
      </c>
      <c r="M31" s="96">
        <v>7</v>
      </c>
      <c r="N31" s="22">
        <f>IF(B31="","",IF(E31="",SISTEM!$C$17,MIN(E31,SISTEM!$C$17)))</f>
        <v>46261</v>
      </c>
      <c r="O31" s="22">
        <f t="shared" si="3"/>
        <v>46053</v>
      </c>
      <c r="P31" s="22">
        <f t="shared" si="4"/>
        <v>8</v>
      </c>
    </row>
    <row r="32" spans="1:16" ht="17">
      <c r="A32" s="6"/>
      <c r="B32" s="95" t="s">
        <v>511</v>
      </c>
      <c r="C32" s="96" t="s">
        <v>512</v>
      </c>
      <c r="D32" s="97">
        <v>46023</v>
      </c>
      <c r="E32" s="97"/>
      <c r="F32" s="96" t="s">
        <v>593</v>
      </c>
      <c r="G32" s="98">
        <v>2500</v>
      </c>
      <c r="H32" s="41" t="str">
        <f>IF(OR(B32="",D32="",F32="",G32=""),"",IF(AND(E32&lt;&gt;"",E32&lt;SISTEM!$C$17),"Pasif","Aktif"))</f>
        <v>Aktif</v>
      </c>
      <c r="I32" s="74">
        <f t="shared" si="0"/>
        <v>85000</v>
      </c>
      <c r="J32" s="42">
        <f t="shared" si="1"/>
        <v>34</v>
      </c>
      <c r="K32" s="43" t="str">
        <f>IF(AND(B32="",C32=""),"",IF(OR(B32="",C32="",D32="",F32="",G32=""),"EKSİK",IF(COUNTIF(MUSTERILER!$B$7:$B$156,B32)=0,"TANIMSIZ MÜŞTERİ","UYGUN")))</f>
        <v>UYGUN</v>
      </c>
      <c r="L32" s="43">
        <f t="shared" si="2"/>
        <v>46025</v>
      </c>
      <c r="M32" s="96">
        <v>34</v>
      </c>
      <c r="N32" s="22">
        <f>IF(B32="","",IF(E32="",SISTEM!$C$17,MIN(E32,SISTEM!$C$17)))</f>
        <v>46261</v>
      </c>
      <c r="O32" s="22">
        <f t="shared" si="3"/>
        <v>46025</v>
      </c>
      <c r="P32" s="22">
        <f t="shared" si="4"/>
        <v>34</v>
      </c>
    </row>
    <row r="33" spans="1:16" ht="17">
      <c r="A33" s="6"/>
      <c r="B33" s="95" t="s">
        <v>513</v>
      </c>
      <c r="C33" s="96" t="s">
        <v>514</v>
      </c>
      <c r="D33" s="97">
        <v>46023</v>
      </c>
      <c r="E33" s="97"/>
      <c r="F33" s="96" t="s">
        <v>593</v>
      </c>
      <c r="G33" s="98">
        <v>3000</v>
      </c>
      <c r="H33" s="41" t="str">
        <f>IF(OR(B33="",D33="",F33="",G33=""),"",IF(AND(E33&lt;&gt;"",E33&lt;SISTEM!$C$17),"Pasif","Aktif"))</f>
        <v>Aktif</v>
      </c>
      <c r="I33" s="74">
        <f t="shared" si="0"/>
        <v>102000</v>
      </c>
      <c r="J33" s="42">
        <f t="shared" si="1"/>
        <v>34</v>
      </c>
      <c r="K33" s="43" t="str">
        <f>IF(AND(B33="",C33=""),"",IF(OR(B33="",C33="",D33="",F33="",G33=""),"EKSİK",IF(COUNTIF(MUSTERILER!$B$7:$B$156,B33)=0,"TANIMSIZ MÜŞTERİ","UYGUN")))</f>
        <v>UYGUN</v>
      </c>
      <c r="L33" s="43">
        <f t="shared" si="2"/>
        <v>46025</v>
      </c>
      <c r="M33" s="96">
        <v>34</v>
      </c>
      <c r="N33" s="22">
        <f>IF(B33="","",IF(E33="",SISTEM!$C$17,MIN(E33,SISTEM!$C$17)))</f>
        <v>46261</v>
      </c>
      <c r="O33" s="22">
        <f t="shared" si="3"/>
        <v>46025</v>
      </c>
      <c r="P33" s="22">
        <f t="shared" si="4"/>
        <v>34</v>
      </c>
    </row>
    <row r="34" spans="1:16" ht="17">
      <c r="A34" s="6"/>
      <c r="B34" s="95" t="s">
        <v>515</v>
      </c>
      <c r="C34" s="96" t="s">
        <v>516</v>
      </c>
      <c r="D34" s="97">
        <v>46023</v>
      </c>
      <c r="E34" s="97"/>
      <c r="F34" s="96" t="s">
        <v>592</v>
      </c>
      <c r="G34" s="98">
        <v>2000</v>
      </c>
      <c r="H34" s="41" t="str">
        <f>IF(OR(B34="",D34="",F34="",G34=""),"",IF(AND(E34&lt;&gt;"",E34&lt;SISTEM!$C$17),"Pasif","Aktif"))</f>
        <v>Aktif</v>
      </c>
      <c r="I34" s="74">
        <f t="shared" si="0"/>
        <v>16000</v>
      </c>
      <c r="J34" s="42">
        <f t="shared" si="1"/>
        <v>8</v>
      </c>
      <c r="K34" s="43" t="str">
        <f>IF(AND(B34="",C34=""),"",IF(OR(B34="",C34="",D34="",F34="",G34=""),"EKSİK",IF(COUNTIF(MUSTERILER!$B$7:$B$156,B34)=0,"TANIMSIZ MÜŞTERİ","UYGUN")))</f>
        <v>UYGUN</v>
      </c>
      <c r="L34" s="43">
        <f t="shared" si="2"/>
        <v>46053</v>
      </c>
      <c r="M34" s="96">
        <v>7</v>
      </c>
      <c r="N34" s="22">
        <f>IF(B34="","",IF(E34="",SISTEM!$C$17,MIN(E34,SISTEM!$C$17)))</f>
        <v>46261</v>
      </c>
      <c r="O34" s="22">
        <f t="shared" si="3"/>
        <v>46053</v>
      </c>
      <c r="P34" s="22">
        <f t="shared" si="4"/>
        <v>8</v>
      </c>
    </row>
    <row r="35" spans="1:16" ht="17">
      <c r="A35" s="6"/>
      <c r="B35" s="95" t="s">
        <v>517</v>
      </c>
      <c r="C35" s="96" t="s">
        <v>518</v>
      </c>
      <c r="D35" s="97">
        <v>46023</v>
      </c>
      <c r="E35" s="97"/>
      <c r="F35" s="96" t="s">
        <v>592</v>
      </c>
      <c r="G35" s="98">
        <v>3000</v>
      </c>
      <c r="H35" s="41" t="str">
        <f>IF(OR(B35="",D35="",F35="",G35=""),"",IF(AND(E35&lt;&gt;"",E35&lt;SISTEM!$C$17),"Pasif","Aktif"))</f>
        <v>Aktif</v>
      </c>
      <c r="I35" s="74">
        <f t="shared" si="0"/>
        <v>24000</v>
      </c>
      <c r="J35" s="42">
        <f t="shared" si="1"/>
        <v>8</v>
      </c>
      <c r="K35" s="43" t="str">
        <f>IF(AND(B35="",C35=""),"",IF(OR(B35="",C35="",D35="",F35="",G35=""),"EKSİK",IF(COUNTIF(MUSTERILER!$B$7:$B$156,B35)=0,"TANIMSIZ MÜŞTERİ","UYGUN")))</f>
        <v>UYGUN</v>
      </c>
      <c r="L35" s="43">
        <f t="shared" si="2"/>
        <v>46053</v>
      </c>
      <c r="M35" s="96">
        <v>7</v>
      </c>
      <c r="N35" s="22">
        <f>IF(B35="","",IF(E35="",SISTEM!$C$17,MIN(E35,SISTEM!$C$17)))</f>
        <v>46261</v>
      </c>
      <c r="O35" s="22">
        <f t="shared" si="3"/>
        <v>46053</v>
      </c>
      <c r="P35" s="22">
        <f t="shared" si="4"/>
        <v>8</v>
      </c>
    </row>
    <row r="36" spans="1:16" ht="17">
      <c r="A36" s="6"/>
      <c r="B36" s="95" t="s">
        <v>519</v>
      </c>
      <c r="C36" s="96" t="s">
        <v>520</v>
      </c>
      <c r="D36" s="97">
        <v>46023</v>
      </c>
      <c r="E36" s="97"/>
      <c r="F36" s="96" t="s">
        <v>592</v>
      </c>
      <c r="G36" s="98">
        <v>3000</v>
      </c>
      <c r="H36" s="41" t="str">
        <f>IF(OR(B36="",D36="",F36="",G36=""),"",IF(AND(E36&lt;&gt;"",E36&lt;SISTEM!$C$17),"Pasif","Aktif"))</f>
        <v>Aktif</v>
      </c>
      <c r="I36" s="74">
        <f t="shared" si="0"/>
        <v>24000</v>
      </c>
      <c r="J36" s="42">
        <f t="shared" si="1"/>
        <v>8</v>
      </c>
      <c r="K36" s="43" t="str">
        <f>IF(AND(B36="",C36=""),"",IF(OR(B36="",C36="",D36="",F36="",G36=""),"EKSİK",IF(COUNTIF(MUSTERILER!$B$7:$B$156,B36)=0,"TANIMSIZ MÜŞTERİ","UYGUN")))</f>
        <v>UYGUN</v>
      </c>
      <c r="L36" s="43">
        <f t="shared" si="2"/>
        <v>46053</v>
      </c>
      <c r="M36" s="96">
        <v>7</v>
      </c>
      <c r="N36" s="22">
        <f>IF(B36="","",IF(E36="",SISTEM!$C$17,MIN(E36,SISTEM!$C$17)))</f>
        <v>46261</v>
      </c>
      <c r="O36" s="22">
        <f t="shared" si="3"/>
        <v>46053</v>
      </c>
      <c r="P36" s="22">
        <f t="shared" si="4"/>
        <v>8</v>
      </c>
    </row>
    <row r="37" spans="1:16" ht="17">
      <c r="A37" s="6"/>
      <c r="B37" s="95" t="s">
        <v>521</v>
      </c>
      <c r="C37" s="96" t="s">
        <v>522</v>
      </c>
      <c r="D37" s="97">
        <v>46023</v>
      </c>
      <c r="E37" s="97"/>
      <c r="F37" s="96" t="s">
        <v>592</v>
      </c>
      <c r="G37" s="98">
        <v>1500</v>
      </c>
      <c r="H37" s="41" t="str">
        <f>IF(OR(B37="",D37="",F37="",G37=""),"",IF(AND(E37&lt;&gt;"",E37&lt;SISTEM!$C$17),"Pasif","Aktif"))</f>
        <v>Aktif</v>
      </c>
      <c r="I37" s="74">
        <f t="shared" si="0"/>
        <v>12000</v>
      </c>
      <c r="J37" s="42">
        <f t="shared" si="1"/>
        <v>8</v>
      </c>
      <c r="K37" s="43" t="str">
        <f>IF(AND(B37="",C37=""),"",IF(OR(B37="",C37="",D37="",F37="",G37=""),"EKSİK",IF(COUNTIF(MUSTERILER!$B$7:$B$156,B37)=0,"TANIMSIZ MÜŞTERİ","UYGUN")))</f>
        <v>UYGUN</v>
      </c>
      <c r="L37" s="43">
        <f t="shared" si="2"/>
        <v>46053</v>
      </c>
      <c r="M37" s="96">
        <v>7</v>
      </c>
      <c r="N37" s="22">
        <f>IF(B37="","",IF(E37="",SISTEM!$C$17,MIN(E37,SISTEM!$C$17)))</f>
        <v>46261</v>
      </c>
      <c r="O37" s="22">
        <f t="shared" si="3"/>
        <v>46053</v>
      </c>
      <c r="P37" s="22">
        <f t="shared" si="4"/>
        <v>8</v>
      </c>
    </row>
    <row r="38" spans="1:16" ht="17">
      <c r="A38" s="6"/>
      <c r="B38" s="95" t="s">
        <v>523</v>
      </c>
      <c r="C38" s="96" t="s">
        <v>524</v>
      </c>
      <c r="D38" s="97">
        <v>46174</v>
      </c>
      <c r="E38" s="97"/>
      <c r="F38" s="96" t="s">
        <v>592</v>
      </c>
      <c r="G38" s="98">
        <v>5000</v>
      </c>
      <c r="H38" s="41" t="str">
        <f>IF(OR(B38="",D38="",F38="",G38=""),"",IF(AND(E38&lt;&gt;"",E38&lt;SISTEM!$C$17),"Pasif","Aktif"))</f>
        <v>Aktif</v>
      </c>
      <c r="I38" s="74">
        <f t="shared" si="0"/>
        <v>15000</v>
      </c>
      <c r="J38" s="42">
        <f t="shared" si="1"/>
        <v>3</v>
      </c>
      <c r="K38" s="43" t="str">
        <f>IF(AND(B38="",C38=""),"",IF(OR(B38="",C38="",D38="",F38="",G38=""),"EKSİK",IF(COUNTIF(MUSTERILER!$B$7:$B$156,B38)=0,"TANIMSIZ MÜŞTERİ","UYGUN")))</f>
        <v>UYGUN</v>
      </c>
      <c r="L38" s="43">
        <f t="shared" si="2"/>
        <v>46203</v>
      </c>
      <c r="M38" s="96">
        <v>2</v>
      </c>
      <c r="N38" s="22">
        <f>IF(B38="","",IF(E38="",SISTEM!$C$17,MIN(E38,SISTEM!$C$17)))</f>
        <v>46261</v>
      </c>
      <c r="O38" s="22">
        <f t="shared" si="3"/>
        <v>46203</v>
      </c>
      <c r="P38" s="22">
        <f t="shared" si="4"/>
        <v>3</v>
      </c>
    </row>
    <row r="39" spans="1:16" ht="17">
      <c r="A39" s="6"/>
      <c r="B39" s="95" t="s">
        <v>525</v>
      </c>
      <c r="C39" s="96" t="s">
        <v>526</v>
      </c>
      <c r="D39" s="97">
        <v>46023</v>
      </c>
      <c r="E39" s="97"/>
      <c r="F39" s="96" t="s">
        <v>593</v>
      </c>
      <c r="G39" s="98">
        <v>3500</v>
      </c>
      <c r="H39" s="41" t="str">
        <f>IF(OR(B39="",D39="",F39="",G39=""),"",IF(AND(E39&lt;&gt;"",E39&lt;SISTEM!$C$17),"Pasif","Aktif"))</f>
        <v>Aktif</v>
      </c>
      <c r="I39" s="74">
        <f t="shared" si="0"/>
        <v>119000</v>
      </c>
      <c r="J39" s="42">
        <f t="shared" si="1"/>
        <v>34</v>
      </c>
      <c r="K39" s="43" t="str">
        <f>IF(AND(B39="",C39=""),"",IF(OR(B39="",C39="",D39="",F39="",G39=""),"EKSİK",IF(COUNTIF(MUSTERILER!$B$7:$B$156,B39)=0,"TANIMSIZ MÜŞTERİ","UYGUN")))</f>
        <v>UYGUN</v>
      </c>
      <c r="L39" s="43">
        <f t="shared" si="2"/>
        <v>46025</v>
      </c>
      <c r="M39" s="96">
        <v>34</v>
      </c>
      <c r="N39" s="22">
        <f>IF(B39="","",IF(E39="",SISTEM!$C$17,MIN(E39,SISTEM!$C$17)))</f>
        <v>46261</v>
      </c>
      <c r="O39" s="22">
        <f t="shared" si="3"/>
        <v>46025</v>
      </c>
      <c r="P39" s="22">
        <f t="shared" si="4"/>
        <v>34</v>
      </c>
    </row>
    <row r="40" spans="1:16" ht="17">
      <c r="A40" s="6"/>
      <c r="B40" s="95" t="s">
        <v>527</v>
      </c>
      <c r="C40" s="96" t="s">
        <v>528</v>
      </c>
      <c r="D40" s="97">
        <v>46023</v>
      </c>
      <c r="E40" s="97"/>
      <c r="F40" s="96" t="s">
        <v>592</v>
      </c>
      <c r="G40" s="98">
        <v>1</v>
      </c>
      <c r="H40" s="41" t="str">
        <f>IF(OR(B40="",D40="",F40="",G40=""),"",IF(AND(E40&lt;&gt;"",E40&lt;SISTEM!$C$17),"Pasif","Aktif"))</f>
        <v>Aktif</v>
      </c>
      <c r="I40" s="74">
        <f t="shared" si="0"/>
        <v>8</v>
      </c>
      <c r="J40" s="42">
        <f t="shared" si="1"/>
        <v>8</v>
      </c>
      <c r="K40" s="43" t="str">
        <f>IF(AND(B40="",C40=""),"",IF(OR(B40="",C40="",D40="",F40="",G40=""),"EKSİK",IF(COUNTIF(MUSTERILER!$B$7:$B$156,B40)=0,"TANIMSIZ MÜŞTERİ","UYGUN")))</f>
        <v>UYGUN</v>
      </c>
      <c r="L40" s="43">
        <f t="shared" si="2"/>
        <v>46053</v>
      </c>
      <c r="M40" s="96">
        <v>7</v>
      </c>
      <c r="N40" s="22">
        <f>IF(B40="","",IF(E40="",SISTEM!$C$17,MIN(E40,SISTEM!$C$17)))</f>
        <v>46261</v>
      </c>
      <c r="O40" s="22">
        <f t="shared" si="3"/>
        <v>46053</v>
      </c>
      <c r="P40" s="22">
        <f t="shared" si="4"/>
        <v>8</v>
      </c>
    </row>
    <row r="41" spans="1:16" ht="17">
      <c r="A41" s="6"/>
      <c r="B41" s="95" t="s">
        <v>530</v>
      </c>
      <c r="C41" s="96" t="s">
        <v>531</v>
      </c>
      <c r="D41" s="97">
        <v>46023</v>
      </c>
      <c r="E41" s="97"/>
      <c r="F41" s="96" t="s">
        <v>592</v>
      </c>
      <c r="G41" s="98">
        <v>3000</v>
      </c>
      <c r="H41" s="41" t="str">
        <f>IF(OR(B41="",D41="",F41="",G41=""),"",IF(AND(E41&lt;&gt;"",E41&lt;SISTEM!$C$17),"Pasif","Aktif"))</f>
        <v>Aktif</v>
      </c>
      <c r="I41" s="74">
        <f t="shared" si="0"/>
        <v>24000</v>
      </c>
      <c r="J41" s="42">
        <f t="shared" si="1"/>
        <v>8</v>
      </c>
      <c r="K41" s="43" t="str">
        <f>IF(AND(B41="",C41=""),"",IF(OR(B41="",C41="",D41="",F41="",G41=""),"EKSİK",IF(COUNTIF(MUSTERILER!$B$7:$B$156,B41)=0,"TANIMSIZ MÜŞTERİ","UYGUN")))</f>
        <v>UYGUN</v>
      </c>
      <c r="L41" s="43">
        <f t="shared" si="2"/>
        <v>46053</v>
      </c>
      <c r="M41" s="96">
        <v>7</v>
      </c>
      <c r="N41" s="22">
        <f>IF(B41="","",IF(E41="",SISTEM!$C$17,MIN(E41,SISTEM!$C$17)))</f>
        <v>46261</v>
      </c>
      <c r="O41" s="22">
        <f t="shared" si="3"/>
        <v>46053</v>
      </c>
      <c r="P41" s="22">
        <f t="shared" si="4"/>
        <v>8</v>
      </c>
    </row>
    <row r="42" spans="1:16" ht="17">
      <c r="A42" s="6"/>
      <c r="B42" s="95" t="s">
        <v>532</v>
      </c>
      <c r="C42" s="96" t="s">
        <v>533</v>
      </c>
      <c r="D42" s="97">
        <v>46023</v>
      </c>
      <c r="E42" s="97"/>
      <c r="F42" s="96" t="s">
        <v>592</v>
      </c>
      <c r="G42" s="98">
        <v>2000</v>
      </c>
      <c r="H42" s="41" t="str">
        <f>IF(OR(B42="",D42="",F42="",G42=""),"",IF(AND(E42&lt;&gt;"",E42&lt;SISTEM!$C$17),"Pasif","Aktif"))</f>
        <v>Aktif</v>
      </c>
      <c r="I42" s="74">
        <f t="shared" si="0"/>
        <v>16000</v>
      </c>
      <c r="J42" s="42">
        <f t="shared" si="1"/>
        <v>8</v>
      </c>
      <c r="K42" s="43" t="str">
        <f>IF(AND(B42="",C42=""),"",IF(OR(B42="",C42="",D42="",F42="",G42=""),"EKSİK",IF(COUNTIF(MUSTERILER!$B$7:$B$156,B42)=0,"TANIMSIZ MÜŞTERİ","UYGUN")))</f>
        <v>UYGUN</v>
      </c>
      <c r="L42" s="43">
        <f t="shared" si="2"/>
        <v>46053</v>
      </c>
      <c r="M42" s="96">
        <v>7</v>
      </c>
      <c r="N42" s="22">
        <f>IF(B42="","",IF(E42="",SISTEM!$C$17,MIN(E42,SISTEM!$C$17)))</f>
        <v>46261</v>
      </c>
      <c r="O42" s="22">
        <f t="shared" si="3"/>
        <v>46053</v>
      </c>
      <c r="P42" s="22">
        <f t="shared" si="4"/>
        <v>8</v>
      </c>
    </row>
    <row r="43" spans="1:16" ht="17">
      <c r="A43" s="6"/>
      <c r="B43" s="95" t="s">
        <v>534</v>
      </c>
      <c r="C43" s="96" t="s">
        <v>535</v>
      </c>
      <c r="D43" s="97">
        <v>46023</v>
      </c>
      <c r="E43" s="97"/>
      <c r="F43" s="96" t="s">
        <v>593</v>
      </c>
      <c r="G43" s="98">
        <v>2000</v>
      </c>
      <c r="H43" s="41" t="str">
        <f>IF(OR(B43="",D43="",F43="",G43=""),"",IF(AND(E43&lt;&gt;"",E43&lt;SISTEM!$C$17),"Pasif","Aktif"))</f>
        <v>Aktif</v>
      </c>
      <c r="I43" s="74">
        <f t="shared" si="0"/>
        <v>68000</v>
      </c>
      <c r="J43" s="42">
        <f t="shared" si="1"/>
        <v>34</v>
      </c>
      <c r="K43" s="43" t="str">
        <f>IF(AND(B43="",C43=""),"",IF(OR(B43="",C43="",D43="",F43="",G43=""),"EKSİK",IF(COUNTIF(MUSTERILER!$B$7:$B$156,B43)=0,"TANIMSIZ MÜŞTERİ","UYGUN")))</f>
        <v>UYGUN</v>
      </c>
      <c r="L43" s="43">
        <f t="shared" si="2"/>
        <v>46025</v>
      </c>
      <c r="M43" s="96">
        <v>34</v>
      </c>
      <c r="N43" s="22">
        <f>IF(B43="","",IF(E43="",SISTEM!$C$17,MIN(E43,SISTEM!$C$17)))</f>
        <v>46261</v>
      </c>
      <c r="O43" s="22">
        <f t="shared" si="3"/>
        <v>46025</v>
      </c>
      <c r="P43" s="22">
        <f t="shared" si="4"/>
        <v>34</v>
      </c>
    </row>
    <row r="44" spans="1:16" ht="17">
      <c r="A44" s="6"/>
      <c r="B44" s="95" t="s">
        <v>536</v>
      </c>
      <c r="C44" s="96" t="s">
        <v>537</v>
      </c>
      <c r="D44" s="97">
        <v>46023</v>
      </c>
      <c r="E44" s="97"/>
      <c r="F44" s="96" t="s">
        <v>592</v>
      </c>
      <c r="G44" s="98">
        <v>7500</v>
      </c>
      <c r="H44" s="41" t="str">
        <f>IF(OR(B44="",D44="",F44="",G44=""),"",IF(AND(E44&lt;&gt;"",E44&lt;SISTEM!$C$17),"Pasif","Aktif"))</f>
        <v>Aktif</v>
      </c>
      <c r="I44" s="74">
        <f t="shared" si="0"/>
        <v>60000</v>
      </c>
      <c r="J44" s="42">
        <f t="shared" si="1"/>
        <v>8</v>
      </c>
      <c r="K44" s="43" t="str">
        <f>IF(AND(B44="",C44=""),"",IF(OR(B44="",C44="",D44="",F44="",G44=""),"EKSİK",IF(COUNTIF(MUSTERILER!$B$7:$B$156,B44)=0,"TANIMSIZ MÜŞTERİ","UYGUN")))</f>
        <v>UYGUN</v>
      </c>
      <c r="L44" s="43">
        <f t="shared" si="2"/>
        <v>46053</v>
      </c>
      <c r="M44" s="96">
        <v>7</v>
      </c>
      <c r="N44" s="22">
        <f>IF(B44="","",IF(E44="",SISTEM!$C$17,MIN(E44,SISTEM!$C$17)))</f>
        <v>46261</v>
      </c>
      <c r="O44" s="22">
        <f t="shared" si="3"/>
        <v>46053</v>
      </c>
      <c r="P44" s="22">
        <f t="shared" si="4"/>
        <v>8</v>
      </c>
    </row>
    <row r="45" spans="1:16" ht="17">
      <c r="A45" s="6"/>
      <c r="B45" s="95" t="s">
        <v>538</v>
      </c>
      <c r="C45" s="96" t="s">
        <v>539</v>
      </c>
      <c r="D45" s="97">
        <v>46143</v>
      </c>
      <c r="E45" s="97"/>
      <c r="F45" s="96" t="s">
        <v>592</v>
      </c>
      <c r="G45" s="98">
        <v>3500</v>
      </c>
      <c r="H45" s="41" t="str">
        <f>IF(OR(B45="",D45="",F45="",G45=""),"",IF(AND(E45&lt;&gt;"",E45&lt;SISTEM!$C$17),"Pasif","Aktif"))</f>
        <v>Aktif</v>
      </c>
      <c r="I45" s="74">
        <f t="shared" si="0"/>
        <v>14000</v>
      </c>
      <c r="J45" s="42">
        <f t="shared" si="1"/>
        <v>4</v>
      </c>
      <c r="K45" s="43" t="str">
        <f>IF(AND(B45="",C45=""),"",IF(OR(B45="",C45="",D45="",F45="",G45=""),"EKSİK",IF(COUNTIF(MUSTERILER!$B$7:$B$156,B45)=0,"TANIMSIZ MÜŞTERİ","UYGUN")))</f>
        <v>UYGUN</v>
      </c>
      <c r="L45" s="43">
        <f t="shared" si="2"/>
        <v>46173</v>
      </c>
      <c r="M45" s="96">
        <v>3</v>
      </c>
      <c r="N45" s="22">
        <f>IF(B45="","",IF(E45="",SISTEM!$C$17,MIN(E45,SISTEM!$C$17)))</f>
        <v>46261</v>
      </c>
      <c r="O45" s="22">
        <f t="shared" si="3"/>
        <v>46173</v>
      </c>
      <c r="P45" s="22">
        <f t="shared" si="4"/>
        <v>4</v>
      </c>
    </row>
    <row r="46" spans="1:16" ht="17">
      <c r="A46" s="6"/>
      <c r="B46" s="95" t="s">
        <v>540</v>
      </c>
      <c r="C46" s="96" t="s">
        <v>541</v>
      </c>
      <c r="D46" s="97">
        <v>46023</v>
      </c>
      <c r="E46" s="97"/>
      <c r="F46" s="96" t="s">
        <v>593</v>
      </c>
      <c r="G46" s="98">
        <v>4000</v>
      </c>
      <c r="H46" s="41" t="str">
        <f>IF(OR(B46="",D46="",F46="",G46=""),"",IF(AND(E46&lt;&gt;"",E46&lt;SISTEM!$C$17),"Pasif","Aktif"))</f>
        <v>Aktif</v>
      </c>
      <c r="I46" s="74">
        <f t="shared" si="0"/>
        <v>136000</v>
      </c>
      <c r="J46" s="42">
        <f t="shared" si="1"/>
        <v>34</v>
      </c>
      <c r="K46" s="43" t="str">
        <f>IF(AND(B46="",C46=""),"",IF(OR(B46="",C46="",D46="",F46="",G46=""),"EKSİK",IF(COUNTIF(MUSTERILER!$B$7:$B$156,B46)=0,"TANIMSIZ MÜŞTERİ","UYGUN")))</f>
        <v>UYGUN</v>
      </c>
      <c r="L46" s="43">
        <f t="shared" si="2"/>
        <v>46025</v>
      </c>
      <c r="M46" s="96">
        <v>34</v>
      </c>
      <c r="N46" s="22">
        <f>IF(B46="","",IF(E46="",SISTEM!$C$17,MIN(E46,SISTEM!$C$17)))</f>
        <v>46261</v>
      </c>
      <c r="O46" s="22">
        <f t="shared" si="3"/>
        <v>46025</v>
      </c>
      <c r="P46" s="22">
        <f t="shared" si="4"/>
        <v>34</v>
      </c>
    </row>
    <row r="47" spans="1:16" ht="17">
      <c r="A47" s="6"/>
      <c r="B47" s="95" t="s">
        <v>542</v>
      </c>
      <c r="C47" s="96" t="s">
        <v>543</v>
      </c>
      <c r="D47" s="97">
        <v>46023</v>
      </c>
      <c r="E47" s="97"/>
      <c r="F47" s="96" t="s">
        <v>593</v>
      </c>
      <c r="G47" s="98">
        <v>4000</v>
      </c>
      <c r="H47" s="41" t="str">
        <f>IF(OR(B47="",D47="",F47="",G47=""),"",IF(AND(E47&lt;&gt;"",E47&lt;SISTEM!$C$17),"Pasif","Aktif"))</f>
        <v>Aktif</v>
      </c>
      <c r="I47" s="74">
        <f t="shared" si="0"/>
        <v>136000</v>
      </c>
      <c r="J47" s="42">
        <f t="shared" si="1"/>
        <v>34</v>
      </c>
      <c r="K47" s="43" t="str">
        <f>IF(AND(B47="",C47=""),"",IF(OR(B47="",C47="",D47="",F47="",G47=""),"EKSİK",IF(COUNTIF(MUSTERILER!$B$7:$B$156,B47)=0,"TANIMSIZ MÜŞTERİ","UYGUN")))</f>
        <v>UYGUN</v>
      </c>
      <c r="L47" s="43">
        <f t="shared" si="2"/>
        <v>46025</v>
      </c>
      <c r="M47" s="96">
        <v>34</v>
      </c>
      <c r="N47" s="22">
        <f>IF(B47="","",IF(E47="",SISTEM!$C$17,MIN(E47,SISTEM!$C$17)))</f>
        <v>46261</v>
      </c>
      <c r="O47" s="22">
        <f t="shared" si="3"/>
        <v>46025</v>
      </c>
      <c r="P47" s="22">
        <f t="shared" si="4"/>
        <v>34</v>
      </c>
    </row>
    <row r="48" spans="1:16" ht="17">
      <c r="A48" s="6"/>
      <c r="B48" s="95" t="s">
        <v>544</v>
      </c>
      <c r="C48" s="96" t="s">
        <v>545</v>
      </c>
      <c r="D48" s="97">
        <v>46023</v>
      </c>
      <c r="E48" s="97">
        <v>46178</v>
      </c>
      <c r="F48" s="96" t="s">
        <v>593</v>
      </c>
      <c r="G48" s="98">
        <v>4000</v>
      </c>
      <c r="H48" s="41" t="str">
        <f>IF(OR(B48="",D48="",F48="",G48=""),"",IF(AND(E48&lt;&gt;"",E48&lt;SISTEM!$C$17),"Pasif","Aktif"))</f>
        <v>Pasif</v>
      </c>
      <c r="I48" s="74">
        <f t="shared" si="0"/>
        <v>88000</v>
      </c>
      <c r="J48" s="42">
        <f t="shared" si="1"/>
        <v>22</v>
      </c>
      <c r="K48" s="43" t="str">
        <f>IF(AND(B48="",C48=""),"",IF(OR(B48="",C48="",D48="",F48="",G48=""),"EKSİK",IF(COUNTIF(MUSTERILER!$B$7:$B$156,B48)=0,"TANIMSIZ MÜŞTERİ","UYGUN")))</f>
        <v>UYGUN</v>
      </c>
      <c r="L48" s="43">
        <f t="shared" si="2"/>
        <v>46025</v>
      </c>
      <c r="M48" s="96">
        <v>22</v>
      </c>
      <c r="N48" s="22">
        <f>IF(B48="","",IF(E48="",SISTEM!$C$17,MIN(E48,SISTEM!$C$17)))</f>
        <v>46178</v>
      </c>
      <c r="O48" s="22">
        <f t="shared" si="3"/>
        <v>46025</v>
      </c>
      <c r="P48" s="22">
        <f t="shared" si="4"/>
        <v>22</v>
      </c>
    </row>
    <row r="49" spans="1:16" ht="17">
      <c r="A49" s="6"/>
      <c r="B49" s="95" t="s">
        <v>546</v>
      </c>
      <c r="C49" s="96" t="s">
        <v>547</v>
      </c>
      <c r="D49" s="97">
        <v>46023</v>
      </c>
      <c r="E49" s="97"/>
      <c r="F49" s="96" t="s">
        <v>592</v>
      </c>
      <c r="G49" s="98">
        <v>3000</v>
      </c>
      <c r="H49" s="41" t="str">
        <f>IF(OR(B49="",D49="",F49="",G49=""),"",IF(AND(E49&lt;&gt;"",E49&lt;SISTEM!$C$17),"Pasif","Aktif"))</f>
        <v>Aktif</v>
      </c>
      <c r="I49" s="74">
        <f t="shared" si="0"/>
        <v>24000</v>
      </c>
      <c r="J49" s="42">
        <f t="shared" si="1"/>
        <v>8</v>
      </c>
      <c r="K49" s="43" t="str">
        <f>IF(AND(B49="",C49=""),"",IF(OR(B49="",C49="",D49="",F49="",G49=""),"EKSİK",IF(COUNTIF(MUSTERILER!$B$7:$B$156,B49)=0,"TANIMSIZ MÜŞTERİ","UYGUN")))</f>
        <v>UYGUN</v>
      </c>
      <c r="L49" s="43">
        <f t="shared" si="2"/>
        <v>46053</v>
      </c>
      <c r="M49" s="96">
        <v>7</v>
      </c>
      <c r="N49" s="22">
        <f>IF(B49="","",IF(E49="",SISTEM!$C$17,MIN(E49,SISTEM!$C$17)))</f>
        <v>46261</v>
      </c>
      <c r="O49" s="22">
        <f t="shared" si="3"/>
        <v>46053</v>
      </c>
      <c r="P49" s="22">
        <f t="shared" si="4"/>
        <v>8</v>
      </c>
    </row>
    <row r="50" spans="1:16" ht="17">
      <c r="A50" s="6"/>
      <c r="B50" s="95" t="s">
        <v>548</v>
      </c>
      <c r="C50" s="96" t="s">
        <v>549</v>
      </c>
      <c r="D50" s="97">
        <v>46023</v>
      </c>
      <c r="E50" s="97"/>
      <c r="F50" s="96" t="s">
        <v>593</v>
      </c>
      <c r="G50" s="98">
        <v>3000</v>
      </c>
      <c r="H50" s="41" t="str">
        <f>IF(OR(B50="",D50="",F50="",G50=""),"",IF(AND(E50&lt;&gt;"",E50&lt;SISTEM!$C$17),"Pasif","Aktif"))</f>
        <v>Aktif</v>
      </c>
      <c r="I50" s="74">
        <f t="shared" si="0"/>
        <v>102000</v>
      </c>
      <c r="J50" s="42">
        <f t="shared" si="1"/>
        <v>34</v>
      </c>
      <c r="K50" s="43" t="str">
        <f>IF(AND(B50="",C50=""),"",IF(OR(B50="",C50="",D50="",F50="",G50=""),"EKSİK",IF(COUNTIF(MUSTERILER!$B$7:$B$156,B50)=0,"TANIMSIZ MÜŞTERİ","UYGUN")))</f>
        <v>UYGUN</v>
      </c>
      <c r="L50" s="43">
        <f t="shared" si="2"/>
        <v>46025</v>
      </c>
      <c r="M50" s="96">
        <v>34</v>
      </c>
      <c r="N50" s="22">
        <f>IF(B50="","",IF(E50="",SISTEM!$C$17,MIN(E50,SISTEM!$C$17)))</f>
        <v>46261</v>
      </c>
      <c r="O50" s="22">
        <f t="shared" si="3"/>
        <v>46025</v>
      </c>
      <c r="P50" s="22">
        <f t="shared" si="4"/>
        <v>34</v>
      </c>
    </row>
    <row r="51" spans="1:16" ht="17">
      <c r="A51" s="6"/>
      <c r="B51" s="95" t="s">
        <v>550</v>
      </c>
      <c r="C51" s="96" t="s">
        <v>551</v>
      </c>
      <c r="D51" s="97">
        <v>46023</v>
      </c>
      <c r="E51" s="97">
        <v>46173</v>
      </c>
      <c r="F51" s="96" t="s">
        <v>592</v>
      </c>
      <c r="G51" s="98">
        <v>2000</v>
      </c>
      <c r="H51" s="41" t="str">
        <f>IF(OR(B51="",D51="",F51="",G51=""),"",IF(AND(E51&lt;&gt;"",E51&lt;SISTEM!$C$17),"Pasif","Aktif"))</f>
        <v>Pasif</v>
      </c>
      <c r="I51" s="74">
        <f t="shared" si="0"/>
        <v>10000</v>
      </c>
      <c r="J51" s="42">
        <f t="shared" si="1"/>
        <v>5</v>
      </c>
      <c r="K51" s="43" t="str">
        <f>IF(AND(B51="",C51=""),"",IF(OR(B51="",C51="",D51="",F51="",G51=""),"EKSİK",IF(COUNTIF(MUSTERILER!$B$7:$B$156,B51)=0,"TANIMSIZ MÜŞTERİ","UYGUN")))</f>
        <v>UYGUN</v>
      </c>
      <c r="L51" s="43">
        <f t="shared" si="2"/>
        <v>46053</v>
      </c>
      <c r="M51" s="96">
        <v>5</v>
      </c>
      <c r="N51" s="22">
        <f>IF(B51="","",IF(E51="",SISTEM!$C$17,MIN(E51,SISTEM!$C$17)))</f>
        <v>46173</v>
      </c>
      <c r="O51" s="22">
        <f t="shared" si="3"/>
        <v>46053</v>
      </c>
      <c r="P51" s="22">
        <f t="shared" si="4"/>
        <v>5</v>
      </c>
    </row>
    <row r="52" spans="1:16" ht="17">
      <c r="A52" s="6"/>
      <c r="B52" s="95" t="s">
        <v>552</v>
      </c>
      <c r="C52" s="96" t="s">
        <v>553</v>
      </c>
      <c r="D52" s="97">
        <v>46235</v>
      </c>
      <c r="E52" s="97"/>
      <c r="F52" s="96" t="s">
        <v>593</v>
      </c>
      <c r="G52" s="98">
        <v>3000</v>
      </c>
      <c r="H52" s="41" t="str">
        <f>IF(OR(B52="",D52="",F52="",G52=""),"",IF(AND(E52&lt;&gt;"",E52&lt;SISTEM!$C$17),"Pasif","Aktif"))</f>
        <v>Aktif</v>
      </c>
      <c r="I52" s="74">
        <f t="shared" si="0"/>
        <v>12000</v>
      </c>
      <c r="J52" s="42">
        <f t="shared" si="1"/>
        <v>4</v>
      </c>
      <c r="K52" s="43" t="str">
        <f>IF(AND(B52="",C52=""),"",IF(OR(B52="",C52="",D52="",F52="",G52=""),"EKSİK",IF(COUNTIF(MUSTERILER!$B$7:$B$156,B52)=0,"TANIMSIZ MÜŞTERİ","UYGUN")))</f>
        <v>UYGUN</v>
      </c>
      <c r="L52" s="43">
        <f t="shared" si="2"/>
        <v>46235</v>
      </c>
      <c r="M52" s="96">
        <v>4</v>
      </c>
      <c r="N52" s="22">
        <f>IF(B52="","",IF(E52="",SISTEM!$C$17,MIN(E52,SISTEM!$C$17)))</f>
        <v>46261</v>
      </c>
      <c r="O52" s="22">
        <f t="shared" si="3"/>
        <v>46235</v>
      </c>
      <c r="P52" s="22">
        <f t="shared" si="4"/>
        <v>4</v>
      </c>
    </row>
    <row r="53" spans="1:16" ht="17">
      <c r="A53" s="6"/>
      <c r="B53" s="95" t="s">
        <v>554</v>
      </c>
      <c r="C53" s="96" t="s">
        <v>555</v>
      </c>
      <c r="D53" s="97">
        <v>46023</v>
      </c>
      <c r="E53" s="97"/>
      <c r="F53" s="96" t="s">
        <v>593</v>
      </c>
      <c r="G53" s="98">
        <v>4000</v>
      </c>
      <c r="H53" s="41" t="str">
        <f>IF(OR(B53="",D53="",F53="",G53=""),"",IF(AND(E53&lt;&gt;"",E53&lt;SISTEM!$C$17),"Pasif","Aktif"))</f>
        <v>Aktif</v>
      </c>
      <c r="I53" s="74">
        <f t="shared" si="0"/>
        <v>136000</v>
      </c>
      <c r="J53" s="42">
        <f t="shared" si="1"/>
        <v>34</v>
      </c>
      <c r="K53" s="43" t="str">
        <f>IF(AND(B53="",C53=""),"",IF(OR(B53="",C53="",D53="",F53="",G53=""),"EKSİK",IF(COUNTIF(MUSTERILER!$B$7:$B$156,B53)=0,"TANIMSIZ MÜŞTERİ","UYGUN")))</f>
        <v>UYGUN</v>
      </c>
      <c r="L53" s="43">
        <f t="shared" si="2"/>
        <v>46025</v>
      </c>
      <c r="M53" s="96">
        <v>34</v>
      </c>
      <c r="N53" s="22">
        <f>IF(B53="","",IF(E53="",SISTEM!$C$17,MIN(E53,SISTEM!$C$17)))</f>
        <v>46261</v>
      </c>
      <c r="O53" s="22">
        <f t="shared" si="3"/>
        <v>46025</v>
      </c>
      <c r="P53" s="22">
        <f t="shared" si="4"/>
        <v>34</v>
      </c>
    </row>
    <row r="54" spans="1:16" ht="17">
      <c r="A54" s="6"/>
      <c r="B54" s="95" t="s">
        <v>556</v>
      </c>
      <c r="C54" s="96" t="s">
        <v>557</v>
      </c>
      <c r="D54" s="97">
        <v>46023</v>
      </c>
      <c r="E54" s="97"/>
      <c r="F54" s="96" t="s">
        <v>593</v>
      </c>
      <c r="G54" s="98">
        <v>4000</v>
      </c>
      <c r="H54" s="41" t="str">
        <f>IF(OR(B54="",D54="",F54="",G54=""),"",IF(AND(E54&lt;&gt;"",E54&lt;SISTEM!$C$17),"Pasif","Aktif"))</f>
        <v>Aktif</v>
      </c>
      <c r="I54" s="74">
        <f t="shared" si="0"/>
        <v>136000</v>
      </c>
      <c r="J54" s="42">
        <f t="shared" si="1"/>
        <v>34</v>
      </c>
      <c r="K54" s="43" t="str">
        <f>IF(AND(B54="",C54=""),"",IF(OR(B54="",C54="",D54="",F54="",G54=""),"EKSİK",IF(COUNTIF(MUSTERILER!$B$7:$B$156,B54)=0,"TANIMSIZ MÜŞTERİ","UYGUN")))</f>
        <v>UYGUN</v>
      </c>
      <c r="L54" s="43">
        <f t="shared" si="2"/>
        <v>46025</v>
      </c>
      <c r="M54" s="96">
        <v>34</v>
      </c>
      <c r="N54" s="22">
        <f>IF(B54="","",IF(E54="",SISTEM!$C$17,MIN(E54,SISTEM!$C$17)))</f>
        <v>46261</v>
      </c>
      <c r="O54" s="22">
        <f t="shared" si="3"/>
        <v>46025</v>
      </c>
      <c r="P54" s="22">
        <f t="shared" si="4"/>
        <v>34</v>
      </c>
    </row>
    <row r="55" spans="1:16" ht="17">
      <c r="A55" s="6"/>
      <c r="B55" s="95" t="s">
        <v>558</v>
      </c>
      <c r="C55" s="96" t="s">
        <v>559</v>
      </c>
      <c r="D55" s="97">
        <v>46023</v>
      </c>
      <c r="E55" s="97"/>
      <c r="F55" s="96" t="s">
        <v>592</v>
      </c>
      <c r="G55" s="98">
        <v>3000</v>
      </c>
      <c r="H55" s="41" t="str">
        <f>IF(OR(B55="",D55="",F55="",G55=""),"",IF(AND(E55&lt;&gt;"",E55&lt;SISTEM!$C$17),"Pasif","Aktif"))</f>
        <v>Aktif</v>
      </c>
      <c r="I55" s="74">
        <f t="shared" si="0"/>
        <v>24000</v>
      </c>
      <c r="J55" s="42">
        <f t="shared" si="1"/>
        <v>8</v>
      </c>
      <c r="K55" s="43" t="str">
        <f>IF(AND(B55="",C55=""),"",IF(OR(B55="",C55="",D55="",F55="",G55=""),"EKSİK",IF(COUNTIF(MUSTERILER!$B$7:$B$156,B55)=0,"TANIMSIZ MÜŞTERİ","UYGUN")))</f>
        <v>UYGUN</v>
      </c>
      <c r="L55" s="43">
        <f t="shared" si="2"/>
        <v>46053</v>
      </c>
      <c r="M55" s="96">
        <v>7</v>
      </c>
      <c r="N55" s="22">
        <f>IF(B55="","",IF(E55="",SISTEM!$C$17,MIN(E55,SISTEM!$C$17)))</f>
        <v>46261</v>
      </c>
      <c r="O55" s="22">
        <f t="shared" si="3"/>
        <v>46053</v>
      </c>
      <c r="P55" s="22">
        <f t="shared" si="4"/>
        <v>8</v>
      </c>
    </row>
    <row r="56" spans="1:16" ht="17">
      <c r="A56" s="6"/>
      <c r="B56" s="95" t="s">
        <v>560</v>
      </c>
      <c r="C56" s="96" t="s">
        <v>561</v>
      </c>
      <c r="D56" s="97">
        <v>46204</v>
      </c>
      <c r="E56" s="97"/>
      <c r="F56" s="96" t="s">
        <v>592</v>
      </c>
      <c r="G56" s="98">
        <v>10000</v>
      </c>
      <c r="H56" s="41" t="str">
        <f>IF(OR(B56="",D56="",F56="",G56=""),"",IF(AND(E56&lt;&gt;"",E56&lt;SISTEM!$C$17),"Pasif","Aktif"))</f>
        <v>Aktif</v>
      </c>
      <c r="I56" s="74">
        <f t="shared" si="0"/>
        <v>20000</v>
      </c>
      <c r="J56" s="42">
        <f t="shared" si="1"/>
        <v>2</v>
      </c>
      <c r="K56" s="43" t="str">
        <f>IF(AND(B56="",C56=""),"",IF(OR(B56="",C56="",D56="",F56="",G56=""),"EKSİK",IF(COUNTIF(MUSTERILER!$B$7:$B$156,B56)=0,"TANIMSIZ MÜŞTERİ","UYGUN")))</f>
        <v>UYGUN</v>
      </c>
      <c r="L56" s="43">
        <f t="shared" si="2"/>
        <v>46234</v>
      </c>
      <c r="M56" s="96">
        <v>1</v>
      </c>
      <c r="N56" s="22">
        <f>IF(B56="","",IF(E56="",SISTEM!$C$17,MIN(E56,SISTEM!$C$17)))</f>
        <v>46261</v>
      </c>
      <c r="O56" s="22">
        <f t="shared" si="3"/>
        <v>46234</v>
      </c>
      <c r="P56" s="22">
        <f t="shared" si="4"/>
        <v>2</v>
      </c>
    </row>
    <row r="57" spans="1:16" ht="17">
      <c r="A57" s="6"/>
      <c r="B57" s="95" t="s">
        <v>562</v>
      </c>
      <c r="C57" s="96" t="s">
        <v>563</v>
      </c>
      <c r="D57" s="97">
        <v>46023</v>
      </c>
      <c r="E57" s="97"/>
      <c r="F57" s="96" t="s">
        <v>593</v>
      </c>
      <c r="G57" s="98">
        <v>1000</v>
      </c>
      <c r="H57" s="41" t="str">
        <f>IF(OR(B57="",D57="",F57="",G57=""),"",IF(AND(E57&lt;&gt;"",E57&lt;SISTEM!$C$17),"Pasif","Aktif"))</f>
        <v>Aktif</v>
      </c>
      <c r="I57" s="74">
        <f t="shared" si="0"/>
        <v>34000</v>
      </c>
      <c r="J57" s="42">
        <f t="shared" si="1"/>
        <v>34</v>
      </c>
      <c r="K57" s="43" t="str">
        <f>IF(AND(B57="",C57=""),"",IF(OR(B57="",C57="",D57="",F57="",G57=""),"EKSİK",IF(COUNTIF(MUSTERILER!$B$7:$B$156,B57)=0,"TANIMSIZ MÜŞTERİ","UYGUN")))</f>
        <v>UYGUN</v>
      </c>
      <c r="L57" s="43">
        <f t="shared" si="2"/>
        <v>46025</v>
      </c>
      <c r="M57" s="96">
        <v>34</v>
      </c>
      <c r="N57" s="22">
        <f>IF(B57="","",IF(E57="",SISTEM!$C$17,MIN(E57,SISTEM!$C$17)))</f>
        <v>46261</v>
      </c>
      <c r="O57" s="22">
        <f t="shared" si="3"/>
        <v>46025</v>
      </c>
      <c r="P57" s="22">
        <f t="shared" si="4"/>
        <v>34</v>
      </c>
    </row>
    <row r="58" spans="1:16" ht="17">
      <c r="A58" s="6"/>
      <c r="B58" s="95" t="s">
        <v>564</v>
      </c>
      <c r="C58" s="96" t="s">
        <v>565</v>
      </c>
      <c r="D58" s="97">
        <v>46023</v>
      </c>
      <c r="E58" s="97">
        <v>46203</v>
      </c>
      <c r="F58" s="96" t="s">
        <v>593</v>
      </c>
      <c r="G58" s="98">
        <v>4000</v>
      </c>
      <c r="H58" s="41" t="str">
        <f>IF(OR(B58="",D58="",F58="",G58=""),"",IF(AND(E58&lt;&gt;"",E58&lt;SISTEM!$C$17),"Pasif","Aktif"))</f>
        <v>Pasif</v>
      </c>
      <c r="I58" s="74">
        <f t="shared" si="0"/>
        <v>104000</v>
      </c>
      <c r="J58" s="42">
        <f t="shared" si="1"/>
        <v>26</v>
      </c>
      <c r="K58" s="43" t="str">
        <f>IF(AND(B58="",C58=""),"",IF(OR(B58="",C58="",D58="",F58="",G58=""),"EKSİK",IF(COUNTIF(MUSTERILER!$B$7:$B$156,B58)=0,"TANIMSIZ MÜŞTERİ","UYGUN")))</f>
        <v>UYGUN</v>
      </c>
      <c r="L58" s="43">
        <f t="shared" si="2"/>
        <v>46025</v>
      </c>
      <c r="M58" s="96">
        <v>26</v>
      </c>
      <c r="N58" s="22">
        <f>IF(B58="","",IF(E58="",SISTEM!$C$17,MIN(E58,SISTEM!$C$17)))</f>
        <v>46203</v>
      </c>
      <c r="O58" s="22">
        <f t="shared" si="3"/>
        <v>46025</v>
      </c>
      <c r="P58" s="22">
        <f t="shared" si="4"/>
        <v>26</v>
      </c>
    </row>
    <row r="59" spans="1:16" ht="17">
      <c r="A59" s="6"/>
      <c r="B59" s="95" t="s">
        <v>566</v>
      </c>
      <c r="C59" s="96" t="s">
        <v>567</v>
      </c>
      <c r="D59" s="97">
        <v>46023</v>
      </c>
      <c r="E59" s="97"/>
      <c r="F59" s="96" t="s">
        <v>592</v>
      </c>
      <c r="G59" s="98">
        <v>10000</v>
      </c>
      <c r="H59" s="41" t="str">
        <f>IF(OR(B59="",D59="",F59="",G59=""),"",IF(AND(E59&lt;&gt;"",E59&lt;SISTEM!$C$17),"Pasif","Aktif"))</f>
        <v>Aktif</v>
      </c>
      <c r="I59" s="74">
        <f t="shared" si="0"/>
        <v>80000</v>
      </c>
      <c r="J59" s="42">
        <f t="shared" si="1"/>
        <v>8</v>
      </c>
      <c r="K59" s="43" t="str">
        <f>IF(AND(B59="",C59=""),"",IF(OR(B59="",C59="",D59="",F59="",G59=""),"EKSİK",IF(COUNTIF(MUSTERILER!$B$7:$B$156,B59)=0,"TANIMSIZ MÜŞTERİ","UYGUN")))</f>
        <v>UYGUN</v>
      </c>
      <c r="L59" s="43">
        <f t="shared" si="2"/>
        <v>46053</v>
      </c>
      <c r="M59" s="96">
        <v>7</v>
      </c>
      <c r="N59" s="22">
        <f>IF(B59="","",IF(E59="",SISTEM!$C$17,MIN(E59,SISTEM!$C$17)))</f>
        <v>46261</v>
      </c>
      <c r="O59" s="22">
        <f t="shared" si="3"/>
        <v>46053</v>
      </c>
      <c r="P59" s="22">
        <f t="shared" si="4"/>
        <v>8</v>
      </c>
    </row>
    <row r="60" spans="1:16" ht="17">
      <c r="A60" s="6"/>
      <c r="B60" s="95" t="s">
        <v>568</v>
      </c>
      <c r="C60" s="96" t="s">
        <v>569</v>
      </c>
      <c r="D60" s="97">
        <v>46023</v>
      </c>
      <c r="E60" s="97"/>
      <c r="F60" s="96" t="s">
        <v>593</v>
      </c>
      <c r="G60" s="98">
        <v>3000</v>
      </c>
      <c r="H60" s="41" t="str">
        <f>IF(OR(B60="",D60="",F60="",G60=""),"",IF(AND(E60&lt;&gt;"",E60&lt;SISTEM!$C$17),"Pasif","Aktif"))</f>
        <v>Aktif</v>
      </c>
      <c r="I60" s="74">
        <f t="shared" si="0"/>
        <v>102000</v>
      </c>
      <c r="J60" s="42">
        <f t="shared" si="1"/>
        <v>34</v>
      </c>
      <c r="K60" s="43" t="str">
        <f>IF(AND(B60="",C60=""),"",IF(OR(B60="",C60="",D60="",F60="",G60=""),"EKSİK",IF(COUNTIF(MUSTERILER!$B$7:$B$156,B60)=0,"TANIMSIZ MÜŞTERİ","UYGUN")))</f>
        <v>UYGUN</v>
      </c>
      <c r="L60" s="43">
        <f t="shared" si="2"/>
        <v>46025</v>
      </c>
      <c r="M60" s="96">
        <v>34</v>
      </c>
      <c r="N60" s="22">
        <f>IF(B60="","",IF(E60="",SISTEM!$C$17,MIN(E60,SISTEM!$C$17)))</f>
        <v>46261</v>
      </c>
      <c r="O60" s="22">
        <f t="shared" si="3"/>
        <v>46025</v>
      </c>
      <c r="P60" s="22">
        <f t="shared" si="4"/>
        <v>34</v>
      </c>
    </row>
    <row r="61" spans="1:16" ht="17">
      <c r="A61" s="6"/>
      <c r="B61" s="95" t="s">
        <v>570</v>
      </c>
      <c r="C61" s="96" t="s">
        <v>571</v>
      </c>
      <c r="D61" s="97">
        <v>46023</v>
      </c>
      <c r="E61" s="97"/>
      <c r="F61" s="96" t="s">
        <v>593</v>
      </c>
      <c r="G61" s="98">
        <v>1750</v>
      </c>
      <c r="H61" s="41" t="str">
        <f>IF(OR(B61="",D61="",F61="",G61=""),"",IF(AND(E61&lt;&gt;"",E61&lt;SISTEM!$C$17),"Pasif","Aktif"))</f>
        <v>Aktif</v>
      </c>
      <c r="I61" s="74">
        <f t="shared" si="0"/>
        <v>59500</v>
      </c>
      <c r="J61" s="42">
        <f t="shared" si="1"/>
        <v>34</v>
      </c>
      <c r="K61" s="43" t="str">
        <f>IF(AND(B61="",C61=""),"",IF(OR(B61="",C61="",D61="",F61="",G61=""),"EKSİK",IF(COUNTIF(MUSTERILER!$B$7:$B$156,B61)=0,"TANIMSIZ MÜŞTERİ","UYGUN")))</f>
        <v>UYGUN</v>
      </c>
      <c r="L61" s="43">
        <f t="shared" si="2"/>
        <v>46025</v>
      </c>
      <c r="M61" s="96">
        <v>34</v>
      </c>
      <c r="N61" s="22">
        <f>IF(B61="","",IF(E61="",SISTEM!$C$17,MIN(E61,SISTEM!$C$17)))</f>
        <v>46261</v>
      </c>
      <c r="O61" s="22">
        <f t="shared" si="3"/>
        <v>46025</v>
      </c>
      <c r="P61" s="22">
        <f t="shared" si="4"/>
        <v>34</v>
      </c>
    </row>
    <row r="62" spans="1:16" ht="17">
      <c r="A62" s="6"/>
      <c r="B62" s="95" t="s">
        <v>483</v>
      </c>
      <c r="C62" s="96" t="s">
        <v>484</v>
      </c>
      <c r="D62" s="97">
        <v>46249</v>
      </c>
      <c r="E62" s="97"/>
      <c r="F62" s="96" t="s">
        <v>593</v>
      </c>
      <c r="G62" s="98">
        <v>4000</v>
      </c>
      <c r="H62" s="41" t="str">
        <f>IF(OR(B62="",D62="",F62="",G62=""),"",IF(AND(E62&lt;&gt;"",E62&lt;SISTEM!$C$17),"Pasif","Aktif"))</f>
        <v>Aktif</v>
      </c>
      <c r="I62" s="74">
        <f t="shared" si="0"/>
        <v>8000</v>
      </c>
      <c r="J62" s="42">
        <f t="shared" si="1"/>
        <v>2</v>
      </c>
      <c r="K62" s="43" t="str">
        <f>IF(AND(B62="",C62=""),"",IF(OR(B62="",C62="",D62="",F62="",G62=""),"EKSİK",IF(COUNTIF(MUSTERILER!$B$7:$B$156,B62)=0,"TANIMSIZ MÜŞTERİ","UYGUN")))</f>
        <v>UYGUN</v>
      </c>
      <c r="L62" s="43">
        <f t="shared" si="2"/>
        <v>46249</v>
      </c>
      <c r="M62" s="96">
        <v>2</v>
      </c>
      <c r="N62" s="22">
        <f>IF(B62="","",IF(E62="",SISTEM!$C$17,MIN(E62,SISTEM!$C$17)))</f>
        <v>46261</v>
      </c>
      <c r="O62" s="22">
        <f t="shared" si="3"/>
        <v>46249</v>
      </c>
      <c r="P62" s="22">
        <f t="shared" si="4"/>
        <v>2</v>
      </c>
    </row>
    <row r="63" spans="1:16" ht="17">
      <c r="A63" s="6"/>
      <c r="B63" s="95" t="s">
        <v>487</v>
      </c>
      <c r="C63" s="96" t="s">
        <v>488</v>
      </c>
      <c r="D63" s="97">
        <v>46110</v>
      </c>
      <c r="E63" s="97"/>
      <c r="F63" s="96" t="s">
        <v>593</v>
      </c>
      <c r="G63" s="98">
        <v>4000</v>
      </c>
      <c r="H63" s="41" t="str">
        <f>IF(OR(B63="",D63="",F63="",G63=""),"",IF(AND(E63&lt;&gt;"",E63&lt;SISTEM!$C$17),"Pasif","Aktif"))</f>
        <v>Aktif</v>
      </c>
      <c r="I63" s="74">
        <f t="shared" si="0"/>
        <v>84000</v>
      </c>
      <c r="J63" s="42">
        <f t="shared" si="1"/>
        <v>21</v>
      </c>
      <c r="K63" s="43" t="str">
        <f>IF(AND(B63="",C63=""),"",IF(OR(B63="",C63="",D63="",F63="",G63=""),"EKSİK",IF(COUNTIF(MUSTERILER!$B$7:$B$156,B63)=0,"TANIMSIZ MÜŞTERİ","UYGUN")))</f>
        <v>UYGUN</v>
      </c>
      <c r="L63" s="43">
        <f t="shared" si="2"/>
        <v>46116</v>
      </c>
      <c r="M63" s="96">
        <v>21</v>
      </c>
      <c r="N63" s="22">
        <f>IF(B63="","",IF(E63="",SISTEM!$C$17,MIN(E63,SISTEM!$C$17)))</f>
        <v>46261</v>
      </c>
      <c r="O63" s="22">
        <f t="shared" si="3"/>
        <v>46116</v>
      </c>
      <c r="P63" s="22">
        <f t="shared" si="4"/>
        <v>21</v>
      </c>
    </row>
    <row r="64" spans="1:16" ht="34">
      <c r="A64" s="6"/>
      <c r="B64" s="95" t="s">
        <v>495</v>
      </c>
      <c r="C64" s="96" t="s">
        <v>496</v>
      </c>
      <c r="D64" s="97">
        <v>46116</v>
      </c>
      <c r="E64" s="97"/>
      <c r="F64" s="96" t="s">
        <v>593</v>
      </c>
      <c r="G64" s="98">
        <v>4000</v>
      </c>
      <c r="H64" s="41" t="str">
        <f>IF(OR(B64="",D64="",F64="",G64=""),"",IF(AND(E64&lt;&gt;"",E64&lt;SISTEM!$C$17),"Pasif","Aktif"))</f>
        <v>Aktif</v>
      </c>
      <c r="I64" s="74">
        <f t="shared" si="0"/>
        <v>84000</v>
      </c>
      <c r="J64" s="42">
        <f t="shared" si="1"/>
        <v>21</v>
      </c>
      <c r="K64" s="43" t="str">
        <f>IF(AND(B64="",C64=""),"",IF(OR(B64="",C64="",D64="",F64="",G64=""),"EKSİK",IF(COUNTIF(MUSTERILER!$B$7:$B$156,B64)=0,"TANIMSIZ MÜŞTERİ","UYGUN")))</f>
        <v>UYGUN</v>
      </c>
      <c r="L64" s="43">
        <f t="shared" si="2"/>
        <v>46116</v>
      </c>
      <c r="M64" s="96">
        <v>21</v>
      </c>
      <c r="N64" s="22">
        <f>IF(B64="","",IF(E64="",SISTEM!$C$17,MIN(E64,SISTEM!$C$17)))</f>
        <v>46261</v>
      </c>
      <c r="O64" s="22">
        <f t="shared" si="3"/>
        <v>46116</v>
      </c>
      <c r="P64" s="22">
        <f t="shared" si="4"/>
        <v>21</v>
      </c>
    </row>
    <row r="65" spans="1:16" ht="17">
      <c r="A65" s="6"/>
      <c r="B65" s="95" t="s">
        <v>501</v>
      </c>
      <c r="C65" s="96" t="s">
        <v>502</v>
      </c>
      <c r="D65" s="97">
        <v>46082</v>
      </c>
      <c r="E65" s="97"/>
      <c r="F65" s="96" t="s">
        <v>593</v>
      </c>
      <c r="G65" s="98">
        <v>4000</v>
      </c>
      <c r="H65" s="41" t="str">
        <f>IF(OR(B65="",D65="",F65="",G65=""),"",IF(AND(E65&lt;&gt;"",E65&lt;SISTEM!$C$17),"Pasif","Aktif"))</f>
        <v>Aktif</v>
      </c>
      <c r="I65" s="74">
        <f t="shared" si="0"/>
        <v>100000</v>
      </c>
      <c r="J65" s="42">
        <f t="shared" si="1"/>
        <v>25</v>
      </c>
      <c r="K65" s="43" t="str">
        <f>IF(AND(B65="",C65=""),"",IF(OR(B65="",C65="",D65="",F65="",G65=""),"EKSİK",IF(COUNTIF(MUSTERILER!$B$7:$B$156,B65)=0,"TANIMSIZ MÜŞTERİ","UYGUN")))</f>
        <v>UYGUN</v>
      </c>
      <c r="L65" s="43">
        <f t="shared" si="2"/>
        <v>46088</v>
      </c>
      <c r="M65" s="96">
        <v>25</v>
      </c>
      <c r="N65" s="22">
        <f>IF(B65="","",IF(E65="",SISTEM!$C$17,MIN(E65,SISTEM!$C$17)))</f>
        <v>46261</v>
      </c>
      <c r="O65" s="22">
        <f t="shared" si="3"/>
        <v>46088</v>
      </c>
      <c r="P65" s="22">
        <f t="shared" si="4"/>
        <v>25</v>
      </c>
    </row>
    <row r="66" spans="1:16" ht="17">
      <c r="A66" s="6"/>
      <c r="B66" s="95" t="s">
        <v>503</v>
      </c>
      <c r="C66" s="96" t="s">
        <v>504</v>
      </c>
      <c r="D66" s="97">
        <v>46113</v>
      </c>
      <c r="E66" s="97">
        <v>46173</v>
      </c>
      <c r="F66" s="96" t="s">
        <v>593</v>
      </c>
      <c r="G66" s="98">
        <v>4000</v>
      </c>
      <c r="H66" s="41" t="str">
        <f>IF(OR(B66="",D66="",F66="",G66=""),"",IF(AND(E66&lt;&gt;"",E66&lt;SISTEM!$C$17),"Pasif","Aktif"))</f>
        <v>Pasif</v>
      </c>
      <c r="I66" s="74">
        <f t="shared" si="0"/>
        <v>36000</v>
      </c>
      <c r="J66" s="42">
        <f t="shared" si="1"/>
        <v>9</v>
      </c>
      <c r="K66" s="43" t="str">
        <f>IF(AND(B66="",C66=""),"",IF(OR(B66="",C66="",D66="",F66="",G66=""),"EKSİK",IF(COUNTIF(MUSTERILER!$B$7:$B$156,B66)=0,"TANIMSIZ MÜŞTERİ","UYGUN")))</f>
        <v>UYGUN</v>
      </c>
      <c r="L66" s="43">
        <f t="shared" si="2"/>
        <v>46116</v>
      </c>
      <c r="M66" s="96">
        <v>9</v>
      </c>
      <c r="N66" s="22">
        <f>IF(B66="","",IF(E66="",SISTEM!$C$17,MIN(E66,SISTEM!$C$17)))</f>
        <v>46173</v>
      </c>
      <c r="O66" s="22">
        <f t="shared" si="3"/>
        <v>46116</v>
      </c>
      <c r="P66" s="22">
        <f t="shared" si="4"/>
        <v>9</v>
      </c>
    </row>
    <row r="67" spans="1:16" ht="17">
      <c r="A67" s="6"/>
      <c r="B67" s="95" t="s">
        <v>544</v>
      </c>
      <c r="C67" s="96" t="s">
        <v>545</v>
      </c>
      <c r="D67" s="97">
        <v>46179</v>
      </c>
      <c r="E67" s="97"/>
      <c r="F67" s="96" t="s">
        <v>593</v>
      </c>
      <c r="G67" s="98">
        <v>5000</v>
      </c>
      <c r="H67" s="41" t="str">
        <f>IF(OR(B67="",D67="",F67="",G67=""),"",IF(AND(E67&lt;&gt;"",E67&lt;SISTEM!$C$17),"Pasif","Aktif"))</f>
        <v>Aktif</v>
      </c>
      <c r="I67" s="74">
        <f t="shared" si="0"/>
        <v>60000</v>
      </c>
      <c r="J67" s="42">
        <f t="shared" si="1"/>
        <v>12</v>
      </c>
      <c r="K67" s="43" t="str">
        <f>IF(AND(B67="",C67=""),"",IF(OR(B67="",C67="",D67="",F67="",G67=""),"EKSİK",IF(COUNTIF(MUSTERILER!$B$7:$B$156,B67)=0,"TANIMSIZ MÜŞTERİ","UYGUN")))</f>
        <v>UYGUN</v>
      </c>
      <c r="L67" s="43">
        <f t="shared" si="2"/>
        <v>46179</v>
      </c>
      <c r="M67" s="96">
        <v>12</v>
      </c>
      <c r="N67" s="22">
        <f>IF(B67="","",IF(E67="",SISTEM!$C$17,MIN(E67,SISTEM!$C$17)))</f>
        <v>46261</v>
      </c>
      <c r="O67" s="22">
        <f t="shared" si="3"/>
        <v>46179</v>
      </c>
      <c r="P67" s="22">
        <f t="shared" si="4"/>
        <v>12</v>
      </c>
    </row>
    <row r="68" spans="1:16" ht="17">
      <c r="A68" s="6"/>
      <c r="B68" s="95" t="s">
        <v>503</v>
      </c>
      <c r="C68" s="96" t="s">
        <v>504</v>
      </c>
      <c r="D68" s="97">
        <v>46174</v>
      </c>
      <c r="E68" s="97"/>
      <c r="F68" s="96" t="s">
        <v>593</v>
      </c>
      <c r="G68" s="98">
        <v>5000</v>
      </c>
      <c r="H68" s="41" t="str">
        <f>IF(OR(B68="",D68="",F68="",G68=""),"",IF(AND(E68&lt;&gt;"",E68&lt;SISTEM!$C$17),"Pasif","Aktif"))</f>
        <v>Aktif</v>
      </c>
      <c r="I68" s="74">
        <f t="shared" si="0"/>
        <v>60000</v>
      </c>
      <c r="J68" s="42">
        <f t="shared" si="1"/>
        <v>12</v>
      </c>
      <c r="K68" s="43" t="str">
        <f>IF(AND(B68="",C68=""),"",IF(OR(B68="",C68="",D68="",F68="",G68=""),"EKSİK",IF(COUNTIF(MUSTERILER!$B$7:$B$156,B68)=0,"TANIMSIZ MÜŞTERİ","UYGUN")))</f>
        <v>UYGUN</v>
      </c>
      <c r="L68" s="43">
        <f t="shared" si="2"/>
        <v>46179</v>
      </c>
      <c r="M68" s="96">
        <v>12</v>
      </c>
      <c r="N68" s="22">
        <f>IF(B68="","",IF(E68="",SISTEM!$C$17,MIN(E68,SISTEM!$C$17)))</f>
        <v>46261</v>
      </c>
      <c r="O68" s="22">
        <f t="shared" si="3"/>
        <v>46179</v>
      </c>
      <c r="P68" s="22">
        <f t="shared" si="4"/>
        <v>12</v>
      </c>
    </row>
    <row r="69" spans="1:16" ht="17">
      <c r="A69" s="6"/>
      <c r="B69" s="95"/>
      <c r="C69" s="96"/>
      <c r="D69" s="97"/>
      <c r="E69" s="97"/>
      <c r="F69" s="96"/>
      <c r="G69" s="98"/>
      <c r="H69" s="41" t="str">
        <f>IF(OR(B69="",D69="",F69="",G69=""),"",IF(AND(E69&lt;&gt;"",E69&lt;SISTEM!$C$17),"Pasif","Aktif"))</f>
        <v/>
      </c>
      <c r="I69" s="74">
        <f t="shared" si="0"/>
        <v>0</v>
      </c>
      <c r="J69" s="42" t="str">
        <f t="shared" si="1"/>
        <v/>
      </c>
      <c r="K69" s="43" t="str">
        <f>IF(AND(B69="",C69=""),"",IF(OR(B69="",C69="",D69="",F69="",G69=""),"EKSİK",IF(COUNTIF(MUSTERILER!$B$7:$B$156,B69)=0,"TANIMSIZ MÜŞTERİ","UYGUN")))</f>
        <v/>
      </c>
      <c r="L69" s="43" t="str">
        <f t="shared" si="2"/>
        <v/>
      </c>
      <c r="M69" s="96"/>
      <c r="N69" s="22" t="str">
        <f>IF(B69="","",IF(E69="",SISTEM!$C$17,MIN(E69,SISTEM!$C$17)))</f>
        <v/>
      </c>
      <c r="O69" s="22" t="str">
        <f t="shared" si="3"/>
        <v/>
      </c>
      <c r="P69" s="22">
        <f t="shared" si="4"/>
        <v>0</v>
      </c>
    </row>
    <row r="70" spans="1:16" ht="17">
      <c r="A70" s="6"/>
      <c r="B70" s="95"/>
      <c r="C70" s="96"/>
      <c r="D70" s="97"/>
      <c r="E70" s="97"/>
      <c r="F70" s="96"/>
      <c r="G70" s="98"/>
      <c r="H70" s="41" t="str">
        <f>IF(OR(B70="",D70="",F70="",G70=""),"",IF(AND(E70&lt;&gt;"",E70&lt;SISTEM!$C$17),"Pasif","Aktif"))</f>
        <v/>
      </c>
      <c r="I70" s="74">
        <f t="shared" si="0"/>
        <v>0</v>
      </c>
      <c r="J70" s="42" t="str">
        <f t="shared" si="1"/>
        <v/>
      </c>
      <c r="K70" s="43" t="str">
        <f>IF(AND(B70="",C70=""),"",IF(OR(B70="",C70="",D70="",F70="",G70=""),"EKSİK",IF(COUNTIF(MUSTERILER!$B$7:$B$156,B70)=0,"TANIMSIZ MÜŞTERİ","UYGUN")))</f>
        <v/>
      </c>
      <c r="L70" s="43" t="str">
        <f t="shared" si="2"/>
        <v/>
      </c>
      <c r="M70" s="96"/>
      <c r="N70" s="22" t="str">
        <f>IF(B70="","",IF(E70="",SISTEM!$C$17,MIN(E70,SISTEM!$C$17)))</f>
        <v/>
      </c>
      <c r="O70" s="22" t="str">
        <f t="shared" si="3"/>
        <v/>
      </c>
      <c r="P70" s="22">
        <f t="shared" si="4"/>
        <v>0</v>
      </c>
    </row>
    <row r="71" spans="1:16" ht="17">
      <c r="A71" s="6"/>
      <c r="B71" s="95"/>
      <c r="C71" s="96"/>
      <c r="D71" s="97"/>
      <c r="E71" s="97"/>
      <c r="F71" s="96"/>
      <c r="G71" s="98"/>
      <c r="H71" s="41" t="str">
        <f>IF(OR(B71="",D71="",F71="",G71=""),"",IF(AND(E71&lt;&gt;"",E71&lt;SISTEM!$C$17),"Pasif","Aktif"))</f>
        <v/>
      </c>
      <c r="I71" s="74">
        <f t="shared" ref="I71:I134" si="5">IF(P71=0,0,P71*G71)</f>
        <v>0</v>
      </c>
      <c r="J71" s="42" t="str">
        <f t="shared" ref="J71:J134" si="6">IF(OR(G71="",G71=0),"",I71/G71)</f>
        <v/>
      </c>
      <c r="K71" s="43" t="str">
        <f>IF(AND(B71="",C71=""),"",IF(OR(B71="",C71="",D71="",F71="",G71=""),"EKSİK",IF(COUNTIF(MUSTERILER!$B$7:$B$156,B71)=0,"TANIMSIZ MÜŞTERİ","UYGUN")))</f>
        <v/>
      </c>
      <c r="L71" s="43" t="str">
        <f t="shared" ref="L71:L134" si="7">IF(D71="","",IF(F71="Haftalık",D71+MOD(6-WEEKDAY(D71,2),7),EOMONTH(D71,0)))</f>
        <v/>
      </c>
      <c r="M71" s="96"/>
      <c r="N71" s="22" t="str">
        <f>IF(B71="","",IF(E71="",SISTEM!$C$17,MIN(E71,SISTEM!$C$17)))</f>
        <v/>
      </c>
      <c r="O71" s="22" t="str">
        <f t="shared" ref="O71:O134" si="8">L71</f>
        <v/>
      </c>
      <c r="P71" s="22">
        <f t="shared" ref="P71:P134" si="9">IF(OR(B71="",O71="",N71=""),0,IF(F71="Haftalık",MAX(0,INT((N71-O71)/7)+1),IF(F71="Aylık",MAX(0,(YEAR(N71)-YEAR(O71))*12+MONTH(N71)-MONTH(O71)+1),0)))</f>
        <v>0</v>
      </c>
    </row>
    <row r="72" spans="1:16" ht="17">
      <c r="A72" s="6"/>
      <c r="B72" s="95"/>
      <c r="C72" s="96"/>
      <c r="D72" s="97"/>
      <c r="E72" s="97"/>
      <c r="F72" s="96"/>
      <c r="G72" s="98"/>
      <c r="H72" s="41" t="str">
        <f>IF(OR(B72="",D72="",F72="",G72=""),"",IF(AND(E72&lt;&gt;"",E72&lt;SISTEM!$C$17),"Pasif","Aktif"))</f>
        <v/>
      </c>
      <c r="I72" s="74">
        <f t="shared" si="5"/>
        <v>0</v>
      </c>
      <c r="J72" s="42" t="str">
        <f t="shared" si="6"/>
        <v/>
      </c>
      <c r="K72" s="43" t="str">
        <f>IF(AND(B72="",C72=""),"",IF(OR(B72="",C72="",D72="",F72="",G72=""),"EKSİK",IF(COUNTIF(MUSTERILER!$B$7:$B$156,B72)=0,"TANIMSIZ MÜŞTERİ","UYGUN")))</f>
        <v/>
      </c>
      <c r="L72" s="43" t="str">
        <f t="shared" si="7"/>
        <v/>
      </c>
      <c r="M72" s="96"/>
      <c r="N72" s="22" t="str">
        <f>IF(B72="","",IF(E72="",SISTEM!$C$17,MIN(E72,SISTEM!$C$17)))</f>
        <v/>
      </c>
      <c r="O72" s="22" t="str">
        <f t="shared" si="8"/>
        <v/>
      </c>
      <c r="P72" s="22">
        <f t="shared" si="9"/>
        <v>0</v>
      </c>
    </row>
    <row r="73" spans="1:16" ht="17">
      <c r="A73" s="6"/>
      <c r="B73" s="95"/>
      <c r="C73" s="96"/>
      <c r="D73" s="97"/>
      <c r="E73" s="97"/>
      <c r="F73" s="96"/>
      <c r="G73" s="98"/>
      <c r="H73" s="41" t="str">
        <f>IF(OR(B73="",D73="",F73="",G73=""),"",IF(AND(E73&lt;&gt;"",E73&lt;SISTEM!$C$17),"Pasif","Aktif"))</f>
        <v/>
      </c>
      <c r="I73" s="74">
        <f t="shared" si="5"/>
        <v>0</v>
      </c>
      <c r="J73" s="42" t="str">
        <f t="shared" si="6"/>
        <v/>
      </c>
      <c r="K73" s="43" t="str">
        <f>IF(AND(B73="",C73=""),"",IF(OR(B73="",C73="",D73="",F73="",G73=""),"EKSİK",IF(COUNTIF(MUSTERILER!$B$7:$B$156,B73)=0,"TANIMSIZ MÜŞTERİ","UYGUN")))</f>
        <v/>
      </c>
      <c r="L73" s="43" t="str">
        <f t="shared" si="7"/>
        <v/>
      </c>
      <c r="M73" s="96"/>
      <c r="N73" s="22" t="str">
        <f>IF(B73="","",IF(E73="",SISTEM!$C$17,MIN(E73,SISTEM!$C$17)))</f>
        <v/>
      </c>
      <c r="O73" s="22" t="str">
        <f t="shared" si="8"/>
        <v/>
      </c>
      <c r="P73" s="22">
        <f t="shared" si="9"/>
        <v>0</v>
      </c>
    </row>
    <row r="74" spans="1:16" ht="17">
      <c r="A74" s="6"/>
      <c r="B74" s="95"/>
      <c r="C74" s="96"/>
      <c r="D74" s="97"/>
      <c r="E74" s="97"/>
      <c r="F74" s="96"/>
      <c r="G74" s="98"/>
      <c r="H74" s="41" t="str">
        <f>IF(OR(B74="",D74="",F74="",G74=""),"",IF(AND(E74&lt;&gt;"",E74&lt;SISTEM!$C$17),"Pasif","Aktif"))</f>
        <v/>
      </c>
      <c r="I74" s="74">
        <f t="shared" si="5"/>
        <v>0</v>
      </c>
      <c r="J74" s="42" t="str">
        <f t="shared" si="6"/>
        <v/>
      </c>
      <c r="K74" s="43" t="str">
        <f>IF(AND(B74="",C74=""),"",IF(OR(B74="",C74="",D74="",F74="",G74=""),"EKSİK",IF(COUNTIF(MUSTERILER!$B$7:$B$156,B74)=0,"TANIMSIZ MÜŞTERİ","UYGUN")))</f>
        <v/>
      </c>
      <c r="L74" s="43" t="str">
        <f t="shared" si="7"/>
        <v/>
      </c>
      <c r="M74" s="96"/>
      <c r="N74" s="22" t="str">
        <f>IF(B74="","",IF(E74="",SISTEM!$C$17,MIN(E74,SISTEM!$C$17)))</f>
        <v/>
      </c>
      <c r="O74" s="22" t="str">
        <f t="shared" si="8"/>
        <v/>
      </c>
      <c r="P74" s="22">
        <f t="shared" si="9"/>
        <v>0</v>
      </c>
    </row>
    <row r="75" spans="1:16" ht="17">
      <c r="A75" s="6"/>
      <c r="B75" s="95"/>
      <c r="C75" s="96"/>
      <c r="D75" s="97"/>
      <c r="E75" s="97"/>
      <c r="F75" s="96"/>
      <c r="G75" s="98"/>
      <c r="H75" s="41" t="str">
        <f>IF(OR(B75="",D75="",F75="",G75=""),"",IF(AND(E75&lt;&gt;"",E75&lt;SISTEM!$C$17),"Pasif","Aktif"))</f>
        <v/>
      </c>
      <c r="I75" s="74">
        <f t="shared" si="5"/>
        <v>0</v>
      </c>
      <c r="J75" s="42" t="str">
        <f t="shared" si="6"/>
        <v/>
      </c>
      <c r="K75" s="43" t="str">
        <f>IF(AND(B75="",C75=""),"",IF(OR(B75="",C75="",D75="",F75="",G75=""),"EKSİK",IF(COUNTIF(MUSTERILER!$B$7:$B$156,B75)=0,"TANIMSIZ MÜŞTERİ","UYGUN")))</f>
        <v/>
      </c>
      <c r="L75" s="43" t="str">
        <f t="shared" si="7"/>
        <v/>
      </c>
      <c r="M75" s="96"/>
      <c r="N75" s="22" t="str">
        <f>IF(B75="","",IF(E75="",SISTEM!$C$17,MIN(E75,SISTEM!$C$17)))</f>
        <v/>
      </c>
      <c r="O75" s="22" t="str">
        <f t="shared" si="8"/>
        <v/>
      </c>
      <c r="P75" s="22">
        <f t="shared" si="9"/>
        <v>0</v>
      </c>
    </row>
    <row r="76" spans="1:16" ht="17">
      <c r="A76" s="6"/>
      <c r="B76" s="95"/>
      <c r="C76" s="96"/>
      <c r="D76" s="97"/>
      <c r="E76" s="97"/>
      <c r="F76" s="96"/>
      <c r="G76" s="98"/>
      <c r="H76" s="41" t="str">
        <f>IF(OR(B76="",D76="",F76="",G76=""),"",IF(AND(E76&lt;&gt;"",E76&lt;SISTEM!$C$17),"Pasif","Aktif"))</f>
        <v/>
      </c>
      <c r="I76" s="74">
        <f t="shared" si="5"/>
        <v>0</v>
      </c>
      <c r="J76" s="42" t="str">
        <f t="shared" si="6"/>
        <v/>
      </c>
      <c r="K76" s="43" t="str">
        <f>IF(AND(B76="",C76=""),"",IF(OR(B76="",C76="",D76="",F76="",G76=""),"EKSİK",IF(COUNTIF(MUSTERILER!$B$7:$B$156,B76)=0,"TANIMSIZ MÜŞTERİ","UYGUN")))</f>
        <v/>
      </c>
      <c r="L76" s="43" t="str">
        <f t="shared" si="7"/>
        <v/>
      </c>
      <c r="M76" s="96"/>
      <c r="N76" s="22" t="str">
        <f>IF(B76="","",IF(E76="",SISTEM!$C$17,MIN(E76,SISTEM!$C$17)))</f>
        <v/>
      </c>
      <c r="O76" s="22" t="str">
        <f t="shared" si="8"/>
        <v/>
      </c>
      <c r="P76" s="22">
        <f t="shared" si="9"/>
        <v>0</v>
      </c>
    </row>
    <row r="77" spans="1:16" ht="17">
      <c r="A77" s="6"/>
      <c r="B77" s="95"/>
      <c r="C77" s="96"/>
      <c r="D77" s="97"/>
      <c r="E77" s="97"/>
      <c r="F77" s="96"/>
      <c r="G77" s="98"/>
      <c r="H77" s="41" t="str">
        <f>IF(OR(B77="",D77="",F77="",G77=""),"",IF(AND(E77&lt;&gt;"",E77&lt;SISTEM!$C$17),"Pasif","Aktif"))</f>
        <v/>
      </c>
      <c r="I77" s="74">
        <f t="shared" si="5"/>
        <v>0</v>
      </c>
      <c r="J77" s="42" t="str">
        <f t="shared" si="6"/>
        <v/>
      </c>
      <c r="K77" s="43" t="str">
        <f>IF(AND(B77="",C77=""),"",IF(OR(B77="",C77="",D77="",F77="",G77=""),"EKSİK",IF(COUNTIF(MUSTERILER!$B$7:$B$156,B77)=0,"TANIMSIZ MÜŞTERİ","UYGUN")))</f>
        <v/>
      </c>
      <c r="L77" s="43" t="str">
        <f t="shared" si="7"/>
        <v/>
      </c>
      <c r="M77" s="96"/>
      <c r="N77" s="22" t="str">
        <f>IF(B77="","",IF(E77="",SISTEM!$C$17,MIN(E77,SISTEM!$C$17)))</f>
        <v/>
      </c>
      <c r="O77" s="22" t="str">
        <f t="shared" si="8"/>
        <v/>
      </c>
      <c r="P77" s="22">
        <f t="shared" si="9"/>
        <v>0</v>
      </c>
    </row>
    <row r="78" spans="1:16" ht="17">
      <c r="A78" s="6"/>
      <c r="B78" s="95"/>
      <c r="C78" s="96"/>
      <c r="D78" s="97"/>
      <c r="E78" s="97"/>
      <c r="F78" s="96"/>
      <c r="G78" s="98"/>
      <c r="H78" s="41" t="str">
        <f>IF(OR(B78="",D78="",F78="",G78=""),"",IF(AND(E78&lt;&gt;"",E78&lt;SISTEM!$C$17),"Pasif","Aktif"))</f>
        <v/>
      </c>
      <c r="I78" s="74">
        <f t="shared" si="5"/>
        <v>0</v>
      </c>
      <c r="J78" s="42" t="str">
        <f t="shared" si="6"/>
        <v/>
      </c>
      <c r="K78" s="43" t="str">
        <f>IF(AND(B78="",C78=""),"",IF(OR(B78="",C78="",D78="",F78="",G78=""),"EKSİK",IF(COUNTIF(MUSTERILER!$B$7:$B$156,B78)=0,"TANIMSIZ MÜŞTERİ","UYGUN")))</f>
        <v/>
      </c>
      <c r="L78" s="43" t="str">
        <f t="shared" si="7"/>
        <v/>
      </c>
      <c r="M78" s="96"/>
      <c r="N78" s="22" t="str">
        <f>IF(B78="","",IF(E78="",SISTEM!$C$17,MIN(E78,SISTEM!$C$17)))</f>
        <v/>
      </c>
      <c r="O78" s="22" t="str">
        <f t="shared" si="8"/>
        <v/>
      </c>
      <c r="P78" s="22">
        <f t="shared" si="9"/>
        <v>0</v>
      </c>
    </row>
    <row r="79" spans="1:16" ht="17">
      <c r="A79" s="6"/>
      <c r="B79" s="95"/>
      <c r="C79" s="96"/>
      <c r="D79" s="97"/>
      <c r="E79" s="97"/>
      <c r="F79" s="96"/>
      <c r="G79" s="98"/>
      <c r="H79" s="41" t="str">
        <f>IF(OR(B79="",D79="",F79="",G79=""),"",IF(AND(E79&lt;&gt;"",E79&lt;SISTEM!$C$17),"Pasif","Aktif"))</f>
        <v/>
      </c>
      <c r="I79" s="74">
        <f t="shared" si="5"/>
        <v>0</v>
      </c>
      <c r="J79" s="42" t="str">
        <f t="shared" si="6"/>
        <v/>
      </c>
      <c r="K79" s="43" t="str">
        <f>IF(AND(B79="",C79=""),"",IF(OR(B79="",C79="",D79="",F79="",G79=""),"EKSİK",IF(COUNTIF(MUSTERILER!$B$7:$B$156,B79)=0,"TANIMSIZ MÜŞTERİ","UYGUN")))</f>
        <v/>
      </c>
      <c r="L79" s="43" t="str">
        <f t="shared" si="7"/>
        <v/>
      </c>
      <c r="M79" s="96"/>
      <c r="N79" s="22" t="str">
        <f>IF(B79="","",IF(E79="",SISTEM!$C$17,MIN(E79,SISTEM!$C$17)))</f>
        <v/>
      </c>
      <c r="O79" s="22" t="str">
        <f t="shared" si="8"/>
        <v/>
      </c>
      <c r="P79" s="22">
        <f t="shared" si="9"/>
        <v>0</v>
      </c>
    </row>
    <row r="80" spans="1:16" ht="17">
      <c r="A80" s="6"/>
      <c r="B80" s="95"/>
      <c r="C80" s="96"/>
      <c r="D80" s="97"/>
      <c r="E80" s="97"/>
      <c r="F80" s="96"/>
      <c r="G80" s="98"/>
      <c r="H80" s="41" t="str">
        <f>IF(OR(B80="",D80="",F80="",G80=""),"",IF(AND(E80&lt;&gt;"",E80&lt;SISTEM!$C$17),"Pasif","Aktif"))</f>
        <v/>
      </c>
      <c r="I80" s="74">
        <f t="shared" si="5"/>
        <v>0</v>
      </c>
      <c r="J80" s="42" t="str">
        <f t="shared" si="6"/>
        <v/>
      </c>
      <c r="K80" s="43" t="str">
        <f>IF(AND(B80="",C80=""),"",IF(OR(B80="",C80="",D80="",F80="",G80=""),"EKSİK",IF(COUNTIF(MUSTERILER!$B$7:$B$156,B80)=0,"TANIMSIZ MÜŞTERİ","UYGUN")))</f>
        <v/>
      </c>
      <c r="L80" s="43" t="str">
        <f t="shared" si="7"/>
        <v/>
      </c>
      <c r="M80" s="96"/>
      <c r="N80" s="22" t="str">
        <f>IF(B80="","",IF(E80="",SISTEM!$C$17,MIN(E80,SISTEM!$C$17)))</f>
        <v/>
      </c>
      <c r="O80" s="22" t="str">
        <f t="shared" si="8"/>
        <v/>
      </c>
      <c r="P80" s="22">
        <f t="shared" si="9"/>
        <v>0</v>
      </c>
    </row>
    <row r="81" spans="1:16" ht="17">
      <c r="A81" s="6"/>
      <c r="B81" s="95"/>
      <c r="C81" s="96"/>
      <c r="D81" s="97"/>
      <c r="E81" s="97"/>
      <c r="F81" s="96"/>
      <c r="G81" s="98"/>
      <c r="H81" s="41" t="str">
        <f>IF(OR(B81="",D81="",F81="",G81=""),"",IF(AND(E81&lt;&gt;"",E81&lt;SISTEM!$C$17),"Pasif","Aktif"))</f>
        <v/>
      </c>
      <c r="I81" s="74">
        <f t="shared" si="5"/>
        <v>0</v>
      </c>
      <c r="J81" s="42" t="str">
        <f t="shared" si="6"/>
        <v/>
      </c>
      <c r="K81" s="43" t="str">
        <f>IF(AND(B81="",C81=""),"",IF(OR(B81="",C81="",D81="",F81="",G81=""),"EKSİK",IF(COUNTIF(MUSTERILER!$B$7:$B$156,B81)=0,"TANIMSIZ MÜŞTERİ","UYGUN")))</f>
        <v/>
      </c>
      <c r="L81" s="43" t="str">
        <f t="shared" si="7"/>
        <v/>
      </c>
      <c r="M81" s="96"/>
      <c r="N81" s="22" t="str">
        <f>IF(B81="","",IF(E81="",SISTEM!$C$17,MIN(E81,SISTEM!$C$17)))</f>
        <v/>
      </c>
      <c r="O81" s="22" t="str">
        <f t="shared" si="8"/>
        <v/>
      </c>
      <c r="P81" s="22">
        <f t="shared" si="9"/>
        <v>0</v>
      </c>
    </row>
    <row r="82" spans="1:16" ht="17">
      <c r="A82" s="6"/>
      <c r="B82" s="95"/>
      <c r="C82" s="96"/>
      <c r="D82" s="97"/>
      <c r="E82" s="97"/>
      <c r="F82" s="96"/>
      <c r="G82" s="98"/>
      <c r="H82" s="41" t="str">
        <f>IF(OR(B82="",D82="",F82="",G82=""),"",IF(AND(E82&lt;&gt;"",E82&lt;SISTEM!$C$17),"Pasif","Aktif"))</f>
        <v/>
      </c>
      <c r="I82" s="74">
        <f t="shared" si="5"/>
        <v>0</v>
      </c>
      <c r="J82" s="42" t="str">
        <f t="shared" si="6"/>
        <v/>
      </c>
      <c r="K82" s="43" t="str">
        <f>IF(AND(B82="",C82=""),"",IF(OR(B82="",C82="",D82="",F82="",G82=""),"EKSİK",IF(COUNTIF(MUSTERILER!$B$7:$B$156,B82)=0,"TANIMSIZ MÜŞTERİ","UYGUN")))</f>
        <v/>
      </c>
      <c r="L82" s="43" t="str">
        <f t="shared" si="7"/>
        <v/>
      </c>
      <c r="M82" s="96"/>
      <c r="N82" s="22" t="str">
        <f>IF(B82="","",IF(E82="",SISTEM!$C$17,MIN(E82,SISTEM!$C$17)))</f>
        <v/>
      </c>
      <c r="O82" s="22" t="str">
        <f t="shared" si="8"/>
        <v/>
      </c>
      <c r="P82" s="22">
        <f t="shared" si="9"/>
        <v>0</v>
      </c>
    </row>
    <row r="83" spans="1:16" ht="17">
      <c r="A83" s="6"/>
      <c r="B83" s="95"/>
      <c r="C83" s="96"/>
      <c r="D83" s="97"/>
      <c r="E83" s="97"/>
      <c r="F83" s="96"/>
      <c r="G83" s="98"/>
      <c r="H83" s="41" t="str">
        <f>IF(OR(B83="",D83="",F83="",G83=""),"",IF(AND(E83&lt;&gt;"",E83&lt;SISTEM!$C$17),"Pasif","Aktif"))</f>
        <v/>
      </c>
      <c r="I83" s="74">
        <f t="shared" si="5"/>
        <v>0</v>
      </c>
      <c r="J83" s="42" t="str">
        <f t="shared" si="6"/>
        <v/>
      </c>
      <c r="K83" s="43" t="str">
        <f>IF(AND(B83="",C83=""),"",IF(OR(B83="",C83="",D83="",F83="",G83=""),"EKSİK",IF(COUNTIF(MUSTERILER!$B$7:$B$156,B83)=0,"TANIMSIZ MÜŞTERİ","UYGUN")))</f>
        <v/>
      </c>
      <c r="L83" s="43" t="str">
        <f t="shared" si="7"/>
        <v/>
      </c>
      <c r="M83" s="96"/>
      <c r="N83" s="22" t="str">
        <f>IF(B83="","",IF(E83="",SISTEM!$C$17,MIN(E83,SISTEM!$C$17)))</f>
        <v/>
      </c>
      <c r="O83" s="22" t="str">
        <f t="shared" si="8"/>
        <v/>
      </c>
      <c r="P83" s="22">
        <f t="shared" si="9"/>
        <v>0</v>
      </c>
    </row>
    <row r="84" spans="1:16" ht="17">
      <c r="A84" s="6"/>
      <c r="B84" s="95"/>
      <c r="C84" s="96"/>
      <c r="D84" s="97"/>
      <c r="E84" s="97"/>
      <c r="F84" s="96"/>
      <c r="G84" s="98"/>
      <c r="H84" s="41" t="str">
        <f>IF(OR(B84="",D84="",F84="",G84=""),"",IF(AND(E84&lt;&gt;"",E84&lt;SISTEM!$C$17),"Pasif","Aktif"))</f>
        <v/>
      </c>
      <c r="I84" s="74">
        <f t="shared" si="5"/>
        <v>0</v>
      </c>
      <c r="J84" s="42" t="str">
        <f t="shared" si="6"/>
        <v/>
      </c>
      <c r="K84" s="43" t="str">
        <f>IF(AND(B84="",C84=""),"",IF(OR(B84="",C84="",D84="",F84="",G84=""),"EKSİK",IF(COUNTIF(MUSTERILER!$B$7:$B$156,B84)=0,"TANIMSIZ MÜŞTERİ","UYGUN")))</f>
        <v/>
      </c>
      <c r="L84" s="43" t="str">
        <f t="shared" si="7"/>
        <v/>
      </c>
      <c r="M84" s="96"/>
      <c r="N84" s="22" t="str">
        <f>IF(B84="","",IF(E84="",SISTEM!$C$17,MIN(E84,SISTEM!$C$17)))</f>
        <v/>
      </c>
      <c r="O84" s="22" t="str">
        <f t="shared" si="8"/>
        <v/>
      </c>
      <c r="P84" s="22">
        <f t="shared" si="9"/>
        <v>0</v>
      </c>
    </row>
    <row r="85" spans="1:16" ht="17">
      <c r="A85" s="6"/>
      <c r="B85" s="95"/>
      <c r="C85" s="96"/>
      <c r="D85" s="97"/>
      <c r="E85" s="97"/>
      <c r="F85" s="96"/>
      <c r="G85" s="98"/>
      <c r="H85" s="41" t="str">
        <f>IF(OR(B85="",D85="",F85="",G85=""),"",IF(AND(E85&lt;&gt;"",E85&lt;SISTEM!$C$17),"Pasif","Aktif"))</f>
        <v/>
      </c>
      <c r="I85" s="74">
        <f t="shared" si="5"/>
        <v>0</v>
      </c>
      <c r="J85" s="42" t="str">
        <f t="shared" si="6"/>
        <v/>
      </c>
      <c r="K85" s="43" t="str">
        <f>IF(AND(B85="",C85=""),"",IF(OR(B85="",C85="",D85="",F85="",G85=""),"EKSİK",IF(COUNTIF(MUSTERILER!$B$7:$B$156,B85)=0,"TANIMSIZ MÜŞTERİ","UYGUN")))</f>
        <v/>
      </c>
      <c r="L85" s="43" t="str">
        <f t="shared" si="7"/>
        <v/>
      </c>
      <c r="M85" s="96"/>
      <c r="N85" s="22" t="str">
        <f>IF(B85="","",IF(E85="",SISTEM!$C$17,MIN(E85,SISTEM!$C$17)))</f>
        <v/>
      </c>
      <c r="O85" s="22" t="str">
        <f t="shared" si="8"/>
        <v/>
      </c>
      <c r="P85" s="22">
        <f t="shared" si="9"/>
        <v>0</v>
      </c>
    </row>
    <row r="86" spans="1:16" ht="17">
      <c r="A86" s="6"/>
      <c r="B86" s="95"/>
      <c r="C86" s="96"/>
      <c r="D86" s="97"/>
      <c r="E86" s="97"/>
      <c r="F86" s="96"/>
      <c r="G86" s="98"/>
      <c r="H86" s="41" t="str">
        <f>IF(OR(B86="",D86="",F86="",G86=""),"",IF(AND(E86&lt;&gt;"",E86&lt;SISTEM!$C$17),"Pasif","Aktif"))</f>
        <v/>
      </c>
      <c r="I86" s="74">
        <f t="shared" si="5"/>
        <v>0</v>
      </c>
      <c r="J86" s="42" t="str">
        <f t="shared" si="6"/>
        <v/>
      </c>
      <c r="K86" s="43" t="str">
        <f>IF(AND(B86="",C86=""),"",IF(OR(B86="",C86="",D86="",F86="",G86=""),"EKSİK",IF(COUNTIF(MUSTERILER!$B$7:$B$156,B86)=0,"TANIMSIZ MÜŞTERİ","UYGUN")))</f>
        <v/>
      </c>
      <c r="L86" s="43" t="str">
        <f t="shared" si="7"/>
        <v/>
      </c>
      <c r="M86" s="96"/>
      <c r="N86" s="22" t="str">
        <f>IF(B86="","",IF(E86="",SISTEM!$C$17,MIN(E86,SISTEM!$C$17)))</f>
        <v/>
      </c>
      <c r="O86" s="22" t="str">
        <f t="shared" si="8"/>
        <v/>
      </c>
      <c r="P86" s="22">
        <f t="shared" si="9"/>
        <v>0</v>
      </c>
    </row>
    <row r="87" spans="1:16" ht="17">
      <c r="A87" s="6"/>
      <c r="B87" s="95"/>
      <c r="C87" s="96"/>
      <c r="D87" s="97"/>
      <c r="E87" s="97"/>
      <c r="F87" s="96"/>
      <c r="G87" s="98"/>
      <c r="H87" s="41" t="str">
        <f>IF(OR(B87="",D87="",F87="",G87=""),"",IF(AND(E87&lt;&gt;"",E87&lt;SISTEM!$C$17),"Pasif","Aktif"))</f>
        <v/>
      </c>
      <c r="I87" s="74">
        <f t="shared" si="5"/>
        <v>0</v>
      </c>
      <c r="J87" s="42" t="str">
        <f t="shared" si="6"/>
        <v/>
      </c>
      <c r="K87" s="43" t="str">
        <f>IF(AND(B87="",C87=""),"",IF(OR(B87="",C87="",D87="",F87="",G87=""),"EKSİK",IF(COUNTIF(MUSTERILER!$B$7:$B$156,B87)=0,"TANIMSIZ MÜŞTERİ","UYGUN")))</f>
        <v/>
      </c>
      <c r="L87" s="43" t="str">
        <f t="shared" si="7"/>
        <v/>
      </c>
      <c r="M87" s="96"/>
      <c r="N87" s="22" t="str">
        <f>IF(B87="","",IF(E87="",SISTEM!$C$17,MIN(E87,SISTEM!$C$17)))</f>
        <v/>
      </c>
      <c r="O87" s="22" t="str">
        <f t="shared" si="8"/>
        <v/>
      </c>
      <c r="P87" s="22">
        <f t="shared" si="9"/>
        <v>0</v>
      </c>
    </row>
    <row r="88" spans="1:16" ht="17">
      <c r="A88" s="6"/>
      <c r="B88" s="95"/>
      <c r="C88" s="96"/>
      <c r="D88" s="97"/>
      <c r="E88" s="97"/>
      <c r="F88" s="96"/>
      <c r="G88" s="98"/>
      <c r="H88" s="41" t="str">
        <f>IF(OR(B88="",D88="",F88="",G88=""),"",IF(AND(E88&lt;&gt;"",E88&lt;SISTEM!$C$17),"Pasif","Aktif"))</f>
        <v/>
      </c>
      <c r="I88" s="74">
        <f t="shared" si="5"/>
        <v>0</v>
      </c>
      <c r="J88" s="42" t="str">
        <f t="shared" si="6"/>
        <v/>
      </c>
      <c r="K88" s="43" t="str">
        <f>IF(AND(B88="",C88=""),"",IF(OR(B88="",C88="",D88="",F88="",G88=""),"EKSİK",IF(COUNTIF(MUSTERILER!$B$7:$B$156,B88)=0,"TANIMSIZ MÜŞTERİ","UYGUN")))</f>
        <v/>
      </c>
      <c r="L88" s="43" t="str">
        <f t="shared" si="7"/>
        <v/>
      </c>
      <c r="M88" s="96"/>
      <c r="N88" s="22" t="str">
        <f>IF(B88="","",IF(E88="",SISTEM!$C$17,MIN(E88,SISTEM!$C$17)))</f>
        <v/>
      </c>
      <c r="O88" s="22" t="str">
        <f t="shared" si="8"/>
        <v/>
      </c>
      <c r="P88" s="22">
        <f t="shared" si="9"/>
        <v>0</v>
      </c>
    </row>
    <row r="89" spans="1:16" ht="17">
      <c r="A89" s="6"/>
      <c r="B89" s="95"/>
      <c r="C89" s="96"/>
      <c r="D89" s="97"/>
      <c r="E89" s="97"/>
      <c r="F89" s="96"/>
      <c r="G89" s="98"/>
      <c r="H89" s="41" t="str">
        <f>IF(OR(B89="",D89="",F89="",G89=""),"",IF(AND(E89&lt;&gt;"",E89&lt;SISTEM!$C$17),"Pasif","Aktif"))</f>
        <v/>
      </c>
      <c r="I89" s="74">
        <f t="shared" si="5"/>
        <v>0</v>
      </c>
      <c r="J89" s="42" t="str">
        <f t="shared" si="6"/>
        <v/>
      </c>
      <c r="K89" s="43" t="str">
        <f>IF(AND(B89="",C89=""),"",IF(OR(B89="",C89="",D89="",F89="",G89=""),"EKSİK",IF(COUNTIF(MUSTERILER!$B$7:$B$156,B89)=0,"TANIMSIZ MÜŞTERİ","UYGUN")))</f>
        <v/>
      </c>
      <c r="L89" s="43" t="str">
        <f t="shared" si="7"/>
        <v/>
      </c>
      <c r="M89" s="96"/>
      <c r="N89" s="22" t="str">
        <f>IF(B89="","",IF(E89="",SISTEM!$C$17,MIN(E89,SISTEM!$C$17)))</f>
        <v/>
      </c>
      <c r="O89" s="22" t="str">
        <f t="shared" si="8"/>
        <v/>
      </c>
      <c r="P89" s="22">
        <f t="shared" si="9"/>
        <v>0</v>
      </c>
    </row>
    <row r="90" spans="1:16" ht="17">
      <c r="A90" s="6"/>
      <c r="B90" s="95"/>
      <c r="C90" s="96"/>
      <c r="D90" s="97"/>
      <c r="E90" s="97"/>
      <c r="F90" s="96"/>
      <c r="G90" s="98"/>
      <c r="H90" s="41" t="str">
        <f>IF(OR(B90="",D90="",F90="",G90=""),"",IF(AND(E90&lt;&gt;"",E90&lt;SISTEM!$C$17),"Pasif","Aktif"))</f>
        <v/>
      </c>
      <c r="I90" s="74">
        <f t="shared" si="5"/>
        <v>0</v>
      </c>
      <c r="J90" s="42" t="str">
        <f t="shared" si="6"/>
        <v/>
      </c>
      <c r="K90" s="43" t="str">
        <f>IF(AND(B90="",C90=""),"",IF(OR(B90="",C90="",D90="",F90="",G90=""),"EKSİK",IF(COUNTIF(MUSTERILER!$B$7:$B$156,B90)=0,"TANIMSIZ MÜŞTERİ","UYGUN")))</f>
        <v/>
      </c>
      <c r="L90" s="43" t="str">
        <f t="shared" si="7"/>
        <v/>
      </c>
      <c r="M90" s="96"/>
      <c r="N90" s="22" t="str">
        <f>IF(B90="","",IF(E90="",SISTEM!$C$17,MIN(E90,SISTEM!$C$17)))</f>
        <v/>
      </c>
      <c r="O90" s="22" t="str">
        <f t="shared" si="8"/>
        <v/>
      </c>
      <c r="P90" s="22">
        <f t="shared" si="9"/>
        <v>0</v>
      </c>
    </row>
    <row r="91" spans="1:16" ht="17">
      <c r="A91" s="6"/>
      <c r="B91" s="95"/>
      <c r="C91" s="96"/>
      <c r="D91" s="97"/>
      <c r="E91" s="97"/>
      <c r="F91" s="96"/>
      <c r="G91" s="98"/>
      <c r="H91" s="41" t="str">
        <f>IF(OR(B91="",D91="",F91="",G91=""),"",IF(AND(E91&lt;&gt;"",E91&lt;SISTEM!$C$17),"Pasif","Aktif"))</f>
        <v/>
      </c>
      <c r="I91" s="74">
        <f t="shared" si="5"/>
        <v>0</v>
      </c>
      <c r="J91" s="42" t="str">
        <f t="shared" si="6"/>
        <v/>
      </c>
      <c r="K91" s="43" t="str">
        <f>IF(AND(B91="",C91=""),"",IF(OR(B91="",C91="",D91="",F91="",G91=""),"EKSİK",IF(COUNTIF(MUSTERILER!$B$7:$B$156,B91)=0,"TANIMSIZ MÜŞTERİ","UYGUN")))</f>
        <v/>
      </c>
      <c r="L91" s="43" t="str">
        <f t="shared" si="7"/>
        <v/>
      </c>
      <c r="M91" s="96"/>
      <c r="N91" s="22" t="str">
        <f>IF(B91="","",IF(E91="",SISTEM!$C$17,MIN(E91,SISTEM!$C$17)))</f>
        <v/>
      </c>
      <c r="O91" s="22" t="str">
        <f t="shared" si="8"/>
        <v/>
      </c>
      <c r="P91" s="22">
        <f t="shared" si="9"/>
        <v>0</v>
      </c>
    </row>
    <row r="92" spans="1:16" ht="17">
      <c r="A92" s="6"/>
      <c r="B92" s="95"/>
      <c r="C92" s="96"/>
      <c r="D92" s="97"/>
      <c r="E92" s="97"/>
      <c r="F92" s="96"/>
      <c r="G92" s="98"/>
      <c r="H92" s="41" t="str">
        <f>IF(OR(B92="",D92="",F92="",G92=""),"",IF(AND(E92&lt;&gt;"",E92&lt;SISTEM!$C$17),"Pasif","Aktif"))</f>
        <v/>
      </c>
      <c r="I92" s="74">
        <f t="shared" si="5"/>
        <v>0</v>
      </c>
      <c r="J92" s="42" t="str">
        <f t="shared" si="6"/>
        <v/>
      </c>
      <c r="K92" s="43" t="str">
        <f>IF(AND(B92="",C92=""),"",IF(OR(B92="",C92="",D92="",F92="",G92=""),"EKSİK",IF(COUNTIF(MUSTERILER!$B$7:$B$156,B92)=0,"TANIMSIZ MÜŞTERİ","UYGUN")))</f>
        <v/>
      </c>
      <c r="L92" s="43" t="str">
        <f t="shared" si="7"/>
        <v/>
      </c>
      <c r="M92" s="96"/>
      <c r="N92" s="22" t="str">
        <f>IF(B92="","",IF(E92="",SISTEM!$C$17,MIN(E92,SISTEM!$C$17)))</f>
        <v/>
      </c>
      <c r="O92" s="22" t="str">
        <f t="shared" si="8"/>
        <v/>
      </c>
      <c r="P92" s="22">
        <f t="shared" si="9"/>
        <v>0</v>
      </c>
    </row>
    <row r="93" spans="1:16" ht="17">
      <c r="A93" s="6"/>
      <c r="B93" s="95"/>
      <c r="C93" s="96"/>
      <c r="D93" s="97"/>
      <c r="E93" s="97"/>
      <c r="F93" s="96"/>
      <c r="G93" s="98"/>
      <c r="H93" s="41" t="str">
        <f>IF(OR(B93="",D93="",F93="",G93=""),"",IF(AND(E93&lt;&gt;"",E93&lt;SISTEM!$C$17),"Pasif","Aktif"))</f>
        <v/>
      </c>
      <c r="I93" s="74">
        <f t="shared" si="5"/>
        <v>0</v>
      </c>
      <c r="J93" s="42" t="str">
        <f t="shared" si="6"/>
        <v/>
      </c>
      <c r="K93" s="43" t="str">
        <f>IF(AND(B93="",C93=""),"",IF(OR(B93="",C93="",D93="",F93="",G93=""),"EKSİK",IF(COUNTIF(MUSTERILER!$B$7:$B$156,B93)=0,"TANIMSIZ MÜŞTERİ","UYGUN")))</f>
        <v/>
      </c>
      <c r="L93" s="43" t="str">
        <f t="shared" si="7"/>
        <v/>
      </c>
      <c r="M93" s="96"/>
      <c r="N93" s="22" t="str">
        <f>IF(B93="","",IF(E93="",SISTEM!$C$17,MIN(E93,SISTEM!$C$17)))</f>
        <v/>
      </c>
      <c r="O93" s="22" t="str">
        <f t="shared" si="8"/>
        <v/>
      </c>
      <c r="P93" s="22">
        <f t="shared" si="9"/>
        <v>0</v>
      </c>
    </row>
    <row r="94" spans="1:16" ht="17">
      <c r="A94" s="6"/>
      <c r="B94" s="95"/>
      <c r="C94" s="96"/>
      <c r="D94" s="97"/>
      <c r="E94" s="97"/>
      <c r="F94" s="96"/>
      <c r="G94" s="98"/>
      <c r="H94" s="41" t="str">
        <f>IF(OR(B94="",D94="",F94="",G94=""),"",IF(AND(E94&lt;&gt;"",E94&lt;SISTEM!$C$17),"Pasif","Aktif"))</f>
        <v/>
      </c>
      <c r="I94" s="74">
        <f t="shared" si="5"/>
        <v>0</v>
      </c>
      <c r="J94" s="42" t="str">
        <f t="shared" si="6"/>
        <v/>
      </c>
      <c r="K94" s="43" t="str">
        <f>IF(AND(B94="",C94=""),"",IF(OR(B94="",C94="",D94="",F94="",G94=""),"EKSİK",IF(COUNTIF(MUSTERILER!$B$7:$B$156,B94)=0,"TANIMSIZ MÜŞTERİ","UYGUN")))</f>
        <v/>
      </c>
      <c r="L94" s="43" t="str">
        <f t="shared" si="7"/>
        <v/>
      </c>
      <c r="M94" s="96"/>
      <c r="N94" s="22" t="str">
        <f>IF(B94="","",IF(E94="",SISTEM!$C$17,MIN(E94,SISTEM!$C$17)))</f>
        <v/>
      </c>
      <c r="O94" s="22" t="str">
        <f t="shared" si="8"/>
        <v/>
      </c>
      <c r="P94" s="22">
        <f t="shared" si="9"/>
        <v>0</v>
      </c>
    </row>
    <row r="95" spans="1:16" ht="17">
      <c r="A95" s="6"/>
      <c r="B95" s="95"/>
      <c r="C95" s="96"/>
      <c r="D95" s="97"/>
      <c r="E95" s="97"/>
      <c r="F95" s="96"/>
      <c r="G95" s="98"/>
      <c r="H95" s="41" t="str">
        <f>IF(OR(B95="",D95="",F95="",G95=""),"",IF(AND(E95&lt;&gt;"",E95&lt;SISTEM!$C$17),"Pasif","Aktif"))</f>
        <v/>
      </c>
      <c r="I95" s="74">
        <f t="shared" si="5"/>
        <v>0</v>
      </c>
      <c r="J95" s="42" t="str">
        <f t="shared" si="6"/>
        <v/>
      </c>
      <c r="K95" s="43" t="str">
        <f>IF(AND(B95="",C95=""),"",IF(OR(B95="",C95="",D95="",F95="",G95=""),"EKSİK",IF(COUNTIF(MUSTERILER!$B$7:$B$156,B95)=0,"TANIMSIZ MÜŞTERİ","UYGUN")))</f>
        <v/>
      </c>
      <c r="L95" s="43" t="str">
        <f t="shared" si="7"/>
        <v/>
      </c>
      <c r="M95" s="96"/>
      <c r="N95" s="22" t="str">
        <f>IF(B95="","",IF(E95="",SISTEM!$C$17,MIN(E95,SISTEM!$C$17)))</f>
        <v/>
      </c>
      <c r="O95" s="22" t="str">
        <f t="shared" si="8"/>
        <v/>
      </c>
      <c r="P95" s="22">
        <f t="shared" si="9"/>
        <v>0</v>
      </c>
    </row>
    <row r="96" spans="1:16" ht="17">
      <c r="A96" s="6"/>
      <c r="B96" s="95"/>
      <c r="C96" s="96"/>
      <c r="D96" s="97"/>
      <c r="E96" s="97"/>
      <c r="F96" s="96"/>
      <c r="G96" s="98"/>
      <c r="H96" s="41" t="str">
        <f>IF(OR(B96="",D96="",F96="",G96=""),"",IF(AND(E96&lt;&gt;"",E96&lt;SISTEM!$C$17),"Pasif","Aktif"))</f>
        <v/>
      </c>
      <c r="I96" s="74">
        <f t="shared" si="5"/>
        <v>0</v>
      </c>
      <c r="J96" s="42" t="str">
        <f t="shared" si="6"/>
        <v/>
      </c>
      <c r="K96" s="43" t="str">
        <f>IF(AND(B96="",C96=""),"",IF(OR(B96="",C96="",D96="",F96="",G96=""),"EKSİK",IF(COUNTIF(MUSTERILER!$B$7:$B$156,B96)=0,"TANIMSIZ MÜŞTERİ","UYGUN")))</f>
        <v/>
      </c>
      <c r="L96" s="43" t="str">
        <f t="shared" si="7"/>
        <v/>
      </c>
      <c r="M96" s="96"/>
      <c r="N96" s="22" t="str">
        <f>IF(B96="","",IF(E96="",SISTEM!$C$17,MIN(E96,SISTEM!$C$17)))</f>
        <v/>
      </c>
      <c r="O96" s="22" t="str">
        <f t="shared" si="8"/>
        <v/>
      </c>
      <c r="P96" s="22">
        <f t="shared" si="9"/>
        <v>0</v>
      </c>
    </row>
    <row r="97" spans="1:16" ht="17">
      <c r="A97" s="6"/>
      <c r="B97" s="95"/>
      <c r="C97" s="96"/>
      <c r="D97" s="97"/>
      <c r="E97" s="97"/>
      <c r="F97" s="96"/>
      <c r="G97" s="98"/>
      <c r="H97" s="41" t="str">
        <f>IF(OR(B97="",D97="",F97="",G97=""),"",IF(AND(E97&lt;&gt;"",E97&lt;SISTEM!$C$17),"Pasif","Aktif"))</f>
        <v/>
      </c>
      <c r="I97" s="74">
        <f t="shared" si="5"/>
        <v>0</v>
      </c>
      <c r="J97" s="42" t="str">
        <f t="shared" si="6"/>
        <v/>
      </c>
      <c r="K97" s="43" t="str">
        <f>IF(AND(B97="",C97=""),"",IF(OR(B97="",C97="",D97="",F97="",G97=""),"EKSİK",IF(COUNTIF(MUSTERILER!$B$7:$B$156,B97)=0,"TANIMSIZ MÜŞTERİ","UYGUN")))</f>
        <v/>
      </c>
      <c r="L97" s="43" t="str">
        <f t="shared" si="7"/>
        <v/>
      </c>
      <c r="M97" s="96"/>
      <c r="N97" s="22" t="str">
        <f>IF(B97="","",IF(E97="",SISTEM!$C$17,MIN(E97,SISTEM!$C$17)))</f>
        <v/>
      </c>
      <c r="O97" s="22" t="str">
        <f t="shared" si="8"/>
        <v/>
      </c>
      <c r="P97" s="22">
        <f t="shared" si="9"/>
        <v>0</v>
      </c>
    </row>
    <row r="98" spans="1:16" ht="17">
      <c r="A98" s="6"/>
      <c r="B98" s="95"/>
      <c r="C98" s="96"/>
      <c r="D98" s="97"/>
      <c r="E98" s="97"/>
      <c r="F98" s="96"/>
      <c r="G98" s="98"/>
      <c r="H98" s="41" t="str">
        <f>IF(OR(B98="",D98="",F98="",G98=""),"",IF(AND(E98&lt;&gt;"",E98&lt;SISTEM!$C$17),"Pasif","Aktif"))</f>
        <v/>
      </c>
      <c r="I98" s="74">
        <f t="shared" si="5"/>
        <v>0</v>
      </c>
      <c r="J98" s="42" t="str">
        <f t="shared" si="6"/>
        <v/>
      </c>
      <c r="K98" s="43" t="str">
        <f>IF(AND(B98="",C98=""),"",IF(OR(B98="",C98="",D98="",F98="",G98=""),"EKSİK",IF(COUNTIF(MUSTERILER!$B$7:$B$156,B98)=0,"TANIMSIZ MÜŞTERİ","UYGUN")))</f>
        <v/>
      </c>
      <c r="L98" s="43" t="str">
        <f t="shared" si="7"/>
        <v/>
      </c>
      <c r="M98" s="96"/>
      <c r="N98" s="22" t="str">
        <f>IF(B98="","",IF(E98="",SISTEM!$C$17,MIN(E98,SISTEM!$C$17)))</f>
        <v/>
      </c>
      <c r="O98" s="22" t="str">
        <f t="shared" si="8"/>
        <v/>
      </c>
      <c r="P98" s="22">
        <f t="shared" si="9"/>
        <v>0</v>
      </c>
    </row>
    <row r="99" spans="1:16" ht="17">
      <c r="A99" s="6"/>
      <c r="B99" s="95"/>
      <c r="C99" s="96"/>
      <c r="D99" s="97"/>
      <c r="E99" s="97"/>
      <c r="F99" s="96"/>
      <c r="G99" s="98"/>
      <c r="H99" s="41" t="str">
        <f>IF(OR(B99="",D99="",F99="",G99=""),"",IF(AND(E99&lt;&gt;"",E99&lt;SISTEM!$C$17),"Pasif","Aktif"))</f>
        <v/>
      </c>
      <c r="I99" s="74">
        <f t="shared" si="5"/>
        <v>0</v>
      </c>
      <c r="J99" s="42" t="str">
        <f t="shared" si="6"/>
        <v/>
      </c>
      <c r="K99" s="43" t="str">
        <f>IF(AND(B99="",C99=""),"",IF(OR(B99="",C99="",D99="",F99="",G99=""),"EKSİK",IF(COUNTIF(MUSTERILER!$B$7:$B$156,B99)=0,"TANIMSIZ MÜŞTERİ","UYGUN")))</f>
        <v/>
      </c>
      <c r="L99" s="43" t="str">
        <f t="shared" si="7"/>
        <v/>
      </c>
      <c r="M99" s="96"/>
      <c r="N99" s="22" t="str">
        <f>IF(B99="","",IF(E99="",SISTEM!$C$17,MIN(E99,SISTEM!$C$17)))</f>
        <v/>
      </c>
      <c r="O99" s="22" t="str">
        <f t="shared" si="8"/>
        <v/>
      </c>
      <c r="P99" s="22">
        <f t="shared" si="9"/>
        <v>0</v>
      </c>
    </row>
    <row r="100" spans="1:16" ht="17">
      <c r="A100" s="6"/>
      <c r="B100" s="95"/>
      <c r="C100" s="96"/>
      <c r="D100" s="97"/>
      <c r="E100" s="97"/>
      <c r="F100" s="96"/>
      <c r="G100" s="98"/>
      <c r="H100" s="41" t="str">
        <f>IF(OR(B100="",D100="",F100="",G100=""),"",IF(AND(E100&lt;&gt;"",E100&lt;SISTEM!$C$17),"Pasif","Aktif"))</f>
        <v/>
      </c>
      <c r="I100" s="74">
        <f t="shared" si="5"/>
        <v>0</v>
      </c>
      <c r="J100" s="42" t="str">
        <f t="shared" si="6"/>
        <v/>
      </c>
      <c r="K100" s="43" t="str">
        <f>IF(AND(B100="",C100=""),"",IF(OR(B100="",C100="",D100="",F100="",G100=""),"EKSİK",IF(COUNTIF(MUSTERILER!$B$7:$B$156,B100)=0,"TANIMSIZ MÜŞTERİ","UYGUN")))</f>
        <v/>
      </c>
      <c r="L100" s="43" t="str">
        <f t="shared" si="7"/>
        <v/>
      </c>
      <c r="M100" s="96"/>
      <c r="N100" s="22" t="str">
        <f>IF(B100="","",IF(E100="",SISTEM!$C$17,MIN(E100,SISTEM!$C$17)))</f>
        <v/>
      </c>
      <c r="O100" s="22" t="str">
        <f t="shared" si="8"/>
        <v/>
      </c>
      <c r="P100" s="22">
        <f t="shared" si="9"/>
        <v>0</v>
      </c>
    </row>
    <row r="101" spans="1:16" ht="17">
      <c r="A101" s="6"/>
      <c r="B101" s="95"/>
      <c r="C101" s="96"/>
      <c r="D101" s="97"/>
      <c r="E101" s="97"/>
      <c r="F101" s="96"/>
      <c r="G101" s="98"/>
      <c r="H101" s="41" t="str">
        <f>IF(OR(B101="",D101="",F101="",G101=""),"",IF(AND(E101&lt;&gt;"",E101&lt;SISTEM!$C$17),"Pasif","Aktif"))</f>
        <v/>
      </c>
      <c r="I101" s="74">
        <f t="shared" si="5"/>
        <v>0</v>
      </c>
      <c r="J101" s="42" t="str">
        <f t="shared" si="6"/>
        <v/>
      </c>
      <c r="K101" s="43" t="str">
        <f>IF(AND(B101="",C101=""),"",IF(OR(B101="",C101="",D101="",F101="",G101=""),"EKSİK",IF(COUNTIF(MUSTERILER!$B$7:$B$156,B101)=0,"TANIMSIZ MÜŞTERİ","UYGUN")))</f>
        <v/>
      </c>
      <c r="L101" s="43" t="str">
        <f t="shared" si="7"/>
        <v/>
      </c>
      <c r="M101" s="96"/>
      <c r="N101" s="22" t="str">
        <f>IF(B101="","",IF(E101="",SISTEM!$C$17,MIN(E101,SISTEM!$C$17)))</f>
        <v/>
      </c>
      <c r="O101" s="22" t="str">
        <f t="shared" si="8"/>
        <v/>
      </c>
      <c r="P101" s="22">
        <f t="shared" si="9"/>
        <v>0</v>
      </c>
    </row>
    <row r="102" spans="1:16" ht="17">
      <c r="A102" s="6"/>
      <c r="B102" s="95"/>
      <c r="C102" s="96"/>
      <c r="D102" s="97"/>
      <c r="E102" s="97"/>
      <c r="F102" s="96"/>
      <c r="G102" s="98"/>
      <c r="H102" s="41" t="str">
        <f>IF(OR(B102="",D102="",F102="",G102=""),"",IF(AND(E102&lt;&gt;"",E102&lt;SISTEM!$C$17),"Pasif","Aktif"))</f>
        <v/>
      </c>
      <c r="I102" s="74">
        <f t="shared" si="5"/>
        <v>0</v>
      </c>
      <c r="J102" s="42" t="str">
        <f t="shared" si="6"/>
        <v/>
      </c>
      <c r="K102" s="43" t="str">
        <f>IF(AND(B102="",C102=""),"",IF(OR(B102="",C102="",D102="",F102="",G102=""),"EKSİK",IF(COUNTIF(MUSTERILER!$B$7:$B$156,B102)=0,"TANIMSIZ MÜŞTERİ","UYGUN")))</f>
        <v/>
      </c>
      <c r="L102" s="43" t="str">
        <f t="shared" si="7"/>
        <v/>
      </c>
      <c r="M102" s="96"/>
      <c r="N102" s="22" t="str">
        <f>IF(B102="","",IF(E102="",SISTEM!$C$17,MIN(E102,SISTEM!$C$17)))</f>
        <v/>
      </c>
      <c r="O102" s="22" t="str">
        <f t="shared" si="8"/>
        <v/>
      </c>
      <c r="P102" s="22">
        <f t="shared" si="9"/>
        <v>0</v>
      </c>
    </row>
    <row r="103" spans="1:16" ht="17">
      <c r="A103" s="6"/>
      <c r="B103" s="95"/>
      <c r="C103" s="96"/>
      <c r="D103" s="97"/>
      <c r="E103" s="97"/>
      <c r="F103" s="96"/>
      <c r="G103" s="98"/>
      <c r="H103" s="41" t="str">
        <f>IF(OR(B103="",D103="",F103="",G103=""),"",IF(AND(E103&lt;&gt;"",E103&lt;SISTEM!$C$17),"Pasif","Aktif"))</f>
        <v/>
      </c>
      <c r="I103" s="74">
        <f t="shared" si="5"/>
        <v>0</v>
      </c>
      <c r="J103" s="42" t="str">
        <f t="shared" si="6"/>
        <v/>
      </c>
      <c r="K103" s="43" t="str">
        <f>IF(AND(B103="",C103=""),"",IF(OR(B103="",C103="",D103="",F103="",G103=""),"EKSİK",IF(COUNTIF(MUSTERILER!$B$7:$B$156,B103)=0,"TANIMSIZ MÜŞTERİ","UYGUN")))</f>
        <v/>
      </c>
      <c r="L103" s="43" t="str">
        <f t="shared" si="7"/>
        <v/>
      </c>
      <c r="M103" s="96"/>
      <c r="N103" s="22" t="str">
        <f>IF(B103="","",IF(E103="",SISTEM!$C$17,MIN(E103,SISTEM!$C$17)))</f>
        <v/>
      </c>
      <c r="O103" s="22" t="str">
        <f t="shared" si="8"/>
        <v/>
      </c>
      <c r="P103" s="22">
        <f t="shared" si="9"/>
        <v>0</v>
      </c>
    </row>
    <row r="104" spans="1:16" ht="17">
      <c r="A104" s="6"/>
      <c r="B104" s="95"/>
      <c r="C104" s="96"/>
      <c r="D104" s="97"/>
      <c r="E104" s="97"/>
      <c r="F104" s="96"/>
      <c r="G104" s="98"/>
      <c r="H104" s="41" t="str">
        <f>IF(OR(B104="",D104="",F104="",G104=""),"",IF(AND(E104&lt;&gt;"",E104&lt;SISTEM!$C$17),"Pasif","Aktif"))</f>
        <v/>
      </c>
      <c r="I104" s="74">
        <f t="shared" si="5"/>
        <v>0</v>
      </c>
      <c r="J104" s="42" t="str">
        <f t="shared" si="6"/>
        <v/>
      </c>
      <c r="K104" s="43" t="str">
        <f>IF(AND(B104="",C104=""),"",IF(OR(B104="",C104="",D104="",F104="",G104=""),"EKSİK",IF(COUNTIF(MUSTERILER!$B$7:$B$156,B104)=0,"TANIMSIZ MÜŞTERİ","UYGUN")))</f>
        <v/>
      </c>
      <c r="L104" s="43" t="str">
        <f t="shared" si="7"/>
        <v/>
      </c>
      <c r="M104" s="96"/>
      <c r="N104" s="22" t="str">
        <f>IF(B104="","",IF(E104="",SISTEM!$C$17,MIN(E104,SISTEM!$C$17)))</f>
        <v/>
      </c>
      <c r="O104" s="22" t="str">
        <f t="shared" si="8"/>
        <v/>
      </c>
      <c r="P104" s="22">
        <f t="shared" si="9"/>
        <v>0</v>
      </c>
    </row>
    <row r="105" spans="1:16" ht="17">
      <c r="A105" s="6"/>
      <c r="B105" s="95"/>
      <c r="C105" s="96"/>
      <c r="D105" s="97"/>
      <c r="E105" s="97"/>
      <c r="F105" s="96"/>
      <c r="G105" s="98"/>
      <c r="H105" s="41" t="str">
        <f>IF(OR(B105="",D105="",F105="",G105=""),"",IF(AND(E105&lt;&gt;"",E105&lt;SISTEM!$C$17),"Pasif","Aktif"))</f>
        <v/>
      </c>
      <c r="I105" s="74">
        <f t="shared" si="5"/>
        <v>0</v>
      </c>
      <c r="J105" s="42" t="str">
        <f t="shared" si="6"/>
        <v/>
      </c>
      <c r="K105" s="43" t="str">
        <f>IF(AND(B105="",C105=""),"",IF(OR(B105="",C105="",D105="",F105="",G105=""),"EKSİK",IF(COUNTIF(MUSTERILER!$B$7:$B$156,B105)=0,"TANIMSIZ MÜŞTERİ","UYGUN")))</f>
        <v/>
      </c>
      <c r="L105" s="43" t="str">
        <f t="shared" si="7"/>
        <v/>
      </c>
      <c r="M105" s="96"/>
      <c r="N105" s="22" t="str">
        <f>IF(B105="","",IF(E105="",SISTEM!$C$17,MIN(E105,SISTEM!$C$17)))</f>
        <v/>
      </c>
      <c r="O105" s="22" t="str">
        <f t="shared" si="8"/>
        <v/>
      </c>
      <c r="P105" s="22">
        <f t="shared" si="9"/>
        <v>0</v>
      </c>
    </row>
    <row r="106" spans="1:16" ht="17">
      <c r="A106" s="6"/>
      <c r="B106" s="95"/>
      <c r="C106" s="96"/>
      <c r="D106" s="97"/>
      <c r="E106" s="97"/>
      <c r="F106" s="96"/>
      <c r="G106" s="98"/>
      <c r="H106" s="41" t="str">
        <f>IF(OR(B106="",D106="",F106="",G106=""),"",IF(AND(E106&lt;&gt;"",E106&lt;SISTEM!$C$17),"Pasif","Aktif"))</f>
        <v/>
      </c>
      <c r="I106" s="74">
        <f t="shared" si="5"/>
        <v>0</v>
      </c>
      <c r="J106" s="42" t="str">
        <f t="shared" si="6"/>
        <v/>
      </c>
      <c r="K106" s="43" t="str">
        <f>IF(AND(B106="",C106=""),"",IF(OR(B106="",C106="",D106="",F106="",G106=""),"EKSİK",IF(COUNTIF(MUSTERILER!$B$7:$B$156,B106)=0,"TANIMSIZ MÜŞTERİ","UYGUN")))</f>
        <v/>
      </c>
      <c r="L106" s="43" t="str">
        <f t="shared" si="7"/>
        <v/>
      </c>
      <c r="M106" s="96"/>
      <c r="N106" s="22" t="str">
        <f>IF(B106="","",IF(E106="",SISTEM!$C$17,MIN(E106,SISTEM!$C$17)))</f>
        <v/>
      </c>
      <c r="O106" s="22" t="str">
        <f t="shared" si="8"/>
        <v/>
      </c>
      <c r="P106" s="22">
        <f t="shared" si="9"/>
        <v>0</v>
      </c>
    </row>
    <row r="107" spans="1:16" ht="17">
      <c r="A107" s="6"/>
      <c r="B107" s="95"/>
      <c r="C107" s="96"/>
      <c r="D107" s="97"/>
      <c r="E107" s="97"/>
      <c r="F107" s="96"/>
      <c r="G107" s="98"/>
      <c r="H107" s="41" t="str">
        <f>IF(OR(B107="",D107="",F107="",G107=""),"",IF(AND(E107&lt;&gt;"",E107&lt;SISTEM!$C$17),"Pasif","Aktif"))</f>
        <v/>
      </c>
      <c r="I107" s="74">
        <f t="shared" si="5"/>
        <v>0</v>
      </c>
      <c r="J107" s="42" t="str">
        <f t="shared" si="6"/>
        <v/>
      </c>
      <c r="K107" s="43" t="str">
        <f>IF(AND(B107="",C107=""),"",IF(OR(B107="",C107="",D107="",F107="",G107=""),"EKSİK",IF(COUNTIF(MUSTERILER!$B$7:$B$156,B107)=0,"TANIMSIZ MÜŞTERİ","UYGUN")))</f>
        <v/>
      </c>
      <c r="L107" s="43" t="str">
        <f t="shared" si="7"/>
        <v/>
      </c>
      <c r="M107" s="96"/>
      <c r="N107" s="22" t="str">
        <f>IF(B107="","",IF(E107="",SISTEM!$C$17,MIN(E107,SISTEM!$C$17)))</f>
        <v/>
      </c>
      <c r="O107" s="22" t="str">
        <f t="shared" si="8"/>
        <v/>
      </c>
      <c r="P107" s="22">
        <f t="shared" si="9"/>
        <v>0</v>
      </c>
    </row>
    <row r="108" spans="1:16" ht="17">
      <c r="A108" s="6"/>
      <c r="B108" s="95"/>
      <c r="C108" s="96"/>
      <c r="D108" s="97"/>
      <c r="E108" s="97"/>
      <c r="F108" s="96"/>
      <c r="G108" s="98"/>
      <c r="H108" s="41" t="str">
        <f>IF(OR(B108="",D108="",F108="",G108=""),"",IF(AND(E108&lt;&gt;"",E108&lt;SISTEM!$C$17),"Pasif","Aktif"))</f>
        <v/>
      </c>
      <c r="I108" s="74">
        <f t="shared" si="5"/>
        <v>0</v>
      </c>
      <c r="J108" s="42" t="str">
        <f t="shared" si="6"/>
        <v/>
      </c>
      <c r="K108" s="43" t="str">
        <f>IF(AND(B108="",C108=""),"",IF(OR(B108="",C108="",D108="",F108="",G108=""),"EKSİK",IF(COUNTIF(MUSTERILER!$B$7:$B$156,B108)=0,"TANIMSIZ MÜŞTERİ","UYGUN")))</f>
        <v/>
      </c>
      <c r="L108" s="43" t="str">
        <f t="shared" si="7"/>
        <v/>
      </c>
      <c r="M108" s="96"/>
      <c r="N108" s="22" t="str">
        <f>IF(B108="","",IF(E108="",SISTEM!$C$17,MIN(E108,SISTEM!$C$17)))</f>
        <v/>
      </c>
      <c r="O108" s="22" t="str">
        <f t="shared" si="8"/>
        <v/>
      </c>
      <c r="P108" s="22">
        <f t="shared" si="9"/>
        <v>0</v>
      </c>
    </row>
    <row r="109" spans="1:16" ht="17">
      <c r="A109" s="6"/>
      <c r="B109" s="95"/>
      <c r="C109" s="96"/>
      <c r="D109" s="97"/>
      <c r="E109" s="97"/>
      <c r="F109" s="96"/>
      <c r="G109" s="98"/>
      <c r="H109" s="41" t="str">
        <f>IF(OR(B109="",D109="",F109="",G109=""),"",IF(AND(E109&lt;&gt;"",E109&lt;SISTEM!$C$17),"Pasif","Aktif"))</f>
        <v/>
      </c>
      <c r="I109" s="74">
        <f t="shared" si="5"/>
        <v>0</v>
      </c>
      <c r="J109" s="42" t="str">
        <f t="shared" si="6"/>
        <v/>
      </c>
      <c r="K109" s="43" t="str">
        <f>IF(AND(B109="",C109=""),"",IF(OR(B109="",C109="",D109="",F109="",G109=""),"EKSİK",IF(COUNTIF(MUSTERILER!$B$7:$B$156,B109)=0,"TANIMSIZ MÜŞTERİ","UYGUN")))</f>
        <v/>
      </c>
      <c r="L109" s="43" t="str">
        <f t="shared" si="7"/>
        <v/>
      </c>
      <c r="M109" s="96"/>
      <c r="N109" s="22" t="str">
        <f>IF(B109="","",IF(E109="",SISTEM!$C$17,MIN(E109,SISTEM!$C$17)))</f>
        <v/>
      </c>
      <c r="O109" s="22" t="str">
        <f t="shared" si="8"/>
        <v/>
      </c>
      <c r="P109" s="22">
        <f t="shared" si="9"/>
        <v>0</v>
      </c>
    </row>
    <row r="110" spans="1:16" ht="17">
      <c r="A110" s="6"/>
      <c r="B110" s="95"/>
      <c r="C110" s="96"/>
      <c r="D110" s="97"/>
      <c r="E110" s="97"/>
      <c r="F110" s="96"/>
      <c r="G110" s="98"/>
      <c r="H110" s="41" t="str">
        <f>IF(OR(B110="",D110="",F110="",G110=""),"",IF(AND(E110&lt;&gt;"",E110&lt;SISTEM!$C$17),"Pasif","Aktif"))</f>
        <v/>
      </c>
      <c r="I110" s="74">
        <f t="shared" si="5"/>
        <v>0</v>
      </c>
      <c r="J110" s="42" t="str">
        <f t="shared" si="6"/>
        <v/>
      </c>
      <c r="K110" s="43" t="str">
        <f>IF(AND(B110="",C110=""),"",IF(OR(B110="",C110="",D110="",F110="",G110=""),"EKSİK",IF(COUNTIF(MUSTERILER!$B$7:$B$156,B110)=0,"TANIMSIZ MÜŞTERİ","UYGUN")))</f>
        <v/>
      </c>
      <c r="L110" s="43" t="str">
        <f t="shared" si="7"/>
        <v/>
      </c>
      <c r="M110" s="96"/>
      <c r="N110" s="22" t="str">
        <f>IF(B110="","",IF(E110="",SISTEM!$C$17,MIN(E110,SISTEM!$C$17)))</f>
        <v/>
      </c>
      <c r="O110" s="22" t="str">
        <f t="shared" si="8"/>
        <v/>
      </c>
      <c r="P110" s="22">
        <f t="shared" si="9"/>
        <v>0</v>
      </c>
    </row>
    <row r="111" spans="1:16" ht="17">
      <c r="A111" s="6"/>
      <c r="B111" s="95"/>
      <c r="C111" s="96"/>
      <c r="D111" s="97"/>
      <c r="E111" s="97"/>
      <c r="F111" s="96"/>
      <c r="G111" s="98"/>
      <c r="H111" s="41" t="str">
        <f>IF(OR(B111="",D111="",F111="",G111=""),"",IF(AND(E111&lt;&gt;"",E111&lt;SISTEM!$C$17),"Pasif","Aktif"))</f>
        <v/>
      </c>
      <c r="I111" s="74">
        <f t="shared" si="5"/>
        <v>0</v>
      </c>
      <c r="J111" s="42" t="str">
        <f t="shared" si="6"/>
        <v/>
      </c>
      <c r="K111" s="43" t="str">
        <f>IF(AND(B111="",C111=""),"",IF(OR(B111="",C111="",D111="",F111="",G111=""),"EKSİK",IF(COUNTIF(MUSTERILER!$B$7:$B$156,B111)=0,"TANIMSIZ MÜŞTERİ","UYGUN")))</f>
        <v/>
      </c>
      <c r="L111" s="43" t="str">
        <f t="shared" si="7"/>
        <v/>
      </c>
      <c r="M111" s="96"/>
      <c r="N111" s="22" t="str">
        <f>IF(B111="","",IF(E111="",SISTEM!$C$17,MIN(E111,SISTEM!$C$17)))</f>
        <v/>
      </c>
      <c r="O111" s="22" t="str">
        <f t="shared" si="8"/>
        <v/>
      </c>
      <c r="P111" s="22">
        <f t="shared" si="9"/>
        <v>0</v>
      </c>
    </row>
    <row r="112" spans="1:16" ht="17">
      <c r="A112" s="6"/>
      <c r="B112" s="95"/>
      <c r="C112" s="96"/>
      <c r="D112" s="97"/>
      <c r="E112" s="97"/>
      <c r="F112" s="96"/>
      <c r="G112" s="98"/>
      <c r="H112" s="41" t="str">
        <f>IF(OR(B112="",D112="",F112="",G112=""),"",IF(AND(E112&lt;&gt;"",E112&lt;SISTEM!$C$17),"Pasif","Aktif"))</f>
        <v/>
      </c>
      <c r="I112" s="74">
        <f t="shared" si="5"/>
        <v>0</v>
      </c>
      <c r="J112" s="42" t="str">
        <f t="shared" si="6"/>
        <v/>
      </c>
      <c r="K112" s="43" t="str">
        <f>IF(AND(B112="",C112=""),"",IF(OR(B112="",C112="",D112="",F112="",G112=""),"EKSİK",IF(COUNTIF(MUSTERILER!$B$7:$B$156,B112)=0,"TANIMSIZ MÜŞTERİ","UYGUN")))</f>
        <v/>
      </c>
      <c r="L112" s="43" t="str">
        <f t="shared" si="7"/>
        <v/>
      </c>
      <c r="M112" s="96"/>
      <c r="N112" s="22" t="str">
        <f>IF(B112="","",IF(E112="",SISTEM!$C$17,MIN(E112,SISTEM!$C$17)))</f>
        <v/>
      </c>
      <c r="O112" s="22" t="str">
        <f t="shared" si="8"/>
        <v/>
      </c>
      <c r="P112" s="22">
        <f t="shared" si="9"/>
        <v>0</v>
      </c>
    </row>
    <row r="113" spans="1:16" ht="17">
      <c r="A113" s="6"/>
      <c r="B113" s="95"/>
      <c r="C113" s="96"/>
      <c r="D113" s="97"/>
      <c r="E113" s="97"/>
      <c r="F113" s="96"/>
      <c r="G113" s="98"/>
      <c r="H113" s="41" t="str">
        <f>IF(OR(B113="",D113="",F113="",G113=""),"",IF(AND(E113&lt;&gt;"",E113&lt;SISTEM!$C$17),"Pasif","Aktif"))</f>
        <v/>
      </c>
      <c r="I113" s="74">
        <f t="shared" si="5"/>
        <v>0</v>
      </c>
      <c r="J113" s="42" t="str">
        <f t="shared" si="6"/>
        <v/>
      </c>
      <c r="K113" s="43" t="str">
        <f>IF(AND(B113="",C113=""),"",IF(OR(B113="",C113="",D113="",F113="",G113=""),"EKSİK",IF(COUNTIF(MUSTERILER!$B$7:$B$156,B113)=0,"TANIMSIZ MÜŞTERİ","UYGUN")))</f>
        <v/>
      </c>
      <c r="L113" s="43" t="str">
        <f t="shared" si="7"/>
        <v/>
      </c>
      <c r="M113" s="96"/>
      <c r="N113" s="22" t="str">
        <f>IF(B113="","",IF(E113="",SISTEM!$C$17,MIN(E113,SISTEM!$C$17)))</f>
        <v/>
      </c>
      <c r="O113" s="22" t="str">
        <f t="shared" si="8"/>
        <v/>
      </c>
      <c r="P113" s="22">
        <f t="shared" si="9"/>
        <v>0</v>
      </c>
    </row>
    <row r="114" spans="1:16" ht="17">
      <c r="A114" s="6"/>
      <c r="B114" s="95"/>
      <c r="C114" s="96"/>
      <c r="D114" s="97"/>
      <c r="E114" s="97"/>
      <c r="F114" s="96"/>
      <c r="G114" s="98"/>
      <c r="H114" s="41" t="str">
        <f>IF(OR(B114="",D114="",F114="",G114=""),"",IF(AND(E114&lt;&gt;"",E114&lt;SISTEM!$C$17),"Pasif","Aktif"))</f>
        <v/>
      </c>
      <c r="I114" s="74">
        <f t="shared" si="5"/>
        <v>0</v>
      </c>
      <c r="J114" s="42" t="str">
        <f t="shared" si="6"/>
        <v/>
      </c>
      <c r="K114" s="43" t="str">
        <f>IF(AND(B114="",C114=""),"",IF(OR(B114="",C114="",D114="",F114="",G114=""),"EKSİK",IF(COUNTIF(MUSTERILER!$B$7:$B$156,B114)=0,"TANIMSIZ MÜŞTERİ","UYGUN")))</f>
        <v/>
      </c>
      <c r="L114" s="43" t="str">
        <f t="shared" si="7"/>
        <v/>
      </c>
      <c r="M114" s="96"/>
      <c r="N114" s="22" t="str">
        <f>IF(B114="","",IF(E114="",SISTEM!$C$17,MIN(E114,SISTEM!$C$17)))</f>
        <v/>
      </c>
      <c r="O114" s="22" t="str">
        <f t="shared" si="8"/>
        <v/>
      </c>
      <c r="P114" s="22">
        <f t="shared" si="9"/>
        <v>0</v>
      </c>
    </row>
    <row r="115" spans="1:16" ht="17">
      <c r="A115" s="6"/>
      <c r="B115" s="95"/>
      <c r="C115" s="96"/>
      <c r="D115" s="97"/>
      <c r="E115" s="97"/>
      <c r="F115" s="96"/>
      <c r="G115" s="98"/>
      <c r="H115" s="41" t="str">
        <f>IF(OR(B115="",D115="",F115="",G115=""),"",IF(AND(E115&lt;&gt;"",E115&lt;SISTEM!$C$17),"Pasif","Aktif"))</f>
        <v/>
      </c>
      <c r="I115" s="74">
        <f t="shared" si="5"/>
        <v>0</v>
      </c>
      <c r="J115" s="42" t="str">
        <f t="shared" si="6"/>
        <v/>
      </c>
      <c r="K115" s="43" t="str">
        <f>IF(AND(B115="",C115=""),"",IF(OR(B115="",C115="",D115="",F115="",G115=""),"EKSİK",IF(COUNTIF(MUSTERILER!$B$7:$B$156,B115)=0,"TANIMSIZ MÜŞTERİ","UYGUN")))</f>
        <v/>
      </c>
      <c r="L115" s="43" t="str">
        <f t="shared" si="7"/>
        <v/>
      </c>
      <c r="M115" s="96"/>
      <c r="N115" s="22" t="str">
        <f>IF(B115="","",IF(E115="",SISTEM!$C$17,MIN(E115,SISTEM!$C$17)))</f>
        <v/>
      </c>
      <c r="O115" s="22" t="str">
        <f t="shared" si="8"/>
        <v/>
      </c>
      <c r="P115" s="22">
        <f t="shared" si="9"/>
        <v>0</v>
      </c>
    </row>
    <row r="116" spans="1:16" ht="17">
      <c r="A116" s="6"/>
      <c r="B116" s="95"/>
      <c r="C116" s="96"/>
      <c r="D116" s="97"/>
      <c r="E116" s="97"/>
      <c r="F116" s="96"/>
      <c r="G116" s="98"/>
      <c r="H116" s="41" t="str">
        <f>IF(OR(B116="",D116="",F116="",G116=""),"",IF(AND(E116&lt;&gt;"",E116&lt;SISTEM!$C$17),"Pasif","Aktif"))</f>
        <v/>
      </c>
      <c r="I116" s="74">
        <f t="shared" si="5"/>
        <v>0</v>
      </c>
      <c r="J116" s="42" t="str">
        <f t="shared" si="6"/>
        <v/>
      </c>
      <c r="K116" s="43" t="str">
        <f>IF(AND(B116="",C116=""),"",IF(OR(B116="",C116="",D116="",F116="",G116=""),"EKSİK",IF(COUNTIF(MUSTERILER!$B$7:$B$156,B116)=0,"TANIMSIZ MÜŞTERİ","UYGUN")))</f>
        <v/>
      </c>
      <c r="L116" s="43" t="str">
        <f t="shared" si="7"/>
        <v/>
      </c>
      <c r="M116" s="96"/>
      <c r="N116" s="22" t="str">
        <f>IF(B116="","",IF(E116="",SISTEM!$C$17,MIN(E116,SISTEM!$C$17)))</f>
        <v/>
      </c>
      <c r="O116" s="22" t="str">
        <f t="shared" si="8"/>
        <v/>
      </c>
      <c r="P116" s="22">
        <f t="shared" si="9"/>
        <v>0</v>
      </c>
    </row>
    <row r="117" spans="1:16" ht="17">
      <c r="A117" s="6"/>
      <c r="B117" s="95"/>
      <c r="C117" s="96"/>
      <c r="D117" s="97"/>
      <c r="E117" s="97"/>
      <c r="F117" s="96"/>
      <c r="G117" s="98"/>
      <c r="H117" s="41" t="str">
        <f>IF(OR(B117="",D117="",F117="",G117=""),"",IF(AND(E117&lt;&gt;"",E117&lt;SISTEM!$C$17),"Pasif","Aktif"))</f>
        <v/>
      </c>
      <c r="I117" s="74">
        <f t="shared" si="5"/>
        <v>0</v>
      </c>
      <c r="J117" s="42" t="str">
        <f t="shared" si="6"/>
        <v/>
      </c>
      <c r="K117" s="43" t="str">
        <f>IF(AND(B117="",C117=""),"",IF(OR(B117="",C117="",D117="",F117="",G117=""),"EKSİK",IF(COUNTIF(MUSTERILER!$B$7:$B$156,B117)=0,"TANIMSIZ MÜŞTERİ","UYGUN")))</f>
        <v/>
      </c>
      <c r="L117" s="43" t="str">
        <f t="shared" si="7"/>
        <v/>
      </c>
      <c r="M117" s="96"/>
      <c r="N117" s="22" t="str">
        <f>IF(B117="","",IF(E117="",SISTEM!$C$17,MIN(E117,SISTEM!$C$17)))</f>
        <v/>
      </c>
      <c r="O117" s="22" t="str">
        <f t="shared" si="8"/>
        <v/>
      </c>
      <c r="P117" s="22">
        <f t="shared" si="9"/>
        <v>0</v>
      </c>
    </row>
    <row r="118" spans="1:16" ht="17">
      <c r="A118" s="6"/>
      <c r="B118" s="95"/>
      <c r="C118" s="96"/>
      <c r="D118" s="97"/>
      <c r="E118" s="97"/>
      <c r="F118" s="96"/>
      <c r="G118" s="98"/>
      <c r="H118" s="41" t="str">
        <f>IF(OR(B118="",D118="",F118="",G118=""),"",IF(AND(E118&lt;&gt;"",E118&lt;SISTEM!$C$17),"Pasif","Aktif"))</f>
        <v/>
      </c>
      <c r="I118" s="74">
        <f t="shared" si="5"/>
        <v>0</v>
      </c>
      <c r="J118" s="42" t="str">
        <f t="shared" si="6"/>
        <v/>
      </c>
      <c r="K118" s="43" t="str">
        <f>IF(AND(B118="",C118=""),"",IF(OR(B118="",C118="",D118="",F118="",G118=""),"EKSİK",IF(COUNTIF(MUSTERILER!$B$7:$B$156,B118)=0,"TANIMSIZ MÜŞTERİ","UYGUN")))</f>
        <v/>
      </c>
      <c r="L118" s="43" t="str">
        <f t="shared" si="7"/>
        <v/>
      </c>
      <c r="M118" s="96"/>
      <c r="N118" s="22" t="str">
        <f>IF(B118="","",IF(E118="",SISTEM!$C$17,MIN(E118,SISTEM!$C$17)))</f>
        <v/>
      </c>
      <c r="O118" s="22" t="str">
        <f t="shared" si="8"/>
        <v/>
      </c>
      <c r="P118" s="22">
        <f t="shared" si="9"/>
        <v>0</v>
      </c>
    </row>
    <row r="119" spans="1:16" ht="17">
      <c r="A119" s="6"/>
      <c r="B119" s="95"/>
      <c r="C119" s="96"/>
      <c r="D119" s="97"/>
      <c r="E119" s="97"/>
      <c r="F119" s="96"/>
      <c r="G119" s="98"/>
      <c r="H119" s="41" t="str">
        <f>IF(OR(B119="",D119="",F119="",G119=""),"",IF(AND(E119&lt;&gt;"",E119&lt;SISTEM!$C$17),"Pasif","Aktif"))</f>
        <v/>
      </c>
      <c r="I119" s="74">
        <f t="shared" si="5"/>
        <v>0</v>
      </c>
      <c r="J119" s="42" t="str">
        <f t="shared" si="6"/>
        <v/>
      </c>
      <c r="K119" s="43" t="str">
        <f>IF(AND(B119="",C119=""),"",IF(OR(B119="",C119="",D119="",F119="",G119=""),"EKSİK",IF(COUNTIF(MUSTERILER!$B$7:$B$156,B119)=0,"TANIMSIZ MÜŞTERİ","UYGUN")))</f>
        <v/>
      </c>
      <c r="L119" s="43" t="str">
        <f t="shared" si="7"/>
        <v/>
      </c>
      <c r="M119" s="96"/>
      <c r="N119" s="22" t="str">
        <f>IF(B119="","",IF(E119="",SISTEM!$C$17,MIN(E119,SISTEM!$C$17)))</f>
        <v/>
      </c>
      <c r="O119" s="22" t="str">
        <f t="shared" si="8"/>
        <v/>
      </c>
      <c r="P119" s="22">
        <f t="shared" si="9"/>
        <v>0</v>
      </c>
    </row>
    <row r="120" spans="1:16" ht="17">
      <c r="A120" s="6"/>
      <c r="B120" s="95"/>
      <c r="C120" s="96"/>
      <c r="D120" s="97"/>
      <c r="E120" s="97"/>
      <c r="F120" s="96"/>
      <c r="G120" s="98"/>
      <c r="H120" s="41" t="str">
        <f>IF(OR(B120="",D120="",F120="",G120=""),"",IF(AND(E120&lt;&gt;"",E120&lt;SISTEM!$C$17),"Pasif","Aktif"))</f>
        <v/>
      </c>
      <c r="I120" s="74">
        <f t="shared" si="5"/>
        <v>0</v>
      </c>
      <c r="J120" s="42" t="str">
        <f t="shared" si="6"/>
        <v/>
      </c>
      <c r="K120" s="43" t="str">
        <f>IF(AND(B120="",C120=""),"",IF(OR(B120="",C120="",D120="",F120="",G120=""),"EKSİK",IF(COUNTIF(MUSTERILER!$B$7:$B$156,B120)=0,"TANIMSIZ MÜŞTERİ","UYGUN")))</f>
        <v/>
      </c>
      <c r="L120" s="43" t="str">
        <f t="shared" si="7"/>
        <v/>
      </c>
      <c r="M120" s="96"/>
      <c r="N120" s="22" t="str">
        <f>IF(B120="","",IF(E120="",SISTEM!$C$17,MIN(E120,SISTEM!$C$17)))</f>
        <v/>
      </c>
      <c r="O120" s="22" t="str">
        <f t="shared" si="8"/>
        <v/>
      </c>
      <c r="P120" s="22">
        <f t="shared" si="9"/>
        <v>0</v>
      </c>
    </row>
    <row r="121" spans="1:16" ht="17">
      <c r="A121" s="6"/>
      <c r="B121" s="95"/>
      <c r="C121" s="96"/>
      <c r="D121" s="97"/>
      <c r="E121" s="97"/>
      <c r="F121" s="96"/>
      <c r="G121" s="98"/>
      <c r="H121" s="41" t="str">
        <f>IF(OR(B121="",D121="",F121="",G121=""),"",IF(AND(E121&lt;&gt;"",E121&lt;SISTEM!$C$17),"Pasif","Aktif"))</f>
        <v/>
      </c>
      <c r="I121" s="74">
        <f t="shared" si="5"/>
        <v>0</v>
      </c>
      <c r="J121" s="42" t="str">
        <f t="shared" si="6"/>
        <v/>
      </c>
      <c r="K121" s="43" t="str">
        <f>IF(AND(B121="",C121=""),"",IF(OR(B121="",C121="",D121="",F121="",G121=""),"EKSİK",IF(COUNTIF(MUSTERILER!$B$7:$B$156,B121)=0,"TANIMSIZ MÜŞTERİ","UYGUN")))</f>
        <v/>
      </c>
      <c r="L121" s="43" t="str">
        <f t="shared" si="7"/>
        <v/>
      </c>
      <c r="M121" s="96"/>
      <c r="N121" s="22" t="str">
        <f>IF(B121="","",IF(E121="",SISTEM!$C$17,MIN(E121,SISTEM!$C$17)))</f>
        <v/>
      </c>
      <c r="O121" s="22" t="str">
        <f t="shared" si="8"/>
        <v/>
      </c>
      <c r="P121" s="22">
        <f t="shared" si="9"/>
        <v>0</v>
      </c>
    </row>
    <row r="122" spans="1:16" ht="17">
      <c r="A122" s="6"/>
      <c r="B122" s="95"/>
      <c r="C122" s="96"/>
      <c r="D122" s="97"/>
      <c r="E122" s="97"/>
      <c r="F122" s="96"/>
      <c r="G122" s="98"/>
      <c r="H122" s="41" t="str">
        <f>IF(OR(B122="",D122="",F122="",G122=""),"",IF(AND(E122&lt;&gt;"",E122&lt;SISTEM!$C$17),"Pasif","Aktif"))</f>
        <v/>
      </c>
      <c r="I122" s="74">
        <f t="shared" si="5"/>
        <v>0</v>
      </c>
      <c r="J122" s="42" t="str">
        <f t="shared" si="6"/>
        <v/>
      </c>
      <c r="K122" s="43" t="str">
        <f>IF(AND(B122="",C122=""),"",IF(OR(B122="",C122="",D122="",F122="",G122=""),"EKSİK",IF(COUNTIF(MUSTERILER!$B$7:$B$156,B122)=0,"TANIMSIZ MÜŞTERİ","UYGUN")))</f>
        <v/>
      </c>
      <c r="L122" s="43" t="str">
        <f t="shared" si="7"/>
        <v/>
      </c>
      <c r="M122" s="96"/>
      <c r="N122" s="22" t="str">
        <f>IF(B122="","",IF(E122="",SISTEM!$C$17,MIN(E122,SISTEM!$C$17)))</f>
        <v/>
      </c>
      <c r="O122" s="22" t="str">
        <f t="shared" si="8"/>
        <v/>
      </c>
      <c r="P122" s="22">
        <f t="shared" si="9"/>
        <v>0</v>
      </c>
    </row>
    <row r="123" spans="1:16" ht="17">
      <c r="A123" s="6"/>
      <c r="B123" s="95"/>
      <c r="C123" s="96"/>
      <c r="D123" s="97"/>
      <c r="E123" s="97"/>
      <c r="F123" s="96"/>
      <c r="G123" s="98"/>
      <c r="H123" s="41" t="str">
        <f>IF(OR(B123="",D123="",F123="",G123=""),"",IF(AND(E123&lt;&gt;"",E123&lt;SISTEM!$C$17),"Pasif","Aktif"))</f>
        <v/>
      </c>
      <c r="I123" s="74">
        <f t="shared" si="5"/>
        <v>0</v>
      </c>
      <c r="J123" s="42" t="str">
        <f t="shared" si="6"/>
        <v/>
      </c>
      <c r="K123" s="43" t="str">
        <f>IF(AND(B123="",C123=""),"",IF(OR(B123="",C123="",D123="",F123="",G123=""),"EKSİK",IF(COUNTIF(MUSTERILER!$B$7:$B$156,B123)=0,"TANIMSIZ MÜŞTERİ","UYGUN")))</f>
        <v/>
      </c>
      <c r="L123" s="43" t="str">
        <f t="shared" si="7"/>
        <v/>
      </c>
      <c r="M123" s="96"/>
      <c r="N123" s="22" t="str">
        <f>IF(B123="","",IF(E123="",SISTEM!$C$17,MIN(E123,SISTEM!$C$17)))</f>
        <v/>
      </c>
      <c r="O123" s="22" t="str">
        <f t="shared" si="8"/>
        <v/>
      </c>
      <c r="P123" s="22">
        <f t="shared" si="9"/>
        <v>0</v>
      </c>
    </row>
    <row r="124" spans="1:16" ht="17">
      <c r="A124" s="6"/>
      <c r="B124" s="95"/>
      <c r="C124" s="96"/>
      <c r="D124" s="97"/>
      <c r="E124" s="97"/>
      <c r="F124" s="96"/>
      <c r="G124" s="98"/>
      <c r="H124" s="41" t="str">
        <f>IF(OR(B124="",D124="",F124="",G124=""),"",IF(AND(E124&lt;&gt;"",E124&lt;SISTEM!$C$17),"Pasif","Aktif"))</f>
        <v/>
      </c>
      <c r="I124" s="74">
        <f t="shared" si="5"/>
        <v>0</v>
      </c>
      <c r="J124" s="42" t="str">
        <f t="shared" si="6"/>
        <v/>
      </c>
      <c r="K124" s="43" t="str">
        <f>IF(AND(B124="",C124=""),"",IF(OR(B124="",C124="",D124="",F124="",G124=""),"EKSİK",IF(COUNTIF(MUSTERILER!$B$7:$B$156,B124)=0,"TANIMSIZ MÜŞTERİ","UYGUN")))</f>
        <v/>
      </c>
      <c r="L124" s="43" t="str">
        <f t="shared" si="7"/>
        <v/>
      </c>
      <c r="M124" s="96"/>
      <c r="N124" s="22" t="str">
        <f>IF(B124="","",IF(E124="",SISTEM!$C$17,MIN(E124,SISTEM!$C$17)))</f>
        <v/>
      </c>
      <c r="O124" s="22" t="str">
        <f t="shared" si="8"/>
        <v/>
      </c>
      <c r="P124" s="22">
        <f t="shared" si="9"/>
        <v>0</v>
      </c>
    </row>
    <row r="125" spans="1:16" ht="17">
      <c r="A125" s="6"/>
      <c r="B125" s="95"/>
      <c r="C125" s="96"/>
      <c r="D125" s="97"/>
      <c r="E125" s="97"/>
      <c r="F125" s="96"/>
      <c r="G125" s="98"/>
      <c r="H125" s="41" t="str">
        <f>IF(OR(B125="",D125="",F125="",G125=""),"",IF(AND(E125&lt;&gt;"",E125&lt;SISTEM!$C$17),"Pasif","Aktif"))</f>
        <v/>
      </c>
      <c r="I125" s="74">
        <f t="shared" si="5"/>
        <v>0</v>
      </c>
      <c r="J125" s="42" t="str">
        <f t="shared" si="6"/>
        <v/>
      </c>
      <c r="K125" s="43" t="str">
        <f>IF(AND(B125="",C125=""),"",IF(OR(B125="",C125="",D125="",F125="",G125=""),"EKSİK",IF(COUNTIF(MUSTERILER!$B$7:$B$156,B125)=0,"TANIMSIZ MÜŞTERİ","UYGUN")))</f>
        <v/>
      </c>
      <c r="L125" s="43" t="str">
        <f t="shared" si="7"/>
        <v/>
      </c>
      <c r="M125" s="96"/>
      <c r="N125" s="22" t="str">
        <f>IF(B125="","",IF(E125="",SISTEM!$C$17,MIN(E125,SISTEM!$C$17)))</f>
        <v/>
      </c>
      <c r="O125" s="22" t="str">
        <f t="shared" si="8"/>
        <v/>
      </c>
      <c r="P125" s="22">
        <f t="shared" si="9"/>
        <v>0</v>
      </c>
    </row>
    <row r="126" spans="1:16" ht="17">
      <c r="A126" s="6"/>
      <c r="B126" s="95"/>
      <c r="C126" s="96"/>
      <c r="D126" s="97"/>
      <c r="E126" s="97"/>
      <c r="F126" s="96"/>
      <c r="G126" s="98"/>
      <c r="H126" s="41" t="str">
        <f>IF(OR(B126="",D126="",F126="",G126=""),"",IF(AND(E126&lt;&gt;"",E126&lt;SISTEM!$C$17),"Pasif","Aktif"))</f>
        <v/>
      </c>
      <c r="I126" s="74">
        <f t="shared" si="5"/>
        <v>0</v>
      </c>
      <c r="J126" s="42" t="str">
        <f t="shared" si="6"/>
        <v/>
      </c>
      <c r="K126" s="43" t="str">
        <f>IF(AND(B126="",C126=""),"",IF(OR(B126="",C126="",D126="",F126="",G126=""),"EKSİK",IF(COUNTIF(MUSTERILER!$B$7:$B$156,B126)=0,"TANIMSIZ MÜŞTERİ","UYGUN")))</f>
        <v/>
      </c>
      <c r="L126" s="43" t="str">
        <f t="shared" si="7"/>
        <v/>
      </c>
      <c r="M126" s="96"/>
      <c r="N126" s="22" t="str">
        <f>IF(B126="","",IF(E126="",SISTEM!$C$17,MIN(E126,SISTEM!$C$17)))</f>
        <v/>
      </c>
      <c r="O126" s="22" t="str">
        <f t="shared" si="8"/>
        <v/>
      </c>
      <c r="P126" s="22">
        <f t="shared" si="9"/>
        <v>0</v>
      </c>
    </row>
    <row r="127" spans="1:16" ht="17">
      <c r="A127" s="6"/>
      <c r="B127" s="95"/>
      <c r="C127" s="96"/>
      <c r="D127" s="97"/>
      <c r="E127" s="97"/>
      <c r="F127" s="96"/>
      <c r="G127" s="98"/>
      <c r="H127" s="41" t="str">
        <f>IF(OR(B127="",D127="",F127="",G127=""),"",IF(AND(E127&lt;&gt;"",E127&lt;SISTEM!$C$17),"Pasif","Aktif"))</f>
        <v/>
      </c>
      <c r="I127" s="74">
        <f t="shared" si="5"/>
        <v>0</v>
      </c>
      <c r="J127" s="42" t="str">
        <f t="shared" si="6"/>
        <v/>
      </c>
      <c r="K127" s="43" t="str">
        <f>IF(AND(B127="",C127=""),"",IF(OR(B127="",C127="",D127="",F127="",G127=""),"EKSİK",IF(COUNTIF(MUSTERILER!$B$7:$B$156,B127)=0,"TANIMSIZ MÜŞTERİ","UYGUN")))</f>
        <v/>
      </c>
      <c r="L127" s="43" t="str">
        <f t="shared" si="7"/>
        <v/>
      </c>
      <c r="M127" s="96"/>
      <c r="N127" s="22" t="str">
        <f>IF(B127="","",IF(E127="",SISTEM!$C$17,MIN(E127,SISTEM!$C$17)))</f>
        <v/>
      </c>
      <c r="O127" s="22" t="str">
        <f t="shared" si="8"/>
        <v/>
      </c>
      <c r="P127" s="22">
        <f t="shared" si="9"/>
        <v>0</v>
      </c>
    </row>
    <row r="128" spans="1:16" ht="17">
      <c r="A128" s="6"/>
      <c r="B128" s="95"/>
      <c r="C128" s="96"/>
      <c r="D128" s="97"/>
      <c r="E128" s="97"/>
      <c r="F128" s="96"/>
      <c r="G128" s="98"/>
      <c r="H128" s="41" t="str">
        <f>IF(OR(B128="",D128="",F128="",G128=""),"",IF(AND(E128&lt;&gt;"",E128&lt;SISTEM!$C$17),"Pasif","Aktif"))</f>
        <v/>
      </c>
      <c r="I128" s="74">
        <f t="shared" si="5"/>
        <v>0</v>
      </c>
      <c r="J128" s="42" t="str">
        <f t="shared" si="6"/>
        <v/>
      </c>
      <c r="K128" s="43" t="str">
        <f>IF(AND(B128="",C128=""),"",IF(OR(B128="",C128="",D128="",F128="",G128=""),"EKSİK",IF(COUNTIF(MUSTERILER!$B$7:$B$156,B128)=0,"TANIMSIZ MÜŞTERİ","UYGUN")))</f>
        <v/>
      </c>
      <c r="L128" s="43" t="str">
        <f t="shared" si="7"/>
        <v/>
      </c>
      <c r="M128" s="96"/>
      <c r="N128" s="22" t="str">
        <f>IF(B128="","",IF(E128="",SISTEM!$C$17,MIN(E128,SISTEM!$C$17)))</f>
        <v/>
      </c>
      <c r="O128" s="22" t="str">
        <f t="shared" si="8"/>
        <v/>
      </c>
      <c r="P128" s="22">
        <f t="shared" si="9"/>
        <v>0</v>
      </c>
    </row>
    <row r="129" spans="1:16" ht="17">
      <c r="A129" s="6"/>
      <c r="B129" s="95"/>
      <c r="C129" s="96"/>
      <c r="D129" s="97"/>
      <c r="E129" s="97"/>
      <c r="F129" s="96"/>
      <c r="G129" s="98"/>
      <c r="H129" s="41" t="str">
        <f>IF(OR(B129="",D129="",F129="",G129=""),"",IF(AND(E129&lt;&gt;"",E129&lt;SISTEM!$C$17),"Pasif","Aktif"))</f>
        <v/>
      </c>
      <c r="I129" s="74">
        <f t="shared" si="5"/>
        <v>0</v>
      </c>
      <c r="J129" s="42" t="str">
        <f t="shared" si="6"/>
        <v/>
      </c>
      <c r="K129" s="43" t="str">
        <f>IF(AND(B129="",C129=""),"",IF(OR(B129="",C129="",D129="",F129="",G129=""),"EKSİK",IF(COUNTIF(MUSTERILER!$B$7:$B$156,B129)=0,"TANIMSIZ MÜŞTERİ","UYGUN")))</f>
        <v/>
      </c>
      <c r="L129" s="43" t="str">
        <f t="shared" si="7"/>
        <v/>
      </c>
      <c r="M129" s="96"/>
      <c r="N129" s="22" t="str">
        <f>IF(B129="","",IF(E129="",SISTEM!$C$17,MIN(E129,SISTEM!$C$17)))</f>
        <v/>
      </c>
      <c r="O129" s="22" t="str">
        <f t="shared" si="8"/>
        <v/>
      </c>
      <c r="P129" s="22">
        <f t="shared" si="9"/>
        <v>0</v>
      </c>
    </row>
    <row r="130" spans="1:16" ht="17">
      <c r="A130" s="6"/>
      <c r="B130" s="95"/>
      <c r="C130" s="96"/>
      <c r="D130" s="97"/>
      <c r="E130" s="97"/>
      <c r="F130" s="96"/>
      <c r="G130" s="98"/>
      <c r="H130" s="41" t="str">
        <f>IF(OR(B130="",D130="",F130="",G130=""),"",IF(AND(E130&lt;&gt;"",E130&lt;SISTEM!$C$17),"Pasif","Aktif"))</f>
        <v/>
      </c>
      <c r="I130" s="74">
        <f t="shared" si="5"/>
        <v>0</v>
      </c>
      <c r="J130" s="42" t="str">
        <f t="shared" si="6"/>
        <v/>
      </c>
      <c r="K130" s="43" t="str">
        <f>IF(AND(B130="",C130=""),"",IF(OR(B130="",C130="",D130="",F130="",G130=""),"EKSİK",IF(COUNTIF(MUSTERILER!$B$7:$B$156,B130)=0,"TANIMSIZ MÜŞTERİ","UYGUN")))</f>
        <v/>
      </c>
      <c r="L130" s="43" t="str">
        <f t="shared" si="7"/>
        <v/>
      </c>
      <c r="M130" s="96"/>
      <c r="N130" s="22" t="str">
        <f>IF(B130="","",IF(E130="",SISTEM!$C$17,MIN(E130,SISTEM!$C$17)))</f>
        <v/>
      </c>
      <c r="O130" s="22" t="str">
        <f t="shared" si="8"/>
        <v/>
      </c>
      <c r="P130" s="22">
        <f t="shared" si="9"/>
        <v>0</v>
      </c>
    </row>
    <row r="131" spans="1:16" ht="17">
      <c r="A131" s="6"/>
      <c r="B131" s="95"/>
      <c r="C131" s="96"/>
      <c r="D131" s="97"/>
      <c r="E131" s="97"/>
      <c r="F131" s="96"/>
      <c r="G131" s="98"/>
      <c r="H131" s="41" t="str">
        <f>IF(OR(B131="",D131="",F131="",G131=""),"",IF(AND(E131&lt;&gt;"",E131&lt;SISTEM!$C$17),"Pasif","Aktif"))</f>
        <v/>
      </c>
      <c r="I131" s="74">
        <f t="shared" si="5"/>
        <v>0</v>
      </c>
      <c r="J131" s="42" t="str">
        <f t="shared" si="6"/>
        <v/>
      </c>
      <c r="K131" s="43" t="str">
        <f>IF(AND(B131="",C131=""),"",IF(OR(B131="",C131="",D131="",F131="",G131=""),"EKSİK",IF(COUNTIF(MUSTERILER!$B$7:$B$156,B131)=0,"TANIMSIZ MÜŞTERİ","UYGUN")))</f>
        <v/>
      </c>
      <c r="L131" s="43" t="str">
        <f t="shared" si="7"/>
        <v/>
      </c>
      <c r="M131" s="96"/>
      <c r="N131" s="22" t="str">
        <f>IF(B131="","",IF(E131="",SISTEM!$C$17,MIN(E131,SISTEM!$C$17)))</f>
        <v/>
      </c>
      <c r="O131" s="22" t="str">
        <f t="shared" si="8"/>
        <v/>
      </c>
      <c r="P131" s="22">
        <f t="shared" si="9"/>
        <v>0</v>
      </c>
    </row>
    <row r="132" spans="1:16" ht="17">
      <c r="A132" s="6"/>
      <c r="B132" s="95"/>
      <c r="C132" s="96"/>
      <c r="D132" s="97"/>
      <c r="E132" s="97"/>
      <c r="F132" s="96"/>
      <c r="G132" s="98"/>
      <c r="H132" s="41" t="str">
        <f>IF(OR(B132="",D132="",F132="",G132=""),"",IF(AND(E132&lt;&gt;"",E132&lt;SISTEM!$C$17),"Pasif","Aktif"))</f>
        <v/>
      </c>
      <c r="I132" s="74">
        <f t="shared" si="5"/>
        <v>0</v>
      </c>
      <c r="J132" s="42" t="str">
        <f t="shared" si="6"/>
        <v/>
      </c>
      <c r="K132" s="43" t="str">
        <f>IF(AND(B132="",C132=""),"",IF(OR(B132="",C132="",D132="",F132="",G132=""),"EKSİK",IF(COUNTIF(MUSTERILER!$B$7:$B$156,B132)=0,"TANIMSIZ MÜŞTERİ","UYGUN")))</f>
        <v/>
      </c>
      <c r="L132" s="43" t="str">
        <f t="shared" si="7"/>
        <v/>
      </c>
      <c r="M132" s="96"/>
      <c r="N132" s="22" t="str">
        <f>IF(B132="","",IF(E132="",SISTEM!$C$17,MIN(E132,SISTEM!$C$17)))</f>
        <v/>
      </c>
      <c r="O132" s="22" t="str">
        <f t="shared" si="8"/>
        <v/>
      </c>
      <c r="P132" s="22">
        <f t="shared" si="9"/>
        <v>0</v>
      </c>
    </row>
    <row r="133" spans="1:16" ht="17">
      <c r="A133" s="6"/>
      <c r="B133" s="95"/>
      <c r="C133" s="96"/>
      <c r="D133" s="97"/>
      <c r="E133" s="97"/>
      <c r="F133" s="96"/>
      <c r="G133" s="98"/>
      <c r="H133" s="41" t="str">
        <f>IF(OR(B133="",D133="",F133="",G133=""),"",IF(AND(E133&lt;&gt;"",E133&lt;SISTEM!$C$17),"Pasif","Aktif"))</f>
        <v/>
      </c>
      <c r="I133" s="74">
        <f t="shared" si="5"/>
        <v>0</v>
      </c>
      <c r="J133" s="42" t="str">
        <f t="shared" si="6"/>
        <v/>
      </c>
      <c r="K133" s="43" t="str">
        <f>IF(AND(B133="",C133=""),"",IF(OR(B133="",C133="",D133="",F133="",G133=""),"EKSİK",IF(COUNTIF(MUSTERILER!$B$7:$B$156,B133)=0,"TANIMSIZ MÜŞTERİ","UYGUN")))</f>
        <v/>
      </c>
      <c r="L133" s="43" t="str">
        <f t="shared" si="7"/>
        <v/>
      </c>
      <c r="M133" s="96"/>
      <c r="N133" s="22" t="str">
        <f>IF(B133="","",IF(E133="",SISTEM!$C$17,MIN(E133,SISTEM!$C$17)))</f>
        <v/>
      </c>
      <c r="O133" s="22" t="str">
        <f t="shared" si="8"/>
        <v/>
      </c>
      <c r="P133" s="22">
        <f t="shared" si="9"/>
        <v>0</v>
      </c>
    </row>
    <row r="134" spans="1:16" ht="17">
      <c r="A134" s="6"/>
      <c r="B134" s="95"/>
      <c r="C134" s="96"/>
      <c r="D134" s="97"/>
      <c r="E134" s="97"/>
      <c r="F134" s="96"/>
      <c r="G134" s="98"/>
      <c r="H134" s="41" t="str">
        <f>IF(OR(B134="",D134="",F134="",G134=""),"",IF(AND(E134&lt;&gt;"",E134&lt;SISTEM!$C$17),"Pasif","Aktif"))</f>
        <v/>
      </c>
      <c r="I134" s="74">
        <f t="shared" si="5"/>
        <v>0</v>
      </c>
      <c r="J134" s="42" t="str">
        <f t="shared" si="6"/>
        <v/>
      </c>
      <c r="K134" s="43" t="str">
        <f>IF(AND(B134="",C134=""),"",IF(OR(B134="",C134="",D134="",F134="",G134=""),"EKSİK",IF(COUNTIF(MUSTERILER!$B$7:$B$156,B134)=0,"TANIMSIZ MÜŞTERİ","UYGUN")))</f>
        <v/>
      </c>
      <c r="L134" s="43" t="str">
        <f t="shared" si="7"/>
        <v/>
      </c>
      <c r="M134" s="96"/>
      <c r="N134" s="22" t="str">
        <f>IF(B134="","",IF(E134="",SISTEM!$C$17,MIN(E134,SISTEM!$C$17)))</f>
        <v/>
      </c>
      <c r="O134" s="22" t="str">
        <f t="shared" si="8"/>
        <v/>
      </c>
      <c r="P134" s="22">
        <f t="shared" si="9"/>
        <v>0</v>
      </c>
    </row>
    <row r="135" spans="1:16" ht="17">
      <c r="A135" s="6"/>
      <c r="B135" s="95"/>
      <c r="C135" s="96"/>
      <c r="D135" s="97"/>
      <c r="E135" s="97"/>
      <c r="F135" s="96"/>
      <c r="G135" s="98"/>
      <c r="H135" s="41" t="str">
        <f>IF(OR(B135="",D135="",F135="",G135=""),"",IF(AND(E135&lt;&gt;"",E135&lt;SISTEM!$C$17),"Pasif","Aktif"))</f>
        <v/>
      </c>
      <c r="I135" s="74">
        <f t="shared" ref="I135:I198" si="10">IF(P135=0,0,P135*G135)</f>
        <v>0</v>
      </c>
      <c r="J135" s="42" t="str">
        <f t="shared" ref="J135:J198" si="11">IF(OR(G135="",G135=0),"",I135/G135)</f>
        <v/>
      </c>
      <c r="K135" s="43" t="str">
        <f>IF(AND(B135="",C135=""),"",IF(OR(B135="",C135="",D135="",F135="",G135=""),"EKSİK",IF(COUNTIF(MUSTERILER!$B$7:$B$156,B135)=0,"TANIMSIZ MÜŞTERİ","UYGUN")))</f>
        <v/>
      </c>
      <c r="L135" s="43" t="str">
        <f t="shared" ref="L135:L198" si="12">IF(D135="","",IF(F135="Haftalık",D135+MOD(6-WEEKDAY(D135,2),7),EOMONTH(D135,0)))</f>
        <v/>
      </c>
      <c r="M135" s="96"/>
      <c r="N135" s="22" t="str">
        <f>IF(B135="","",IF(E135="",SISTEM!$C$17,MIN(E135,SISTEM!$C$17)))</f>
        <v/>
      </c>
      <c r="O135" s="22" t="str">
        <f t="shared" ref="O135:O198" si="13">L135</f>
        <v/>
      </c>
      <c r="P135" s="22">
        <f t="shared" ref="P135:P198" si="14">IF(OR(B135="",O135="",N135=""),0,IF(F135="Haftalık",MAX(0,INT((N135-O135)/7)+1),IF(F135="Aylık",MAX(0,(YEAR(N135)-YEAR(O135))*12+MONTH(N135)-MONTH(O135)+1),0)))</f>
        <v>0</v>
      </c>
    </row>
    <row r="136" spans="1:16" ht="17">
      <c r="A136" s="6"/>
      <c r="B136" s="95"/>
      <c r="C136" s="96"/>
      <c r="D136" s="97"/>
      <c r="E136" s="97"/>
      <c r="F136" s="96"/>
      <c r="G136" s="98"/>
      <c r="H136" s="41" t="str">
        <f>IF(OR(B136="",D136="",F136="",G136=""),"",IF(AND(E136&lt;&gt;"",E136&lt;SISTEM!$C$17),"Pasif","Aktif"))</f>
        <v/>
      </c>
      <c r="I136" s="74">
        <f t="shared" si="10"/>
        <v>0</v>
      </c>
      <c r="J136" s="42" t="str">
        <f t="shared" si="11"/>
        <v/>
      </c>
      <c r="K136" s="43" t="str">
        <f>IF(AND(B136="",C136=""),"",IF(OR(B136="",C136="",D136="",F136="",G136=""),"EKSİK",IF(COUNTIF(MUSTERILER!$B$7:$B$156,B136)=0,"TANIMSIZ MÜŞTERİ","UYGUN")))</f>
        <v/>
      </c>
      <c r="L136" s="43" t="str">
        <f t="shared" si="12"/>
        <v/>
      </c>
      <c r="M136" s="96"/>
      <c r="N136" s="22" t="str">
        <f>IF(B136="","",IF(E136="",SISTEM!$C$17,MIN(E136,SISTEM!$C$17)))</f>
        <v/>
      </c>
      <c r="O136" s="22" t="str">
        <f t="shared" si="13"/>
        <v/>
      </c>
      <c r="P136" s="22">
        <f t="shared" si="14"/>
        <v>0</v>
      </c>
    </row>
    <row r="137" spans="1:16" ht="17">
      <c r="A137" s="6"/>
      <c r="B137" s="95"/>
      <c r="C137" s="96"/>
      <c r="D137" s="97"/>
      <c r="E137" s="97"/>
      <c r="F137" s="96"/>
      <c r="G137" s="98"/>
      <c r="H137" s="41" t="str">
        <f>IF(OR(B137="",D137="",F137="",G137=""),"",IF(AND(E137&lt;&gt;"",E137&lt;SISTEM!$C$17),"Pasif","Aktif"))</f>
        <v/>
      </c>
      <c r="I137" s="74">
        <f t="shared" si="10"/>
        <v>0</v>
      </c>
      <c r="J137" s="42" t="str">
        <f t="shared" si="11"/>
        <v/>
      </c>
      <c r="K137" s="43" t="str">
        <f>IF(AND(B137="",C137=""),"",IF(OR(B137="",C137="",D137="",F137="",G137=""),"EKSİK",IF(COUNTIF(MUSTERILER!$B$7:$B$156,B137)=0,"TANIMSIZ MÜŞTERİ","UYGUN")))</f>
        <v/>
      </c>
      <c r="L137" s="43" t="str">
        <f t="shared" si="12"/>
        <v/>
      </c>
      <c r="M137" s="96"/>
      <c r="N137" s="22" t="str">
        <f>IF(B137="","",IF(E137="",SISTEM!$C$17,MIN(E137,SISTEM!$C$17)))</f>
        <v/>
      </c>
      <c r="O137" s="22" t="str">
        <f t="shared" si="13"/>
        <v/>
      </c>
      <c r="P137" s="22">
        <f t="shared" si="14"/>
        <v>0</v>
      </c>
    </row>
    <row r="138" spans="1:16" ht="17">
      <c r="A138" s="6"/>
      <c r="B138" s="95"/>
      <c r="C138" s="96"/>
      <c r="D138" s="97"/>
      <c r="E138" s="97"/>
      <c r="F138" s="96"/>
      <c r="G138" s="98"/>
      <c r="H138" s="41" t="str">
        <f>IF(OR(B138="",D138="",F138="",G138=""),"",IF(AND(E138&lt;&gt;"",E138&lt;SISTEM!$C$17),"Pasif","Aktif"))</f>
        <v/>
      </c>
      <c r="I138" s="74">
        <f t="shared" si="10"/>
        <v>0</v>
      </c>
      <c r="J138" s="42" t="str">
        <f t="shared" si="11"/>
        <v/>
      </c>
      <c r="K138" s="43" t="str">
        <f>IF(AND(B138="",C138=""),"",IF(OR(B138="",C138="",D138="",F138="",G138=""),"EKSİK",IF(COUNTIF(MUSTERILER!$B$7:$B$156,B138)=0,"TANIMSIZ MÜŞTERİ","UYGUN")))</f>
        <v/>
      </c>
      <c r="L138" s="43" t="str">
        <f t="shared" si="12"/>
        <v/>
      </c>
      <c r="M138" s="96"/>
      <c r="N138" s="22" t="str">
        <f>IF(B138="","",IF(E138="",SISTEM!$C$17,MIN(E138,SISTEM!$C$17)))</f>
        <v/>
      </c>
      <c r="O138" s="22" t="str">
        <f t="shared" si="13"/>
        <v/>
      </c>
      <c r="P138" s="22">
        <f t="shared" si="14"/>
        <v>0</v>
      </c>
    </row>
    <row r="139" spans="1:16" ht="17">
      <c r="A139" s="6"/>
      <c r="B139" s="95"/>
      <c r="C139" s="96"/>
      <c r="D139" s="97"/>
      <c r="E139" s="97"/>
      <c r="F139" s="96"/>
      <c r="G139" s="98"/>
      <c r="H139" s="41" t="str">
        <f>IF(OR(B139="",D139="",F139="",G139=""),"",IF(AND(E139&lt;&gt;"",E139&lt;SISTEM!$C$17),"Pasif","Aktif"))</f>
        <v/>
      </c>
      <c r="I139" s="74">
        <f t="shared" si="10"/>
        <v>0</v>
      </c>
      <c r="J139" s="42" t="str">
        <f t="shared" si="11"/>
        <v/>
      </c>
      <c r="K139" s="43" t="str">
        <f>IF(AND(B139="",C139=""),"",IF(OR(B139="",C139="",D139="",F139="",G139=""),"EKSİK",IF(COUNTIF(MUSTERILER!$B$7:$B$156,B139)=0,"TANIMSIZ MÜŞTERİ","UYGUN")))</f>
        <v/>
      </c>
      <c r="L139" s="43" t="str">
        <f t="shared" si="12"/>
        <v/>
      </c>
      <c r="M139" s="96"/>
      <c r="N139" s="22" t="str">
        <f>IF(B139="","",IF(E139="",SISTEM!$C$17,MIN(E139,SISTEM!$C$17)))</f>
        <v/>
      </c>
      <c r="O139" s="22" t="str">
        <f t="shared" si="13"/>
        <v/>
      </c>
      <c r="P139" s="22">
        <f t="shared" si="14"/>
        <v>0</v>
      </c>
    </row>
    <row r="140" spans="1:16" ht="17">
      <c r="A140" s="6"/>
      <c r="B140" s="95"/>
      <c r="C140" s="96"/>
      <c r="D140" s="97"/>
      <c r="E140" s="97"/>
      <c r="F140" s="96"/>
      <c r="G140" s="98"/>
      <c r="H140" s="41" t="str">
        <f>IF(OR(B140="",D140="",F140="",G140=""),"",IF(AND(E140&lt;&gt;"",E140&lt;SISTEM!$C$17),"Pasif","Aktif"))</f>
        <v/>
      </c>
      <c r="I140" s="74">
        <f t="shared" si="10"/>
        <v>0</v>
      </c>
      <c r="J140" s="42" t="str">
        <f t="shared" si="11"/>
        <v/>
      </c>
      <c r="K140" s="43" t="str">
        <f>IF(AND(B140="",C140=""),"",IF(OR(B140="",C140="",D140="",F140="",G140=""),"EKSİK",IF(COUNTIF(MUSTERILER!$B$7:$B$156,B140)=0,"TANIMSIZ MÜŞTERİ","UYGUN")))</f>
        <v/>
      </c>
      <c r="L140" s="43" t="str">
        <f t="shared" si="12"/>
        <v/>
      </c>
      <c r="M140" s="96"/>
      <c r="N140" s="22" t="str">
        <f>IF(B140="","",IF(E140="",SISTEM!$C$17,MIN(E140,SISTEM!$C$17)))</f>
        <v/>
      </c>
      <c r="O140" s="22" t="str">
        <f t="shared" si="13"/>
        <v/>
      </c>
      <c r="P140" s="22">
        <f t="shared" si="14"/>
        <v>0</v>
      </c>
    </row>
    <row r="141" spans="1:16" ht="17">
      <c r="A141" s="6"/>
      <c r="B141" s="95"/>
      <c r="C141" s="96"/>
      <c r="D141" s="97"/>
      <c r="E141" s="97"/>
      <c r="F141" s="96"/>
      <c r="G141" s="98"/>
      <c r="H141" s="41" t="str">
        <f>IF(OR(B141="",D141="",F141="",G141=""),"",IF(AND(E141&lt;&gt;"",E141&lt;SISTEM!$C$17),"Pasif","Aktif"))</f>
        <v/>
      </c>
      <c r="I141" s="74">
        <f t="shared" si="10"/>
        <v>0</v>
      </c>
      <c r="J141" s="42" t="str">
        <f t="shared" si="11"/>
        <v/>
      </c>
      <c r="K141" s="43" t="str">
        <f>IF(AND(B141="",C141=""),"",IF(OR(B141="",C141="",D141="",F141="",G141=""),"EKSİK",IF(COUNTIF(MUSTERILER!$B$7:$B$156,B141)=0,"TANIMSIZ MÜŞTERİ","UYGUN")))</f>
        <v/>
      </c>
      <c r="L141" s="43" t="str">
        <f t="shared" si="12"/>
        <v/>
      </c>
      <c r="M141" s="96"/>
      <c r="N141" s="22" t="str">
        <f>IF(B141="","",IF(E141="",SISTEM!$C$17,MIN(E141,SISTEM!$C$17)))</f>
        <v/>
      </c>
      <c r="O141" s="22" t="str">
        <f t="shared" si="13"/>
        <v/>
      </c>
      <c r="P141" s="22">
        <f t="shared" si="14"/>
        <v>0</v>
      </c>
    </row>
    <row r="142" spans="1:16" ht="17">
      <c r="A142" s="6"/>
      <c r="B142" s="95"/>
      <c r="C142" s="96"/>
      <c r="D142" s="97"/>
      <c r="E142" s="97"/>
      <c r="F142" s="96"/>
      <c r="G142" s="98"/>
      <c r="H142" s="41" t="str">
        <f>IF(OR(B142="",D142="",F142="",G142=""),"",IF(AND(E142&lt;&gt;"",E142&lt;SISTEM!$C$17),"Pasif","Aktif"))</f>
        <v/>
      </c>
      <c r="I142" s="74">
        <f t="shared" si="10"/>
        <v>0</v>
      </c>
      <c r="J142" s="42" t="str">
        <f t="shared" si="11"/>
        <v/>
      </c>
      <c r="K142" s="43" t="str">
        <f>IF(AND(B142="",C142=""),"",IF(OR(B142="",C142="",D142="",F142="",G142=""),"EKSİK",IF(COUNTIF(MUSTERILER!$B$7:$B$156,B142)=0,"TANIMSIZ MÜŞTERİ","UYGUN")))</f>
        <v/>
      </c>
      <c r="L142" s="43" t="str">
        <f t="shared" si="12"/>
        <v/>
      </c>
      <c r="M142" s="96"/>
      <c r="N142" s="22" t="str">
        <f>IF(B142="","",IF(E142="",SISTEM!$C$17,MIN(E142,SISTEM!$C$17)))</f>
        <v/>
      </c>
      <c r="O142" s="22" t="str">
        <f t="shared" si="13"/>
        <v/>
      </c>
      <c r="P142" s="22">
        <f t="shared" si="14"/>
        <v>0</v>
      </c>
    </row>
    <row r="143" spans="1:16" ht="17">
      <c r="A143" s="6"/>
      <c r="B143" s="95"/>
      <c r="C143" s="96"/>
      <c r="D143" s="97"/>
      <c r="E143" s="97"/>
      <c r="F143" s="96"/>
      <c r="G143" s="98"/>
      <c r="H143" s="41" t="str">
        <f>IF(OR(B143="",D143="",F143="",G143=""),"",IF(AND(E143&lt;&gt;"",E143&lt;SISTEM!$C$17),"Pasif","Aktif"))</f>
        <v/>
      </c>
      <c r="I143" s="74">
        <f t="shared" si="10"/>
        <v>0</v>
      </c>
      <c r="J143" s="42" t="str">
        <f t="shared" si="11"/>
        <v/>
      </c>
      <c r="K143" s="43" t="str">
        <f>IF(AND(B143="",C143=""),"",IF(OR(B143="",C143="",D143="",F143="",G143=""),"EKSİK",IF(COUNTIF(MUSTERILER!$B$7:$B$156,B143)=0,"TANIMSIZ MÜŞTERİ","UYGUN")))</f>
        <v/>
      </c>
      <c r="L143" s="43" t="str">
        <f t="shared" si="12"/>
        <v/>
      </c>
      <c r="M143" s="96"/>
      <c r="N143" s="22" t="str">
        <f>IF(B143="","",IF(E143="",SISTEM!$C$17,MIN(E143,SISTEM!$C$17)))</f>
        <v/>
      </c>
      <c r="O143" s="22" t="str">
        <f t="shared" si="13"/>
        <v/>
      </c>
      <c r="P143" s="22">
        <f t="shared" si="14"/>
        <v>0</v>
      </c>
    </row>
    <row r="144" spans="1:16" ht="17">
      <c r="A144" s="6"/>
      <c r="B144" s="95"/>
      <c r="C144" s="96"/>
      <c r="D144" s="97"/>
      <c r="E144" s="97"/>
      <c r="F144" s="96"/>
      <c r="G144" s="98"/>
      <c r="H144" s="41" t="str">
        <f>IF(OR(B144="",D144="",F144="",G144=""),"",IF(AND(E144&lt;&gt;"",E144&lt;SISTEM!$C$17),"Pasif","Aktif"))</f>
        <v/>
      </c>
      <c r="I144" s="74">
        <f t="shared" si="10"/>
        <v>0</v>
      </c>
      <c r="J144" s="42" t="str">
        <f t="shared" si="11"/>
        <v/>
      </c>
      <c r="K144" s="43" t="str">
        <f>IF(AND(B144="",C144=""),"",IF(OR(B144="",C144="",D144="",F144="",G144=""),"EKSİK",IF(COUNTIF(MUSTERILER!$B$7:$B$156,B144)=0,"TANIMSIZ MÜŞTERİ","UYGUN")))</f>
        <v/>
      </c>
      <c r="L144" s="43" t="str">
        <f t="shared" si="12"/>
        <v/>
      </c>
      <c r="M144" s="96"/>
      <c r="N144" s="22" t="str">
        <f>IF(B144="","",IF(E144="",SISTEM!$C$17,MIN(E144,SISTEM!$C$17)))</f>
        <v/>
      </c>
      <c r="O144" s="22" t="str">
        <f t="shared" si="13"/>
        <v/>
      </c>
      <c r="P144" s="22">
        <f t="shared" si="14"/>
        <v>0</v>
      </c>
    </row>
    <row r="145" spans="1:16" ht="17">
      <c r="A145" s="6"/>
      <c r="B145" s="95"/>
      <c r="C145" s="96"/>
      <c r="D145" s="97"/>
      <c r="E145" s="97"/>
      <c r="F145" s="96"/>
      <c r="G145" s="98"/>
      <c r="H145" s="41" t="str">
        <f>IF(OR(B145="",D145="",F145="",G145=""),"",IF(AND(E145&lt;&gt;"",E145&lt;SISTEM!$C$17),"Pasif","Aktif"))</f>
        <v/>
      </c>
      <c r="I145" s="74">
        <f t="shared" si="10"/>
        <v>0</v>
      </c>
      <c r="J145" s="42" t="str">
        <f t="shared" si="11"/>
        <v/>
      </c>
      <c r="K145" s="43" t="str">
        <f>IF(AND(B145="",C145=""),"",IF(OR(B145="",C145="",D145="",F145="",G145=""),"EKSİK",IF(COUNTIF(MUSTERILER!$B$7:$B$156,B145)=0,"TANIMSIZ MÜŞTERİ","UYGUN")))</f>
        <v/>
      </c>
      <c r="L145" s="43" t="str">
        <f t="shared" si="12"/>
        <v/>
      </c>
      <c r="M145" s="96"/>
      <c r="N145" s="22" t="str">
        <f>IF(B145="","",IF(E145="",SISTEM!$C$17,MIN(E145,SISTEM!$C$17)))</f>
        <v/>
      </c>
      <c r="O145" s="22" t="str">
        <f t="shared" si="13"/>
        <v/>
      </c>
      <c r="P145" s="22">
        <f t="shared" si="14"/>
        <v>0</v>
      </c>
    </row>
    <row r="146" spans="1:16" ht="17">
      <c r="A146" s="6"/>
      <c r="B146" s="95"/>
      <c r="C146" s="96"/>
      <c r="D146" s="97"/>
      <c r="E146" s="97"/>
      <c r="F146" s="96"/>
      <c r="G146" s="98"/>
      <c r="H146" s="41" t="str">
        <f>IF(OR(B146="",D146="",F146="",G146=""),"",IF(AND(E146&lt;&gt;"",E146&lt;SISTEM!$C$17),"Pasif","Aktif"))</f>
        <v/>
      </c>
      <c r="I146" s="74">
        <f t="shared" si="10"/>
        <v>0</v>
      </c>
      <c r="J146" s="42" t="str">
        <f t="shared" si="11"/>
        <v/>
      </c>
      <c r="K146" s="43" t="str">
        <f>IF(AND(B146="",C146=""),"",IF(OR(B146="",C146="",D146="",F146="",G146=""),"EKSİK",IF(COUNTIF(MUSTERILER!$B$7:$B$156,B146)=0,"TANIMSIZ MÜŞTERİ","UYGUN")))</f>
        <v/>
      </c>
      <c r="L146" s="43" t="str">
        <f t="shared" si="12"/>
        <v/>
      </c>
      <c r="M146" s="96"/>
      <c r="N146" s="22" t="str">
        <f>IF(B146="","",IF(E146="",SISTEM!$C$17,MIN(E146,SISTEM!$C$17)))</f>
        <v/>
      </c>
      <c r="O146" s="22" t="str">
        <f t="shared" si="13"/>
        <v/>
      </c>
      <c r="P146" s="22">
        <f t="shared" si="14"/>
        <v>0</v>
      </c>
    </row>
    <row r="147" spans="1:16" ht="17">
      <c r="A147" s="6"/>
      <c r="B147" s="95"/>
      <c r="C147" s="96"/>
      <c r="D147" s="97"/>
      <c r="E147" s="97"/>
      <c r="F147" s="96"/>
      <c r="G147" s="98"/>
      <c r="H147" s="41" t="str">
        <f>IF(OR(B147="",D147="",F147="",G147=""),"",IF(AND(E147&lt;&gt;"",E147&lt;SISTEM!$C$17),"Pasif","Aktif"))</f>
        <v/>
      </c>
      <c r="I147" s="74">
        <f t="shared" si="10"/>
        <v>0</v>
      </c>
      <c r="J147" s="42" t="str">
        <f t="shared" si="11"/>
        <v/>
      </c>
      <c r="K147" s="43" t="str">
        <f>IF(AND(B147="",C147=""),"",IF(OR(B147="",C147="",D147="",F147="",G147=""),"EKSİK",IF(COUNTIF(MUSTERILER!$B$7:$B$156,B147)=0,"TANIMSIZ MÜŞTERİ","UYGUN")))</f>
        <v/>
      </c>
      <c r="L147" s="43" t="str">
        <f t="shared" si="12"/>
        <v/>
      </c>
      <c r="M147" s="96"/>
      <c r="N147" s="22" t="str">
        <f>IF(B147="","",IF(E147="",SISTEM!$C$17,MIN(E147,SISTEM!$C$17)))</f>
        <v/>
      </c>
      <c r="O147" s="22" t="str">
        <f t="shared" si="13"/>
        <v/>
      </c>
      <c r="P147" s="22">
        <f t="shared" si="14"/>
        <v>0</v>
      </c>
    </row>
    <row r="148" spans="1:16" ht="17">
      <c r="A148" s="6"/>
      <c r="B148" s="95"/>
      <c r="C148" s="96"/>
      <c r="D148" s="97"/>
      <c r="E148" s="97"/>
      <c r="F148" s="96"/>
      <c r="G148" s="98"/>
      <c r="H148" s="41" t="str">
        <f>IF(OR(B148="",D148="",F148="",G148=""),"",IF(AND(E148&lt;&gt;"",E148&lt;SISTEM!$C$17),"Pasif","Aktif"))</f>
        <v/>
      </c>
      <c r="I148" s="74">
        <f t="shared" si="10"/>
        <v>0</v>
      </c>
      <c r="J148" s="42" t="str">
        <f t="shared" si="11"/>
        <v/>
      </c>
      <c r="K148" s="43" t="str">
        <f>IF(AND(B148="",C148=""),"",IF(OR(B148="",C148="",D148="",F148="",G148=""),"EKSİK",IF(COUNTIF(MUSTERILER!$B$7:$B$156,B148)=0,"TANIMSIZ MÜŞTERİ","UYGUN")))</f>
        <v/>
      </c>
      <c r="L148" s="43" t="str">
        <f t="shared" si="12"/>
        <v/>
      </c>
      <c r="M148" s="96"/>
      <c r="N148" s="22" t="str">
        <f>IF(B148="","",IF(E148="",SISTEM!$C$17,MIN(E148,SISTEM!$C$17)))</f>
        <v/>
      </c>
      <c r="O148" s="22" t="str">
        <f t="shared" si="13"/>
        <v/>
      </c>
      <c r="P148" s="22">
        <f t="shared" si="14"/>
        <v>0</v>
      </c>
    </row>
    <row r="149" spans="1:16" ht="17">
      <c r="A149" s="6"/>
      <c r="B149" s="95"/>
      <c r="C149" s="96"/>
      <c r="D149" s="97"/>
      <c r="E149" s="97"/>
      <c r="F149" s="96"/>
      <c r="G149" s="98"/>
      <c r="H149" s="41" t="str">
        <f>IF(OR(B149="",D149="",F149="",G149=""),"",IF(AND(E149&lt;&gt;"",E149&lt;SISTEM!$C$17),"Pasif","Aktif"))</f>
        <v/>
      </c>
      <c r="I149" s="74">
        <f t="shared" si="10"/>
        <v>0</v>
      </c>
      <c r="J149" s="42" t="str">
        <f t="shared" si="11"/>
        <v/>
      </c>
      <c r="K149" s="43" t="str">
        <f>IF(AND(B149="",C149=""),"",IF(OR(B149="",C149="",D149="",F149="",G149=""),"EKSİK",IF(COUNTIF(MUSTERILER!$B$7:$B$156,B149)=0,"TANIMSIZ MÜŞTERİ","UYGUN")))</f>
        <v/>
      </c>
      <c r="L149" s="43" t="str">
        <f t="shared" si="12"/>
        <v/>
      </c>
      <c r="M149" s="96"/>
      <c r="N149" s="22" t="str">
        <f>IF(B149="","",IF(E149="",SISTEM!$C$17,MIN(E149,SISTEM!$C$17)))</f>
        <v/>
      </c>
      <c r="O149" s="22" t="str">
        <f t="shared" si="13"/>
        <v/>
      </c>
      <c r="P149" s="22">
        <f t="shared" si="14"/>
        <v>0</v>
      </c>
    </row>
    <row r="150" spans="1:16" ht="17">
      <c r="A150" s="6"/>
      <c r="B150" s="95"/>
      <c r="C150" s="96"/>
      <c r="D150" s="97"/>
      <c r="E150" s="97"/>
      <c r="F150" s="96"/>
      <c r="G150" s="98"/>
      <c r="H150" s="41" t="str">
        <f>IF(OR(B150="",D150="",F150="",G150=""),"",IF(AND(E150&lt;&gt;"",E150&lt;SISTEM!$C$17),"Pasif","Aktif"))</f>
        <v/>
      </c>
      <c r="I150" s="74">
        <f t="shared" si="10"/>
        <v>0</v>
      </c>
      <c r="J150" s="42" t="str">
        <f t="shared" si="11"/>
        <v/>
      </c>
      <c r="K150" s="43" t="str">
        <f>IF(AND(B150="",C150=""),"",IF(OR(B150="",C150="",D150="",F150="",G150=""),"EKSİK",IF(COUNTIF(MUSTERILER!$B$7:$B$156,B150)=0,"TANIMSIZ MÜŞTERİ","UYGUN")))</f>
        <v/>
      </c>
      <c r="L150" s="43" t="str">
        <f t="shared" si="12"/>
        <v/>
      </c>
      <c r="M150" s="96"/>
      <c r="N150" s="22" t="str">
        <f>IF(B150="","",IF(E150="",SISTEM!$C$17,MIN(E150,SISTEM!$C$17)))</f>
        <v/>
      </c>
      <c r="O150" s="22" t="str">
        <f t="shared" si="13"/>
        <v/>
      </c>
      <c r="P150" s="22">
        <f t="shared" si="14"/>
        <v>0</v>
      </c>
    </row>
    <row r="151" spans="1:16" ht="17">
      <c r="A151" s="6"/>
      <c r="B151" s="95"/>
      <c r="C151" s="96"/>
      <c r="D151" s="97"/>
      <c r="E151" s="97"/>
      <c r="F151" s="96"/>
      <c r="G151" s="98"/>
      <c r="H151" s="41" t="str">
        <f>IF(OR(B151="",D151="",F151="",G151=""),"",IF(AND(E151&lt;&gt;"",E151&lt;SISTEM!$C$17),"Pasif","Aktif"))</f>
        <v/>
      </c>
      <c r="I151" s="74">
        <f t="shared" si="10"/>
        <v>0</v>
      </c>
      <c r="J151" s="42" t="str">
        <f t="shared" si="11"/>
        <v/>
      </c>
      <c r="K151" s="43" t="str">
        <f>IF(AND(B151="",C151=""),"",IF(OR(B151="",C151="",D151="",F151="",G151=""),"EKSİK",IF(COUNTIF(MUSTERILER!$B$7:$B$156,B151)=0,"TANIMSIZ MÜŞTERİ","UYGUN")))</f>
        <v/>
      </c>
      <c r="L151" s="43" t="str">
        <f t="shared" si="12"/>
        <v/>
      </c>
      <c r="M151" s="96"/>
      <c r="N151" s="22" t="str">
        <f>IF(B151="","",IF(E151="",SISTEM!$C$17,MIN(E151,SISTEM!$C$17)))</f>
        <v/>
      </c>
      <c r="O151" s="22" t="str">
        <f t="shared" si="13"/>
        <v/>
      </c>
      <c r="P151" s="22">
        <f t="shared" si="14"/>
        <v>0</v>
      </c>
    </row>
    <row r="152" spans="1:16" ht="17">
      <c r="A152" s="6"/>
      <c r="B152" s="95"/>
      <c r="C152" s="96"/>
      <c r="D152" s="97"/>
      <c r="E152" s="97"/>
      <c r="F152" s="96"/>
      <c r="G152" s="98"/>
      <c r="H152" s="41" t="str">
        <f>IF(OR(B152="",D152="",F152="",G152=""),"",IF(AND(E152&lt;&gt;"",E152&lt;SISTEM!$C$17),"Pasif","Aktif"))</f>
        <v/>
      </c>
      <c r="I152" s="74">
        <f t="shared" si="10"/>
        <v>0</v>
      </c>
      <c r="J152" s="42" t="str">
        <f t="shared" si="11"/>
        <v/>
      </c>
      <c r="K152" s="43" t="str">
        <f>IF(AND(B152="",C152=""),"",IF(OR(B152="",C152="",D152="",F152="",G152=""),"EKSİK",IF(COUNTIF(MUSTERILER!$B$7:$B$156,B152)=0,"TANIMSIZ MÜŞTERİ","UYGUN")))</f>
        <v/>
      </c>
      <c r="L152" s="43" t="str">
        <f t="shared" si="12"/>
        <v/>
      </c>
      <c r="M152" s="96"/>
      <c r="N152" s="22" t="str">
        <f>IF(B152="","",IF(E152="",SISTEM!$C$17,MIN(E152,SISTEM!$C$17)))</f>
        <v/>
      </c>
      <c r="O152" s="22" t="str">
        <f t="shared" si="13"/>
        <v/>
      </c>
      <c r="P152" s="22">
        <f t="shared" si="14"/>
        <v>0</v>
      </c>
    </row>
    <row r="153" spans="1:16" ht="17">
      <c r="A153" s="6"/>
      <c r="B153" s="95"/>
      <c r="C153" s="96"/>
      <c r="D153" s="97"/>
      <c r="E153" s="97"/>
      <c r="F153" s="96"/>
      <c r="G153" s="98"/>
      <c r="H153" s="41" t="str">
        <f>IF(OR(B153="",D153="",F153="",G153=""),"",IF(AND(E153&lt;&gt;"",E153&lt;SISTEM!$C$17),"Pasif","Aktif"))</f>
        <v/>
      </c>
      <c r="I153" s="74">
        <f t="shared" si="10"/>
        <v>0</v>
      </c>
      <c r="J153" s="42" t="str">
        <f t="shared" si="11"/>
        <v/>
      </c>
      <c r="K153" s="43" t="str">
        <f>IF(AND(B153="",C153=""),"",IF(OR(B153="",C153="",D153="",F153="",G153=""),"EKSİK",IF(COUNTIF(MUSTERILER!$B$7:$B$156,B153)=0,"TANIMSIZ MÜŞTERİ","UYGUN")))</f>
        <v/>
      </c>
      <c r="L153" s="43" t="str">
        <f t="shared" si="12"/>
        <v/>
      </c>
      <c r="M153" s="96"/>
      <c r="N153" s="22" t="str">
        <f>IF(B153="","",IF(E153="",SISTEM!$C$17,MIN(E153,SISTEM!$C$17)))</f>
        <v/>
      </c>
      <c r="O153" s="22" t="str">
        <f t="shared" si="13"/>
        <v/>
      </c>
      <c r="P153" s="22">
        <f t="shared" si="14"/>
        <v>0</v>
      </c>
    </row>
    <row r="154" spans="1:16" ht="17">
      <c r="A154" s="6"/>
      <c r="B154" s="95"/>
      <c r="C154" s="96"/>
      <c r="D154" s="97"/>
      <c r="E154" s="97"/>
      <c r="F154" s="96"/>
      <c r="G154" s="98"/>
      <c r="H154" s="41" t="str">
        <f>IF(OR(B154="",D154="",F154="",G154=""),"",IF(AND(E154&lt;&gt;"",E154&lt;SISTEM!$C$17),"Pasif","Aktif"))</f>
        <v/>
      </c>
      <c r="I154" s="74">
        <f t="shared" si="10"/>
        <v>0</v>
      </c>
      <c r="J154" s="42" t="str">
        <f t="shared" si="11"/>
        <v/>
      </c>
      <c r="K154" s="43" t="str">
        <f>IF(AND(B154="",C154=""),"",IF(OR(B154="",C154="",D154="",F154="",G154=""),"EKSİK",IF(COUNTIF(MUSTERILER!$B$7:$B$156,B154)=0,"TANIMSIZ MÜŞTERİ","UYGUN")))</f>
        <v/>
      </c>
      <c r="L154" s="43" t="str">
        <f t="shared" si="12"/>
        <v/>
      </c>
      <c r="M154" s="96"/>
      <c r="N154" s="22" t="str">
        <f>IF(B154="","",IF(E154="",SISTEM!$C$17,MIN(E154,SISTEM!$C$17)))</f>
        <v/>
      </c>
      <c r="O154" s="22" t="str">
        <f t="shared" si="13"/>
        <v/>
      </c>
      <c r="P154" s="22">
        <f t="shared" si="14"/>
        <v>0</v>
      </c>
    </row>
    <row r="155" spans="1:16" ht="17">
      <c r="A155" s="6"/>
      <c r="B155" s="95"/>
      <c r="C155" s="96"/>
      <c r="D155" s="97"/>
      <c r="E155" s="97"/>
      <c r="F155" s="96"/>
      <c r="G155" s="98"/>
      <c r="H155" s="41" t="str">
        <f>IF(OR(B155="",D155="",F155="",G155=""),"",IF(AND(E155&lt;&gt;"",E155&lt;SISTEM!$C$17),"Pasif","Aktif"))</f>
        <v/>
      </c>
      <c r="I155" s="74">
        <f t="shared" si="10"/>
        <v>0</v>
      </c>
      <c r="J155" s="42" t="str">
        <f t="shared" si="11"/>
        <v/>
      </c>
      <c r="K155" s="43" t="str">
        <f>IF(AND(B155="",C155=""),"",IF(OR(B155="",C155="",D155="",F155="",G155=""),"EKSİK",IF(COUNTIF(MUSTERILER!$B$7:$B$156,B155)=0,"TANIMSIZ MÜŞTERİ","UYGUN")))</f>
        <v/>
      </c>
      <c r="L155" s="43" t="str">
        <f t="shared" si="12"/>
        <v/>
      </c>
      <c r="M155" s="96"/>
      <c r="N155" s="22" t="str">
        <f>IF(B155="","",IF(E155="",SISTEM!$C$17,MIN(E155,SISTEM!$C$17)))</f>
        <v/>
      </c>
      <c r="O155" s="22" t="str">
        <f t="shared" si="13"/>
        <v/>
      </c>
      <c r="P155" s="22">
        <f t="shared" si="14"/>
        <v>0</v>
      </c>
    </row>
    <row r="156" spans="1:16" ht="17">
      <c r="A156" s="6"/>
      <c r="B156" s="95"/>
      <c r="C156" s="96"/>
      <c r="D156" s="97"/>
      <c r="E156" s="97"/>
      <c r="F156" s="96"/>
      <c r="G156" s="98"/>
      <c r="H156" s="41" t="str">
        <f>IF(OR(B156="",D156="",F156="",G156=""),"",IF(AND(E156&lt;&gt;"",E156&lt;SISTEM!$C$17),"Pasif","Aktif"))</f>
        <v/>
      </c>
      <c r="I156" s="74">
        <f t="shared" si="10"/>
        <v>0</v>
      </c>
      <c r="J156" s="42" t="str">
        <f t="shared" si="11"/>
        <v/>
      </c>
      <c r="K156" s="43" t="str">
        <f>IF(AND(B156="",C156=""),"",IF(OR(B156="",C156="",D156="",F156="",G156=""),"EKSİK",IF(COUNTIF(MUSTERILER!$B$7:$B$156,B156)=0,"TANIMSIZ MÜŞTERİ","UYGUN")))</f>
        <v/>
      </c>
      <c r="L156" s="43" t="str">
        <f t="shared" si="12"/>
        <v/>
      </c>
      <c r="M156" s="96"/>
      <c r="N156" s="22" t="str">
        <f>IF(B156="","",IF(E156="",SISTEM!$C$17,MIN(E156,SISTEM!$C$17)))</f>
        <v/>
      </c>
      <c r="O156" s="22" t="str">
        <f t="shared" si="13"/>
        <v/>
      </c>
      <c r="P156" s="22">
        <f t="shared" si="14"/>
        <v>0</v>
      </c>
    </row>
    <row r="157" spans="1:16" ht="17">
      <c r="A157" s="6"/>
      <c r="B157" s="95"/>
      <c r="C157" s="96"/>
      <c r="D157" s="97"/>
      <c r="E157" s="97"/>
      <c r="F157" s="96"/>
      <c r="G157" s="98"/>
      <c r="H157" s="41" t="str">
        <f>IF(OR(B157="",D157="",F157="",G157=""),"",IF(AND(E157&lt;&gt;"",E157&lt;SISTEM!$C$17),"Pasif","Aktif"))</f>
        <v/>
      </c>
      <c r="I157" s="74">
        <f t="shared" si="10"/>
        <v>0</v>
      </c>
      <c r="J157" s="42" t="str">
        <f t="shared" si="11"/>
        <v/>
      </c>
      <c r="K157" s="43" t="str">
        <f>IF(AND(B157="",C157=""),"",IF(OR(B157="",C157="",D157="",F157="",G157=""),"EKSİK",IF(COUNTIF(MUSTERILER!$B$7:$B$156,B157)=0,"TANIMSIZ MÜŞTERİ","UYGUN")))</f>
        <v/>
      </c>
      <c r="L157" s="43" t="str">
        <f t="shared" si="12"/>
        <v/>
      </c>
      <c r="M157" s="96"/>
      <c r="N157" s="22" t="str">
        <f>IF(B157="","",IF(E157="",SISTEM!$C$17,MIN(E157,SISTEM!$C$17)))</f>
        <v/>
      </c>
      <c r="O157" s="22" t="str">
        <f t="shared" si="13"/>
        <v/>
      </c>
      <c r="P157" s="22">
        <f t="shared" si="14"/>
        <v>0</v>
      </c>
    </row>
    <row r="158" spans="1:16" ht="17">
      <c r="A158" s="6"/>
      <c r="B158" s="95"/>
      <c r="C158" s="96"/>
      <c r="D158" s="97"/>
      <c r="E158" s="97"/>
      <c r="F158" s="96"/>
      <c r="G158" s="98"/>
      <c r="H158" s="41" t="str">
        <f>IF(OR(B158="",D158="",F158="",G158=""),"",IF(AND(E158&lt;&gt;"",E158&lt;SISTEM!$C$17),"Pasif","Aktif"))</f>
        <v/>
      </c>
      <c r="I158" s="74">
        <f t="shared" si="10"/>
        <v>0</v>
      </c>
      <c r="J158" s="42" t="str">
        <f t="shared" si="11"/>
        <v/>
      </c>
      <c r="K158" s="43" t="str">
        <f>IF(AND(B158="",C158=""),"",IF(OR(B158="",C158="",D158="",F158="",G158=""),"EKSİK",IF(COUNTIF(MUSTERILER!$B$7:$B$156,B158)=0,"TANIMSIZ MÜŞTERİ","UYGUN")))</f>
        <v/>
      </c>
      <c r="L158" s="43" t="str">
        <f t="shared" si="12"/>
        <v/>
      </c>
      <c r="M158" s="96"/>
      <c r="N158" s="22" t="str">
        <f>IF(B158="","",IF(E158="",SISTEM!$C$17,MIN(E158,SISTEM!$C$17)))</f>
        <v/>
      </c>
      <c r="O158" s="22" t="str">
        <f t="shared" si="13"/>
        <v/>
      </c>
      <c r="P158" s="22">
        <f t="shared" si="14"/>
        <v>0</v>
      </c>
    </row>
    <row r="159" spans="1:16" ht="17">
      <c r="A159" s="6"/>
      <c r="B159" s="95"/>
      <c r="C159" s="96"/>
      <c r="D159" s="97"/>
      <c r="E159" s="97"/>
      <c r="F159" s="96"/>
      <c r="G159" s="98"/>
      <c r="H159" s="41" t="str">
        <f>IF(OR(B159="",D159="",F159="",G159=""),"",IF(AND(E159&lt;&gt;"",E159&lt;SISTEM!$C$17),"Pasif","Aktif"))</f>
        <v/>
      </c>
      <c r="I159" s="74">
        <f t="shared" si="10"/>
        <v>0</v>
      </c>
      <c r="J159" s="42" t="str">
        <f t="shared" si="11"/>
        <v/>
      </c>
      <c r="K159" s="43" t="str">
        <f>IF(AND(B159="",C159=""),"",IF(OR(B159="",C159="",D159="",F159="",G159=""),"EKSİK",IF(COUNTIF(MUSTERILER!$B$7:$B$156,B159)=0,"TANIMSIZ MÜŞTERİ","UYGUN")))</f>
        <v/>
      </c>
      <c r="L159" s="43" t="str">
        <f t="shared" si="12"/>
        <v/>
      </c>
      <c r="M159" s="96"/>
      <c r="N159" s="22" t="str">
        <f>IF(B159="","",IF(E159="",SISTEM!$C$17,MIN(E159,SISTEM!$C$17)))</f>
        <v/>
      </c>
      <c r="O159" s="22" t="str">
        <f t="shared" si="13"/>
        <v/>
      </c>
      <c r="P159" s="22">
        <f t="shared" si="14"/>
        <v>0</v>
      </c>
    </row>
    <row r="160" spans="1:16" ht="17">
      <c r="A160" s="6"/>
      <c r="B160" s="95"/>
      <c r="C160" s="96"/>
      <c r="D160" s="97"/>
      <c r="E160" s="97"/>
      <c r="F160" s="96"/>
      <c r="G160" s="98"/>
      <c r="H160" s="41" t="str">
        <f>IF(OR(B160="",D160="",F160="",G160=""),"",IF(AND(E160&lt;&gt;"",E160&lt;SISTEM!$C$17),"Pasif","Aktif"))</f>
        <v/>
      </c>
      <c r="I160" s="74">
        <f t="shared" si="10"/>
        <v>0</v>
      </c>
      <c r="J160" s="42" t="str">
        <f t="shared" si="11"/>
        <v/>
      </c>
      <c r="K160" s="43" t="str">
        <f>IF(AND(B160="",C160=""),"",IF(OR(B160="",C160="",D160="",F160="",G160=""),"EKSİK",IF(COUNTIF(MUSTERILER!$B$7:$B$156,B160)=0,"TANIMSIZ MÜŞTERİ","UYGUN")))</f>
        <v/>
      </c>
      <c r="L160" s="43" t="str">
        <f t="shared" si="12"/>
        <v/>
      </c>
      <c r="M160" s="96"/>
      <c r="N160" s="22" t="str">
        <f>IF(B160="","",IF(E160="",SISTEM!$C$17,MIN(E160,SISTEM!$C$17)))</f>
        <v/>
      </c>
      <c r="O160" s="22" t="str">
        <f t="shared" si="13"/>
        <v/>
      </c>
      <c r="P160" s="22">
        <f t="shared" si="14"/>
        <v>0</v>
      </c>
    </row>
    <row r="161" spans="1:16" ht="17">
      <c r="A161" s="6"/>
      <c r="B161" s="95"/>
      <c r="C161" s="96"/>
      <c r="D161" s="97"/>
      <c r="E161" s="97"/>
      <c r="F161" s="96"/>
      <c r="G161" s="98"/>
      <c r="H161" s="41" t="str">
        <f>IF(OR(B161="",D161="",F161="",G161=""),"",IF(AND(E161&lt;&gt;"",E161&lt;SISTEM!$C$17),"Pasif","Aktif"))</f>
        <v/>
      </c>
      <c r="I161" s="74">
        <f t="shared" si="10"/>
        <v>0</v>
      </c>
      <c r="J161" s="42" t="str">
        <f t="shared" si="11"/>
        <v/>
      </c>
      <c r="K161" s="43" t="str">
        <f>IF(AND(B161="",C161=""),"",IF(OR(B161="",C161="",D161="",F161="",G161=""),"EKSİK",IF(COUNTIF(MUSTERILER!$B$7:$B$156,B161)=0,"TANIMSIZ MÜŞTERİ","UYGUN")))</f>
        <v/>
      </c>
      <c r="L161" s="43" t="str">
        <f t="shared" si="12"/>
        <v/>
      </c>
      <c r="M161" s="96"/>
      <c r="N161" s="22" t="str">
        <f>IF(B161="","",IF(E161="",SISTEM!$C$17,MIN(E161,SISTEM!$C$17)))</f>
        <v/>
      </c>
      <c r="O161" s="22" t="str">
        <f t="shared" si="13"/>
        <v/>
      </c>
      <c r="P161" s="22">
        <f t="shared" si="14"/>
        <v>0</v>
      </c>
    </row>
    <row r="162" spans="1:16" ht="17">
      <c r="A162" s="6"/>
      <c r="B162" s="95"/>
      <c r="C162" s="96"/>
      <c r="D162" s="97"/>
      <c r="E162" s="97"/>
      <c r="F162" s="96"/>
      <c r="G162" s="98"/>
      <c r="H162" s="41" t="str">
        <f>IF(OR(B162="",D162="",F162="",G162=""),"",IF(AND(E162&lt;&gt;"",E162&lt;SISTEM!$C$17),"Pasif","Aktif"))</f>
        <v/>
      </c>
      <c r="I162" s="74">
        <f t="shared" si="10"/>
        <v>0</v>
      </c>
      <c r="J162" s="42" t="str">
        <f t="shared" si="11"/>
        <v/>
      </c>
      <c r="K162" s="43" t="str">
        <f>IF(AND(B162="",C162=""),"",IF(OR(B162="",C162="",D162="",F162="",G162=""),"EKSİK",IF(COUNTIF(MUSTERILER!$B$7:$B$156,B162)=0,"TANIMSIZ MÜŞTERİ","UYGUN")))</f>
        <v/>
      </c>
      <c r="L162" s="43" t="str">
        <f t="shared" si="12"/>
        <v/>
      </c>
      <c r="M162" s="96"/>
      <c r="N162" s="22" t="str">
        <f>IF(B162="","",IF(E162="",SISTEM!$C$17,MIN(E162,SISTEM!$C$17)))</f>
        <v/>
      </c>
      <c r="O162" s="22" t="str">
        <f t="shared" si="13"/>
        <v/>
      </c>
      <c r="P162" s="22">
        <f t="shared" si="14"/>
        <v>0</v>
      </c>
    </row>
    <row r="163" spans="1:16" ht="17">
      <c r="A163" s="6"/>
      <c r="B163" s="95"/>
      <c r="C163" s="96"/>
      <c r="D163" s="97"/>
      <c r="E163" s="97"/>
      <c r="F163" s="96"/>
      <c r="G163" s="98"/>
      <c r="H163" s="41" t="str">
        <f>IF(OR(B163="",D163="",F163="",G163=""),"",IF(AND(E163&lt;&gt;"",E163&lt;SISTEM!$C$17),"Pasif","Aktif"))</f>
        <v/>
      </c>
      <c r="I163" s="74">
        <f t="shared" si="10"/>
        <v>0</v>
      </c>
      <c r="J163" s="42" t="str">
        <f t="shared" si="11"/>
        <v/>
      </c>
      <c r="K163" s="43" t="str">
        <f>IF(AND(B163="",C163=""),"",IF(OR(B163="",C163="",D163="",F163="",G163=""),"EKSİK",IF(COUNTIF(MUSTERILER!$B$7:$B$156,B163)=0,"TANIMSIZ MÜŞTERİ","UYGUN")))</f>
        <v/>
      </c>
      <c r="L163" s="43" t="str">
        <f t="shared" si="12"/>
        <v/>
      </c>
      <c r="M163" s="96"/>
      <c r="N163" s="22" t="str">
        <f>IF(B163="","",IF(E163="",SISTEM!$C$17,MIN(E163,SISTEM!$C$17)))</f>
        <v/>
      </c>
      <c r="O163" s="22" t="str">
        <f t="shared" si="13"/>
        <v/>
      </c>
      <c r="P163" s="22">
        <f t="shared" si="14"/>
        <v>0</v>
      </c>
    </row>
    <row r="164" spans="1:16" ht="17">
      <c r="A164" s="6"/>
      <c r="B164" s="95"/>
      <c r="C164" s="96"/>
      <c r="D164" s="97"/>
      <c r="E164" s="97"/>
      <c r="F164" s="96"/>
      <c r="G164" s="98"/>
      <c r="H164" s="41" t="str">
        <f>IF(OR(B164="",D164="",F164="",G164=""),"",IF(AND(E164&lt;&gt;"",E164&lt;SISTEM!$C$17),"Pasif","Aktif"))</f>
        <v/>
      </c>
      <c r="I164" s="74">
        <f t="shared" si="10"/>
        <v>0</v>
      </c>
      <c r="J164" s="42" t="str">
        <f t="shared" si="11"/>
        <v/>
      </c>
      <c r="K164" s="43" t="str">
        <f>IF(AND(B164="",C164=""),"",IF(OR(B164="",C164="",D164="",F164="",G164=""),"EKSİK",IF(COUNTIF(MUSTERILER!$B$7:$B$156,B164)=0,"TANIMSIZ MÜŞTERİ","UYGUN")))</f>
        <v/>
      </c>
      <c r="L164" s="43" t="str">
        <f t="shared" si="12"/>
        <v/>
      </c>
      <c r="M164" s="96"/>
      <c r="N164" s="22" t="str">
        <f>IF(B164="","",IF(E164="",SISTEM!$C$17,MIN(E164,SISTEM!$C$17)))</f>
        <v/>
      </c>
      <c r="O164" s="22" t="str">
        <f t="shared" si="13"/>
        <v/>
      </c>
      <c r="P164" s="22">
        <f t="shared" si="14"/>
        <v>0</v>
      </c>
    </row>
    <row r="165" spans="1:16" ht="17">
      <c r="A165" s="6"/>
      <c r="B165" s="95"/>
      <c r="C165" s="96"/>
      <c r="D165" s="97"/>
      <c r="E165" s="97"/>
      <c r="F165" s="96"/>
      <c r="G165" s="98"/>
      <c r="H165" s="41" t="str">
        <f>IF(OR(B165="",D165="",F165="",G165=""),"",IF(AND(E165&lt;&gt;"",E165&lt;SISTEM!$C$17),"Pasif","Aktif"))</f>
        <v/>
      </c>
      <c r="I165" s="74">
        <f t="shared" si="10"/>
        <v>0</v>
      </c>
      <c r="J165" s="42" t="str">
        <f t="shared" si="11"/>
        <v/>
      </c>
      <c r="K165" s="43" t="str">
        <f>IF(AND(B165="",C165=""),"",IF(OR(B165="",C165="",D165="",F165="",G165=""),"EKSİK",IF(COUNTIF(MUSTERILER!$B$7:$B$156,B165)=0,"TANIMSIZ MÜŞTERİ","UYGUN")))</f>
        <v/>
      </c>
      <c r="L165" s="43" t="str">
        <f t="shared" si="12"/>
        <v/>
      </c>
      <c r="M165" s="96"/>
      <c r="N165" s="22" t="str">
        <f>IF(B165="","",IF(E165="",SISTEM!$C$17,MIN(E165,SISTEM!$C$17)))</f>
        <v/>
      </c>
      <c r="O165" s="22" t="str">
        <f t="shared" si="13"/>
        <v/>
      </c>
      <c r="P165" s="22">
        <f t="shared" si="14"/>
        <v>0</v>
      </c>
    </row>
    <row r="166" spans="1:16" ht="17">
      <c r="A166" s="6"/>
      <c r="B166" s="95"/>
      <c r="C166" s="96"/>
      <c r="D166" s="97"/>
      <c r="E166" s="97"/>
      <c r="F166" s="96"/>
      <c r="G166" s="98"/>
      <c r="H166" s="41" t="str">
        <f>IF(OR(B166="",D166="",F166="",G166=""),"",IF(AND(E166&lt;&gt;"",E166&lt;SISTEM!$C$17),"Pasif","Aktif"))</f>
        <v/>
      </c>
      <c r="I166" s="74">
        <f t="shared" si="10"/>
        <v>0</v>
      </c>
      <c r="J166" s="42" t="str">
        <f t="shared" si="11"/>
        <v/>
      </c>
      <c r="K166" s="43" t="str">
        <f>IF(AND(B166="",C166=""),"",IF(OR(B166="",C166="",D166="",F166="",G166=""),"EKSİK",IF(COUNTIF(MUSTERILER!$B$7:$B$156,B166)=0,"TANIMSIZ MÜŞTERİ","UYGUN")))</f>
        <v/>
      </c>
      <c r="L166" s="43" t="str">
        <f t="shared" si="12"/>
        <v/>
      </c>
      <c r="M166" s="96"/>
      <c r="N166" s="22" t="str">
        <f>IF(B166="","",IF(E166="",SISTEM!$C$17,MIN(E166,SISTEM!$C$17)))</f>
        <v/>
      </c>
      <c r="O166" s="22" t="str">
        <f t="shared" si="13"/>
        <v/>
      </c>
      <c r="P166" s="22">
        <f t="shared" si="14"/>
        <v>0</v>
      </c>
    </row>
    <row r="167" spans="1:16" ht="17">
      <c r="A167" s="6"/>
      <c r="B167" s="95"/>
      <c r="C167" s="96"/>
      <c r="D167" s="97"/>
      <c r="E167" s="97"/>
      <c r="F167" s="96"/>
      <c r="G167" s="98"/>
      <c r="H167" s="41" t="str">
        <f>IF(OR(B167="",D167="",F167="",G167=""),"",IF(AND(E167&lt;&gt;"",E167&lt;SISTEM!$C$17),"Pasif","Aktif"))</f>
        <v/>
      </c>
      <c r="I167" s="74">
        <f t="shared" si="10"/>
        <v>0</v>
      </c>
      <c r="J167" s="42" t="str">
        <f t="shared" si="11"/>
        <v/>
      </c>
      <c r="K167" s="43" t="str">
        <f>IF(AND(B167="",C167=""),"",IF(OR(B167="",C167="",D167="",F167="",G167=""),"EKSİK",IF(COUNTIF(MUSTERILER!$B$7:$B$156,B167)=0,"TANIMSIZ MÜŞTERİ","UYGUN")))</f>
        <v/>
      </c>
      <c r="L167" s="43" t="str">
        <f t="shared" si="12"/>
        <v/>
      </c>
      <c r="M167" s="96"/>
      <c r="N167" s="22" t="str">
        <f>IF(B167="","",IF(E167="",SISTEM!$C$17,MIN(E167,SISTEM!$C$17)))</f>
        <v/>
      </c>
      <c r="O167" s="22" t="str">
        <f t="shared" si="13"/>
        <v/>
      </c>
      <c r="P167" s="22">
        <f t="shared" si="14"/>
        <v>0</v>
      </c>
    </row>
    <row r="168" spans="1:16" ht="17">
      <c r="A168" s="6"/>
      <c r="B168" s="95"/>
      <c r="C168" s="96"/>
      <c r="D168" s="97"/>
      <c r="E168" s="97"/>
      <c r="F168" s="96"/>
      <c r="G168" s="98"/>
      <c r="H168" s="41" t="str">
        <f>IF(OR(B168="",D168="",F168="",G168=""),"",IF(AND(E168&lt;&gt;"",E168&lt;SISTEM!$C$17),"Pasif","Aktif"))</f>
        <v/>
      </c>
      <c r="I168" s="74">
        <f t="shared" si="10"/>
        <v>0</v>
      </c>
      <c r="J168" s="42" t="str">
        <f t="shared" si="11"/>
        <v/>
      </c>
      <c r="K168" s="43" t="str">
        <f>IF(AND(B168="",C168=""),"",IF(OR(B168="",C168="",D168="",F168="",G168=""),"EKSİK",IF(COUNTIF(MUSTERILER!$B$7:$B$156,B168)=0,"TANIMSIZ MÜŞTERİ","UYGUN")))</f>
        <v/>
      </c>
      <c r="L168" s="43" t="str">
        <f t="shared" si="12"/>
        <v/>
      </c>
      <c r="M168" s="96"/>
      <c r="N168" s="22" t="str">
        <f>IF(B168="","",IF(E168="",SISTEM!$C$17,MIN(E168,SISTEM!$C$17)))</f>
        <v/>
      </c>
      <c r="O168" s="22" t="str">
        <f t="shared" si="13"/>
        <v/>
      </c>
      <c r="P168" s="22">
        <f t="shared" si="14"/>
        <v>0</v>
      </c>
    </row>
    <row r="169" spans="1:16" ht="17">
      <c r="A169" s="6"/>
      <c r="B169" s="95"/>
      <c r="C169" s="96"/>
      <c r="D169" s="97"/>
      <c r="E169" s="97"/>
      <c r="F169" s="96"/>
      <c r="G169" s="98"/>
      <c r="H169" s="41" t="str">
        <f>IF(OR(B169="",D169="",F169="",G169=""),"",IF(AND(E169&lt;&gt;"",E169&lt;SISTEM!$C$17),"Pasif","Aktif"))</f>
        <v/>
      </c>
      <c r="I169" s="74">
        <f t="shared" si="10"/>
        <v>0</v>
      </c>
      <c r="J169" s="42" t="str">
        <f t="shared" si="11"/>
        <v/>
      </c>
      <c r="K169" s="43" t="str">
        <f>IF(AND(B169="",C169=""),"",IF(OR(B169="",C169="",D169="",F169="",G169=""),"EKSİK",IF(COUNTIF(MUSTERILER!$B$7:$B$156,B169)=0,"TANIMSIZ MÜŞTERİ","UYGUN")))</f>
        <v/>
      </c>
      <c r="L169" s="43" t="str">
        <f t="shared" si="12"/>
        <v/>
      </c>
      <c r="M169" s="96"/>
      <c r="N169" s="22" t="str">
        <f>IF(B169="","",IF(E169="",SISTEM!$C$17,MIN(E169,SISTEM!$C$17)))</f>
        <v/>
      </c>
      <c r="O169" s="22" t="str">
        <f t="shared" si="13"/>
        <v/>
      </c>
      <c r="P169" s="22">
        <f t="shared" si="14"/>
        <v>0</v>
      </c>
    </row>
    <row r="170" spans="1:16" ht="17">
      <c r="A170" s="6"/>
      <c r="B170" s="95"/>
      <c r="C170" s="96"/>
      <c r="D170" s="97"/>
      <c r="E170" s="97"/>
      <c r="F170" s="96"/>
      <c r="G170" s="98"/>
      <c r="H170" s="41" t="str">
        <f>IF(OR(B170="",D170="",F170="",G170=""),"",IF(AND(E170&lt;&gt;"",E170&lt;SISTEM!$C$17),"Pasif","Aktif"))</f>
        <v/>
      </c>
      <c r="I170" s="74">
        <f t="shared" si="10"/>
        <v>0</v>
      </c>
      <c r="J170" s="42" t="str">
        <f t="shared" si="11"/>
        <v/>
      </c>
      <c r="K170" s="43" t="str">
        <f>IF(AND(B170="",C170=""),"",IF(OR(B170="",C170="",D170="",F170="",G170=""),"EKSİK",IF(COUNTIF(MUSTERILER!$B$7:$B$156,B170)=0,"TANIMSIZ MÜŞTERİ","UYGUN")))</f>
        <v/>
      </c>
      <c r="L170" s="43" t="str">
        <f t="shared" si="12"/>
        <v/>
      </c>
      <c r="M170" s="96"/>
      <c r="N170" s="22" t="str">
        <f>IF(B170="","",IF(E170="",SISTEM!$C$17,MIN(E170,SISTEM!$C$17)))</f>
        <v/>
      </c>
      <c r="O170" s="22" t="str">
        <f t="shared" si="13"/>
        <v/>
      </c>
      <c r="P170" s="22">
        <f t="shared" si="14"/>
        <v>0</v>
      </c>
    </row>
    <row r="171" spans="1:16" ht="17">
      <c r="A171" s="6"/>
      <c r="B171" s="95"/>
      <c r="C171" s="96"/>
      <c r="D171" s="97"/>
      <c r="E171" s="97"/>
      <c r="F171" s="96"/>
      <c r="G171" s="98"/>
      <c r="H171" s="41" t="str">
        <f>IF(OR(B171="",D171="",F171="",G171=""),"",IF(AND(E171&lt;&gt;"",E171&lt;SISTEM!$C$17),"Pasif","Aktif"))</f>
        <v/>
      </c>
      <c r="I171" s="74">
        <f t="shared" si="10"/>
        <v>0</v>
      </c>
      <c r="J171" s="42" t="str">
        <f t="shared" si="11"/>
        <v/>
      </c>
      <c r="K171" s="43" t="str">
        <f>IF(AND(B171="",C171=""),"",IF(OR(B171="",C171="",D171="",F171="",G171=""),"EKSİK",IF(COUNTIF(MUSTERILER!$B$7:$B$156,B171)=0,"TANIMSIZ MÜŞTERİ","UYGUN")))</f>
        <v/>
      </c>
      <c r="L171" s="43" t="str">
        <f t="shared" si="12"/>
        <v/>
      </c>
      <c r="M171" s="96"/>
      <c r="N171" s="22" t="str">
        <f>IF(B171="","",IF(E171="",SISTEM!$C$17,MIN(E171,SISTEM!$C$17)))</f>
        <v/>
      </c>
      <c r="O171" s="22" t="str">
        <f t="shared" si="13"/>
        <v/>
      </c>
      <c r="P171" s="22">
        <f t="shared" si="14"/>
        <v>0</v>
      </c>
    </row>
    <row r="172" spans="1:16" ht="17">
      <c r="A172" s="6"/>
      <c r="B172" s="95"/>
      <c r="C172" s="96"/>
      <c r="D172" s="97"/>
      <c r="E172" s="97"/>
      <c r="F172" s="96"/>
      <c r="G172" s="98"/>
      <c r="H172" s="41" t="str">
        <f>IF(OR(B172="",D172="",F172="",G172=""),"",IF(AND(E172&lt;&gt;"",E172&lt;SISTEM!$C$17),"Pasif","Aktif"))</f>
        <v/>
      </c>
      <c r="I172" s="74">
        <f t="shared" si="10"/>
        <v>0</v>
      </c>
      <c r="J172" s="42" t="str">
        <f t="shared" si="11"/>
        <v/>
      </c>
      <c r="K172" s="43" t="str">
        <f>IF(AND(B172="",C172=""),"",IF(OR(B172="",C172="",D172="",F172="",G172=""),"EKSİK",IF(COUNTIF(MUSTERILER!$B$7:$B$156,B172)=0,"TANIMSIZ MÜŞTERİ","UYGUN")))</f>
        <v/>
      </c>
      <c r="L172" s="43" t="str">
        <f t="shared" si="12"/>
        <v/>
      </c>
      <c r="M172" s="96"/>
      <c r="N172" s="22" t="str">
        <f>IF(B172="","",IF(E172="",SISTEM!$C$17,MIN(E172,SISTEM!$C$17)))</f>
        <v/>
      </c>
      <c r="O172" s="22" t="str">
        <f t="shared" si="13"/>
        <v/>
      </c>
      <c r="P172" s="22">
        <f t="shared" si="14"/>
        <v>0</v>
      </c>
    </row>
    <row r="173" spans="1:16" ht="17">
      <c r="A173" s="6"/>
      <c r="B173" s="95"/>
      <c r="C173" s="96"/>
      <c r="D173" s="97"/>
      <c r="E173" s="97"/>
      <c r="F173" s="96"/>
      <c r="G173" s="98"/>
      <c r="H173" s="41" t="str">
        <f>IF(OR(B173="",D173="",F173="",G173=""),"",IF(AND(E173&lt;&gt;"",E173&lt;SISTEM!$C$17),"Pasif","Aktif"))</f>
        <v/>
      </c>
      <c r="I173" s="74">
        <f t="shared" si="10"/>
        <v>0</v>
      </c>
      <c r="J173" s="42" t="str">
        <f t="shared" si="11"/>
        <v/>
      </c>
      <c r="K173" s="43" t="str">
        <f>IF(AND(B173="",C173=""),"",IF(OR(B173="",C173="",D173="",F173="",G173=""),"EKSİK",IF(COUNTIF(MUSTERILER!$B$7:$B$156,B173)=0,"TANIMSIZ MÜŞTERİ","UYGUN")))</f>
        <v/>
      </c>
      <c r="L173" s="43" t="str">
        <f t="shared" si="12"/>
        <v/>
      </c>
      <c r="M173" s="96"/>
      <c r="N173" s="22" t="str">
        <f>IF(B173="","",IF(E173="",SISTEM!$C$17,MIN(E173,SISTEM!$C$17)))</f>
        <v/>
      </c>
      <c r="O173" s="22" t="str">
        <f t="shared" si="13"/>
        <v/>
      </c>
      <c r="P173" s="22">
        <f t="shared" si="14"/>
        <v>0</v>
      </c>
    </row>
    <row r="174" spans="1:16" ht="17">
      <c r="A174" s="6"/>
      <c r="B174" s="95"/>
      <c r="C174" s="96"/>
      <c r="D174" s="97"/>
      <c r="E174" s="97"/>
      <c r="F174" s="96"/>
      <c r="G174" s="98"/>
      <c r="H174" s="41" t="str">
        <f>IF(OR(B174="",D174="",F174="",G174=""),"",IF(AND(E174&lt;&gt;"",E174&lt;SISTEM!$C$17),"Pasif","Aktif"))</f>
        <v/>
      </c>
      <c r="I174" s="74">
        <f t="shared" si="10"/>
        <v>0</v>
      </c>
      <c r="J174" s="42" t="str">
        <f t="shared" si="11"/>
        <v/>
      </c>
      <c r="K174" s="43" t="str">
        <f>IF(AND(B174="",C174=""),"",IF(OR(B174="",C174="",D174="",F174="",G174=""),"EKSİK",IF(COUNTIF(MUSTERILER!$B$7:$B$156,B174)=0,"TANIMSIZ MÜŞTERİ","UYGUN")))</f>
        <v/>
      </c>
      <c r="L174" s="43" t="str">
        <f t="shared" si="12"/>
        <v/>
      </c>
      <c r="M174" s="96"/>
      <c r="N174" s="22" t="str">
        <f>IF(B174="","",IF(E174="",SISTEM!$C$17,MIN(E174,SISTEM!$C$17)))</f>
        <v/>
      </c>
      <c r="O174" s="22" t="str">
        <f t="shared" si="13"/>
        <v/>
      </c>
      <c r="P174" s="22">
        <f t="shared" si="14"/>
        <v>0</v>
      </c>
    </row>
    <row r="175" spans="1:16" ht="17">
      <c r="A175" s="6"/>
      <c r="B175" s="95"/>
      <c r="C175" s="96"/>
      <c r="D175" s="97"/>
      <c r="E175" s="97"/>
      <c r="F175" s="96"/>
      <c r="G175" s="98"/>
      <c r="H175" s="41" t="str">
        <f>IF(OR(B175="",D175="",F175="",G175=""),"",IF(AND(E175&lt;&gt;"",E175&lt;SISTEM!$C$17),"Pasif","Aktif"))</f>
        <v/>
      </c>
      <c r="I175" s="74">
        <f t="shared" si="10"/>
        <v>0</v>
      </c>
      <c r="J175" s="42" t="str">
        <f t="shared" si="11"/>
        <v/>
      </c>
      <c r="K175" s="43" t="str">
        <f>IF(AND(B175="",C175=""),"",IF(OR(B175="",C175="",D175="",F175="",G175=""),"EKSİK",IF(COUNTIF(MUSTERILER!$B$7:$B$156,B175)=0,"TANIMSIZ MÜŞTERİ","UYGUN")))</f>
        <v/>
      </c>
      <c r="L175" s="43" t="str">
        <f t="shared" si="12"/>
        <v/>
      </c>
      <c r="M175" s="96"/>
      <c r="N175" s="22" t="str">
        <f>IF(B175="","",IF(E175="",SISTEM!$C$17,MIN(E175,SISTEM!$C$17)))</f>
        <v/>
      </c>
      <c r="O175" s="22" t="str">
        <f t="shared" si="13"/>
        <v/>
      </c>
      <c r="P175" s="22">
        <f t="shared" si="14"/>
        <v>0</v>
      </c>
    </row>
    <row r="176" spans="1:16" ht="17">
      <c r="A176" s="6"/>
      <c r="B176" s="95"/>
      <c r="C176" s="96"/>
      <c r="D176" s="97"/>
      <c r="E176" s="97"/>
      <c r="F176" s="96"/>
      <c r="G176" s="98"/>
      <c r="H176" s="41" t="str">
        <f>IF(OR(B176="",D176="",F176="",G176=""),"",IF(AND(E176&lt;&gt;"",E176&lt;SISTEM!$C$17),"Pasif","Aktif"))</f>
        <v/>
      </c>
      <c r="I176" s="74">
        <f t="shared" si="10"/>
        <v>0</v>
      </c>
      <c r="J176" s="42" t="str">
        <f t="shared" si="11"/>
        <v/>
      </c>
      <c r="K176" s="43" t="str">
        <f>IF(AND(B176="",C176=""),"",IF(OR(B176="",C176="",D176="",F176="",G176=""),"EKSİK",IF(COUNTIF(MUSTERILER!$B$7:$B$156,B176)=0,"TANIMSIZ MÜŞTERİ","UYGUN")))</f>
        <v/>
      </c>
      <c r="L176" s="43" t="str">
        <f t="shared" si="12"/>
        <v/>
      </c>
      <c r="M176" s="96"/>
      <c r="N176" s="22" t="str">
        <f>IF(B176="","",IF(E176="",SISTEM!$C$17,MIN(E176,SISTEM!$C$17)))</f>
        <v/>
      </c>
      <c r="O176" s="22" t="str">
        <f t="shared" si="13"/>
        <v/>
      </c>
      <c r="P176" s="22">
        <f t="shared" si="14"/>
        <v>0</v>
      </c>
    </row>
    <row r="177" spans="1:16" ht="17">
      <c r="A177" s="6"/>
      <c r="B177" s="95"/>
      <c r="C177" s="96"/>
      <c r="D177" s="97"/>
      <c r="E177" s="97"/>
      <c r="F177" s="96"/>
      <c r="G177" s="98"/>
      <c r="H177" s="41" t="str">
        <f>IF(OR(B177="",D177="",F177="",G177=""),"",IF(AND(E177&lt;&gt;"",E177&lt;SISTEM!$C$17),"Pasif","Aktif"))</f>
        <v/>
      </c>
      <c r="I177" s="74">
        <f t="shared" si="10"/>
        <v>0</v>
      </c>
      <c r="J177" s="42" t="str">
        <f t="shared" si="11"/>
        <v/>
      </c>
      <c r="K177" s="43" t="str">
        <f>IF(AND(B177="",C177=""),"",IF(OR(B177="",C177="",D177="",F177="",G177=""),"EKSİK",IF(COUNTIF(MUSTERILER!$B$7:$B$156,B177)=0,"TANIMSIZ MÜŞTERİ","UYGUN")))</f>
        <v/>
      </c>
      <c r="L177" s="43" t="str">
        <f t="shared" si="12"/>
        <v/>
      </c>
      <c r="M177" s="96"/>
      <c r="N177" s="22" t="str">
        <f>IF(B177="","",IF(E177="",SISTEM!$C$17,MIN(E177,SISTEM!$C$17)))</f>
        <v/>
      </c>
      <c r="O177" s="22" t="str">
        <f t="shared" si="13"/>
        <v/>
      </c>
      <c r="P177" s="22">
        <f t="shared" si="14"/>
        <v>0</v>
      </c>
    </row>
    <row r="178" spans="1:16" ht="17">
      <c r="A178" s="6"/>
      <c r="B178" s="95"/>
      <c r="C178" s="96"/>
      <c r="D178" s="97"/>
      <c r="E178" s="97"/>
      <c r="F178" s="96"/>
      <c r="G178" s="98"/>
      <c r="H178" s="41" t="str">
        <f>IF(OR(B178="",D178="",F178="",G178=""),"",IF(AND(E178&lt;&gt;"",E178&lt;SISTEM!$C$17),"Pasif","Aktif"))</f>
        <v/>
      </c>
      <c r="I178" s="74">
        <f t="shared" si="10"/>
        <v>0</v>
      </c>
      <c r="J178" s="42" t="str">
        <f t="shared" si="11"/>
        <v/>
      </c>
      <c r="K178" s="43" t="str">
        <f>IF(AND(B178="",C178=""),"",IF(OR(B178="",C178="",D178="",F178="",G178=""),"EKSİK",IF(COUNTIF(MUSTERILER!$B$7:$B$156,B178)=0,"TANIMSIZ MÜŞTERİ","UYGUN")))</f>
        <v/>
      </c>
      <c r="L178" s="43" t="str">
        <f t="shared" si="12"/>
        <v/>
      </c>
      <c r="M178" s="96"/>
      <c r="N178" s="22" t="str">
        <f>IF(B178="","",IF(E178="",SISTEM!$C$17,MIN(E178,SISTEM!$C$17)))</f>
        <v/>
      </c>
      <c r="O178" s="22" t="str">
        <f t="shared" si="13"/>
        <v/>
      </c>
      <c r="P178" s="22">
        <f t="shared" si="14"/>
        <v>0</v>
      </c>
    </row>
    <row r="179" spans="1:16" ht="17">
      <c r="A179" s="6"/>
      <c r="B179" s="95"/>
      <c r="C179" s="96"/>
      <c r="D179" s="97"/>
      <c r="E179" s="97"/>
      <c r="F179" s="96"/>
      <c r="G179" s="98"/>
      <c r="H179" s="41" t="str">
        <f>IF(OR(B179="",D179="",F179="",G179=""),"",IF(AND(E179&lt;&gt;"",E179&lt;SISTEM!$C$17),"Pasif","Aktif"))</f>
        <v/>
      </c>
      <c r="I179" s="74">
        <f t="shared" si="10"/>
        <v>0</v>
      </c>
      <c r="J179" s="42" t="str">
        <f t="shared" si="11"/>
        <v/>
      </c>
      <c r="K179" s="43" t="str">
        <f>IF(AND(B179="",C179=""),"",IF(OR(B179="",C179="",D179="",F179="",G179=""),"EKSİK",IF(COUNTIF(MUSTERILER!$B$7:$B$156,B179)=0,"TANIMSIZ MÜŞTERİ","UYGUN")))</f>
        <v/>
      </c>
      <c r="L179" s="43" t="str">
        <f t="shared" si="12"/>
        <v/>
      </c>
      <c r="M179" s="96"/>
      <c r="N179" s="22" t="str">
        <f>IF(B179="","",IF(E179="",SISTEM!$C$17,MIN(E179,SISTEM!$C$17)))</f>
        <v/>
      </c>
      <c r="O179" s="22" t="str">
        <f t="shared" si="13"/>
        <v/>
      </c>
      <c r="P179" s="22">
        <f t="shared" si="14"/>
        <v>0</v>
      </c>
    </row>
    <row r="180" spans="1:16" ht="17">
      <c r="A180" s="6"/>
      <c r="B180" s="95"/>
      <c r="C180" s="96"/>
      <c r="D180" s="97"/>
      <c r="E180" s="97"/>
      <c r="F180" s="96"/>
      <c r="G180" s="98"/>
      <c r="H180" s="41" t="str">
        <f>IF(OR(B180="",D180="",F180="",G180=""),"",IF(AND(E180&lt;&gt;"",E180&lt;SISTEM!$C$17),"Pasif","Aktif"))</f>
        <v/>
      </c>
      <c r="I180" s="74">
        <f t="shared" si="10"/>
        <v>0</v>
      </c>
      <c r="J180" s="42" t="str">
        <f t="shared" si="11"/>
        <v/>
      </c>
      <c r="K180" s="43" t="str">
        <f>IF(AND(B180="",C180=""),"",IF(OR(B180="",C180="",D180="",F180="",G180=""),"EKSİK",IF(COUNTIF(MUSTERILER!$B$7:$B$156,B180)=0,"TANIMSIZ MÜŞTERİ","UYGUN")))</f>
        <v/>
      </c>
      <c r="L180" s="43" t="str">
        <f t="shared" si="12"/>
        <v/>
      </c>
      <c r="M180" s="96"/>
      <c r="N180" s="22" t="str">
        <f>IF(B180="","",IF(E180="",SISTEM!$C$17,MIN(E180,SISTEM!$C$17)))</f>
        <v/>
      </c>
      <c r="O180" s="22" t="str">
        <f t="shared" si="13"/>
        <v/>
      </c>
      <c r="P180" s="22">
        <f t="shared" si="14"/>
        <v>0</v>
      </c>
    </row>
    <row r="181" spans="1:16" ht="17">
      <c r="A181" s="6"/>
      <c r="B181" s="95"/>
      <c r="C181" s="96"/>
      <c r="D181" s="97"/>
      <c r="E181" s="97"/>
      <c r="F181" s="96"/>
      <c r="G181" s="98"/>
      <c r="H181" s="41" t="str">
        <f>IF(OR(B181="",D181="",F181="",G181=""),"",IF(AND(E181&lt;&gt;"",E181&lt;SISTEM!$C$17),"Pasif","Aktif"))</f>
        <v/>
      </c>
      <c r="I181" s="74">
        <f t="shared" si="10"/>
        <v>0</v>
      </c>
      <c r="J181" s="42" t="str">
        <f t="shared" si="11"/>
        <v/>
      </c>
      <c r="K181" s="43" t="str">
        <f>IF(AND(B181="",C181=""),"",IF(OR(B181="",C181="",D181="",F181="",G181=""),"EKSİK",IF(COUNTIF(MUSTERILER!$B$7:$B$156,B181)=0,"TANIMSIZ MÜŞTERİ","UYGUN")))</f>
        <v/>
      </c>
      <c r="L181" s="43" t="str">
        <f t="shared" si="12"/>
        <v/>
      </c>
      <c r="M181" s="96"/>
      <c r="N181" s="22" t="str">
        <f>IF(B181="","",IF(E181="",SISTEM!$C$17,MIN(E181,SISTEM!$C$17)))</f>
        <v/>
      </c>
      <c r="O181" s="22" t="str">
        <f t="shared" si="13"/>
        <v/>
      </c>
      <c r="P181" s="22">
        <f t="shared" si="14"/>
        <v>0</v>
      </c>
    </row>
    <row r="182" spans="1:16" ht="17">
      <c r="A182" s="6"/>
      <c r="B182" s="95"/>
      <c r="C182" s="96"/>
      <c r="D182" s="97"/>
      <c r="E182" s="97"/>
      <c r="F182" s="96"/>
      <c r="G182" s="98"/>
      <c r="H182" s="41" t="str">
        <f>IF(OR(B182="",D182="",F182="",G182=""),"",IF(AND(E182&lt;&gt;"",E182&lt;SISTEM!$C$17),"Pasif","Aktif"))</f>
        <v/>
      </c>
      <c r="I182" s="74">
        <f t="shared" si="10"/>
        <v>0</v>
      </c>
      <c r="J182" s="42" t="str">
        <f t="shared" si="11"/>
        <v/>
      </c>
      <c r="K182" s="43" t="str">
        <f>IF(AND(B182="",C182=""),"",IF(OR(B182="",C182="",D182="",F182="",G182=""),"EKSİK",IF(COUNTIF(MUSTERILER!$B$7:$B$156,B182)=0,"TANIMSIZ MÜŞTERİ","UYGUN")))</f>
        <v/>
      </c>
      <c r="L182" s="43" t="str">
        <f t="shared" si="12"/>
        <v/>
      </c>
      <c r="M182" s="96"/>
      <c r="N182" s="22" t="str">
        <f>IF(B182="","",IF(E182="",SISTEM!$C$17,MIN(E182,SISTEM!$C$17)))</f>
        <v/>
      </c>
      <c r="O182" s="22" t="str">
        <f t="shared" si="13"/>
        <v/>
      </c>
      <c r="P182" s="22">
        <f t="shared" si="14"/>
        <v>0</v>
      </c>
    </row>
    <row r="183" spans="1:16" ht="17">
      <c r="A183" s="6"/>
      <c r="B183" s="95"/>
      <c r="C183" s="96"/>
      <c r="D183" s="97"/>
      <c r="E183" s="97"/>
      <c r="F183" s="96"/>
      <c r="G183" s="98"/>
      <c r="H183" s="41" t="str">
        <f>IF(OR(B183="",D183="",F183="",G183=""),"",IF(AND(E183&lt;&gt;"",E183&lt;SISTEM!$C$17),"Pasif","Aktif"))</f>
        <v/>
      </c>
      <c r="I183" s="74">
        <f t="shared" si="10"/>
        <v>0</v>
      </c>
      <c r="J183" s="42" t="str">
        <f t="shared" si="11"/>
        <v/>
      </c>
      <c r="K183" s="43" t="str">
        <f>IF(AND(B183="",C183=""),"",IF(OR(B183="",C183="",D183="",F183="",G183=""),"EKSİK",IF(COUNTIF(MUSTERILER!$B$7:$B$156,B183)=0,"TANIMSIZ MÜŞTERİ","UYGUN")))</f>
        <v/>
      </c>
      <c r="L183" s="43" t="str">
        <f t="shared" si="12"/>
        <v/>
      </c>
      <c r="M183" s="96"/>
      <c r="N183" s="22" t="str">
        <f>IF(B183="","",IF(E183="",SISTEM!$C$17,MIN(E183,SISTEM!$C$17)))</f>
        <v/>
      </c>
      <c r="O183" s="22" t="str">
        <f t="shared" si="13"/>
        <v/>
      </c>
      <c r="P183" s="22">
        <f t="shared" si="14"/>
        <v>0</v>
      </c>
    </row>
    <row r="184" spans="1:16" ht="17">
      <c r="A184" s="6"/>
      <c r="B184" s="95"/>
      <c r="C184" s="96"/>
      <c r="D184" s="97"/>
      <c r="E184" s="97"/>
      <c r="F184" s="96"/>
      <c r="G184" s="98"/>
      <c r="H184" s="41" t="str">
        <f>IF(OR(B184="",D184="",F184="",G184=""),"",IF(AND(E184&lt;&gt;"",E184&lt;SISTEM!$C$17),"Pasif","Aktif"))</f>
        <v/>
      </c>
      <c r="I184" s="74">
        <f t="shared" si="10"/>
        <v>0</v>
      </c>
      <c r="J184" s="42" t="str">
        <f t="shared" si="11"/>
        <v/>
      </c>
      <c r="K184" s="43" t="str">
        <f>IF(AND(B184="",C184=""),"",IF(OR(B184="",C184="",D184="",F184="",G184=""),"EKSİK",IF(COUNTIF(MUSTERILER!$B$7:$B$156,B184)=0,"TANIMSIZ MÜŞTERİ","UYGUN")))</f>
        <v/>
      </c>
      <c r="L184" s="43" t="str">
        <f t="shared" si="12"/>
        <v/>
      </c>
      <c r="M184" s="96"/>
      <c r="N184" s="22" t="str">
        <f>IF(B184="","",IF(E184="",SISTEM!$C$17,MIN(E184,SISTEM!$C$17)))</f>
        <v/>
      </c>
      <c r="O184" s="22" t="str">
        <f t="shared" si="13"/>
        <v/>
      </c>
      <c r="P184" s="22">
        <f t="shared" si="14"/>
        <v>0</v>
      </c>
    </row>
    <row r="185" spans="1:16" ht="17">
      <c r="A185" s="6"/>
      <c r="B185" s="95"/>
      <c r="C185" s="96"/>
      <c r="D185" s="97"/>
      <c r="E185" s="97"/>
      <c r="F185" s="96"/>
      <c r="G185" s="98"/>
      <c r="H185" s="41" t="str">
        <f>IF(OR(B185="",D185="",F185="",G185=""),"",IF(AND(E185&lt;&gt;"",E185&lt;SISTEM!$C$17),"Pasif","Aktif"))</f>
        <v/>
      </c>
      <c r="I185" s="74">
        <f t="shared" si="10"/>
        <v>0</v>
      </c>
      <c r="J185" s="42" t="str">
        <f t="shared" si="11"/>
        <v/>
      </c>
      <c r="K185" s="43" t="str">
        <f>IF(AND(B185="",C185=""),"",IF(OR(B185="",C185="",D185="",F185="",G185=""),"EKSİK",IF(COUNTIF(MUSTERILER!$B$7:$B$156,B185)=0,"TANIMSIZ MÜŞTERİ","UYGUN")))</f>
        <v/>
      </c>
      <c r="L185" s="43" t="str">
        <f t="shared" si="12"/>
        <v/>
      </c>
      <c r="M185" s="96"/>
      <c r="N185" s="22" t="str">
        <f>IF(B185="","",IF(E185="",SISTEM!$C$17,MIN(E185,SISTEM!$C$17)))</f>
        <v/>
      </c>
      <c r="O185" s="22" t="str">
        <f t="shared" si="13"/>
        <v/>
      </c>
      <c r="P185" s="22">
        <f t="shared" si="14"/>
        <v>0</v>
      </c>
    </row>
    <row r="186" spans="1:16" ht="17">
      <c r="A186" s="6"/>
      <c r="B186" s="95"/>
      <c r="C186" s="96"/>
      <c r="D186" s="97"/>
      <c r="E186" s="97"/>
      <c r="F186" s="96"/>
      <c r="G186" s="98"/>
      <c r="H186" s="41" t="str">
        <f>IF(OR(B186="",D186="",F186="",G186=""),"",IF(AND(E186&lt;&gt;"",E186&lt;SISTEM!$C$17),"Pasif","Aktif"))</f>
        <v/>
      </c>
      <c r="I186" s="74">
        <f t="shared" si="10"/>
        <v>0</v>
      </c>
      <c r="J186" s="42" t="str">
        <f t="shared" si="11"/>
        <v/>
      </c>
      <c r="K186" s="43" t="str">
        <f>IF(AND(B186="",C186=""),"",IF(OR(B186="",C186="",D186="",F186="",G186=""),"EKSİK",IF(COUNTIF(MUSTERILER!$B$7:$B$156,B186)=0,"TANIMSIZ MÜŞTERİ","UYGUN")))</f>
        <v/>
      </c>
      <c r="L186" s="43" t="str">
        <f t="shared" si="12"/>
        <v/>
      </c>
      <c r="M186" s="96"/>
      <c r="N186" s="22" t="str">
        <f>IF(B186="","",IF(E186="",SISTEM!$C$17,MIN(E186,SISTEM!$C$17)))</f>
        <v/>
      </c>
      <c r="O186" s="22" t="str">
        <f t="shared" si="13"/>
        <v/>
      </c>
      <c r="P186" s="22">
        <f t="shared" si="14"/>
        <v>0</v>
      </c>
    </row>
    <row r="187" spans="1:16" ht="17">
      <c r="A187" s="6"/>
      <c r="B187" s="95"/>
      <c r="C187" s="96"/>
      <c r="D187" s="97"/>
      <c r="E187" s="97"/>
      <c r="F187" s="96"/>
      <c r="G187" s="98"/>
      <c r="H187" s="41" t="str">
        <f>IF(OR(B187="",D187="",F187="",G187=""),"",IF(AND(E187&lt;&gt;"",E187&lt;SISTEM!$C$17),"Pasif","Aktif"))</f>
        <v/>
      </c>
      <c r="I187" s="74">
        <f t="shared" si="10"/>
        <v>0</v>
      </c>
      <c r="J187" s="42" t="str">
        <f t="shared" si="11"/>
        <v/>
      </c>
      <c r="K187" s="43" t="str">
        <f>IF(AND(B187="",C187=""),"",IF(OR(B187="",C187="",D187="",F187="",G187=""),"EKSİK",IF(COUNTIF(MUSTERILER!$B$7:$B$156,B187)=0,"TANIMSIZ MÜŞTERİ","UYGUN")))</f>
        <v/>
      </c>
      <c r="L187" s="43" t="str">
        <f t="shared" si="12"/>
        <v/>
      </c>
      <c r="M187" s="96"/>
      <c r="N187" s="22" t="str">
        <f>IF(B187="","",IF(E187="",SISTEM!$C$17,MIN(E187,SISTEM!$C$17)))</f>
        <v/>
      </c>
      <c r="O187" s="22" t="str">
        <f t="shared" si="13"/>
        <v/>
      </c>
      <c r="P187" s="22">
        <f t="shared" si="14"/>
        <v>0</v>
      </c>
    </row>
    <row r="188" spans="1:16" ht="17">
      <c r="A188" s="6"/>
      <c r="B188" s="95"/>
      <c r="C188" s="96"/>
      <c r="D188" s="97"/>
      <c r="E188" s="97"/>
      <c r="F188" s="96"/>
      <c r="G188" s="98"/>
      <c r="H188" s="41" t="str">
        <f>IF(OR(B188="",D188="",F188="",G188=""),"",IF(AND(E188&lt;&gt;"",E188&lt;SISTEM!$C$17),"Pasif","Aktif"))</f>
        <v/>
      </c>
      <c r="I188" s="74">
        <f t="shared" si="10"/>
        <v>0</v>
      </c>
      <c r="J188" s="42" t="str">
        <f t="shared" si="11"/>
        <v/>
      </c>
      <c r="K188" s="43" t="str">
        <f>IF(AND(B188="",C188=""),"",IF(OR(B188="",C188="",D188="",F188="",G188=""),"EKSİK",IF(COUNTIF(MUSTERILER!$B$7:$B$156,B188)=0,"TANIMSIZ MÜŞTERİ","UYGUN")))</f>
        <v/>
      </c>
      <c r="L188" s="43" t="str">
        <f t="shared" si="12"/>
        <v/>
      </c>
      <c r="M188" s="96"/>
      <c r="N188" s="22" t="str">
        <f>IF(B188="","",IF(E188="",SISTEM!$C$17,MIN(E188,SISTEM!$C$17)))</f>
        <v/>
      </c>
      <c r="O188" s="22" t="str">
        <f t="shared" si="13"/>
        <v/>
      </c>
      <c r="P188" s="22">
        <f t="shared" si="14"/>
        <v>0</v>
      </c>
    </row>
    <row r="189" spans="1:16" ht="17">
      <c r="A189" s="6"/>
      <c r="B189" s="95"/>
      <c r="C189" s="96"/>
      <c r="D189" s="97"/>
      <c r="E189" s="97"/>
      <c r="F189" s="96"/>
      <c r="G189" s="98"/>
      <c r="H189" s="41" t="str">
        <f>IF(OR(B189="",D189="",F189="",G189=""),"",IF(AND(E189&lt;&gt;"",E189&lt;SISTEM!$C$17),"Pasif","Aktif"))</f>
        <v/>
      </c>
      <c r="I189" s="74">
        <f t="shared" si="10"/>
        <v>0</v>
      </c>
      <c r="J189" s="42" t="str">
        <f t="shared" si="11"/>
        <v/>
      </c>
      <c r="K189" s="43" t="str">
        <f>IF(AND(B189="",C189=""),"",IF(OR(B189="",C189="",D189="",F189="",G189=""),"EKSİK",IF(COUNTIF(MUSTERILER!$B$7:$B$156,B189)=0,"TANIMSIZ MÜŞTERİ","UYGUN")))</f>
        <v/>
      </c>
      <c r="L189" s="43" t="str">
        <f t="shared" si="12"/>
        <v/>
      </c>
      <c r="M189" s="96"/>
      <c r="N189" s="22" t="str">
        <f>IF(B189="","",IF(E189="",SISTEM!$C$17,MIN(E189,SISTEM!$C$17)))</f>
        <v/>
      </c>
      <c r="O189" s="22" t="str">
        <f t="shared" si="13"/>
        <v/>
      </c>
      <c r="P189" s="22">
        <f t="shared" si="14"/>
        <v>0</v>
      </c>
    </row>
    <row r="190" spans="1:16" ht="17">
      <c r="A190" s="6"/>
      <c r="B190" s="95"/>
      <c r="C190" s="96"/>
      <c r="D190" s="97"/>
      <c r="E190" s="97"/>
      <c r="F190" s="96"/>
      <c r="G190" s="98"/>
      <c r="H190" s="41" t="str">
        <f>IF(OR(B190="",D190="",F190="",G190=""),"",IF(AND(E190&lt;&gt;"",E190&lt;SISTEM!$C$17),"Pasif","Aktif"))</f>
        <v/>
      </c>
      <c r="I190" s="74">
        <f t="shared" si="10"/>
        <v>0</v>
      </c>
      <c r="J190" s="42" t="str">
        <f t="shared" si="11"/>
        <v/>
      </c>
      <c r="K190" s="43" t="str">
        <f>IF(AND(B190="",C190=""),"",IF(OR(B190="",C190="",D190="",F190="",G190=""),"EKSİK",IF(COUNTIF(MUSTERILER!$B$7:$B$156,B190)=0,"TANIMSIZ MÜŞTERİ","UYGUN")))</f>
        <v/>
      </c>
      <c r="L190" s="43" t="str">
        <f t="shared" si="12"/>
        <v/>
      </c>
      <c r="M190" s="96"/>
      <c r="N190" s="22" t="str">
        <f>IF(B190="","",IF(E190="",SISTEM!$C$17,MIN(E190,SISTEM!$C$17)))</f>
        <v/>
      </c>
      <c r="O190" s="22" t="str">
        <f t="shared" si="13"/>
        <v/>
      </c>
      <c r="P190" s="22">
        <f t="shared" si="14"/>
        <v>0</v>
      </c>
    </row>
    <row r="191" spans="1:16" ht="17">
      <c r="A191" s="6"/>
      <c r="B191" s="95"/>
      <c r="C191" s="96"/>
      <c r="D191" s="97"/>
      <c r="E191" s="97"/>
      <c r="F191" s="96"/>
      <c r="G191" s="98"/>
      <c r="H191" s="41" t="str">
        <f>IF(OR(B191="",D191="",F191="",G191=""),"",IF(AND(E191&lt;&gt;"",E191&lt;SISTEM!$C$17),"Pasif","Aktif"))</f>
        <v/>
      </c>
      <c r="I191" s="74">
        <f t="shared" si="10"/>
        <v>0</v>
      </c>
      <c r="J191" s="42" t="str">
        <f t="shared" si="11"/>
        <v/>
      </c>
      <c r="K191" s="43" t="str">
        <f>IF(AND(B191="",C191=""),"",IF(OR(B191="",C191="",D191="",F191="",G191=""),"EKSİK",IF(COUNTIF(MUSTERILER!$B$7:$B$156,B191)=0,"TANIMSIZ MÜŞTERİ","UYGUN")))</f>
        <v/>
      </c>
      <c r="L191" s="43" t="str">
        <f t="shared" si="12"/>
        <v/>
      </c>
      <c r="M191" s="96"/>
      <c r="N191" s="22" t="str">
        <f>IF(B191="","",IF(E191="",SISTEM!$C$17,MIN(E191,SISTEM!$C$17)))</f>
        <v/>
      </c>
      <c r="O191" s="22" t="str">
        <f t="shared" si="13"/>
        <v/>
      </c>
      <c r="P191" s="22">
        <f t="shared" si="14"/>
        <v>0</v>
      </c>
    </row>
    <row r="192" spans="1:16" ht="17">
      <c r="A192" s="6"/>
      <c r="B192" s="95"/>
      <c r="C192" s="96"/>
      <c r="D192" s="97"/>
      <c r="E192" s="97"/>
      <c r="F192" s="96"/>
      <c r="G192" s="98"/>
      <c r="H192" s="41" t="str">
        <f>IF(OR(B192="",D192="",F192="",G192=""),"",IF(AND(E192&lt;&gt;"",E192&lt;SISTEM!$C$17),"Pasif","Aktif"))</f>
        <v/>
      </c>
      <c r="I192" s="74">
        <f t="shared" si="10"/>
        <v>0</v>
      </c>
      <c r="J192" s="42" t="str">
        <f t="shared" si="11"/>
        <v/>
      </c>
      <c r="K192" s="43" t="str">
        <f>IF(AND(B192="",C192=""),"",IF(OR(B192="",C192="",D192="",F192="",G192=""),"EKSİK",IF(COUNTIF(MUSTERILER!$B$7:$B$156,B192)=0,"TANIMSIZ MÜŞTERİ","UYGUN")))</f>
        <v/>
      </c>
      <c r="L192" s="43" t="str">
        <f t="shared" si="12"/>
        <v/>
      </c>
      <c r="M192" s="96"/>
      <c r="N192" s="22" t="str">
        <f>IF(B192="","",IF(E192="",SISTEM!$C$17,MIN(E192,SISTEM!$C$17)))</f>
        <v/>
      </c>
      <c r="O192" s="22" t="str">
        <f t="shared" si="13"/>
        <v/>
      </c>
      <c r="P192" s="22">
        <f t="shared" si="14"/>
        <v>0</v>
      </c>
    </row>
    <row r="193" spans="1:16" ht="17">
      <c r="A193" s="6"/>
      <c r="B193" s="95"/>
      <c r="C193" s="96"/>
      <c r="D193" s="97"/>
      <c r="E193" s="97"/>
      <c r="F193" s="96"/>
      <c r="G193" s="98"/>
      <c r="H193" s="41" t="str">
        <f>IF(OR(B193="",D193="",F193="",G193=""),"",IF(AND(E193&lt;&gt;"",E193&lt;SISTEM!$C$17),"Pasif","Aktif"))</f>
        <v/>
      </c>
      <c r="I193" s="74">
        <f t="shared" si="10"/>
        <v>0</v>
      </c>
      <c r="J193" s="42" t="str">
        <f t="shared" si="11"/>
        <v/>
      </c>
      <c r="K193" s="43" t="str">
        <f>IF(AND(B193="",C193=""),"",IF(OR(B193="",C193="",D193="",F193="",G193=""),"EKSİK",IF(COUNTIF(MUSTERILER!$B$7:$B$156,B193)=0,"TANIMSIZ MÜŞTERİ","UYGUN")))</f>
        <v/>
      </c>
      <c r="L193" s="43" t="str">
        <f t="shared" si="12"/>
        <v/>
      </c>
      <c r="M193" s="96"/>
      <c r="N193" s="22" t="str">
        <f>IF(B193="","",IF(E193="",SISTEM!$C$17,MIN(E193,SISTEM!$C$17)))</f>
        <v/>
      </c>
      <c r="O193" s="22" t="str">
        <f t="shared" si="13"/>
        <v/>
      </c>
      <c r="P193" s="22">
        <f t="shared" si="14"/>
        <v>0</v>
      </c>
    </row>
    <row r="194" spans="1:16" ht="17">
      <c r="A194" s="6"/>
      <c r="B194" s="95"/>
      <c r="C194" s="96"/>
      <c r="D194" s="97"/>
      <c r="E194" s="97"/>
      <c r="F194" s="96"/>
      <c r="G194" s="98"/>
      <c r="H194" s="41" t="str">
        <f>IF(OR(B194="",D194="",F194="",G194=""),"",IF(AND(E194&lt;&gt;"",E194&lt;SISTEM!$C$17),"Pasif","Aktif"))</f>
        <v/>
      </c>
      <c r="I194" s="74">
        <f t="shared" si="10"/>
        <v>0</v>
      </c>
      <c r="J194" s="42" t="str">
        <f t="shared" si="11"/>
        <v/>
      </c>
      <c r="K194" s="43" t="str">
        <f>IF(AND(B194="",C194=""),"",IF(OR(B194="",C194="",D194="",F194="",G194=""),"EKSİK",IF(COUNTIF(MUSTERILER!$B$7:$B$156,B194)=0,"TANIMSIZ MÜŞTERİ","UYGUN")))</f>
        <v/>
      </c>
      <c r="L194" s="43" t="str">
        <f t="shared" si="12"/>
        <v/>
      </c>
      <c r="M194" s="96"/>
      <c r="N194" s="22" t="str">
        <f>IF(B194="","",IF(E194="",SISTEM!$C$17,MIN(E194,SISTEM!$C$17)))</f>
        <v/>
      </c>
      <c r="O194" s="22" t="str">
        <f t="shared" si="13"/>
        <v/>
      </c>
      <c r="P194" s="22">
        <f t="shared" si="14"/>
        <v>0</v>
      </c>
    </row>
    <row r="195" spans="1:16" ht="17">
      <c r="A195" s="6"/>
      <c r="B195" s="95"/>
      <c r="C195" s="96"/>
      <c r="D195" s="97"/>
      <c r="E195" s="97"/>
      <c r="F195" s="96"/>
      <c r="G195" s="98"/>
      <c r="H195" s="41" t="str">
        <f>IF(OR(B195="",D195="",F195="",G195=""),"",IF(AND(E195&lt;&gt;"",E195&lt;SISTEM!$C$17),"Pasif","Aktif"))</f>
        <v/>
      </c>
      <c r="I195" s="74">
        <f t="shared" si="10"/>
        <v>0</v>
      </c>
      <c r="J195" s="42" t="str">
        <f t="shared" si="11"/>
        <v/>
      </c>
      <c r="K195" s="43" t="str">
        <f>IF(AND(B195="",C195=""),"",IF(OR(B195="",C195="",D195="",F195="",G195=""),"EKSİK",IF(COUNTIF(MUSTERILER!$B$7:$B$156,B195)=0,"TANIMSIZ MÜŞTERİ","UYGUN")))</f>
        <v/>
      </c>
      <c r="L195" s="43" t="str">
        <f t="shared" si="12"/>
        <v/>
      </c>
      <c r="M195" s="96"/>
      <c r="N195" s="22" t="str">
        <f>IF(B195="","",IF(E195="",SISTEM!$C$17,MIN(E195,SISTEM!$C$17)))</f>
        <v/>
      </c>
      <c r="O195" s="22" t="str">
        <f t="shared" si="13"/>
        <v/>
      </c>
      <c r="P195" s="22">
        <f t="shared" si="14"/>
        <v>0</v>
      </c>
    </row>
    <row r="196" spans="1:16" ht="17">
      <c r="A196" s="6"/>
      <c r="B196" s="95"/>
      <c r="C196" s="96"/>
      <c r="D196" s="97"/>
      <c r="E196" s="97"/>
      <c r="F196" s="96"/>
      <c r="G196" s="98"/>
      <c r="H196" s="41" t="str">
        <f>IF(OR(B196="",D196="",F196="",G196=""),"",IF(AND(E196&lt;&gt;"",E196&lt;SISTEM!$C$17),"Pasif","Aktif"))</f>
        <v/>
      </c>
      <c r="I196" s="74">
        <f t="shared" si="10"/>
        <v>0</v>
      </c>
      <c r="J196" s="42" t="str">
        <f t="shared" si="11"/>
        <v/>
      </c>
      <c r="K196" s="43" t="str">
        <f>IF(AND(B196="",C196=""),"",IF(OR(B196="",C196="",D196="",F196="",G196=""),"EKSİK",IF(COUNTIF(MUSTERILER!$B$7:$B$156,B196)=0,"TANIMSIZ MÜŞTERİ","UYGUN")))</f>
        <v/>
      </c>
      <c r="L196" s="43" t="str">
        <f t="shared" si="12"/>
        <v/>
      </c>
      <c r="M196" s="96"/>
      <c r="N196" s="22" t="str">
        <f>IF(B196="","",IF(E196="",SISTEM!$C$17,MIN(E196,SISTEM!$C$17)))</f>
        <v/>
      </c>
      <c r="O196" s="22" t="str">
        <f t="shared" si="13"/>
        <v/>
      </c>
      <c r="P196" s="22">
        <f t="shared" si="14"/>
        <v>0</v>
      </c>
    </row>
    <row r="197" spans="1:16" ht="17">
      <c r="A197" s="6"/>
      <c r="B197" s="95"/>
      <c r="C197" s="96"/>
      <c r="D197" s="97"/>
      <c r="E197" s="97"/>
      <c r="F197" s="96"/>
      <c r="G197" s="98"/>
      <c r="H197" s="41" t="str">
        <f>IF(OR(B197="",D197="",F197="",G197=""),"",IF(AND(E197&lt;&gt;"",E197&lt;SISTEM!$C$17),"Pasif","Aktif"))</f>
        <v/>
      </c>
      <c r="I197" s="74">
        <f t="shared" si="10"/>
        <v>0</v>
      </c>
      <c r="J197" s="42" t="str">
        <f t="shared" si="11"/>
        <v/>
      </c>
      <c r="K197" s="43" t="str">
        <f>IF(AND(B197="",C197=""),"",IF(OR(B197="",C197="",D197="",F197="",G197=""),"EKSİK",IF(COUNTIF(MUSTERILER!$B$7:$B$156,B197)=0,"TANIMSIZ MÜŞTERİ","UYGUN")))</f>
        <v/>
      </c>
      <c r="L197" s="43" t="str">
        <f t="shared" si="12"/>
        <v/>
      </c>
      <c r="M197" s="96"/>
      <c r="N197" s="22" t="str">
        <f>IF(B197="","",IF(E197="",SISTEM!$C$17,MIN(E197,SISTEM!$C$17)))</f>
        <v/>
      </c>
      <c r="O197" s="22" t="str">
        <f t="shared" si="13"/>
        <v/>
      </c>
      <c r="P197" s="22">
        <f t="shared" si="14"/>
        <v>0</v>
      </c>
    </row>
    <row r="198" spans="1:16" ht="17">
      <c r="A198" s="6"/>
      <c r="B198" s="95"/>
      <c r="C198" s="96"/>
      <c r="D198" s="97"/>
      <c r="E198" s="97"/>
      <c r="F198" s="96"/>
      <c r="G198" s="98"/>
      <c r="H198" s="41" t="str">
        <f>IF(OR(B198="",D198="",F198="",G198=""),"",IF(AND(E198&lt;&gt;"",E198&lt;SISTEM!$C$17),"Pasif","Aktif"))</f>
        <v/>
      </c>
      <c r="I198" s="74">
        <f t="shared" si="10"/>
        <v>0</v>
      </c>
      <c r="J198" s="42" t="str">
        <f t="shared" si="11"/>
        <v/>
      </c>
      <c r="K198" s="43" t="str">
        <f>IF(AND(B198="",C198=""),"",IF(OR(B198="",C198="",D198="",F198="",G198=""),"EKSİK",IF(COUNTIF(MUSTERILER!$B$7:$B$156,B198)=0,"TANIMSIZ MÜŞTERİ","UYGUN")))</f>
        <v/>
      </c>
      <c r="L198" s="43" t="str">
        <f t="shared" si="12"/>
        <v/>
      </c>
      <c r="M198" s="96"/>
      <c r="N198" s="22" t="str">
        <f>IF(B198="","",IF(E198="",SISTEM!$C$17,MIN(E198,SISTEM!$C$17)))</f>
        <v/>
      </c>
      <c r="O198" s="22" t="str">
        <f t="shared" si="13"/>
        <v/>
      </c>
      <c r="P198" s="22">
        <f t="shared" si="14"/>
        <v>0</v>
      </c>
    </row>
    <row r="199" spans="1:16" ht="17">
      <c r="A199" s="6"/>
      <c r="B199" s="95"/>
      <c r="C199" s="96"/>
      <c r="D199" s="97"/>
      <c r="E199" s="97"/>
      <c r="F199" s="96"/>
      <c r="G199" s="98"/>
      <c r="H199" s="41" t="str">
        <f>IF(OR(B199="",D199="",F199="",G199=""),"",IF(AND(E199&lt;&gt;"",E199&lt;SISTEM!$C$17),"Pasif","Aktif"))</f>
        <v/>
      </c>
      <c r="I199" s="74">
        <f t="shared" ref="I199:I262" si="15">IF(P199=0,0,P199*G199)</f>
        <v>0</v>
      </c>
      <c r="J199" s="42" t="str">
        <f t="shared" ref="J199:J262" si="16">IF(OR(G199="",G199=0),"",I199/G199)</f>
        <v/>
      </c>
      <c r="K199" s="43" t="str">
        <f>IF(AND(B199="",C199=""),"",IF(OR(B199="",C199="",D199="",F199="",G199=""),"EKSİK",IF(COUNTIF(MUSTERILER!$B$7:$B$156,B199)=0,"TANIMSIZ MÜŞTERİ","UYGUN")))</f>
        <v/>
      </c>
      <c r="L199" s="43" t="str">
        <f t="shared" ref="L199:L262" si="17">IF(D199="","",IF(F199="Haftalık",D199+MOD(6-WEEKDAY(D199,2),7),EOMONTH(D199,0)))</f>
        <v/>
      </c>
      <c r="M199" s="96"/>
      <c r="N199" s="22" t="str">
        <f>IF(B199="","",IF(E199="",SISTEM!$C$17,MIN(E199,SISTEM!$C$17)))</f>
        <v/>
      </c>
      <c r="O199" s="22" t="str">
        <f t="shared" ref="O199:O262" si="18">L199</f>
        <v/>
      </c>
      <c r="P199" s="22">
        <f t="shared" ref="P199:P262" si="19">IF(OR(B199="",O199="",N199=""),0,IF(F199="Haftalık",MAX(0,INT((N199-O199)/7)+1),IF(F199="Aylık",MAX(0,(YEAR(N199)-YEAR(O199))*12+MONTH(N199)-MONTH(O199)+1),0)))</f>
        <v>0</v>
      </c>
    </row>
    <row r="200" spans="1:16" ht="17">
      <c r="A200" s="6"/>
      <c r="B200" s="95"/>
      <c r="C200" s="96"/>
      <c r="D200" s="97"/>
      <c r="E200" s="97"/>
      <c r="F200" s="96"/>
      <c r="G200" s="98"/>
      <c r="H200" s="41" t="str">
        <f>IF(OR(B200="",D200="",F200="",G200=""),"",IF(AND(E200&lt;&gt;"",E200&lt;SISTEM!$C$17),"Pasif","Aktif"))</f>
        <v/>
      </c>
      <c r="I200" s="74">
        <f t="shared" si="15"/>
        <v>0</v>
      </c>
      <c r="J200" s="42" t="str">
        <f t="shared" si="16"/>
        <v/>
      </c>
      <c r="K200" s="43" t="str">
        <f>IF(AND(B200="",C200=""),"",IF(OR(B200="",C200="",D200="",F200="",G200=""),"EKSİK",IF(COUNTIF(MUSTERILER!$B$7:$B$156,B200)=0,"TANIMSIZ MÜŞTERİ","UYGUN")))</f>
        <v/>
      </c>
      <c r="L200" s="43" t="str">
        <f t="shared" si="17"/>
        <v/>
      </c>
      <c r="M200" s="96"/>
      <c r="N200" s="22" t="str">
        <f>IF(B200="","",IF(E200="",SISTEM!$C$17,MIN(E200,SISTEM!$C$17)))</f>
        <v/>
      </c>
      <c r="O200" s="22" t="str">
        <f t="shared" si="18"/>
        <v/>
      </c>
      <c r="P200" s="22">
        <f t="shared" si="19"/>
        <v>0</v>
      </c>
    </row>
    <row r="201" spans="1:16" ht="17">
      <c r="A201" s="6"/>
      <c r="B201" s="95"/>
      <c r="C201" s="96"/>
      <c r="D201" s="97"/>
      <c r="E201" s="97"/>
      <c r="F201" s="96"/>
      <c r="G201" s="98"/>
      <c r="H201" s="41" t="str">
        <f>IF(OR(B201="",D201="",F201="",G201=""),"",IF(AND(E201&lt;&gt;"",E201&lt;SISTEM!$C$17),"Pasif","Aktif"))</f>
        <v/>
      </c>
      <c r="I201" s="74">
        <f t="shared" si="15"/>
        <v>0</v>
      </c>
      <c r="J201" s="42" t="str">
        <f t="shared" si="16"/>
        <v/>
      </c>
      <c r="K201" s="43" t="str">
        <f>IF(AND(B201="",C201=""),"",IF(OR(B201="",C201="",D201="",F201="",G201=""),"EKSİK",IF(COUNTIF(MUSTERILER!$B$7:$B$156,B201)=0,"TANIMSIZ MÜŞTERİ","UYGUN")))</f>
        <v/>
      </c>
      <c r="L201" s="43" t="str">
        <f t="shared" si="17"/>
        <v/>
      </c>
      <c r="M201" s="96"/>
      <c r="N201" s="22" t="str">
        <f>IF(B201="","",IF(E201="",SISTEM!$C$17,MIN(E201,SISTEM!$C$17)))</f>
        <v/>
      </c>
      <c r="O201" s="22" t="str">
        <f t="shared" si="18"/>
        <v/>
      </c>
      <c r="P201" s="22">
        <f t="shared" si="19"/>
        <v>0</v>
      </c>
    </row>
    <row r="202" spans="1:16" ht="17">
      <c r="A202" s="6"/>
      <c r="B202" s="95"/>
      <c r="C202" s="96"/>
      <c r="D202" s="97"/>
      <c r="E202" s="97"/>
      <c r="F202" s="96"/>
      <c r="G202" s="98"/>
      <c r="H202" s="41" t="str">
        <f>IF(OR(B202="",D202="",F202="",G202=""),"",IF(AND(E202&lt;&gt;"",E202&lt;SISTEM!$C$17),"Pasif","Aktif"))</f>
        <v/>
      </c>
      <c r="I202" s="74">
        <f t="shared" si="15"/>
        <v>0</v>
      </c>
      <c r="J202" s="42" t="str">
        <f t="shared" si="16"/>
        <v/>
      </c>
      <c r="K202" s="43" t="str">
        <f>IF(AND(B202="",C202=""),"",IF(OR(B202="",C202="",D202="",F202="",G202=""),"EKSİK",IF(COUNTIF(MUSTERILER!$B$7:$B$156,B202)=0,"TANIMSIZ MÜŞTERİ","UYGUN")))</f>
        <v/>
      </c>
      <c r="L202" s="43" t="str">
        <f t="shared" si="17"/>
        <v/>
      </c>
      <c r="M202" s="96"/>
      <c r="N202" s="22" t="str">
        <f>IF(B202="","",IF(E202="",SISTEM!$C$17,MIN(E202,SISTEM!$C$17)))</f>
        <v/>
      </c>
      <c r="O202" s="22" t="str">
        <f t="shared" si="18"/>
        <v/>
      </c>
      <c r="P202" s="22">
        <f t="shared" si="19"/>
        <v>0</v>
      </c>
    </row>
    <row r="203" spans="1:16" ht="17">
      <c r="A203" s="6"/>
      <c r="B203" s="95"/>
      <c r="C203" s="96"/>
      <c r="D203" s="97"/>
      <c r="E203" s="97"/>
      <c r="F203" s="96"/>
      <c r="G203" s="98"/>
      <c r="H203" s="41" t="str">
        <f>IF(OR(B203="",D203="",F203="",G203=""),"",IF(AND(E203&lt;&gt;"",E203&lt;SISTEM!$C$17),"Pasif","Aktif"))</f>
        <v/>
      </c>
      <c r="I203" s="74">
        <f t="shared" si="15"/>
        <v>0</v>
      </c>
      <c r="J203" s="42" t="str">
        <f t="shared" si="16"/>
        <v/>
      </c>
      <c r="K203" s="43" t="str">
        <f>IF(AND(B203="",C203=""),"",IF(OR(B203="",C203="",D203="",F203="",G203=""),"EKSİK",IF(COUNTIF(MUSTERILER!$B$7:$B$156,B203)=0,"TANIMSIZ MÜŞTERİ","UYGUN")))</f>
        <v/>
      </c>
      <c r="L203" s="43" t="str">
        <f t="shared" si="17"/>
        <v/>
      </c>
      <c r="M203" s="96"/>
      <c r="N203" s="22" t="str">
        <f>IF(B203="","",IF(E203="",SISTEM!$C$17,MIN(E203,SISTEM!$C$17)))</f>
        <v/>
      </c>
      <c r="O203" s="22" t="str">
        <f t="shared" si="18"/>
        <v/>
      </c>
      <c r="P203" s="22">
        <f t="shared" si="19"/>
        <v>0</v>
      </c>
    </row>
    <row r="204" spans="1:16" ht="17">
      <c r="A204" s="6"/>
      <c r="B204" s="95"/>
      <c r="C204" s="96"/>
      <c r="D204" s="97"/>
      <c r="E204" s="97"/>
      <c r="F204" s="96"/>
      <c r="G204" s="98"/>
      <c r="H204" s="41" t="str">
        <f>IF(OR(B204="",D204="",F204="",G204=""),"",IF(AND(E204&lt;&gt;"",E204&lt;SISTEM!$C$17),"Pasif","Aktif"))</f>
        <v/>
      </c>
      <c r="I204" s="74">
        <f t="shared" si="15"/>
        <v>0</v>
      </c>
      <c r="J204" s="42" t="str">
        <f t="shared" si="16"/>
        <v/>
      </c>
      <c r="K204" s="43" t="str">
        <f>IF(AND(B204="",C204=""),"",IF(OR(B204="",C204="",D204="",F204="",G204=""),"EKSİK",IF(COUNTIF(MUSTERILER!$B$7:$B$156,B204)=0,"TANIMSIZ MÜŞTERİ","UYGUN")))</f>
        <v/>
      </c>
      <c r="L204" s="43" t="str">
        <f t="shared" si="17"/>
        <v/>
      </c>
      <c r="M204" s="96"/>
      <c r="N204" s="22" t="str">
        <f>IF(B204="","",IF(E204="",SISTEM!$C$17,MIN(E204,SISTEM!$C$17)))</f>
        <v/>
      </c>
      <c r="O204" s="22" t="str">
        <f t="shared" si="18"/>
        <v/>
      </c>
      <c r="P204" s="22">
        <f t="shared" si="19"/>
        <v>0</v>
      </c>
    </row>
    <row r="205" spans="1:16" ht="17">
      <c r="A205" s="6"/>
      <c r="B205" s="95"/>
      <c r="C205" s="96"/>
      <c r="D205" s="97"/>
      <c r="E205" s="97"/>
      <c r="F205" s="96"/>
      <c r="G205" s="98"/>
      <c r="H205" s="41" t="str">
        <f>IF(OR(B205="",D205="",F205="",G205=""),"",IF(AND(E205&lt;&gt;"",E205&lt;SISTEM!$C$17),"Pasif","Aktif"))</f>
        <v/>
      </c>
      <c r="I205" s="74">
        <f t="shared" si="15"/>
        <v>0</v>
      </c>
      <c r="J205" s="42" t="str">
        <f t="shared" si="16"/>
        <v/>
      </c>
      <c r="K205" s="43" t="str">
        <f>IF(AND(B205="",C205=""),"",IF(OR(B205="",C205="",D205="",F205="",G205=""),"EKSİK",IF(COUNTIF(MUSTERILER!$B$7:$B$156,B205)=0,"TANIMSIZ MÜŞTERİ","UYGUN")))</f>
        <v/>
      </c>
      <c r="L205" s="43" t="str">
        <f t="shared" si="17"/>
        <v/>
      </c>
      <c r="M205" s="96"/>
      <c r="N205" s="22" t="str">
        <f>IF(B205="","",IF(E205="",SISTEM!$C$17,MIN(E205,SISTEM!$C$17)))</f>
        <v/>
      </c>
      <c r="O205" s="22" t="str">
        <f t="shared" si="18"/>
        <v/>
      </c>
      <c r="P205" s="22">
        <f t="shared" si="19"/>
        <v>0</v>
      </c>
    </row>
    <row r="206" spans="1:16" ht="17">
      <c r="A206" s="6"/>
      <c r="B206" s="95"/>
      <c r="C206" s="96"/>
      <c r="D206" s="97"/>
      <c r="E206" s="97"/>
      <c r="F206" s="96"/>
      <c r="G206" s="98"/>
      <c r="H206" s="41" t="str">
        <f>IF(OR(B206="",D206="",F206="",G206=""),"",IF(AND(E206&lt;&gt;"",E206&lt;SISTEM!$C$17),"Pasif","Aktif"))</f>
        <v/>
      </c>
      <c r="I206" s="74">
        <f t="shared" si="15"/>
        <v>0</v>
      </c>
      <c r="J206" s="42" t="str">
        <f t="shared" si="16"/>
        <v/>
      </c>
      <c r="K206" s="43" t="str">
        <f>IF(AND(B206="",C206=""),"",IF(OR(B206="",C206="",D206="",F206="",G206=""),"EKSİK",IF(COUNTIF(MUSTERILER!$B$7:$B$156,B206)=0,"TANIMSIZ MÜŞTERİ","UYGUN")))</f>
        <v/>
      </c>
      <c r="L206" s="43" t="str">
        <f t="shared" si="17"/>
        <v/>
      </c>
      <c r="M206" s="96"/>
      <c r="N206" s="22" t="str">
        <f>IF(B206="","",IF(E206="",SISTEM!$C$17,MIN(E206,SISTEM!$C$17)))</f>
        <v/>
      </c>
      <c r="O206" s="22" t="str">
        <f t="shared" si="18"/>
        <v/>
      </c>
      <c r="P206" s="22">
        <f t="shared" si="19"/>
        <v>0</v>
      </c>
    </row>
    <row r="207" spans="1:16" ht="17">
      <c r="A207" s="6"/>
      <c r="B207" s="95"/>
      <c r="C207" s="96"/>
      <c r="D207" s="97"/>
      <c r="E207" s="97"/>
      <c r="F207" s="96"/>
      <c r="G207" s="98"/>
      <c r="H207" s="41" t="str">
        <f>IF(OR(B207="",D207="",F207="",G207=""),"",IF(AND(E207&lt;&gt;"",E207&lt;SISTEM!$C$17),"Pasif","Aktif"))</f>
        <v/>
      </c>
      <c r="I207" s="74">
        <f t="shared" si="15"/>
        <v>0</v>
      </c>
      <c r="J207" s="42" t="str">
        <f t="shared" si="16"/>
        <v/>
      </c>
      <c r="K207" s="43" t="str">
        <f>IF(AND(B207="",C207=""),"",IF(OR(B207="",C207="",D207="",F207="",G207=""),"EKSİK",IF(COUNTIF(MUSTERILER!$B$7:$B$156,B207)=0,"TANIMSIZ MÜŞTERİ","UYGUN")))</f>
        <v/>
      </c>
      <c r="L207" s="43" t="str">
        <f t="shared" si="17"/>
        <v/>
      </c>
      <c r="M207" s="96"/>
      <c r="N207" s="22" t="str">
        <f>IF(B207="","",IF(E207="",SISTEM!$C$17,MIN(E207,SISTEM!$C$17)))</f>
        <v/>
      </c>
      <c r="O207" s="22" t="str">
        <f t="shared" si="18"/>
        <v/>
      </c>
      <c r="P207" s="22">
        <f t="shared" si="19"/>
        <v>0</v>
      </c>
    </row>
    <row r="208" spans="1:16" ht="17">
      <c r="A208" s="6"/>
      <c r="B208" s="95"/>
      <c r="C208" s="96"/>
      <c r="D208" s="97"/>
      <c r="E208" s="97"/>
      <c r="F208" s="96"/>
      <c r="G208" s="98"/>
      <c r="H208" s="41" t="str">
        <f>IF(OR(B208="",D208="",F208="",G208=""),"",IF(AND(E208&lt;&gt;"",E208&lt;SISTEM!$C$17),"Pasif","Aktif"))</f>
        <v/>
      </c>
      <c r="I208" s="74">
        <f t="shared" si="15"/>
        <v>0</v>
      </c>
      <c r="J208" s="42" t="str">
        <f t="shared" si="16"/>
        <v/>
      </c>
      <c r="K208" s="43" t="str">
        <f>IF(AND(B208="",C208=""),"",IF(OR(B208="",C208="",D208="",F208="",G208=""),"EKSİK",IF(COUNTIF(MUSTERILER!$B$7:$B$156,B208)=0,"TANIMSIZ MÜŞTERİ","UYGUN")))</f>
        <v/>
      </c>
      <c r="L208" s="43" t="str">
        <f t="shared" si="17"/>
        <v/>
      </c>
      <c r="M208" s="96"/>
      <c r="N208" s="22" t="str">
        <f>IF(B208="","",IF(E208="",SISTEM!$C$17,MIN(E208,SISTEM!$C$17)))</f>
        <v/>
      </c>
      <c r="O208" s="22" t="str">
        <f t="shared" si="18"/>
        <v/>
      </c>
      <c r="P208" s="22">
        <f t="shared" si="19"/>
        <v>0</v>
      </c>
    </row>
    <row r="209" spans="1:16" ht="17">
      <c r="A209" s="6"/>
      <c r="B209" s="95"/>
      <c r="C209" s="96"/>
      <c r="D209" s="97"/>
      <c r="E209" s="97"/>
      <c r="F209" s="96"/>
      <c r="G209" s="98"/>
      <c r="H209" s="41" t="str">
        <f>IF(OR(B209="",D209="",F209="",G209=""),"",IF(AND(E209&lt;&gt;"",E209&lt;SISTEM!$C$17),"Pasif","Aktif"))</f>
        <v/>
      </c>
      <c r="I209" s="74">
        <f t="shared" si="15"/>
        <v>0</v>
      </c>
      <c r="J209" s="42" t="str">
        <f t="shared" si="16"/>
        <v/>
      </c>
      <c r="K209" s="43" t="str">
        <f>IF(AND(B209="",C209=""),"",IF(OR(B209="",C209="",D209="",F209="",G209=""),"EKSİK",IF(COUNTIF(MUSTERILER!$B$7:$B$156,B209)=0,"TANIMSIZ MÜŞTERİ","UYGUN")))</f>
        <v/>
      </c>
      <c r="L209" s="43" t="str">
        <f t="shared" si="17"/>
        <v/>
      </c>
      <c r="M209" s="96"/>
      <c r="N209" s="22" t="str">
        <f>IF(B209="","",IF(E209="",SISTEM!$C$17,MIN(E209,SISTEM!$C$17)))</f>
        <v/>
      </c>
      <c r="O209" s="22" t="str">
        <f t="shared" si="18"/>
        <v/>
      </c>
      <c r="P209" s="22">
        <f t="shared" si="19"/>
        <v>0</v>
      </c>
    </row>
    <row r="210" spans="1:16" ht="17">
      <c r="A210" s="6"/>
      <c r="B210" s="95"/>
      <c r="C210" s="96"/>
      <c r="D210" s="97"/>
      <c r="E210" s="97"/>
      <c r="F210" s="96"/>
      <c r="G210" s="98"/>
      <c r="H210" s="41" t="str">
        <f>IF(OR(B210="",D210="",F210="",G210=""),"",IF(AND(E210&lt;&gt;"",E210&lt;SISTEM!$C$17),"Pasif","Aktif"))</f>
        <v/>
      </c>
      <c r="I210" s="74">
        <f t="shared" si="15"/>
        <v>0</v>
      </c>
      <c r="J210" s="42" t="str">
        <f t="shared" si="16"/>
        <v/>
      </c>
      <c r="K210" s="43" t="str">
        <f>IF(AND(B210="",C210=""),"",IF(OR(B210="",C210="",D210="",F210="",G210=""),"EKSİK",IF(COUNTIF(MUSTERILER!$B$7:$B$156,B210)=0,"TANIMSIZ MÜŞTERİ","UYGUN")))</f>
        <v/>
      </c>
      <c r="L210" s="43" t="str">
        <f t="shared" si="17"/>
        <v/>
      </c>
      <c r="M210" s="96"/>
      <c r="N210" s="22" t="str">
        <f>IF(B210="","",IF(E210="",SISTEM!$C$17,MIN(E210,SISTEM!$C$17)))</f>
        <v/>
      </c>
      <c r="O210" s="22" t="str">
        <f t="shared" si="18"/>
        <v/>
      </c>
      <c r="P210" s="22">
        <f t="shared" si="19"/>
        <v>0</v>
      </c>
    </row>
    <row r="211" spans="1:16" ht="17">
      <c r="A211" s="6"/>
      <c r="B211" s="95"/>
      <c r="C211" s="96"/>
      <c r="D211" s="97"/>
      <c r="E211" s="97"/>
      <c r="F211" s="96"/>
      <c r="G211" s="98"/>
      <c r="H211" s="41" t="str">
        <f>IF(OR(B211="",D211="",F211="",G211=""),"",IF(AND(E211&lt;&gt;"",E211&lt;SISTEM!$C$17),"Pasif","Aktif"))</f>
        <v/>
      </c>
      <c r="I211" s="74">
        <f t="shared" si="15"/>
        <v>0</v>
      </c>
      <c r="J211" s="42" t="str">
        <f t="shared" si="16"/>
        <v/>
      </c>
      <c r="K211" s="43" t="str">
        <f>IF(AND(B211="",C211=""),"",IF(OR(B211="",C211="",D211="",F211="",G211=""),"EKSİK",IF(COUNTIF(MUSTERILER!$B$7:$B$156,B211)=0,"TANIMSIZ MÜŞTERİ","UYGUN")))</f>
        <v/>
      </c>
      <c r="L211" s="43" t="str">
        <f t="shared" si="17"/>
        <v/>
      </c>
      <c r="M211" s="96"/>
      <c r="N211" s="22" t="str">
        <f>IF(B211="","",IF(E211="",SISTEM!$C$17,MIN(E211,SISTEM!$C$17)))</f>
        <v/>
      </c>
      <c r="O211" s="22" t="str">
        <f t="shared" si="18"/>
        <v/>
      </c>
      <c r="P211" s="22">
        <f t="shared" si="19"/>
        <v>0</v>
      </c>
    </row>
    <row r="212" spans="1:16" ht="17">
      <c r="A212" s="6"/>
      <c r="B212" s="95"/>
      <c r="C212" s="96"/>
      <c r="D212" s="97"/>
      <c r="E212" s="97"/>
      <c r="F212" s="96"/>
      <c r="G212" s="98"/>
      <c r="H212" s="41" t="str">
        <f>IF(OR(B212="",D212="",F212="",G212=""),"",IF(AND(E212&lt;&gt;"",E212&lt;SISTEM!$C$17),"Pasif","Aktif"))</f>
        <v/>
      </c>
      <c r="I212" s="74">
        <f t="shared" si="15"/>
        <v>0</v>
      </c>
      <c r="J212" s="42" t="str">
        <f t="shared" si="16"/>
        <v/>
      </c>
      <c r="K212" s="43" t="str">
        <f>IF(AND(B212="",C212=""),"",IF(OR(B212="",C212="",D212="",F212="",G212=""),"EKSİK",IF(COUNTIF(MUSTERILER!$B$7:$B$156,B212)=0,"TANIMSIZ MÜŞTERİ","UYGUN")))</f>
        <v/>
      </c>
      <c r="L212" s="43" t="str">
        <f t="shared" si="17"/>
        <v/>
      </c>
      <c r="M212" s="96"/>
      <c r="N212" s="22" t="str">
        <f>IF(B212="","",IF(E212="",SISTEM!$C$17,MIN(E212,SISTEM!$C$17)))</f>
        <v/>
      </c>
      <c r="O212" s="22" t="str">
        <f t="shared" si="18"/>
        <v/>
      </c>
      <c r="P212" s="22">
        <f t="shared" si="19"/>
        <v>0</v>
      </c>
    </row>
    <row r="213" spans="1:16" ht="17">
      <c r="A213" s="6"/>
      <c r="B213" s="95"/>
      <c r="C213" s="96"/>
      <c r="D213" s="97"/>
      <c r="E213" s="97"/>
      <c r="F213" s="96"/>
      <c r="G213" s="98"/>
      <c r="H213" s="41" t="str">
        <f>IF(OR(B213="",D213="",F213="",G213=""),"",IF(AND(E213&lt;&gt;"",E213&lt;SISTEM!$C$17),"Pasif","Aktif"))</f>
        <v/>
      </c>
      <c r="I213" s="74">
        <f t="shared" si="15"/>
        <v>0</v>
      </c>
      <c r="J213" s="42" t="str">
        <f t="shared" si="16"/>
        <v/>
      </c>
      <c r="K213" s="43" t="str">
        <f>IF(AND(B213="",C213=""),"",IF(OR(B213="",C213="",D213="",F213="",G213=""),"EKSİK",IF(COUNTIF(MUSTERILER!$B$7:$B$156,B213)=0,"TANIMSIZ MÜŞTERİ","UYGUN")))</f>
        <v/>
      </c>
      <c r="L213" s="43" t="str">
        <f t="shared" si="17"/>
        <v/>
      </c>
      <c r="M213" s="96"/>
      <c r="N213" s="22" t="str">
        <f>IF(B213="","",IF(E213="",SISTEM!$C$17,MIN(E213,SISTEM!$C$17)))</f>
        <v/>
      </c>
      <c r="O213" s="22" t="str">
        <f t="shared" si="18"/>
        <v/>
      </c>
      <c r="P213" s="22">
        <f t="shared" si="19"/>
        <v>0</v>
      </c>
    </row>
    <row r="214" spans="1:16" ht="17">
      <c r="A214" s="6"/>
      <c r="B214" s="95"/>
      <c r="C214" s="96"/>
      <c r="D214" s="97"/>
      <c r="E214" s="97"/>
      <c r="F214" s="96"/>
      <c r="G214" s="98"/>
      <c r="H214" s="41" t="str">
        <f>IF(OR(B214="",D214="",F214="",G214=""),"",IF(AND(E214&lt;&gt;"",E214&lt;SISTEM!$C$17),"Pasif","Aktif"))</f>
        <v/>
      </c>
      <c r="I214" s="74">
        <f t="shared" si="15"/>
        <v>0</v>
      </c>
      <c r="J214" s="42" t="str">
        <f t="shared" si="16"/>
        <v/>
      </c>
      <c r="K214" s="43" t="str">
        <f>IF(AND(B214="",C214=""),"",IF(OR(B214="",C214="",D214="",F214="",G214=""),"EKSİK",IF(COUNTIF(MUSTERILER!$B$7:$B$156,B214)=0,"TANIMSIZ MÜŞTERİ","UYGUN")))</f>
        <v/>
      </c>
      <c r="L214" s="43" t="str">
        <f t="shared" si="17"/>
        <v/>
      </c>
      <c r="M214" s="96"/>
      <c r="N214" s="22" t="str">
        <f>IF(B214="","",IF(E214="",SISTEM!$C$17,MIN(E214,SISTEM!$C$17)))</f>
        <v/>
      </c>
      <c r="O214" s="22" t="str">
        <f t="shared" si="18"/>
        <v/>
      </c>
      <c r="P214" s="22">
        <f t="shared" si="19"/>
        <v>0</v>
      </c>
    </row>
    <row r="215" spans="1:16" ht="17">
      <c r="A215" s="6"/>
      <c r="B215" s="95"/>
      <c r="C215" s="96"/>
      <c r="D215" s="97"/>
      <c r="E215" s="97"/>
      <c r="F215" s="96"/>
      <c r="G215" s="98"/>
      <c r="H215" s="41" t="str">
        <f>IF(OR(B215="",D215="",F215="",G215=""),"",IF(AND(E215&lt;&gt;"",E215&lt;SISTEM!$C$17),"Pasif","Aktif"))</f>
        <v/>
      </c>
      <c r="I215" s="74">
        <f t="shared" si="15"/>
        <v>0</v>
      </c>
      <c r="J215" s="42" t="str">
        <f t="shared" si="16"/>
        <v/>
      </c>
      <c r="K215" s="43" t="str">
        <f>IF(AND(B215="",C215=""),"",IF(OR(B215="",C215="",D215="",F215="",G215=""),"EKSİK",IF(COUNTIF(MUSTERILER!$B$7:$B$156,B215)=0,"TANIMSIZ MÜŞTERİ","UYGUN")))</f>
        <v/>
      </c>
      <c r="L215" s="43" t="str">
        <f t="shared" si="17"/>
        <v/>
      </c>
      <c r="M215" s="96"/>
      <c r="N215" s="22" t="str">
        <f>IF(B215="","",IF(E215="",SISTEM!$C$17,MIN(E215,SISTEM!$C$17)))</f>
        <v/>
      </c>
      <c r="O215" s="22" t="str">
        <f t="shared" si="18"/>
        <v/>
      </c>
      <c r="P215" s="22">
        <f t="shared" si="19"/>
        <v>0</v>
      </c>
    </row>
    <row r="216" spans="1:16" ht="17">
      <c r="A216" s="6"/>
      <c r="B216" s="95"/>
      <c r="C216" s="96"/>
      <c r="D216" s="97"/>
      <c r="E216" s="97"/>
      <c r="F216" s="96"/>
      <c r="G216" s="98"/>
      <c r="H216" s="41" t="str">
        <f>IF(OR(B216="",D216="",F216="",G216=""),"",IF(AND(E216&lt;&gt;"",E216&lt;SISTEM!$C$17),"Pasif","Aktif"))</f>
        <v/>
      </c>
      <c r="I216" s="74">
        <f t="shared" si="15"/>
        <v>0</v>
      </c>
      <c r="J216" s="42" t="str">
        <f t="shared" si="16"/>
        <v/>
      </c>
      <c r="K216" s="43" t="str">
        <f>IF(AND(B216="",C216=""),"",IF(OR(B216="",C216="",D216="",F216="",G216=""),"EKSİK",IF(COUNTIF(MUSTERILER!$B$7:$B$156,B216)=0,"TANIMSIZ MÜŞTERİ","UYGUN")))</f>
        <v/>
      </c>
      <c r="L216" s="43" t="str">
        <f t="shared" si="17"/>
        <v/>
      </c>
      <c r="M216" s="96"/>
      <c r="N216" s="22" t="str">
        <f>IF(B216="","",IF(E216="",SISTEM!$C$17,MIN(E216,SISTEM!$C$17)))</f>
        <v/>
      </c>
      <c r="O216" s="22" t="str">
        <f t="shared" si="18"/>
        <v/>
      </c>
      <c r="P216" s="22">
        <f t="shared" si="19"/>
        <v>0</v>
      </c>
    </row>
    <row r="217" spans="1:16" ht="17">
      <c r="A217" s="6"/>
      <c r="B217" s="95"/>
      <c r="C217" s="96"/>
      <c r="D217" s="97"/>
      <c r="E217" s="97"/>
      <c r="F217" s="96"/>
      <c r="G217" s="98"/>
      <c r="H217" s="41" t="str">
        <f>IF(OR(B217="",D217="",F217="",G217=""),"",IF(AND(E217&lt;&gt;"",E217&lt;SISTEM!$C$17),"Pasif","Aktif"))</f>
        <v/>
      </c>
      <c r="I217" s="74">
        <f t="shared" si="15"/>
        <v>0</v>
      </c>
      <c r="J217" s="42" t="str">
        <f t="shared" si="16"/>
        <v/>
      </c>
      <c r="K217" s="43" t="str">
        <f>IF(AND(B217="",C217=""),"",IF(OR(B217="",C217="",D217="",F217="",G217=""),"EKSİK",IF(COUNTIF(MUSTERILER!$B$7:$B$156,B217)=0,"TANIMSIZ MÜŞTERİ","UYGUN")))</f>
        <v/>
      </c>
      <c r="L217" s="43" t="str">
        <f t="shared" si="17"/>
        <v/>
      </c>
      <c r="M217" s="96"/>
      <c r="N217" s="22" t="str">
        <f>IF(B217="","",IF(E217="",SISTEM!$C$17,MIN(E217,SISTEM!$C$17)))</f>
        <v/>
      </c>
      <c r="O217" s="22" t="str">
        <f t="shared" si="18"/>
        <v/>
      </c>
      <c r="P217" s="22">
        <f t="shared" si="19"/>
        <v>0</v>
      </c>
    </row>
    <row r="218" spans="1:16" ht="17">
      <c r="A218" s="6"/>
      <c r="B218" s="95"/>
      <c r="C218" s="96"/>
      <c r="D218" s="97"/>
      <c r="E218" s="97"/>
      <c r="F218" s="96"/>
      <c r="G218" s="98"/>
      <c r="H218" s="41" t="str">
        <f>IF(OR(B218="",D218="",F218="",G218=""),"",IF(AND(E218&lt;&gt;"",E218&lt;SISTEM!$C$17),"Pasif","Aktif"))</f>
        <v/>
      </c>
      <c r="I218" s="74">
        <f t="shared" si="15"/>
        <v>0</v>
      </c>
      <c r="J218" s="42" t="str">
        <f t="shared" si="16"/>
        <v/>
      </c>
      <c r="K218" s="43" t="str">
        <f>IF(AND(B218="",C218=""),"",IF(OR(B218="",C218="",D218="",F218="",G218=""),"EKSİK",IF(COUNTIF(MUSTERILER!$B$7:$B$156,B218)=0,"TANIMSIZ MÜŞTERİ","UYGUN")))</f>
        <v/>
      </c>
      <c r="L218" s="43" t="str">
        <f t="shared" si="17"/>
        <v/>
      </c>
      <c r="M218" s="96"/>
      <c r="N218" s="22" t="str">
        <f>IF(B218="","",IF(E218="",SISTEM!$C$17,MIN(E218,SISTEM!$C$17)))</f>
        <v/>
      </c>
      <c r="O218" s="22" t="str">
        <f t="shared" si="18"/>
        <v/>
      </c>
      <c r="P218" s="22">
        <f t="shared" si="19"/>
        <v>0</v>
      </c>
    </row>
    <row r="219" spans="1:16" ht="17">
      <c r="A219" s="6"/>
      <c r="B219" s="95"/>
      <c r="C219" s="96"/>
      <c r="D219" s="97"/>
      <c r="E219" s="97"/>
      <c r="F219" s="96"/>
      <c r="G219" s="98"/>
      <c r="H219" s="41" t="str">
        <f>IF(OR(B219="",D219="",F219="",G219=""),"",IF(AND(E219&lt;&gt;"",E219&lt;SISTEM!$C$17),"Pasif","Aktif"))</f>
        <v/>
      </c>
      <c r="I219" s="74">
        <f t="shared" si="15"/>
        <v>0</v>
      </c>
      <c r="J219" s="42" t="str">
        <f t="shared" si="16"/>
        <v/>
      </c>
      <c r="K219" s="43" t="str">
        <f>IF(AND(B219="",C219=""),"",IF(OR(B219="",C219="",D219="",F219="",G219=""),"EKSİK",IF(COUNTIF(MUSTERILER!$B$7:$B$156,B219)=0,"TANIMSIZ MÜŞTERİ","UYGUN")))</f>
        <v/>
      </c>
      <c r="L219" s="43" t="str">
        <f t="shared" si="17"/>
        <v/>
      </c>
      <c r="M219" s="96"/>
      <c r="N219" s="22" t="str">
        <f>IF(B219="","",IF(E219="",SISTEM!$C$17,MIN(E219,SISTEM!$C$17)))</f>
        <v/>
      </c>
      <c r="O219" s="22" t="str">
        <f t="shared" si="18"/>
        <v/>
      </c>
      <c r="P219" s="22">
        <f t="shared" si="19"/>
        <v>0</v>
      </c>
    </row>
    <row r="220" spans="1:16" ht="17">
      <c r="A220" s="6"/>
      <c r="B220" s="95"/>
      <c r="C220" s="96"/>
      <c r="D220" s="97"/>
      <c r="E220" s="97"/>
      <c r="F220" s="96"/>
      <c r="G220" s="98"/>
      <c r="H220" s="41" t="str">
        <f>IF(OR(B220="",D220="",F220="",G220=""),"",IF(AND(E220&lt;&gt;"",E220&lt;SISTEM!$C$17),"Pasif","Aktif"))</f>
        <v/>
      </c>
      <c r="I220" s="74">
        <f t="shared" si="15"/>
        <v>0</v>
      </c>
      <c r="J220" s="42" t="str">
        <f t="shared" si="16"/>
        <v/>
      </c>
      <c r="K220" s="43" t="str">
        <f>IF(AND(B220="",C220=""),"",IF(OR(B220="",C220="",D220="",F220="",G220=""),"EKSİK",IF(COUNTIF(MUSTERILER!$B$7:$B$156,B220)=0,"TANIMSIZ MÜŞTERİ","UYGUN")))</f>
        <v/>
      </c>
      <c r="L220" s="43" t="str">
        <f t="shared" si="17"/>
        <v/>
      </c>
      <c r="M220" s="96"/>
      <c r="N220" s="22" t="str">
        <f>IF(B220="","",IF(E220="",SISTEM!$C$17,MIN(E220,SISTEM!$C$17)))</f>
        <v/>
      </c>
      <c r="O220" s="22" t="str">
        <f t="shared" si="18"/>
        <v/>
      </c>
      <c r="P220" s="22">
        <f t="shared" si="19"/>
        <v>0</v>
      </c>
    </row>
    <row r="221" spans="1:16" ht="17">
      <c r="A221" s="6"/>
      <c r="B221" s="95"/>
      <c r="C221" s="96"/>
      <c r="D221" s="97"/>
      <c r="E221" s="97"/>
      <c r="F221" s="96"/>
      <c r="G221" s="98"/>
      <c r="H221" s="41" t="str">
        <f>IF(OR(B221="",D221="",F221="",G221=""),"",IF(AND(E221&lt;&gt;"",E221&lt;SISTEM!$C$17),"Pasif","Aktif"))</f>
        <v/>
      </c>
      <c r="I221" s="74">
        <f t="shared" si="15"/>
        <v>0</v>
      </c>
      <c r="J221" s="42" t="str">
        <f t="shared" si="16"/>
        <v/>
      </c>
      <c r="K221" s="43" t="str">
        <f>IF(AND(B221="",C221=""),"",IF(OR(B221="",C221="",D221="",F221="",G221=""),"EKSİK",IF(COUNTIF(MUSTERILER!$B$7:$B$156,B221)=0,"TANIMSIZ MÜŞTERİ","UYGUN")))</f>
        <v/>
      </c>
      <c r="L221" s="43" t="str">
        <f t="shared" si="17"/>
        <v/>
      </c>
      <c r="M221" s="96"/>
      <c r="N221" s="22" t="str">
        <f>IF(B221="","",IF(E221="",SISTEM!$C$17,MIN(E221,SISTEM!$C$17)))</f>
        <v/>
      </c>
      <c r="O221" s="22" t="str">
        <f t="shared" si="18"/>
        <v/>
      </c>
      <c r="P221" s="22">
        <f t="shared" si="19"/>
        <v>0</v>
      </c>
    </row>
    <row r="222" spans="1:16" ht="17">
      <c r="A222" s="6"/>
      <c r="B222" s="95"/>
      <c r="C222" s="96"/>
      <c r="D222" s="97"/>
      <c r="E222" s="97"/>
      <c r="F222" s="96"/>
      <c r="G222" s="98"/>
      <c r="H222" s="41" t="str">
        <f>IF(OR(B222="",D222="",F222="",G222=""),"",IF(AND(E222&lt;&gt;"",E222&lt;SISTEM!$C$17),"Pasif","Aktif"))</f>
        <v/>
      </c>
      <c r="I222" s="74">
        <f t="shared" si="15"/>
        <v>0</v>
      </c>
      <c r="J222" s="42" t="str">
        <f t="shared" si="16"/>
        <v/>
      </c>
      <c r="K222" s="43" t="str">
        <f>IF(AND(B222="",C222=""),"",IF(OR(B222="",C222="",D222="",F222="",G222=""),"EKSİK",IF(COUNTIF(MUSTERILER!$B$7:$B$156,B222)=0,"TANIMSIZ MÜŞTERİ","UYGUN")))</f>
        <v/>
      </c>
      <c r="L222" s="43" t="str">
        <f t="shared" si="17"/>
        <v/>
      </c>
      <c r="M222" s="96"/>
      <c r="N222" s="22" t="str">
        <f>IF(B222="","",IF(E222="",SISTEM!$C$17,MIN(E222,SISTEM!$C$17)))</f>
        <v/>
      </c>
      <c r="O222" s="22" t="str">
        <f t="shared" si="18"/>
        <v/>
      </c>
      <c r="P222" s="22">
        <f t="shared" si="19"/>
        <v>0</v>
      </c>
    </row>
    <row r="223" spans="1:16" ht="17">
      <c r="A223" s="6"/>
      <c r="B223" s="95"/>
      <c r="C223" s="96"/>
      <c r="D223" s="97"/>
      <c r="E223" s="97"/>
      <c r="F223" s="96"/>
      <c r="G223" s="98"/>
      <c r="H223" s="41" t="str">
        <f>IF(OR(B223="",D223="",F223="",G223=""),"",IF(AND(E223&lt;&gt;"",E223&lt;SISTEM!$C$17),"Pasif","Aktif"))</f>
        <v/>
      </c>
      <c r="I223" s="74">
        <f t="shared" si="15"/>
        <v>0</v>
      </c>
      <c r="J223" s="42" t="str">
        <f t="shared" si="16"/>
        <v/>
      </c>
      <c r="K223" s="43" t="str">
        <f>IF(AND(B223="",C223=""),"",IF(OR(B223="",C223="",D223="",F223="",G223=""),"EKSİK",IF(COUNTIF(MUSTERILER!$B$7:$B$156,B223)=0,"TANIMSIZ MÜŞTERİ","UYGUN")))</f>
        <v/>
      </c>
      <c r="L223" s="43" t="str">
        <f t="shared" si="17"/>
        <v/>
      </c>
      <c r="M223" s="96"/>
      <c r="N223" s="22" t="str">
        <f>IF(B223="","",IF(E223="",SISTEM!$C$17,MIN(E223,SISTEM!$C$17)))</f>
        <v/>
      </c>
      <c r="O223" s="22" t="str">
        <f t="shared" si="18"/>
        <v/>
      </c>
      <c r="P223" s="22">
        <f t="shared" si="19"/>
        <v>0</v>
      </c>
    </row>
    <row r="224" spans="1:16" ht="17">
      <c r="A224" s="6"/>
      <c r="B224" s="95"/>
      <c r="C224" s="96"/>
      <c r="D224" s="97"/>
      <c r="E224" s="97"/>
      <c r="F224" s="96"/>
      <c r="G224" s="98"/>
      <c r="H224" s="41" t="str">
        <f>IF(OR(B224="",D224="",F224="",G224=""),"",IF(AND(E224&lt;&gt;"",E224&lt;SISTEM!$C$17),"Pasif","Aktif"))</f>
        <v/>
      </c>
      <c r="I224" s="74">
        <f t="shared" si="15"/>
        <v>0</v>
      </c>
      <c r="J224" s="42" t="str">
        <f t="shared" si="16"/>
        <v/>
      </c>
      <c r="K224" s="43" t="str">
        <f>IF(AND(B224="",C224=""),"",IF(OR(B224="",C224="",D224="",F224="",G224=""),"EKSİK",IF(COUNTIF(MUSTERILER!$B$7:$B$156,B224)=0,"TANIMSIZ MÜŞTERİ","UYGUN")))</f>
        <v/>
      </c>
      <c r="L224" s="43" t="str">
        <f t="shared" si="17"/>
        <v/>
      </c>
      <c r="M224" s="96"/>
      <c r="N224" s="22" t="str">
        <f>IF(B224="","",IF(E224="",SISTEM!$C$17,MIN(E224,SISTEM!$C$17)))</f>
        <v/>
      </c>
      <c r="O224" s="22" t="str">
        <f t="shared" si="18"/>
        <v/>
      </c>
      <c r="P224" s="22">
        <f t="shared" si="19"/>
        <v>0</v>
      </c>
    </row>
    <row r="225" spans="1:16" ht="17">
      <c r="A225" s="6"/>
      <c r="B225" s="95"/>
      <c r="C225" s="96"/>
      <c r="D225" s="97"/>
      <c r="E225" s="97"/>
      <c r="F225" s="96"/>
      <c r="G225" s="98"/>
      <c r="H225" s="41" t="str">
        <f>IF(OR(B225="",D225="",F225="",G225=""),"",IF(AND(E225&lt;&gt;"",E225&lt;SISTEM!$C$17),"Pasif","Aktif"))</f>
        <v/>
      </c>
      <c r="I225" s="74">
        <f t="shared" si="15"/>
        <v>0</v>
      </c>
      <c r="J225" s="42" t="str">
        <f t="shared" si="16"/>
        <v/>
      </c>
      <c r="K225" s="43" t="str">
        <f>IF(AND(B225="",C225=""),"",IF(OR(B225="",C225="",D225="",F225="",G225=""),"EKSİK",IF(COUNTIF(MUSTERILER!$B$7:$B$156,B225)=0,"TANIMSIZ MÜŞTERİ","UYGUN")))</f>
        <v/>
      </c>
      <c r="L225" s="43" t="str">
        <f t="shared" si="17"/>
        <v/>
      </c>
      <c r="M225" s="96"/>
      <c r="N225" s="22" t="str">
        <f>IF(B225="","",IF(E225="",SISTEM!$C$17,MIN(E225,SISTEM!$C$17)))</f>
        <v/>
      </c>
      <c r="O225" s="22" t="str">
        <f t="shared" si="18"/>
        <v/>
      </c>
      <c r="P225" s="22">
        <f t="shared" si="19"/>
        <v>0</v>
      </c>
    </row>
    <row r="226" spans="1:16" ht="17">
      <c r="A226" s="6"/>
      <c r="B226" s="95"/>
      <c r="C226" s="96"/>
      <c r="D226" s="97"/>
      <c r="E226" s="97"/>
      <c r="F226" s="96"/>
      <c r="G226" s="98"/>
      <c r="H226" s="41" t="str">
        <f>IF(OR(B226="",D226="",F226="",G226=""),"",IF(AND(E226&lt;&gt;"",E226&lt;SISTEM!$C$17),"Pasif","Aktif"))</f>
        <v/>
      </c>
      <c r="I226" s="74">
        <f t="shared" si="15"/>
        <v>0</v>
      </c>
      <c r="J226" s="42" t="str">
        <f t="shared" si="16"/>
        <v/>
      </c>
      <c r="K226" s="43" t="str">
        <f>IF(AND(B226="",C226=""),"",IF(OR(B226="",C226="",D226="",F226="",G226=""),"EKSİK",IF(COUNTIF(MUSTERILER!$B$7:$B$156,B226)=0,"TANIMSIZ MÜŞTERİ","UYGUN")))</f>
        <v/>
      </c>
      <c r="L226" s="43" t="str">
        <f t="shared" si="17"/>
        <v/>
      </c>
      <c r="M226" s="96"/>
      <c r="N226" s="22" t="str">
        <f>IF(B226="","",IF(E226="",SISTEM!$C$17,MIN(E226,SISTEM!$C$17)))</f>
        <v/>
      </c>
      <c r="O226" s="22" t="str">
        <f t="shared" si="18"/>
        <v/>
      </c>
      <c r="P226" s="22">
        <f t="shared" si="19"/>
        <v>0</v>
      </c>
    </row>
    <row r="227" spans="1:16" ht="17">
      <c r="A227" s="6"/>
      <c r="B227" s="95"/>
      <c r="C227" s="96"/>
      <c r="D227" s="97"/>
      <c r="E227" s="97"/>
      <c r="F227" s="96"/>
      <c r="G227" s="98"/>
      <c r="H227" s="41" t="str">
        <f>IF(OR(B227="",D227="",F227="",G227=""),"",IF(AND(E227&lt;&gt;"",E227&lt;SISTEM!$C$17),"Pasif","Aktif"))</f>
        <v/>
      </c>
      <c r="I227" s="74">
        <f t="shared" si="15"/>
        <v>0</v>
      </c>
      <c r="J227" s="42" t="str">
        <f t="shared" si="16"/>
        <v/>
      </c>
      <c r="K227" s="43" t="str">
        <f>IF(AND(B227="",C227=""),"",IF(OR(B227="",C227="",D227="",F227="",G227=""),"EKSİK",IF(COUNTIF(MUSTERILER!$B$7:$B$156,B227)=0,"TANIMSIZ MÜŞTERİ","UYGUN")))</f>
        <v/>
      </c>
      <c r="L227" s="43" t="str">
        <f t="shared" si="17"/>
        <v/>
      </c>
      <c r="M227" s="96"/>
      <c r="N227" s="22" t="str">
        <f>IF(B227="","",IF(E227="",SISTEM!$C$17,MIN(E227,SISTEM!$C$17)))</f>
        <v/>
      </c>
      <c r="O227" s="22" t="str">
        <f t="shared" si="18"/>
        <v/>
      </c>
      <c r="P227" s="22">
        <f t="shared" si="19"/>
        <v>0</v>
      </c>
    </row>
    <row r="228" spans="1:16" ht="17">
      <c r="A228" s="6"/>
      <c r="B228" s="95"/>
      <c r="C228" s="96"/>
      <c r="D228" s="97"/>
      <c r="E228" s="97"/>
      <c r="F228" s="96"/>
      <c r="G228" s="98"/>
      <c r="H228" s="41" t="str">
        <f>IF(OR(B228="",D228="",F228="",G228=""),"",IF(AND(E228&lt;&gt;"",E228&lt;SISTEM!$C$17),"Pasif","Aktif"))</f>
        <v/>
      </c>
      <c r="I228" s="74">
        <f t="shared" si="15"/>
        <v>0</v>
      </c>
      <c r="J228" s="42" t="str">
        <f t="shared" si="16"/>
        <v/>
      </c>
      <c r="K228" s="43" t="str">
        <f>IF(AND(B228="",C228=""),"",IF(OR(B228="",C228="",D228="",F228="",G228=""),"EKSİK",IF(COUNTIF(MUSTERILER!$B$7:$B$156,B228)=0,"TANIMSIZ MÜŞTERİ","UYGUN")))</f>
        <v/>
      </c>
      <c r="L228" s="43" t="str">
        <f t="shared" si="17"/>
        <v/>
      </c>
      <c r="M228" s="96"/>
      <c r="N228" s="22" t="str">
        <f>IF(B228="","",IF(E228="",SISTEM!$C$17,MIN(E228,SISTEM!$C$17)))</f>
        <v/>
      </c>
      <c r="O228" s="22" t="str">
        <f t="shared" si="18"/>
        <v/>
      </c>
      <c r="P228" s="22">
        <f t="shared" si="19"/>
        <v>0</v>
      </c>
    </row>
    <row r="229" spans="1:16" ht="17">
      <c r="A229" s="6"/>
      <c r="B229" s="95"/>
      <c r="C229" s="96"/>
      <c r="D229" s="97"/>
      <c r="E229" s="97"/>
      <c r="F229" s="96"/>
      <c r="G229" s="98"/>
      <c r="H229" s="41" t="str">
        <f>IF(OR(B229="",D229="",F229="",G229=""),"",IF(AND(E229&lt;&gt;"",E229&lt;SISTEM!$C$17),"Pasif","Aktif"))</f>
        <v/>
      </c>
      <c r="I229" s="74">
        <f t="shared" si="15"/>
        <v>0</v>
      </c>
      <c r="J229" s="42" t="str">
        <f t="shared" si="16"/>
        <v/>
      </c>
      <c r="K229" s="43" t="str">
        <f>IF(AND(B229="",C229=""),"",IF(OR(B229="",C229="",D229="",F229="",G229=""),"EKSİK",IF(COUNTIF(MUSTERILER!$B$7:$B$156,B229)=0,"TANIMSIZ MÜŞTERİ","UYGUN")))</f>
        <v/>
      </c>
      <c r="L229" s="43" t="str">
        <f t="shared" si="17"/>
        <v/>
      </c>
      <c r="M229" s="96"/>
      <c r="N229" s="22" t="str">
        <f>IF(B229="","",IF(E229="",SISTEM!$C$17,MIN(E229,SISTEM!$C$17)))</f>
        <v/>
      </c>
      <c r="O229" s="22" t="str">
        <f t="shared" si="18"/>
        <v/>
      </c>
      <c r="P229" s="22">
        <f t="shared" si="19"/>
        <v>0</v>
      </c>
    </row>
    <row r="230" spans="1:16" ht="17">
      <c r="A230" s="6"/>
      <c r="B230" s="95"/>
      <c r="C230" s="96"/>
      <c r="D230" s="97"/>
      <c r="E230" s="97"/>
      <c r="F230" s="96"/>
      <c r="G230" s="98"/>
      <c r="H230" s="41" t="str">
        <f>IF(OR(B230="",D230="",F230="",G230=""),"",IF(AND(E230&lt;&gt;"",E230&lt;SISTEM!$C$17),"Pasif","Aktif"))</f>
        <v/>
      </c>
      <c r="I230" s="74">
        <f t="shared" si="15"/>
        <v>0</v>
      </c>
      <c r="J230" s="42" t="str">
        <f t="shared" si="16"/>
        <v/>
      </c>
      <c r="K230" s="43" t="str">
        <f>IF(AND(B230="",C230=""),"",IF(OR(B230="",C230="",D230="",F230="",G230=""),"EKSİK",IF(COUNTIF(MUSTERILER!$B$7:$B$156,B230)=0,"TANIMSIZ MÜŞTERİ","UYGUN")))</f>
        <v/>
      </c>
      <c r="L230" s="43" t="str">
        <f t="shared" si="17"/>
        <v/>
      </c>
      <c r="M230" s="96"/>
      <c r="N230" s="22" t="str">
        <f>IF(B230="","",IF(E230="",SISTEM!$C$17,MIN(E230,SISTEM!$C$17)))</f>
        <v/>
      </c>
      <c r="O230" s="22" t="str">
        <f t="shared" si="18"/>
        <v/>
      </c>
      <c r="P230" s="22">
        <f t="shared" si="19"/>
        <v>0</v>
      </c>
    </row>
    <row r="231" spans="1:16" ht="17">
      <c r="A231" s="6"/>
      <c r="B231" s="95"/>
      <c r="C231" s="96"/>
      <c r="D231" s="97"/>
      <c r="E231" s="97"/>
      <c r="F231" s="96"/>
      <c r="G231" s="98"/>
      <c r="H231" s="41" t="str">
        <f>IF(OR(B231="",D231="",F231="",G231=""),"",IF(AND(E231&lt;&gt;"",E231&lt;SISTEM!$C$17),"Pasif","Aktif"))</f>
        <v/>
      </c>
      <c r="I231" s="74">
        <f t="shared" si="15"/>
        <v>0</v>
      </c>
      <c r="J231" s="42" t="str">
        <f t="shared" si="16"/>
        <v/>
      </c>
      <c r="K231" s="43" t="str">
        <f>IF(AND(B231="",C231=""),"",IF(OR(B231="",C231="",D231="",F231="",G231=""),"EKSİK",IF(COUNTIF(MUSTERILER!$B$7:$B$156,B231)=0,"TANIMSIZ MÜŞTERİ","UYGUN")))</f>
        <v/>
      </c>
      <c r="L231" s="43" t="str">
        <f t="shared" si="17"/>
        <v/>
      </c>
      <c r="M231" s="96"/>
      <c r="N231" s="22" t="str">
        <f>IF(B231="","",IF(E231="",SISTEM!$C$17,MIN(E231,SISTEM!$C$17)))</f>
        <v/>
      </c>
      <c r="O231" s="22" t="str">
        <f t="shared" si="18"/>
        <v/>
      </c>
      <c r="P231" s="22">
        <f t="shared" si="19"/>
        <v>0</v>
      </c>
    </row>
    <row r="232" spans="1:16" ht="17">
      <c r="A232" s="6"/>
      <c r="B232" s="95"/>
      <c r="C232" s="96"/>
      <c r="D232" s="97"/>
      <c r="E232" s="97"/>
      <c r="F232" s="96"/>
      <c r="G232" s="98"/>
      <c r="H232" s="41" t="str">
        <f>IF(OR(B232="",D232="",F232="",G232=""),"",IF(AND(E232&lt;&gt;"",E232&lt;SISTEM!$C$17),"Pasif","Aktif"))</f>
        <v/>
      </c>
      <c r="I232" s="74">
        <f t="shared" si="15"/>
        <v>0</v>
      </c>
      <c r="J232" s="42" t="str">
        <f t="shared" si="16"/>
        <v/>
      </c>
      <c r="K232" s="43" t="str">
        <f>IF(AND(B232="",C232=""),"",IF(OR(B232="",C232="",D232="",F232="",G232=""),"EKSİK",IF(COUNTIF(MUSTERILER!$B$7:$B$156,B232)=0,"TANIMSIZ MÜŞTERİ","UYGUN")))</f>
        <v/>
      </c>
      <c r="L232" s="43" t="str">
        <f t="shared" si="17"/>
        <v/>
      </c>
      <c r="M232" s="96"/>
      <c r="N232" s="22" t="str">
        <f>IF(B232="","",IF(E232="",SISTEM!$C$17,MIN(E232,SISTEM!$C$17)))</f>
        <v/>
      </c>
      <c r="O232" s="22" t="str">
        <f t="shared" si="18"/>
        <v/>
      </c>
      <c r="P232" s="22">
        <f t="shared" si="19"/>
        <v>0</v>
      </c>
    </row>
    <row r="233" spans="1:16" ht="17">
      <c r="A233" s="6"/>
      <c r="B233" s="95"/>
      <c r="C233" s="96"/>
      <c r="D233" s="97"/>
      <c r="E233" s="97"/>
      <c r="F233" s="96"/>
      <c r="G233" s="98"/>
      <c r="H233" s="41" t="str">
        <f>IF(OR(B233="",D233="",F233="",G233=""),"",IF(AND(E233&lt;&gt;"",E233&lt;SISTEM!$C$17),"Pasif","Aktif"))</f>
        <v/>
      </c>
      <c r="I233" s="74">
        <f t="shared" si="15"/>
        <v>0</v>
      </c>
      <c r="J233" s="42" t="str">
        <f t="shared" si="16"/>
        <v/>
      </c>
      <c r="K233" s="43" t="str">
        <f>IF(AND(B233="",C233=""),"",IF(OR(B233="",C233="",D233="",F233="",G233=""),"EKSİK",IF(COUNTIF(MUSTERILER!$B$7:$B$156,B233)=0,"TANIMSIZ MÜŞTERİ","UYGUN")))</f>
        <v/>
      </c>
      <c r="L233" s="43" t="str">
        <f t="shared" si="17"/>
        <v/>
      </c>
      <c r="M233" s="96"/>
      <c r="N233" s="22" t="str">
        <f>IF(B233="","",IF(E233="",SISTEM!$C$17,MIN(E233,SISTEM!$C$17)))</f>
        <v/>
      </c>
      <c r="O233" s="22" t="str">
        <f t="shared" si="18"/>
        <v/>
      </c>
      <c r="P233" s="22">
        <f t="shared" si="19"/>
        <v>0</v>
      </c>
    </row>
    <row r="234" spans="1:16" ht="17">
      <c r="A234" s="6"/>
      <c r="B234" s="95"/>
      <c r="C234" s="96"/>
      <c r="D234" s="97"/>
      <c r="E234" s="97"/>
      <c r="F234" s="96"/>
      <c r="G234" s="98"/>
      <c r="H234" s="41" t="str">
        <f>IF(OR(B234="",D234="",F234="",G234=""),"",IF(AND(E234&lt;&gt;"",E234&lt;SISTEM!$C$17),"Pasif","Aktif"))</f>
        <v/>
      </c>
      <c r="I234" s="74">
        <f t="shared" si="15"/>
        <v>0</v>
      </c>
      <c r="J234" s="42" t="str">
        <f t="shared" si="16"/>
        <v/>
      </c>
      <c r="K234" s="43" t="str">
        <f>IF(AND(B234="",C234=""),"",IF(OR(B234="",C234="",D234="",F234="",G234=""),"EKSİK",IF(COUNTIF(MUSTERILER!$B$7:$B$156,B234)=0,"TANIMSIZ MÜŞTERİ","UYGUN")))</f>
        <v/>
      </c>
      <c r="L234" s="43" t="str">
        <f t="shared" si="17"/>
        <v/>
      </c>
      <c r="M234" s="96"/>
      <c r="N234" s="22" t="str">
        <f>IF(B234="","",IF(E234="",SISTEM!$C$17,MIN(E234,SISTEM!$C$17)))</f>
        <v/>
      </c>
      <c r="O234" s="22" t="str">
        <f t="shared" si="18"/>
        <v/>
      </c>
      <c r="P234" s="22">
        <f t="shared" si="19"/>
        <v>0</v>
      </c>
    </row>
    <row r="235" spans="1:16" ht="17">
      <c r="A235" s="6"/>
      <c r="B235" s="95"/>
      <c r="C235" s="96"/>
      <c r="D235" s="97"/>
      <c r="E235" s="97"/>
      <c r="F235" s="96"/>
      <c r="G235" s="98"/>
      <c r="H235" s="41" t="str">
        <f>IF(OR(B235="",D235="",F235="",G235=""),"",IF(AND(E235&lt;&gt;"",E235&lt;SISTEM!$C$17),"Pasif","Aktif"))</f>
        <v/>
      </c>
      <c r="I235" s="74">
        <f t="shared" si="15"/>
        <v>0</v>
      </c>
      <c r="J235" s="42" t="str">
        <f t="shared" si="16"/>
        <v/>
      </c>
      <c r="K235" s="43" t="str">
        <f>IF(AND(B235="",C235=""),"",IF(OR(B235="",C235="",D235="",F235="",G235=""),"EKSİK",IF(COUNTIF(MUSTERILER!$B$7:$B$156,B235)=0,"TANIMSIZ MÜŞTERİ","UYGUN")))</f>
        <v/>
      </c>
      <c r="L235" s="43" t="str">
        <f t="shared" si="17"/>
        <v/>
      </c>
      <c r="M235" s="96"/>
      <c r="N235" s="22" t="str">
        <f>IF(B235="","",IF(E235="",SISTEM!$C$17,MIN(E235,SISTEM!$C$17)))</f>
        <v/>
      </c>
      <c r="O235" s="22" t="str">
        <f t="shared" si="18"/>
        <v/>
      </c>
      <c r="P235" s="22">
        <f t="shared" si="19"/>
        <v>0</v>
      </c>
    </row>
    <row r="236" spans="1:16" ht="17">
      <c r="A236" s="6"/>
      <c r="B236" s="95"/>
      <c r="C236" s="96"/>
      <c r="D236" s="97"/>
      <c r="E236" s="97"/>
      <c r="F236" s="96"/>
      <c r="G236" s="98"/>
      <c r="H236" s="41" t="str">
        <f>IF(OR(B236="",D236="",F236="",G236=""),"",IF(AND(E236&lt;&gt;"",E236&lt;SISTEM!$C$17),"Pasif","Aktif"))</f>
        <v/>
      </c>
      <c r="I236" s="74">
        <f t="shared" si="15"/>
        <v>0</v>
      </c>
      <c r="J236" s="42" t="str">
        <f t="shared" si="16"/>
        <v/>
      </c>
      <c r="K236" s="43" t="str">
        <f>IF(AND(B236="",C236=""),"",IF(OR(B236="",C236="",D236="",F236="",G236=""),"EKSİK",IF(COUNTIF(MUSTERILER!$B$7:$B$156,B236)=0,"TANIMSIZ MÜŞTERİ","UYGUN")))</f>
        <v/>
      </c>
      <c r="L236" s="43" t="str">
        <f t="shared" si="17"/>
        <v/>
      </c>
      <c r="M236" s="96"/>
      <c r="N236" s="22" t="str">
        <f>IF(B236="","",IF(E236="",SISTEM!$C$17,MIN(E236,SISTEM!$C$17)))</f>
        <v/>
      </c>
      <c r="O236" s="22" t="str">
        <f t="shared" si="18"/>
        <v/>
      </c>
      <c r="P236" s="22">
        <f t="shared" si="19"/>
        <v>0</v>
      </c>
    </row>
    <row r="237" spans="1:16" ht="17">
      <c r="A237" s="6"/>
      <c r="B237" s="95"/>
      <c r="C237" s="96"/>
      <c r="D237" s="97"/>
      <c r="E237" s="97"/>
      <c r="F237" s="96"/>
      <c r="G237" s="98"/>
      <c r="H237" s="41" t="str">
        <f>IF(OR(B237="",D237="",F237="",G237=""),"",IF(AND(E237&lt;&gt;"",E237&lt;SISTEM!$C$17),"Pasif","Aktif"))</f>
        <v/>
      </c>
      <c r="I237" s="74">
        <f t="shared" si="15"/>
        <v>0</v>
      </c>
      <c r="J237" s="42" t="str">
        <f t="shared" si="16"/>
        <v/>
      </c>
      <c r="K237" s="43" t="str">
        <f>IF(AND(B237="",C237=""),"",IF(OR(B237="",C237="",D237="",F237="",G237=""),"EKSİK",IF(COUNTIF(MUSTERILER!$B$7:$B$156,B237)=0,"TANIMSIZ MÜŞTERİ","UYGUN")))</f>
        <v/>
      </c>
      <c r="L237" s="43" t="str">
        <f t="shared" si="17"/>
        <v/>
      </c>
      <c r="M237" s="96"/>
      <c r="N237" s="22" t="str">
        <f>IF(B237="","",IF(E237="",SISTEM!$C$17,MIN(E237,SISTEM!$C$17)))</f>
        <v/>
      </c>
      <c r="O237" s="22" t="str">
        <f t="shared" si="18"/>
        <v/>
      </c>
      <c r="P237" s="22">
        <f t="shared" si="19"/>
        <v>0</v>
      </c>
    </row>
    <row r="238" spans="1:16" ht="17">
      <c r="A238" s="6"/>
      <c r="B238" s="95"/>
      <c r="C238" s="96"/>
      <c r="D238" s="97"/>
      <c r="E238" s="97"/>
      <c r="F238" s="96"/>
      <c r="G238" s="98"/>
      <c r="H238" s="41" t="str">
        <f>IF(OR(B238="",D238="",F238="",G238=""),"",IF(AND(E238&lt;&gt;"",E238&lt;SISTEM!$C$17),"Pasif","Aktif"))</f>
        <v/>
      </c>
      <c r="I238" s="74">
        <f t="shared" si="15"/>
        <v>0</v>
      </c>
      <c r="J238" s="42" t="str">
        <f t="shared" si="16"/>
        <v/>
      </c>
      <c r="K238" s="43" t="str">
        <f>IF(AND(B238="",C238=""),"",IF(OR(B238="",C238="",D238="",F238="",G238=""),"EKSİK",IF(COUNTIF(MUSTERILER!$B$7:$B$156,B238)=0,"TANIMSIZ MÜŞTERİ","UYGUN")))</f>
        <v/>
      </c>
      <c r="L238" s="43" t="str">
        <f t="shared" si="17"/>
        <v/>
      </c>
      <c r="M238" s="96"/>
      <c r="N238" s="22" t="str">
        <f>IF(B238="","",IF(E238="",SISTEM!$C$17,MIN(E238,SISTEM!$C$17)))</f>
        <v/>
      </c>
      <c r="O238" s="22" t="str">
        <f t="shared" si="18"/>
        <v/>
      </c>
      <c r="P238" s="22">
        <f t="shared" si="19"/>
        <v>0</v>
      </c>
    </row>
    <row r="239" spans="1:16" ht="17">
      <c r="A239" s="6"/>
      <c r="B239" s="95"/>
      <c r="C239" s="96"/>
      <c r="D239" s="97"/>
      <c r="E239" s="97"/>
      <c r="F239" s="96"/>
      <c r="G239" s="98"/>
      <c r="H239" s="41" t="str">
        <f>IF(OR(B239="",D239="",F239="",G239=""),"",IF(AND(E239&lt;&gt;"",E239&lt;SISTEM!$C$17),"Pasif","Aktif"))</f>
        <v/>
      </c>
      <c r="I239" s="74">
        <f t="shared" si="15"/>
        <v>0</v>
      </c>
      <c r="J239" s="42" t="str">
        <f t="shared" si="16"/>
        <v/>
      </c>
      <c r="K239" s="43" t="str">
        <f>IF(AND(B239="",C239=""),"",IF(OR(B239="",C239="",D239="",F239="",G239=""),"EKSİK",IF(COUNTIF(MUSTERILER!$B$7:$B$156,B239)=0,"TANIMSIZ MÜŞTERİ","UYGUN")))</f>
        <v/>
      </c>
      <c r="L239" s="43" t="str">
        <f t="shared" si="17"/>
        <v/>
      </c>
      <c r="M239" s="96"/>
      <c r="N239" s="22" t="str">
        <f>IF(B239="","",IF(E239="",SISTEM!$C$17,MIN(E239,SISTEM!$C$17)))</f>
        <v/>
      </c>
      <c r="O239" s="22" t="str">
        <f t="shared" si="18"/>
        <v/>
      </c>
      <c r="P239" s="22">
        <f t="shared" si="19"/>
        <v>0</v>
      </c>
    </row>
    <row r="240" spans="1:16" ht="17">
      <c r="A240" s="6"/>
      <c r="B240" s="95"/>
      <c r="C240" s="96"/>
      <c r="D240" s="97"/>
      <c r="E240" s="97"/>
      <c r="F240" s="96"/>
      <c r="G240" s="98"/>
      <c r="H240" s="41" t="str">
        <f>IF(OR(B240="",D240="",F240="",G240=""),"",IF(AND(E240&lt;&gt;"",E240&lt;SISTEM!$C$17),"Pasif","Aktif"))</f>
        <v/>
      </c>
      <c r="I240" s="74">
        <f t="shared" si="15"/>
        <v>0</v>
      </c>
      <c r="J240" s="42" t="str">
        <f t="shared" si="16"/>
        <v/>
      </c>
      <c r="K240" s="43" t="str">
        <f>IF(AND(B240="",C240=""),"",IF(OR(B240="",C240="",D240="",F240="",G240=""),"EKSİK",IF(COUNTIF(MUSTERILER!$B$7:$B$156,B240)=0,"TANIMSIZ MÜŞTERİ","UYGUN")))</f>
        <v/>
      </c>
      <c r="L240" s="43" t="str">
        <f t="shared" si="17"/>
        <v/>
      </c>
      <c r="M240" s="96"/>
      <c r="N240" s="22" t="str">
        <f>IF(B240="","",IF(E240="",SISTEM!$C$17,MIN(E240,SISTEM!$C$17)))</f>
        <v/>
      </c>
      <c r="O240" s="22" t="str">
        <f t="shared" si="18"/>
        <v/>
      </c>
      <c r="P240" s="22">
        <f t="shared" si="19"/>
        <v>0</v>
      </c>
    </row>
    <row r="241" spans="1:16" ht="17">
      <c r="A241" s="6"/>
      <c r="B241" s="95"/>
      <c r="C241" s="96"/>
      <c r="D241" s="97"/>
      <c r="E241" s="97"/>
      <c r="F241" s="96"/>
      <c r="G241" s="98"/>
      <c r="H241" s="41" t="str">
        <f>IF(OR(B241="",D241="",F241="",G241=""),"",IF(AND(E241&lt;&gt;"",E241&lt;SISTEM!$C$17),"Pasif","Aktif"))</f>
        <v/>
      </c>
      <c r="I241" s="74">
        <f t="shared" si="15"/>
        <v>0</v>
      </c>
      <c r="J241" s="42" t="str">
        <f t="shared" si="16"/>
        <v/>
      </c>
      <c r="K241" s="43" t="str">
        <f>IF(AND(B241="",C241=""),"",IF(OR(B241="",C241="",D241="",F241="",G241=""),"EKSİK",IF(COUNTIF(MUSTERILER!$B$7:$B$156,B241)=0,"TANIMSIZ MÜŞTERİ","UYGUN")))</f>
        <v/>
      </c>
      <c r="L241" s="43" t="str">
        <f t="shared" si="17"/>
        <v/>
      </c>
      <c r="M241" s="96"/>
      <c r="N241" s="22" t="str">
        <f>IF(B241="","",IF(E241="",SISTEM!$C$17,MIN(E241,SISTEM!$C$17)))</f>
        <v/>
      </c>
      <c r="O241" s="22" t="str">
        <f t="shared" si="18"/>
        <v/>
      </c>
      <c r="P241" s="22">
        <f t="shared" si="19"/>
        <v>0</v>
      </c>
    </row>
    <row r="242" spans="1:16" ht="17">
      <c r="A242" s="6"/>
      <c r="B242" s="95"/>
      <c r="C242" s="96"/>
      <c r="D242" s="97"/>
      <c r="E242" s="97"/>
      <c r="F242" s="96"/>
      <c r="G242" s="98"/>
      <c r="H242" s="41" t="str">
        <f>IF(OR(B242="",D242="",F242="",G242=""),"",IF(AND(E242&lt;&gt;"",E242&lt;SISTEM!$C$17),"Pasif","Aktif"))</f>
        <v/>
      </c>
      <c r="I242" s="74">
        <f t="shared" si="15"/>
        <v>0</v>
      </c>
      <c r="J242" s="42" t="str">
        <f t="shared" si="16"/>
        <v/>
      </c>
      <c r="K242" s="43" t="str">
        <f>IF(AND(B242="",C242=""),"",IF(OR(B242="",C242="",D242="",F242="",G242=""),"EKSİK",IF(COUNTIF(MUSTERILER!$B$7:$B$156,B242)=0,"TANIMSIZ MÜŞTERİ","UYGUN")))</f>
        <v/>
      </c>
      <c r="L242" s="43" t="str">
        <f t="shared" si="17"/>
        <v/>
      </c>
      <c r="M242" s="96"/>
      <c r="N242" s="22" t="str">
        <f>IF(B242="","",IF(E242="",SISTEM!$C$17,MIN(E242,SISTEM!$C$17)))</f>
        <v/>
      </c>
      <c r="O242" s="22" t="str">
        <f t="shared" si="18"/>
        <v/>
      </c>
      <c r="P242" s="22">
        <f t="shared" si="19"/>
        <v>0</v>
      </c>
    </row>
    <row r="243" spans="1:16" ht="17">
      <c r="A243" s="6"/>
      <c r="B243" s="95"/>
      <c r="C243" s="96"/>
      <c r="D243" s="97"/>
      <c r="E243" s="97"/>
      <c r="F243" s="96"/>
      <c r="G243" s="98"/>
      <c r="H243" s="41" t="str">
        <f>IF(OR(B243="",D243="",F243="",G243=""),"",IF(AND(E243&lt;&gt;"",E243&lt;SISTEM!$C$17),"Pasif","Aktif"))</f>
        <v/>
      </c>
      <c r="I243" s="74">
        <f t="shared" si="15"/>
        <v>0</v>
      </c>
      <c r="J243" s="42" t="str">
        <f t="shared" si="16"/>
        <v/>
      </c>
      <c r="K243" s="43" t="str">
        <f>IF(AND(B243="",C243=""),"",IF(OR(B243="",C243="",D243="",F243="",G243=""),"EKSİK",IF(COUNTIF(MUSTERILER!$B$7:$B$156,B243)=0,"TANIMSIZ MÜŞTERİ","UYGUN")))</f>
        <v/>
      </c>
      <c r="L243" s="43" t="str">
        <f t="shared" si="17"/>
        <v/>
      </c>
      <c r="M243" s="96"/>
      <c r="N243" s="22" t="str">
        <f>IF(B243="","",IF(E243="",SISTEM!$C$17,MIN(E243,SISTEM!$C$17)))</f>
        <v/>
      </c>
      <c r="O243" s="22" t="str">
        <f t="shared" si="18"/>
        <v/>
      </c>
      <c r="P243" s="22">
        <f t="shared" si="19"/>
        <v>0</v>
      </c>
    </row>
    <row r="244" spans="1:16" ht="17">
      <c r="A244" s="6"/>
      <c r="B244" s="95"/>
      <c r="C244" s="96"/>
      <c r="D244" s="97"/>
      <c r="E244" s="97"/>
      <c r="F244" s="96"/>
      <c r="G244" s="98"/>
      <c r="H244" s="41" t="str">
        <f>IF(OR(B244="",D244="",F244="",G244=""),"",IF(AND(E244&lt;&gt;"",E244&lt;SISTEM!$C$17),"Pasif","Aktif"))</f>
        <v/>
      </c>
      <c r="I244" s="74">
        <f t="shared" si="15"/>
        <v>0</v>
      </c>
      <c r="J244" s="42" t="str">
        <f t="shared" si="16"/>
        <v/>
      </c>
      <c r="K244" s="43" t="str">
        <f>IF(AND(B244="",C244=""),"",IF(OR(B244="",C244="",D244="",F244="",G244=""),"EKSİK",IF(COUNTIF(MUSTERILER!$B$7:$B$156,B244)=0,"TANIMSIZ MÜŞTERİ","UYGUN")))</f>
        <v/>
      </c>
      <c r="L244" s="43" t="str">
        <f t="shared" si="17"/>
        <v/>
      </c>
      <c r="M244" s="96"/>
      <c r="N244" s="22" t="str">
        <f>IF(B244="","",IF(E244="",SISTEM!$C$17,MIN(E244,SISTEM!$C$17)))</f>
        <v/>
      </c>
      <c r="O244" s="22" t="str">
        <f t="shared" si="18"/>
        <v/>
      </c>
      <c r="P244" s="22">
        <f t="shared" si="19"/>
        <v>0</v>
      </c>
    </row>
    <row r="245" spans="1:16" ht="17">
      <c r="A245" s="6"/>
      <c r="B245" s="95"/>
      <c r="C245" s="96"/>
      <c r="D245" s="97"/>
      <c r="E245" s="97"/>
      <c r="F245" s="96"/>
      <c r="G245" s="98"/>
      <c r="H245" s="41" t="str">
        <f>IF(OR(B245="",D245="",F245="",G245=""),"",IF(AND(E245&lt;&gt;"",E245&lt;SISTEM!$C$17),"Pasif","Aktif"))</f>
        <v/>
      </c>
      <c r="I245" s="74">
        <f t="shared" si="15"/>
        <v>0</v>
      </c>
      <c r="J245" s="42" t="str">
        <f t="shared" si="16"/>
        <v/>
      </c>
      <c r="K245" s="43" t="str">
        <f>IF(AND(B245="",C245=""),"",IF(OR(B245="",C245="",D245="",F245="",G245=""),"EKSİK",IF(COUNTIF(MUSTERILER!$B$7:$B$156,B245)=0,"TANIMSIZ MÜŞTERİ","UYGUN")))</f>
        <v/>
      </c>
      <c r="L245" s="43" t="str">
        <f t="shared" si="17"/>
        <v/>
      </c>
      <c r="M245" s="96"/>
      <c r="N245" s="22" t="str">
        <f>IF(B245="","",IF(E245="",SISTEM!$C$17,MIN(E245,SISTEM!$C$17)))</f>
        <v/>
      </c>
      <c r="O245" s="22" t="str">
        <f t="shared" si="18"/>
        <v/>
      </c>
      <c r="P245" s="22">
        <f t="shared" si="19"/>
        <v>0</v>
      </c>
    </row>
    <row r="246" spans="1:16" ht="17">
      <c r="A246" s="6"/>
      <c r="B246" s="95"/>
      <c r="C246" s="96"/>
      <c r="D246" s="97"/>
      <c r="E246" s="97"/>
      <c r="F246" s="96"/>
      <c r="G246" s="98"/>
      <c r="H246" s="41" t="str">
        <f>IF(OR(B246="",D246="",F246="",G246=""),"",IF(AND(E246&lt;&gt;"",E246&lt;SISTEM!$C$17),"Pasif","Aktif"))</f>
        <v/>
      </c>
      <c r="I246" s="74">
        <f t="shared" si="15"/>
        <v>0</v>
      </c>
      <c r="J246" s="42" t="str">
        <f t="shared" si="16"/>
        <v/>
      </c>
      <c r="K246" s="43" t="str">
        <f>IF(AND(B246="",C246=""),"",IF(OR(B246="",C246="",D246="",F246="",G246=""),"EKSİK",IF(COUNTIF(MUSTERILER!$B$7:$B$156,B246)=0,"TANIMSIZ MÜŞTERİ","UYGUN")))</f>
        <v/>
      </c>
      <c r="L246" s="43" t="str">
        <f t="shared" si="17"/>
        <v/>
      </c>
      <c r="M246" s="96"/>
      <c r="N246" s="22" t="str">
        <f>IF(B246="","",IF(E246="",SISTEM!$C$17,MIN(E246,SISTEM!$C$17)))</f>
        <v/>
      </c>
      <c r="O246" s="22" t="str">
        <f t="shared" si="18"/>
        <v/>
      </c>
      <c r="P246" s="22">
        <f t="shared" si="19"/>
        <v>0</v>
      </c>
    </row>
    <row r="247" spans="1:16" ht="17">
      <c r="A247" s="6"/>
      <c r="B247" s="95"/>
      <c r="C247" s="96"/>
      <c r="D247" s="97"/>
      <c r="E247" s="97"/>
      <c r="F247" s="96"/>
      <c r="G247" s="98"/>
      <c r="H247" s="41" t="str">
        <f>IF(OR(B247="",D247="",F247="",G247=""),"",IF(AND(E247&lt;&gt;"",E247&lt;SISTEM!$C$17),"Pasif","Aktif"))</f>
        <v/>
      </c>
      <c r="I247" s="74">
        <f t="shared" si="15"/>
        <v>0</v>
      </c>
      <c r="J247" s="42" t="str">
        <f t="shared" si="16"/>
        <v/>
      </c>
      <c r="K247" s="43" t="str">
        <f>IF(AND(B247="",C247=""),"",IF(OR(B247="",C247="",D247="",F247="",G247=""),"EKSİK",IF(COUNTIF(MUSTERILER!$B$7:$B$156,B247)=0,"TANIMSIZ MÜŞTERİ","UYGUN")))</f>
        <v/>
      </c>
      <c r="L247" s="43" t="str">
        <f t="shared" si="17"/>
        <v/>
      </c>
      <c r="M247" s="96"/>
      <c r="N247" s="22" t="str">
        <f>IF(B247="","",IF(E247="",SISTEM!$C$17,MIN(E247,SISTEM!$C$17)))</f>
        <v/>
      </c>
      <c r="O247" s="22" t="str">
        <f t="shared" si="18"/>
        <v/>
      </c>
      <c r="P247" s="22">
        <f t="shared" si="19"/>
        <v>0</v>
      </c>
    </row>
    <row r="248" spans="1:16" ht="17">
      <c r="A248" s="6"/>
      <c r="B248" s="95"/>
      <c r="C248" s="96"/>
      <c r="D248" s="97"/>
      <c r="E248" s="97"/>
      <c r="F248" s="96"/>
      <c r="G248" s="98"/>
      <c r="H248" s="41" t="str">
        <f>IF(OR(B248="",D248="",F248="",G248=""),"",IF(AND(E248&lt;&gt;"",E248&lt;SISTEM!$C$17),"Pasif","Aktif"))</f>
        <v/>
      </c>
      <c r="I248" s="74">
        <f t="shared" si="15"/>
        <v>0</v>
      </c>
      <c r="J248" s="42" t="str">
        <f t="shared" si="16"/>
        <v/>
      </c>
      <c r="K248" s="43" t="str">
        <f>IF(AND(B248="",C248=""),"",IF(OR(B248="",C248="",D248="",F248="",G248=""),"EKSİK",IF(COUNTIF(MUSTERILER!$B$7:$B$156,B248)=0,"TANIMSIZ MÜŞTERİ","UYGUN")))</f>
        <v/>
      </c>
      <c r="L248" s="43" t="str">
        <f t="shared" si="17"/>
        <v/>
      </c>
      <c r="M248" s="96"/>
      <c r="N248" s="22" t="str">
        <f>IF(B248="","",IF(E248="",SISTEM!$C$17,MIN(E248,SISTEM!$C$17)))</f>
        <v/>
      </c>
      <c r="O248" s="22" t="str">
        <f t="shared" si="18"/>
        <v/>
      </c>
      <c r="P248" s="22">
        <f t="shared" si="19"/>
        <v>0</v>
      </c>
    </row>
    <row r="249" spans="1:16" ht="17">
      <c r="A249" s="6"/>
      <c r="B249" s="95"/>
      <c r="C249" s="96"/>
      <c r="D249" s="97"/>
      <c r="E249" s="97"/>
      <c r="F249" s="96"/>
      <c r="G249" s="98"/>
      <c r="H249" s="41" t="str">
        <f>IF(OR(B249="",D249="",F249="",G249=""),"",IF(AND(E249&lt;&gt;"",E249&lt;SISTEM!$C$17),"Pasif","Aktif"))</f>
        <v/>
      </c>
      <c r="I249" s="74">
        <f t="shared" si="15"/>
        <v>0</v>
      </c>
      <c r="J249" s="42" t="str">
        <f t="shared" si="16"/>
        <v/>
      </c>
      <c r="K249" s="43" t="str">
        <f>IF(AND(B249="",C249=""),"",IF(OR(B249="",C249="",D249="",F249="",G249=""),"EKSİK",IF(COUNTIF(MUSTERILER!$B$7:$B$156,B249)=0,"TANIMSIZ MÜŞTERİ","UYGUN")))</f>
        <v/>
      </c>
      <c r="L249" s="43" t="str">
        <f t="shared" si="17"/>
        <v/>
      </c>
      <c r="M249" s="96"/>
      <c r="N249" s="22" t="str">
        <f>IF(B249="","",IF(E249="",SISTEM!$C$17,MIN(E249,SISTEM!$C$17)))</f>
        <v/>
      </c>
      <c r="O249" s="22" t="str">
        <f t="shared" si="18"/>
        <v/>
      </c>
      <c r="P249" s="22">
        <f t="shared" si="19"/>
        <v>0</v>
      </c>
    </row>
    <row r="250" spans="1:16" ht="17">
      <c r="A250" s="6"/>
      <c r="B250" s="95"/>
      <c r="C250" s="96"/>
      <c r="D250" s="97"/>
      <c r="E250" s="97"/>
      <c r="F250" s="96"/>
      <c r="G250" s="98"/>
      <c r="H250" s="41" t="str">
        <f>IF(OR(B250="",D250="",F250="",G250=""),"",IF(AND(E250&lt;&gt;"",E250&lt;SISTEM!$C$17),"Pasif","Aktif"))</f>
        <v/>
      </c>
      <c r="I250" s="74">
        <f t="shared" si="15"/>
        <v>0</v>
      </c>
      <c r="J250" s="42" t="str">
        <f t="shared" si="16"/>
        <v/>
      </c>
      <c r="K250" s="43" t="str">
        <f>IF(AND(B250="",C250=""),"",IF(OR(B250="",C250="",D250="",F250="",G250=""),"EKSİK",IF(COUNTIF(MUSTERILER!$B$7:$B$156,B250)=0,"TANIMSIZ MÜŞTERİ","UYGUN")))</f>
        <v/>
      </c>
      <c r="L250" s="43" t="str">
        <f t="shared" si="17"/>
        <v/>
      </c>
      <c r="M250" s="96"/>
      <c r="N250" s="22" t="str">
        <f>IF(B250="","",IF(E250="",SISTEM!$C$17,MIN(E250,SISTEM!$C$17)))</f>
        <v/>
      </c>
      <c r="O250" s="22" t="str">
        <f t="shared" si="18"/>
        <v/>
      </c>
      <c r="P250" s="22">
        <f t="shared" si="19"/>
        <v>0</v>
      </c>
    </row>
    <row r="251" spans="1:16" ht="17">
      <c r="A251" s="6"/>
      <c r="B251" s="95"/>
      <c r="C251" s="96"/>
      <c r="D251" s="97"/>
      <c r="E251" s="97"/>
      <c r="F251" s="96"/>
      <c r="G251" s="98"/>
      <c r="H251" s="41" t="str">
        <f>IF(OR(B251="",D251="",F251="",G251=""),"",IF(AND(E251&lt;&gt;"",E251&lt;SISTEM!$C$17),"Pasif","Aktif"))</f>
        <v/>
      </c>
      <c r="I251" s="74">
        <f t="shared" si="15"/>
        <v>0</v>
      </c>
      <c r="J251" s="42" t="str">
        <f t="shared" si="16"/>
        <v/>
      </c>
      <c r="K251" s="43" t="str">
        <f>IF(AND(B251="",C251=""),"",IF(OR(B251="",C251="",D251="",F251="",G251=""),"EKSİK",IF(COUNTIF(MUSTERILER!$B$7:$B$156,B251)=0,"TANIMSIZ MÜŞTERİ","UYGUN")))</f>
        <v/>
      </c>
      <c r="L251" s="43" t="str">
        <f t="shared" si="17"/>
        <v/>
      </c>
      <c r="M251" s="96"/>
      <c r="N251" s="22" t="str">
        <f>IF(B251="","",IF(E251="",SISTEM!$C$17,MIN(E251,SISTEM!$C$17)))</f>
        <v/>
      </c>
      <c r="O251" s="22" t="str">
        <f t="shared" si="18"/>
        <v/>
      </c>
      <c r="P251" s="22">
        <f t="shared" si="19"/>
        <v>0</v>
      </c>
    </row>
    <row r="252" spans="1:16" ht="17">
      <c r="A252" s="6"/>
      <c r="B252" s="95"/>
      <c r="C252" s="96"/>
      <c r="D252" s="97"/>
      <c r="E252" s="97"/>
      <c r="F252" s="96"/>
      <c r="G252" s="98"/>
      <c r="H252" s="41" t="str">
        <f>IF(OR(B252="",D252="",F252="",G252=""),"",IF(AND(E252&lt;&gt;"",E252&lt;SISTEM!$C$17),"Pasif","Aktif"))</f>
        <v/>
      </c>
      <c r="I252" s="74">
        <f t="shared" si="15"/>
        <v>0</v>
      </c>
      <c r="J252" s="42" t="str">
        <f t="shared" si="16"/>
        <v/>
      </c>
      <c r="K252" s="43" t="str">
        <f>IF(AND(B252="",C252=""),"",IF(OR(B252="",C252="",D252="",F252="",G252=""),"EKSİK",IF(COUNTIF(MUSTERILER!$B$7:$B$156,B252)=0,"TANIMSIZ MÜŞTERİ","UYGUN")))</f>
        <v/>
      </c>
      <c r="L252" s="43" t="str">
        <f t="shared" si="17"/>
        <v/>
      </c>
      <c r="M252" s="96"/>
      <c r="N252" s="22" t="str">
        <f>IF(B252="","",IF(E252="",SISTEM!$C$17,MIN(E252,SISTEM!$C$17)))</f>
        <v/>
      </c>
      <c r="O252" s="22" t="str">
        <f t="shared" si="18"/>
        <v/>
      </c>
      <c r="P252" s="22">
        <f t="shared" si="19"/>
        <v>0</v>
      </c>
    </row>
    <row r="253" spans="1:16" ht="17">
      <c r="A253" s="6"/>
      <c r="B253" s="95"/>
      <c r="C253" s="96"/>
      <c r="D253" s="97"/>
      <c r="E253" s="97"/>
      <c r="F253" s="96"/>
      <c r="G253" s="98"/>
      <c r="H253" s="41" t="str">
        <f>IF(OR(B253="",D253="",F253="",G253=""),"",IF(AND(E253&lt;&gt;"",E253&lt;SISTEM!$C$17),"Pasif","Aktif"))</f>
        <v/>
      </c>
      <c r="I253" s="74">
        <f t="shared" si="15"/>
        <v>0</v>
      </c>
      <c r="J253" s="42" t="str">
        <f t="shared" si="16"/>
        <v/>
      </c>
      <c r="K253" s="43" t="str">
        <f>IF(AND(B253="",C253=""),"",IF(OR(B253="",C253="",D253="",F253="",G253=""),"EKSİK",IF(COUNTIF(MUSTERILER!$B$7:$B$156,B253)=0,"TANIMSIZ MÜŞTERİ","UYGUN")))</f>
        <v/>
      </c>
      <c r="L253" s="43" t="str">
        <f t="shared" si="17"/>
        <v/>
      </c>
      <c r="M253" s="96"/>
      <c r="N253" s="22" t="str">
        <f>IF(B253="","",IF(E253="",SISTEM!$C$17,MIN(E253,SISTEM!$C$17)))</f>
        <v/>
      </c>
      <c r="O253" s="22" t="str">
        <f t="shared" si="18"/>
        <v/>
      </c>
      <c r="P253" s="22">
        <f t="shared" si="19"/>
        <v>0</v>
      </c>
    </row>
    <row r="254" spans="1:16" ht="17">
      <c r="A254" s="6"/>
      <c r="B254" s="95"/>
      <c r="C254" s="96"/>
      <c r="D254" s="97"/>
      <c r="E254" s="97"/>
      <c r="F254" s="96"/>
      <c r="G254" s="98"/>
      <c r="H254" s="41" t="str">
        <f>IF(OR(B254="",D254="",F254="",G254=""),"",IF(AND(E254&lt;&gt;"",E254&lt;SISTEM!$C$17),"Pasif","Aktif"))</f>
        <v/>
      </c>
      <c r="I254" s="74">
        <f t="shared" si="15"/>
        <v>0</v>
      </c>
      <c r="J254" s="42" t="str">
        <f t="shared" si="16"/>
        <v/>
      </c>
      <c r="K254" s="43" t="str">
        <f>IF(AND(B254="",C254=""),"",IF(OR(B254="",C254="",D254="",F254="",G254=""),"EKSİK",IF(COUNTIF(MUSTERILER!$B$7:$B$156,B254)=0,"TANIMSIZ MÜŞTERİ","UYGUN")))</f>
        <v/>
      </c>
      <c r="L254" s="43" t="str">
        <f t="shared" si="17"/>
        <v/>
      </c>
      <c r="M254" s="96"/>
      <c r="N254" s="22" t="str">
        <f>IF(B254="","",IF(E254="",SISTEM!$C$17,MIN(E254,SISTEM!$C$17)))</f>
        <v/>
      </c>
      <c r="O254" s="22" t="str">
        <f t="shared" si="18"/>
        <v/>
      </c>
      <c r="P254" s="22">
        <f t="shared" si="19"/>
        <v>0</v>
      </c>
    </row>
    <row r="255" spans="1:16" ht="17">
      <c r="A255" s="6"/>
      <c r="B255" s="95"/>
      <c r="C255" s="96"/>
      <c r="D255" s="97"/>
      <c r="E255" s="97"/>
      <c r="F255" s="96"/>
      <c r="G255" s="98"/>
      <c r="H255" s="41" t="str">
        <f>IF(OR(B255="",D255="",F255="",G255=""),"",IF(AND(E255&lt;&gt;"",E255&lt;SISTEM!$C$17),"Pasif","Aktif"))</f>
        <v/>
      </c>
      <c r="I255" s="74">
        <f t="shared" si="15"/>
        <v>0</v>
      </c>
      <c r="J255" s="42" t="str">
        <f t="shared" si="16"/>
        <v/>
      </c>
      <c r="K255" s="43" t="str">
        <f>IF(AND(B255="",C255=""),"",IF(OR(B255="",C255="",D255="",F255="",G255=""),"EKSİK",IF(COUNTIF(MUSTERILER!$B$7:$B$156,B255)=0,"TANIMSIZ MÜŞTERİ","UYGUN")))</f>
        <v/>
      </c>
      <c r="L255" s="43" t="str">
        <f t="shared" si="17"/>
        <v/>
      </c>
      <c r="M255" s="96"/>
      <c r="N255" s="22" t="str">
        <f>IF(B255="","",IF(E255="",SISTEM!$C$17,MIN(E255,SISTEM!$C$17)))</f>
        <v/>
      </c>
      <c r="O255" s="22" t="str">
        <f t="shared" si="18"/>
        <v/>
      </c>
      <c r="P255" s="22">
        <f t="shared" si="19"/>
        <v>0</v>
      </c>
    </row>
    <row r="256" spans="1:16" ht="17">
      <c r="A256" s="6"/>
      <c r="B256" s="95"/>
      <c r="C256" s="96"/>
      <c r="D256" s="97"/>
      <c r="E256" s="97"/>
      <c r="F256" s="96"/>
      <c r="G256" s="98"/>
      <c r="H256" s="41" t="str">
        <f>IF(OR(B256="",D256="",F256="",G256=""),"",IF(AND(E256&lt;&gt;"",E256&lt;SISTEM!$C$17),"Pasif","Aktif"))</f>
        <v/>
      </c>
      <c r="I256" s="74">
        <f t="shared" si="15"/>
        <v>0</v>
      </c>
      <c r="J256" s="42" t="str">
        <f t="shared" si="16"/>
        <v/>
      </c>
      <c r="K256" s="43" t="str">
        <f>IF(AND(B256="",C256=""),"",IF(OR(B256="",C256="",D256="",F256="",G256=""),"EKSİK",IF(COUNTIF(MUSTERILER!$B$7:$B$156,B256)=0,"TANIMSIZ MÜŞTERİ","UYGUN")))</f>
        <v/>
      </c>
      <c r="L256" s="43" t="str">
        <f t="shared" si="17"/>
        <v/>
      </c>
      <c r="M256" s="96"/>
      <c r="N256" s="22" t="str">
        <f>IF(B256="","",IF(E256="",SISTEM!$C$17,MIN(E256,SISTEM!$C$17)))</f>
        <v/>
      </c>
      <c r="O256" s="22" t="str">
        <f t="shared" si="18"/>
        <v/>
      </c>
      <c r="P256" s="22">
        <f t="shared" si="19"/>
        <v>0</v>
      </c>
    </row>
    <row r="257" spans="1:16" ht="17">
      <c r="A257" s="6"/>
      <c r="B257" s="95"/>
      <c r="C257" s="96"/>
      <c r="D257" s="97"/>
      <c r="E257" s="97"/>
      <c r="F257" s="96"/>
      <c r="G257" s="98"/>
      <c r="H257" s="41" t="str">
        <f>IF(OR(B257="",D257="",F257="",G257=""),"",IF(AND(E257&lt;&gt;"",E257&lt;SISTEM!$C$17),"Pasif","Aktif"))</f>
        <v/>
      </c>
      <c r="I257" s="74">
        <f t="shared" si="15"/>
        <v>0</v>
      </c>
      <c r="J257" s="42" t="str">
        <f t="shared" si="16"/>
        <v/>
      </c>
      <c r="K257" s="43" t="str">
        <f>IF(AND(B257="",C257=""),"",IF(OR(B257="",C257="",D257="",F257="",G257=""),"EKSİK",IF(COUNTIF(MUSTERILER!$B$7:$B$156,B257)=0,"TANIMSIZ MÜŞTERİ","UYGUN")))</f>
        <v/>
      </c>
      <c r="L257" s="43" t="str">
        <f t="shared" si="17"/>
        <v/>
      </c>
      <c r="M257" s="96"/>
      <c r="N257" s="22" t="str">
        <f>IF(B257="","",IF(E257="",SISTEM!$C$17,MIN(E257,SISTEM!$C$17)))</f>
        <v/>
      </c>
      <c r="O257" s="22" t="str">
        <f t="shared" si="18"/>
        <v/>
      </c>
      <c r="P257" s="22">
        <f t="shared" si="19"/>
        <v>0</v>
      </c>
    </row>
    <row r="258" spans="1:16" ht="17">
      <c r="A258" s="6"/>
      <c r="B258" s="95"/>
      <c r="C258" s="96"/>
      <c r="D258" s="97"/>
      <c r="E258" s="97"/>
      <c r="F258" s="96"/>
      <c r="G258" s="98"/>
      <c r="H258" s="41" t="str">
        <f>IF(OR(B258="",D258="",F258="",G258=""),"",IF(AND(E258&lt;&gt;"",E258&lt;SISTEM!$C$17),"Pasif","Aktif"))</f>
        <v/>
      </c>
      <c r="I258" s="74">
        <f t="shared" si="15"/>
        <v>0</v>
      </c>
      <c r="J258" s="42" t="str">
        <f t="shared" si="16"/>
        <v/>
      </c>
      <c r="K258" s="43" t="str">
        <f>IF(AND(B258="",C258=""),"",IF(OR(B258="",C258="",D258="",F258="",G258=""),"EKSİK",IF(COUNTIF(MUSTERILER!$B$7:$B$156,B258)=0,"TANIMSIZ MÜŞTERİ","UYGUN")))</f>
        <v/>
      </c>
      <c r="L258" s="43" t="str">
        <f t="shared" si="17"/>
        <v/>
      </c>
      <c r="M258" s="96"/>
      <c r="N258" s="22" t="str">
        <f>IF(B258="","",IF(E258="",SISTEM!$C$17,MIN(E258,SISTEM!$C$17)))</f>
        <v/>
      </c>
      <c r="O258" s="22" t="str">
        <f t="shared" si="18"/>
        <v/>
      </c>
      <c r="P258" s="22">
        <f t="shared" si="19"/>
        <v>0</v>
      </c>
    </row>
    <row r="259" spans="1:16" ht="17">
      <c r="A259" s="6"/>
      <c r="B259" s="95"/>
      <c r="C259" s="96"/>
      <c r="D259" s="97"/>
      <c r="E259" s="97"/>
      <c r="F259" s="96"/>
      <c r="G259" s="98"/>
      <c r="H259" s="41" t="str">
        <f>IF(OR(B259="",D259="",F259="",G259=""),"",IF(AND(E259&lt;&gt;"",E259&lt;SISTEM!$C$17),"Pasif","Aktif"))</f>
        <v/>
      </c>
      <c r="I259" s="74">
        <f t="shared" si="15"/>
        <v>0</v>
      </c>
      <c r="J259" s="42" t="str">
        <f t="shared" si="16"/>
        <v/>
      </c>
      <c r="K259" s="43" t="str">
        <f>IF(AND(B259="",C259=""),"",IF(OR(B259="",C259="",D259="",F259="",G259=""),"EKSİK",IF(COUNTIF(MUSTERILER!$B$7:$B$156,B259)=0,"TANIMSIZ MÜŞTERİ","UYGUN")))</f>
        <v/>
      </c>
      <c r="L259" s="43" t="str">
        <f t="shared" si="17"/>
        <v/>
      </c>
      <c r="M259" s="96"/>
      <c r="N259" s="22" t="str">
        <f>IF(B259="","",IF(E259="",SISTEM!$C$17,MIN(E259,SISTEM!$C$17)))</f>
        <v/>
      </c>
      <c r="O259" s="22" t="str">
        <f t="shared" si="18"/>
        <v/>
      </c>
      <c r="P259" s="22">
        <f t="shared" si="19"/>
        <v>0</v>
      </c>
    </row>
    <row r="260" spans="1:16" ht="17">
      <c r="A260" s="6"/>
      <c r="B260" s="95"/>
      <c r="C260" s="96"/>
      <c r="D260" s="97"/>
      <c r="E260" s="97"/>
      <c r="F260" s="96"/>
      <c r="G260" s="98"/>
      <c r="H260" s="41" t="str">
        <f>IF(OR(B260="",D260="",F260="",G260=""),"",IF(AND(E260&lt;&gt;"",E260&lt;SISTEM!$C$17),"Pasif","Aktif"))</f>
        <v/>
      </c>
      <c r="I260" s="74">
        <f t="shared" si="15"/>
        <v>0</v>
      </c>
      <c r="J260" s="42" t="str">
        <f t="shared" si="16"/>
        <v/>
      </c>
      <c r="K260" s="43" t="str">
        <f>IF(AND(B260="",C260=""),"",IF(OR(B260="",C260="",D260="",F260="",G260=""),"EKSİK",IF(COUNTIF(MUSTERILER!$B$7:$B$156,B260)=0,"TANIMSIZ MÜŞTERİ","UYGUN")))</f>
        <v/>
      </c>
      <c r="L260" s="43" t="str">
        <f t="shared" si="17"/>
        <v/>
      </c>
      <c r="M260" s="96"/>
      <c r="N260" s="22" t="str">
        <f>IF(B260="","",IF(E260="",SISTEM!$C$17,MIN(E260,SISTEM!$C$17)))</f>
        <v/>
      </c>
      <c r="O260" s="22" t="str">
        <f t="shared" si="18"/>
        <v/>
      </c>
      <c r="P260" s="22">
        <f t="shared" si="19"/>
        <v>0</v>
      </c>
    </row>
    <row r="261" spans="1:16" ht="17">
      <c r="A261" s="6"/>
      <c r="B261" s="95"/>
      <c r="C261" s="96"/>
      <c r="D261" s="97"/>
      <c r="E261" s="97"/>
      <c r="F261" s="96"/>
      <c r="G261" s="98"/>
      <c r="H261" s="41" t="str">
        <f>IF(OR(B261="",D261="",F261="",G261=""),"",IF(AND(E261&lt;&gt;"",E261&lt;SISTEM!$C$17),"Pasif","Aktif"))</f>
        <v/>
      </c>
      <c r="I261" s="74">
        <f t="shared" si="15"/>
        <v>0</v>
      </c>
      <c r="J261" s="42" t="str">
        <f t="shared" si="16"/>
        <v/>
      </c>
      <c r="K261" s="43" t="str">
        <f>IF(AND(B261="",C261=""),"",IF(OR(B261="",C261="",D261="",F261="",G261=""),"EKSİK",IF(COUNTIF(MUSTERILER!$B$7:$B$156,B261)=0,"TANIMSIZ MÜŞTERİ","UYGUN")))</f>
        <v/>
      </c>
      <c r="L261" s="43" t="str">
        <f t="shared" si="17"/>
        <v/>
      </c>
      <c r="M261" s="96"/>
      <c r="N261" s="22" t="str">
        <f>IF(B261="","",IF(E261="",SISTEM!$C$17,MIN(E261,SISTEM!$C$17)))</f>
        <v/>
      </c>
      <c r="O261" s="22" t="str">
        <f t="shared" si="18"/>
        <v/>
      </c>
      <c r="P261" s="22">
        <f t="shared" si="19"/>
        <v>0</v>
      </c>
    </row>
    <row r="262" spans="1:16" ht="17">
      <c r="A262" s="6"/>
      <c r="B262" s="95"/>
      <c r="C262" s="96"/>
      <c r="D262" s="97"/>
      <c r="E262" s="97"/>
      <c r="F262" s="96"/>
      <c r="G262" s="98"/>
      <c r="H262" s="41" t="str">
        <f>IF(OR(B262="",D262="",F262="",G262=""),"",IF(AND(E262&lt;&gt;"",E262&lt;SISTEM!$C$17),"Pasif","Aktif"))</f>
        <v/>
      </c>
      <c r="I262" s="74">
        <f t="shared" si="15"/>
        <v>0</v>
      </c>
      <c r="J262" s="42" t="str">
        <f t="shared" si="16"/>
        <v/>
      </c>
      <c r="K262" s="43" t="str">
        <f>IF(AND(B262="",C262=""),"",IF(OR(B262="",C262="",D262="",F262="",G262=""),"EKSİK",IF(COUNTIF(MUSTERILER!$B$7:$B$156,B262)=0,"TANIMSIZ MÜŞTERİ","UYGUN")))</f>
        <v/>
      </c>
      <c r="L262" s="43" t="str">
        <f t="shared" si="17"/>
        <v/>
      </c>
      <c r="M262" s="96"/>
      <c r="N262" s="22" t="str">
        <f>IF(B262="","",IF(E262="",SISTEM!$C$17,MIN(E262,SISTEM!$C$17)))</f>
        <v/>
      </c>
      <c r="O262" s="22" t="str">
        <f t="shared" si="18"/>
        <v/>
      </c>
      <c r="P262" s="22">
        <f t="shared" si="19"/>
        <v>0</v>
      </c>
    </row>
    <row r="263" spans="1:16" ht="17">
      <c r="A263" s="6"/>
      <c r="B263" s="95"/>
      <c r="C263" s="96"/>
      <c r="D263" s="97"/>
      <c r="E263" s="97"/>
      <c r="F263" s="96"/>
      <c r="G263" s="98"/>
      <c r="H263" s="41" t="str">
        <f>IF(OR(B263="",D263="",F263="",G263=""),"",IF(AND(E263&lt;&gt;"",E263&lt;SISTEM!$C$17),"Pasif","Aktif"))</f>
        <v/>
      </c>
      <c r="I263" s="74">
        <f t="shared" ref="I263:I306" si="20">IF(P263=0,0,P263*G263)</f>
        <v>0</v>
      </c>
      <c r="J263" s="42" t="str">
        <f t="shared" ref="J263:J326" si="21">IF(OR(G263="",G263=0),"",I263/G263)</f>
        <v/>
      </c>
      <c r="K263" s="43" t="str">
        <f>IF(AND(B263="",C263=""),"",IF(OR(B263="",C263="",D263="",F263="",G263=""),"EKSİK",IF(COUNTIF(MUSTERILER!$B$7:$B$156,B263)=0,"TANIMSIZ MÜŞTERİ","UYGUN")))</f>
        <v/>
      </c>
      <c r="L263" s="43" t="str">
        <f t="shared" ref="L263:L306" si="22">IF(D263="","",IF(F263="Haftalık",D263+MOD(6-WEEKDAY(D263,2),7),EOMONTH(D263,0)))</f>
        <v/>
      </c>
      <c r="M263" s="96"/>
      <c r="N263" s="22" t="str">
        <f>IF(B263="","",IF(E263="",SISTEM!$C$17,MIN(E263,SISTEM!$C$17)))</f>
        <v/>
      </c>
      <c r="O263" s="22" t="str">
        <f t="shared" ref="O263:O306" si="23">L263</f>
        <v/>
      </c>
      <c r="P263" s="22">
        <f t="shared" ref="P263:P326" si="24">IF(OR(B263="",O263="",N263=""),0,IF(F263="Haftalık",MAX(0,INT((N263-O263)/7)+1),IF(F263="Aylık",MAX(0,(YEAR(N263)-YEAR(O263))*12+MONTH(N263)-MONTH(O263)+1),0)))</f>
        <v>0</v>
      </c>
    </row>
    <row r="264" spans="1:16" ht="17">
      <c r="A264" s="6"/>
      <c r="B264" s="95"/>
      <c r="C264" s="96"/>
      <c r="D264" s="97"/>
      <c r="E264" s="97"/>
      <c r="F264" s="96"/>
      <c r="G264" s="98"/>
      <c r="H264" s="41" t="str">
        <f>IF(OR(B264="",D264="",F264="",G264=""),"",IF(AND(E264&lt;&gt;"",E264&lt;SISTEM!$C$17),"Pasif","Aktif"))</f>
        <v/>
      </c>
      <c r="I264" s="74">
        <f t="shared" si="20"/>
        <v>0</v>
      </c>
      <c r="J264" s="42" t="str">
        <f t="shared" si="21"/>
        <v/>
      </c>
      <c r="K264" s="43" t="str">
        <f>IF(AND(B264="",C264=""),"",IF(OR(B264="",C264="",D264="",F264="",G264=""),"EKSİK",IF(COUNTIF(MUSTERILER!$B$7:$B$156,B264)=0,"TANIMSIZ MÜŞTERİ","UYGUN")))</f>
        <v/>
      </c>
      <c r="L264" s="43" t="str">
        <f t="shared" si="22"/>
        <v/>
      </c>
      <c r="M264" s="96"/>
      <c r="N264" s="22" t="str">
        <f>IF(B264="","",IF(E264="",SISTEM!$C$17,MIN(E264,SISTEM!$C$17)))</f>
        <v/>
      </c>
      <c r="O264" s="22" t="str">
        <f t="shared" si="23"/>
        <v/>
      </c>
      <c r="P264" s="22">
        <f t="shared" si="24"/>
        <v>0</v>
      </c>
    </row>
    <row r="265" spans="1:16" ht="17">
      <c r="A265" s="6"/>
      <c r="B265" s="95"/>
      <c r="C265" s="96"/>
      <c r="D265" s="97"/>
      <c r="E265" s="97"/>
      <c r="F265" s="96"/>
      <c r="G265" s="98"/>
      <c r="H265" s="41" t="str">
        <f>IF(OR(B265="",D265="",F265="",G265=""),"",IF(AND(E265&lt;&gt;"",E265&lt;SISTEM!$C$17),"Pasif","Aktif"))</f>
        <v/>
      </c>
      <c r="I265" s="74">
        <f t="shared" si="20"/>
        <v>0</v>
      </c>
      <c r="J265" s="42" t="str">
        <f t="shared" si="21"/>
        <v/>
      </c>
      <c r="K265" s="43" t="str">
        <f>IF(AND(B265="",C265=""),"",IF(OR(B265="",C265="",D265="",F265="",G265=""),"EKSİK",IF(COUNTIF(MUSTERILER!$B$7:$B$156,B265)=0,"TANIMSIZ MÜŞTERİ","UYGUN")))</f>
        <v/>
      </c>
      <c r="L265" s="43" t="str">
        <f t="shared" si="22"/>
        <v/>
      </c>
      <c r="M265" s="96"/>
      <c r="N265" s="22" t="str">
        <f>IF(B265="","",IF(E265="",SISTEM!$C$17,MIN(E265,SISTEM!$C$17)))</f>
        <v/>
      </c>
      <c r="O265" s="22" t="str">
        <f t="shared" si="23"/>
        <v/>
      </c>
      <c r="P265" s="22">
        <f t="shared" si="24"/>
        <v>0</v>
      </c>
    </row>
    <row r="266" spans="1:16" ht="17">
      <c r="A266" s="6"/>
      <c r="B266" s="95"/>
      <c r="C266" s="96"/>
      <c r="D266" s="97"/>
      <c r="E266" s="97"/>
      <c r="F266" s="96"/>
      <c r="G266" s="98"/>
      <c r="H266" s="41" t="str">
        <f>IF(OR(B266="",D266="",F266="",G266=""),"",IF(AND(E266&lt;&gt;"",E266&lt;SISTEM!$C$17),"Pasif","Aktif"))</f>
        <v/>
      </c>
      <c r="I266" s="74">
        <f t="shared" si="20"/>
        <v>0</v>
      </c>
      <c r="J266" s="42" t="str">
        <f t="shared" si="21"/>
        <v/>
      </c>
      <c r="K266" s="43" t="str">
        <f>IF(AND(B266="",C266=""),"",IF(OR(B266="",C266="",D266="",F266="",G266=""),"EKSİK",IF(COUNTIF(MUSTERILER!$B$7:$B$156,B266)=0,"TANIMSIZ MÜŞTERİ","UYGUN")))</f>
        <v/>
      </c>
      <c r="L266" s="43" t="str">
        <f t="shared" si="22"/>
        <v/>
      </c>
      <c r="M266" s="96"/>
      <c r="N266" s="22" t="str">
        <f>IF(B266="","",IF(E266="",SISTEM!$C$17,MIN(E266,SISTEM!$C$17)))</f>
        <v/>
      </c>
      <c r="O266" s="22" t="str">
        <f t="shared" si="23"/>
        <v/>
      </c>
      <c r="P266" s="22">
        <f t="shared" si="24"/>
        <v>0</v>
      </c>
    </row>
    <row r="267" spans="1:16" ht="17">
      <c r="A267" s="6"/>
      <c r="B267" s="95"/>
      <c r="C267" s="96"/>
      <c r="D267" s="97"/>
      <c r="E267" s="97"/>
      <c r="F267" s="96"/>
      <c r="G267" s="98"/>
      <c r="H267" s="41" t="str">
        <f>IF(OR(B267="",D267="",F267="",G267=""),"",IF(AND(E267&lt;&gt;"",E267&lt;SISTEM!$C$17),"Pasif","Aktif"))</f>
        <v/>
      </c>
      <c r="I267" s="74">
        <f t="shared" si="20"/>
        <v>0</v>
      </c>
      <c r="J267" s="42" t="str">
        <f t="shared" si="21"/>
        <v/>
      </c>
      <c r="K267" s="43" t="str">
        <f>IF(AND(B267="",C267=""),"",IF(OR(B267="",C267="",D267="",F267="",G267=""),"EKSİK",IF(COUNTIF(MUSTERILER!$B$7:$B$156,B267)=0,"TANIMSIZ MÜŞTERİ","UYGUN")))</f>
        <v/>
      </c>
      <c r="L267" s="43" t="str">
        <f t="shared" si="22"/>
        <v/>
      </c>
      <c r="M267" s="96"/>
      <c r="N267" s="22" t="str">
        <f>IF(B267="","",IF(E267="",SISTEM!$C$17,MIN(E267,SISTEM!$C$17)))</f>
        <v/>
      </c>
      <c r="O267" s="22" t="str">
        <f t="shared" si="23"/>
        <v/>
      </c>
      <c r="P267" s="22">
        <f t="shared" si="24"/>
        <v>0</v>
      </c>
    </row>
    <row r="268" spans="1:16" ht="17">
      <c r="A268" s="6"/>
      <c r="B268" s="95"/>
      <c r="C268" s="96"/>
      <c r="D268" s="97"/>
      <c r="E268" s="97"/>
      <c r="F268" s="96"/>
      <c r="G268" s="98"/>
      <c r="H268" s="41" t="str">
        <f>IF(OR(B268="",D268="",F268="",G268=""),"",IF(AND(E268&lt;&gt;"",E268&lt;SISTEM!$C$17),"Pasif","Aktif"))</f>
        <v/>
      </c>
      <c r="I268" s="74">
        <f t="shared" si="20"/>
        <v>0</v>
      </c>
      <c r="J268" s="42" t="str">
        <f t="shared" si="21"/>
        <v/>
      </c>
      <c r="K268" s="43" t="str">
        <f>IF(AND(B268="",C268=""),"",IF(OR(B268="",C268="",D268="",F268="",G268=""),"EKSİK",IF(COUNTIF(MUSTERILER!$B$7:$B$156,B268)=0,"TANIMSIZ MÜŞTERİ","UYGUN")))</f>
        <v/>
      </c>
      <c r="L268" s="43" t="str">
        <f t="shared" si="22"/>
        <v/>
      </c>
      <c r="M268" s="96"/>
      <c r="N268" s="22" t="str">
        <f>IF(B268="","",IF(E268="",SISTEM!$C$17,MIN(E268,SISTEM!$C$17)))</f>
        <v/>
      </c>
      <c r="O268" s="22" t="str">
        <f t="shared" si="23"/>
        <v/>
      </c>
      <c r="P268" s="22">
        <f t="shared" si="24"/>
        <v>0</v>
      </c>
    </row>
    <row r="269" spans="1:16" ht="17">
      <c r="A269" s="6"/>
      <c r="B269" s="95"/>
      <c r="C269" s="96"/>
      <c r="D269" s="97"/>
      <c r="E269" s="97"/>
      <c r="F269" s="96"/>
      <c r="G269" s="98"/>
      <c r="H269" s="41" t="str">
        <f>IF(OR(B269="",D269="",F269="",G269=""),"",IF(AND(E269&lt;&gt;"",E269&lt;SISTEM!$C$17),"Pasif","Aktif"))</f>
        <v/>
      </c>
      <c r="I269" s="74">
        <f t="shared" si="20"/>
        <v>0</v>
      </c>
      <c r="J269" s="42" t="str">
        <f t="shared" si="21"/>
        <v/>
      </c>
      <c r="K269" s="43" t="str">
        <f>IF(AND(B269="",C269=""),"",IF(OR(B269="",C269="",D269="",F269="",G269=""),"EKSİK",IF(COUNTIF(MUSTERILER!$B$7:$B$156,B269)=0,"TANIMSIZ MÜŞTERİ","UYGUN")))</f>
        <v/>
      </c>
      <c r="L269" s="43" t="str">
        <f t="shared" si="22"/>
        <v/>
      </c>
      <c r="M269" s="96"/>
      <c r="N269" s="22" t="str">
        <f>IF(B269="","",IF(E269="",SISTEM!$C$17,MIN(E269,SISTEM!$C$17)))</f>
        <v/>
      </c>
      <c r="O269" s="22" t="str">
        <f t="shared" si="23"/>
        <v/>
      </c>
      <c r="P269" s="22">
        <f t="shared" si="24"/>
        <v>0</v>
      </c>
    </row>
    <row r="270" spans="1:16" ht="17">
      <c r="A270" s="6"/>
      <c r="B270" s="95"/>
      <c r="C270" s="96"/>
      <c r="D270" s="97"/>
      <c r="E270" s="97"/>
      <c r="F270" s="96"/>
      <c r="G270" s="98"/>
      <c r="H270" s="41" t="str">
        <f>IF(OR(B270="",D270="",F270="",G270=""),"",IF(AND(E270&lt;&gt;"",E270&lt;SISTEM!$C$17),"Pasif","Aktif"))</f>
        <v/>
      </c>
      <c r="I270" s="74">
        <f t="shared" si="20"/>
        <v>0</v>
      </c>
      <c r="J270" s="42" t="str">
        <f t="shared" si="21"/>
        <v/>
      </c>
      <c r="K270" s="43" t="str">
        <f>IF(AND(B270="",C270=""),"",IF(OR(B270="",C270="",D270="",F270="",G270=""),"EKSİK",IF(COUNTIF(MUSTERILER!$B$7:$B$156,B270)=0,"TANIMSIZ MÜŞTERİ","UYGUN")))</f>
        <v/>
      </c>
      <c r="L270" s="43" t="str">
        <f t="shared" si="22"/>
        <v/>
      </c>
      <c r="M270" s="96"/>
      <c r="N270" s="22" t="str">
        <f>IF(B270="","",IF(E270="",SISTEM!$C$17,MIN(E270,SISTEM!$C$17)))</f>
        <v/>
      </c>
      <c r="O270" s="22" t="str">
        <f t="shared" si="23"/>
        <v/>
      </c>
      <c r="P270" s="22">
        <f t="shared" si="24"/>
        <v>0</v>
      </c>
    </row>
    <row r="271" spans="1:16" ht="17">
      <c r="A271" s="6"/>
      <c r="B271" s="95"/>
      <c r="C271" s="96"/>
      <c r="D271" s="97"/>
      <c r="E271" s="97"/>
      <c r="F271" s="96"/>
      <c r="G271" s="98"/>
      <c r="H271" s="41" t="str">
        <f>IF(OR(B271="",D271="",F271="",G271=""),"",IF(AND(E271&lt;&gt;"",E271&lt;SISTEM!$C$17),"Pasif","Aktif"))</f>
        <v/>
      </c>
      <c r="I271" s="74">
        <f t="shared" si="20"/>
        <v>0</v>
      </c>
      <c r="J271" s="42" t="str">
        <f t="shared" si="21"/>
        <v/>
      </c>
      <c r="K271" s="43" t="str">
        <f>IF(AND(B271="",C271=""),"",IF(OR(B271="",C271="",D271="",F271="",G271=""),"EKSİK",IF(COUNTIF(MUSTERILER!$B$7:$B$156,B271)=0,"TANIMSIZ MÜŞTERİ","UYGUN")))</f>
        <v/>
      </c>
      <c r="L271" s="43" t="str">
        <f t="shared" si="22"/>
        <v/>
      </c>
      <c r="M271" s="96"/>
      <c r="N271" s="22" t="str">
        <f>IF(B271="","",IF(E271="",SISTEM!$C$17,MIN(E271,SISTEM!$C$17)))</f>
        <v/>
      </c>
      <c r="O271" s="22" t="str">
        <f t="shared" si="23"/>
        <v/>
      </c>
      <c r="P271" s="22">
        <f t="shared" si="24"/>
        <v>0</v>
      </c>
    </row>
    <row r="272" spans="1:16" ht="17">
      <c r="A272" s="6"/>
      <c r="B272" s="95"/>
      <c r="C272" s="96"/>
      <c r="D272" s="97"/>
      <c r="E272" s="97"/>
      <c r="F272" s="96"/>
      <c r="G272" s="98"/>
      <c r="H272" s="41" t="str">
        <f>IF(OR(B272="",D272="",F272="",G272=""),"",IF(AND(E272&lt;&gt;"",E272&lt;SISTEM!$C$17),"Pasif","Aktif"))</f>
        <v/>
      </c>
      <c r="I272" s="74">
        <f t="shared" si="20"/>
        <v>0</v>
      </c>
      <c r="J272" s="42" t="str">
        <f t="shared" si="21"/>
        <v/>
      </c>
      <c r="K272" s="43" t="str">
        <f>IF(AND(B272="",C272=""),"",IF(OR(B272="",C272="",D272="",F272="",G272=""),"EKSİK",IF(COUNTIF(MUSTERILER!$B$7:$B$156,B272)=0,"TANIMSIZ MÜŞTERİ","UYGUN")))</f>
        <v/>
      </c>
      <c r="L272" s="43" t="str">
        <f t="shared" si="22"/>
        <v/>
      </c>
      <c r="M272" s="96"/>
      <c r="N272" s="22" t="str">
        <f>IF(B272="","",IF(E272="",SISTEM!$C$17,MIN(E272,SISTEM!$C$17)))</f>
        <v/>
      </c>
      <c r="O272" s="22" t="str">
        <f t="shared" si="23"/>
        <v/>
      </c>
      <c r="P272" s="22">
        <f t="shared" si="24"/>
        <v>0</v>
      </c>
    </row>
    <row r="273" spans="1:16" ht="17">
      <c r="A273" s="6"/>
      <c r="B273" s="95"/>
      <c r="C273" s="96"/>
      <c r="D273" s="97"/>
      <c r="E273" s="97"/>
      <c r="F273" s="96"/>
      <c r="G273" s="98"/>
      <c r="H273" s="41" t="str">
        <f>IF(OR(B273="",D273="",F273="",G273=""),"",IF(AND(E273&lt;&gt;"",E273&lt;SISTEM!$C$17),"Pasif","Aktif"))</f>
        <v/>
      </c>
      <c r="I273" s="74">
        <f t="shared" si="20"/>
        <v>0</v>
      </c>
      <c r="J273" s="42" t="str">
        <f t="shared" si="21"/>
        <v/>
      </c>
      <c r="K273" s="43" t="str">
        <f>IF(AND(B273="",C273=""),"",IF(OR(B273="",C273="",D273="",F273="",G273=""),"EKSİK",IF(COUNTIF(MUSTERILER!$B$7:$B$156,B273)=0,"TANIMSIZ MÜŞTERİ","UYGUN")))</f>
        <v/>
      </c>
      <c r="L273" s="43" t="str">
        <f t="shared" si="22"/>
        <v/>
      </c>
      <c r="M273" s="96"/>
      <c r="N273" s="22" t="str">
        <f>IF(B273="","",IF(E273="",SISTEM!$C$17,MIN(E273,SISTEM!$C$17)))</f>
        <v/>
      </c>
      <c r="O273" s="22" t="str">
        <f t="shared" si="23"/>
        <v/>
      </c>
      <c r="P273" s="22">
        <f t="shared" si="24"/>
        <v>0</v>
      </c>
    </row>
    <row r="274" spans="1:16" ht="17">
      <c r="A274" s="6"/>
      <c r="B274" s="95"/>
      <c r="C274" s="96"/>
      <c r="D274" s="97"/>
      <c r="E274" s="97"/>
      <c r="F274" s="96"/>
      <c r="G274" s="98"/>
      <c r="H274" s="41" t="str">
        <f>IF(OR(B274="",D274="",F274="",G274=""),"",IF(AND(E274&lt;&gt;"",E274&lt;SISTEM!$C$17),"Pasif","Aktif"))</f>
        <v/>
      </c>
      <c r="I274" s="74">
        <f t="shared" si="20"/>
        <v>0</v>
      </c>
      <c r="J274" s="42" t="str">
        <f t="shared" si="21"/>
        <v/>
      </c>
      <c r="K274" s="43" t="str">
        <f>IF(AND(B274="",C274=""),"",IF(OR(B274="",C274="",D274="",F274="",G274=""),"EKSİK",IF(COUNTIF(MUSTERILER!$B$7:$B$156,B274)=0,"TANIMSIZ MÜŞTERİ","UYGUN")))</f>
        <v/>
      </c>
      <c r="L274" s="43" t="str">
        <f t="shared" si="22"/>
        <v/>
      </c>
      <c r="M274" s="96"/>
      <c r="N274" s="22" t="str">
        <f>IF(B274="","",IF(E274="",SISTEM!$C$17,MIN(E274,SISTEM!$C$17)))</f>
        <v/>
      </c>
      <c r="O274" s="22" t="str">
        <f t="shared" si="23"/>
        <v/>
      </c>
      <c r="P274" s="22">
        <f t="shared" si="24"/>
        <v>0</v>
      </c>
    </row>
    <row r="275" spans="1:16" ht="17">
      <c r="A275" s="6"/>
      <c r="B275" s="95"/>
      <c r="C275" s="96"/>
      <c r="D275" s="97"/>
      <c r="E275" s="97"/>
      <c r="F275" s="96"/>
      <c r="G275" s="98"/>
      <c r="H275" s="41" t="str">
        <f>IF(OR(B275="",D275="",F275="",G275=""),"",IF(AND(E275&lt;&gt;"",E275&lt;SISTEM!$C$17),"Pasif","Aktif"))</f>
        <v/>
      </c>
      <c r="I275" s="74">
        <f t="shared" si="20"/>
        <v>0</v>
      </c>
      <c r="J275" s="42" t="str">
        <f t="shared" si="21"/>
        <v/>
      </c>
      <c r="K275" s="43" t="str">
        <f>IF(AND(B275="",C275=""),"",IF(OR(B275="",C275="",D275="",F275="",G275=""),"EKSİK",IF(COUNTIF(MUSTERILER!$B$7:$B$156,B275)=0,"TANIMSIZ MÜŞTERİ","UYGUN")))</f>
        <v/>
      </c>
      <c r="L275" s="43" t="str">
        <f t="shared" si="22"/>
        <v/>
      </c>
      <c r="M275" s="96"/>
      <c r="N275" s="22" t="str">
        <f>IF(B275="","",IF(E275="",SISTEM!$C$17,MIN(E275,SISTEM!$C$17)))</f>
        <v/>
      </c>
      <c r="O275" s="22" t="str">
        <f t="shared" si="23"/>
        <v/>
      </c>
      <c r="P275" s="22">
        <f t="shared" si="24"/>
        <v>0</v>
      </c>
    </row>
    <row r="276" spans="1:16" ht="17">
      <c r="A276" s="6"/>
      <c r="B276" s="95"/>
      <c r="C276" s="96"/>
      <c r="D276" s="97"/>
      <c r="E276" s="97"/>
      <c r="F276" s="96"/>
      <c r="G276" s="98"/>
      <c r="H276" s="41" t="str">
        <f>IF(OR(B276="",D276="",F276="",G276=""),"",IF(AND(E276&lt;&gt;"",E276&lt;SISTEM!$C$17),"Pasif","Aktif"))</f>
        <v/>
      </c>
      <c r="I276" s="74">
        <f t="shared" si="20"/>
        <v>0</v>
      </c>
      <c r="J276" s="42" t="str">
        <f t="shared" si="21"/>
        <v/>
      </c>
      <c r="K276" s="43" t="str">
        <f>IF(AND(B276="",C276=""),"",IF(OR(B276="",C276="",D276="",F276="",G276=""),"EKSİK",IF(COUNTIF(MUSTERILER!$B$7:$B$156,B276)=0,"TANIMSIZ MÜŞTERİ","UYGUN")))</f>
        <v/>
      </c>
      <c r="L276" s="43" t="str">
        <f t="shared" si="22"/>
        <v/>
      </c>
      <c r="M276" s="96"/>
      <c r="N276" s="22" t="str">
        <f>IF(B276="","",IF(E276="",SISTEM!$C$17,MIN(E276,SISTEM!$C$17)))</f>
        <v/>
      </c>
      <c r="O276" s="22" t="str">
        <f t="shared" si="23"/>
        <v/>
      </c>
      <c r="P276" s="22">
        <f t="shared" si="24"/>
        <v>0</v>
      </c>
    </row>
    <row r="277" spans="1:16" ht="17">
      <c r="A277" s="6"/>
      <c r="B277" s="95"/>
      <c r="C277" s="96"/>
      <c r="D277" s="97"/>
      <c r="E277" s="97"/>
      <c r="F277" s="96"/>
      <c r="G277" s="98"/>
      <c r="H277" s="41" t="str">
        <f>IF(OR(B277="",D277="",F277="",G277=""),"",IF(AND(E277&lt;&gt;"",E277&lt;SISTEM!$C$17),"Pasif","Aktif"))</f>
        <v/>
      </c>
      <c r="I277" s="74">
        <f t="shared" si="20"/>
        <v>0</v>
      </c>
      <c r="J277" s="42" t="str">
        <f t="shared" si="21"/>
        <v/>
      </c>
      <c r="K277" s="43" t="str">
        <f>IF(AND(B277="",C277=""),"",IF(OR(B277="",C277="",D277="",F277="",G277=""),"EKSİK",IF(COUNTIF(MUSTERILER!$B$7:$B$156,B277)=0,"TANIMSIZ MÜŞTERİ","UYGUN")))</f>
        <v/>
      </c>
      <c r="L277" s="43" t="str">
        <f t="shared" si="22"/>
        <v/>
      </c>
      <c r="M277" s="96"/>
      <c r="N277" s="22" t="str">
        <f>IF(B277="","",IF(E277="",SISTEM!$C$17,MIN(E277,SISTEM!$C$17)))</f>
        <v/>
      </c>
      <c r="O277" s="22" t="str">
        <f t="shared" si="23"/>
        <v/>
      </c>
      <c r="P277" s="22">
        <f t="shared" si="24"/>
        <v>0</v>
      </c>
    </row>
    <row r="278" spans="1:16" ht="17">
      <c r="A278" s="6"/>
      <c r="B278" s="95"/>
      <c r="C278" s="96"/>
      <c r="D278" s="97"/>
      <c r="E278" s="97"/>
      <c r="F278" s="96"/>
      <c r="G278" s="98"/>
      <c r="H278" s="41" t="str">
        <f>IF(OR(B278="",D278="",F278="",G278=""),"",IF(AND(E278&lt;&gt;"",E278&lt;SISTEM!$C$17),"Pasif","Aktif"))</f>
        <v/>
      </c>
      <c r="I278" s="74">
        <f t="shared" si="20"/>
        <v>0</v>
      </c>
      <c r="J278" s="42" t="str">
        <f t="shared" si="21"/>
        <v/>
      </c>
      <c r="K278" s="43" t="str">
        <f>IF(AND(B278="",C278=""),"",IF(OR(B278="",C278="",D278="",F278="",G278=""),"EKSİK",IF(COUNTIF(MUSTERILER!$B$7:$B$156,B278)=0,"TANIMSIZ MÜŞTERİ","UYGUN")))</f>
        <v/>
      </c>
      <c r="L278" s="43" t="str">
        <f t="shared" si="22"/>
        <v/>
      </c>
      <c r="M278" s="96"/>
      <c r="N278" s="22" t="str">
        <f>IF(B278="","",IF(E278="",SISTEM!$C$17,MIN(E278,SISTEM!$C$17)))</f>
        <v/>
      </c>
      <c r="O278" s="22" t="str">
        <f t="shared" si="23"/>
        <v/>
      </c>
      <c r="P278" s="22">
        <f t="shared" si="24"/>
        <v>0</v>
      </c>
    </row>
    <row r="279" spans="1:16" ht="17">
      <c r="A279" s="6"/>
      <c r="B279" s="95"/>
      <c r="C279" s="96"/>
      <c r="D279" s="97"/>
      <c r="E279" s="97"/>
      <c r="F279" s="96"/>
      <c r="G279" s="98"/>
      <c r="H279" s="41" t="str">
        <f>IF(OR(B279="",D279="",F279="",G279=""),"",IF(AND(E279&lt;&gt;"",E279&lt;SISTEM!$C$17),"Pasif","Aktif"))</f>
        <v/>
      </c>
      <c r="I279" s="74">
        <f t="shared" si="20"/>
        <v>0</v>
      </c>
      <c r="J279" s="42" t="str">
        <f t="shared" si="21"/>
        <v/>
      </c>
      <c r="K279" s="43" t="str">
        <f>IF(AND(B279="",C279=""),"",IF(OR(B279="",C279="",D279="",F279="",G279=""),"EKSİK",IF(COUNTIF(MUSTERILER!$B$7:$B$156,B279)=0,"TANIMSIZ MÜŞTERİ","UYGUN")))</f>
        <v/>
      </c>
      <c r="L279" s="43" t="str">
        <f t="shared" si="22"/>
        <v/>
      </c>
      <c r="M279" s="96"/>
      <c r="N279" s="22" t="str">
        <f>IF(B279="","",IF(E279="",SISTEM!$C$17,MIN(E279,SISTEM!$C$17)))</f>
        <v/>
      </c>
      <c r="O279" s="22" t="str">
        <f t="shared" si="23"/>
        <v/>
      </c>
      <c r="P279" s="22">
        <f t="shared" si="24"/>
        <v>0</v>
      </c>
    </row>
    <row r="280" spans="1:16" ht="17">
      <c r="A280" s="6"/>
      <c r="B280" s="95"/>
      <c r="C280" s="96"/>
      <c r="D280" s="97"/>
      <c r="E280" s="97"/>
      <c r="F280" s="96"/>
      <c r="G280" s="98"/>
      <c r="H280" s="41" t="str">
        <f>IF(OR(B280="",D280="",F280="",G280=""),"",IF(AND(E280&lt;&gt;"",E280&lt;SISTEM!$C$17),"Pasif","Aktif"))</f>
        <v/>
      </c>
      <c r="I280" s="74">
        <f t="shared" si="20"/>
        <v>0</v>
      </c>
      <c r="J280" s="42" t="str">
        <f t="shared" si="21"/>
        <v/>
      </c>
      <c r="K280" s="43" t="str">
        <f>IF(AND(B280="",C280=""),"",IF(OR(B280="",C280="",D280="",F280="",G280=""),"EKSİK",IF(COUNTIF(MUSTERILER!$B$7:$B$156,B280)=0,"TANIMSIZ MÜŞTERİ","UYGUN")))</f>
        <v/>
      </c>
      <c r="L280" s="43" t="str">
        <f t="shared" si="22"/>
        <v/>
      </c>
      <c r="M280" s="96"/>
      <c r="N280" s="22" t="str">
        <f>IF(B280="","",IF(E280="",SISTEM!$C$17,MIN(E280,SISTEM!$C$17)))</f>
        <v/>
      </c>
      <c r="O280" s="22" t="str">
        <f t="shared" si="23"/>
        <v/>
      </c>
      <c r="P280" s="22">
        <f t="shared" si="24"/>
        <v>0</v>
      </c>
    </row>
    <row r="281" spans="1:16" ht="17">
      <c r="A281" s="6"/>
      <c r="B281" s="95"/>
      <c r="C281" s="96"/>
      <c r="D281" s="97"/>
      <c r="E281" s="97"/>
      <c r="F281" s="96"/>
      <c r="G281" s="98"/>
      <c r="H281" s="41" t="str">
        <f>IF(OR(B281="",D281="",F281="",G281=""),"",IF(AND(E281&lt;&gt;"",E281&lt;SISTEM!$C$17),"Pasif","Aktif"))</f>
        <v/>
      </c>
      <c r="I281" s="74">
        <f t="shared" si="20"/>
        <v>0</v>
      </c>
      <c r="J281" s="42" t="str">
        <f t="shared" si="21"/>
        <v/>
      </c>
      <c r="K281" s="43" t="str">
        <f>IF(AND(B281="",C281=""),"",IF(OR(B281="",C281="",D281="",F281="",G281=""),"EKSİK",IF(COUNTIF(MUSTERILER!$B$7:$B$156,B281)=0,"TANIMSIZ MÜŞTERİ","UYGUN")))</f>
        <v/>
      </c>
      <c r="L281" s="43" t="str">
        <f t="shared" si="22"/>
        <v/>
      </c>
      <c r="M281" s="96"/>
      <c r="N281" s="22" t="str">
        <f>IF(B281="","",IF(E281="",SISTEM!$C$17,MIN(E281,SISTEM!$C$17)))</f>
        <v/>
      </c>
      <c r="O281" s="22" t="str">
        <f t="shared" si="23"/>
        <v/>
      </c>
      <c r="P281" s="22">
        <f t="shared" si="24"/>
        <v>0</v>
      </c>
    </row>
    <row r="282" spans="1:16" ht="17">
      <c r="A282" s="6"/>
      <c r="B282" s="95"/>
      <c r="C282" s="96"/>
      <c r="D282" s="97"/>
      <c r="E282" s="97"/>
      <c r="F282" s="96"/>
      <c r="G282" s="98"/>
      <c r="H282" s="41" t="str">
        <f>IF(OR(B282="",D282="",F282="",G282=""),"",IF(AND(E282&lt;&gt;"",E282&lt;SISTEM!$C$17),"Pasif","Aktif"))</f>
        <v/>
      </c>
      <c r="I282" s="74">
        <f t="shared" si="20"/>
        <v>0</v>
      </c>
      <c r="J282" s="42" t="str">
        <f t="shared" si="21"/>
        <v/>
      </c>
      <c r="K282" s="43" t="str">
        <f>IF(AND(B282="",C282=""),"",IF(OR(B282="",C282="",D282="",F282="",G282=""),"EKSİK",IF(COUNTIF(MUSTERILER!$B$7:$B$156,B282)=0,"TANIMSIZ MÜŞTERİ","UYGUN")))</f>
        <v/>
      </c>
      <c r="L282" s="43" t="str">
        <f t="shared" si="22"/>
        <v/>
      </c>
      <c r="M282" s="96"/>
      <c r="N282" s="22" t="str">
        <f>IF(B282="","",IF(E282="",SISTEM!$C$17,MIN(E282,SISTEM!$C$17)))</f>
        <v/>
      </c>
      <c r="O282" s="22" t="str">
        <f t="shared" si="23"/>
        <v/>
      </c>
      <c r="P282" s="22">
        <f t="shared" si="24"/>
        <v>0</v>
      </c>
    </row>
    <row r="283" spans="1:16" ht="17">
      <c r="A283" s="6"/>
      <c r="B283" s="95"/>
      <c r="C283" s="96"/>
      <c r="D283" s="97"/>
      <c r="E283" s="97"/>
      <c r="F283" s="96"/>
      <c r="G283" s="98"/>
      <c r="H283" s="41" t="str">
        <f>IF(OR(B283="",D283="",F283="",G283=""),"",IF(AND(E283&lt;&gt;"",E283&lt;SISTEM!$C$17),"Pasif","Aktif"))</f>
        <v/>
      </c>
      <c r="I283" s="74">
        <f t="shared" si="20"/>
        <v>0</v>
      </c>
      <c r="J283" s="42" t="str">
        <f t="shared" si="21"/>
        <v/>
      </c>
      <c r="K283" s="43" t="str">
        <f>IF(AND(B283="",C283=""),"",IF(OR(B283="",C283="",D283="",F283="",G283=""),"EKSİK",IF(COUNTIF(MUSTERILER!$B$7:$B$156,B283)=0,"TANIMSIZ MÜŞTERİ","UYGUN")))</f>
        <v/>
      </c>
      <c r="L283" s="43" t="str">
        <f t="shared" si="22"/>
        <v/>
      </c>
      <c r="M283" s="96"/>
      <c r="N283" s="22" t="str">
        <f>IF(B283="","",IF(E283="",SISTEM!$C$17,MIN(E283,SISTEM!$C$17)))</f>
        <v/>
      </c>
      <c r="O283" s="22" t="str">
        <f t="shared" si="23"/>
        <v/>
      </c>
      <c r="P283" s="22">
        <f t="shared" si="24"/>
        <v>0</v>
      </c>
    </row>
    <row r="284" spans="1:16" ht="17">
      <c r="A284" s="6"/>
      <c r="B284" s="95"/>
      <c r="C284" s="96"/>
      <c r="D284" s="97"/>
      <c r="E284" s="97"/>
      <c r="F284" s="96"/>
      <c r="G284" s="98"/>
      <c r="H284" s="41" t="str">
        <f>IF(OR(B284="",D284="",F284="",G284=""),"",IF(AND(E284&lt;&gt;"",E284&lt;SISTEM!$C$17),"Pasif","Aktif"))</f>
        <v/>
      </c>
      <c r="I284" s="74">
        <f t="shared" si="20"/>
        <v>0</v>
      </c>
      <c r="J284" s="42" t="str">
        <f t="shared" si="21"/>
        <v/>
      </c>
      <c r="K284" s="43" t="str">
        <f>IF(AND(B284="",C284=""),"",IF(OR(B284="",C284="",D284="",F284="",G284=""),"EKSİK",IF(COUNTIF(MUSTERILER!$B$7:$B$156,B284)=0,"TANIMSIZ MÜŞTERİ","UYGUN")))</f>
        <v/>
      </c>
      <c r="L284" s="43" t="str">
        <f t="shared" si="22"/>
        <v/>
      </c>
      <c r="M284" s="96"/>
      <c r="N284" s="22" t="str">
        <f>IF(B284="","",IF(E284="",SISTEM!$C$17,MIN(E284,SISTEM!$C$17)))</f>
        <v/>
      </c>
      <c r="O284" s="22" t="str">
        <f t="shared" si="23"/>
        <v/>
      </c>
      <c r="P284" s="22">
        <f t="shared" si="24"/>
        <v>0</v>
      </c>
    </row>
    <row r="285" spans="1:16" ht="17">
      <c r="A285" s="6"/>
      <c r="B285" s="95"/>
      <c r="C285" s="96"/>
      <c r="D285" s="97"/>
      <c r="E285" s="97"/>
      <c r="F285" s="96"/>
      <c r="G285" s="98"/>
      <c r="H285" s="41" t="str">
        <f>IF(OR(B285="",D285="",F285="",G285=""),"",IF(AND(E285&lt;&gt;"",E285&lt;SISTEM!$C$17),"Pasif","Aktif"))</f>
        <v/>
      </c>
      <c r="I285" s="74">
        <f t="shared" si="20"/>
        <v>0</v>
      </c>
      <c r="J285" s="42" t="str">
        <f t="shared" si="21"/>
        <v/>
      </c>
      <c r="K285" s="43" t="str">
        <f>IF(AND(B285="",C285=""),"",IF(OR(B285="",C285="",D285="",F285="",G285=""),"EKSİK",IF(COUNTIF(MUSTERILER!$B$7:$B$156,B285)=0,"TANIMSIZ MÜŞTERİ","UYGUN")))</f>
        <v/>
      </c>
      <c r="L285" s="43" t="str">
        <f t="shared" si="22"/>
        <v/>
      </c>
      <c r="M285" s="96"/>
      <c r="N285" s="22" t="str">
        <f>IF(B285="","",IF(E285="",SISTEM!$C$17,MIN(E285,SISTEM!$C$17)))</f>
        <v/>
      </c>
      <c r="O285" s="22" t="str">
        <f t="shared" si="23"/>
        <v/>
      </c>
      <c r="P285" s="22">
        <f t="shared" si="24"/>
        <v>0</v>
      </c>
    </row>
    <row r="286" spans="1:16" ht="17">
      <c r="A286" s="6"/>
      <c r="B286" s="95"/>
      <c r="C286" s="96"/>
      <c r="D286" s="97"/>
      <c r="E286" s="97"/>
      <c r="F286" s="96"/>
      <c r="G286" s="98"/>
      <c r="H286" s="41" t="str">
        <f>IF(OR(B286="",D286="",F286="",G286=""),"",IF(AND(E286&lt;&gt;"",E286&lt;SISTEM!$C$17),"Pasif","Aktif"))</f>
        <v/>
      </c>
      <c r="I286" s="74">
        <f t="shared" si="20"/>
        <v>0</v>
      </c>
      <c r="J286" s="42" t="str">
        <f t="shared" si="21"/>
        <v/>
      </c>
      <c r="K286" s="43" t="str">
        <f>IF(AND(B286="",C286=""),"",IF(OR(B286="",C286="",D286="",F286="",G286=""),"EKSİK",IF(COUNTIF(MUSTERILER!$B$7:$B$156,B286)=0,"TANIMSIZ MÜŞTERİ","UYGUN")))</f>
        <v/>
      </c>
      <c r="L286" s="43" t="str">
        <f t="shared" si="22"/>
        <v/>
      </c>
      <c r="M286" s="96"/>
      <c r="N286" s="22" t="str">
        <f>IF(B286="","",IF(E286="",SISTEM!$C$17,MIN(E286,SISTEM!$C$17)))</f>
        <v/>
      </c>
      <c r="O286" s="22" t="str">
        <f t="shared" si="23"/>
        <v/>
      </c>
      <c r="P286" s="22">
        <f t="shared" si="24"/>
        <v>0</v>
      </c>
    </row>
    <row r="287" spans="1:16" ht="17">
      <c r="A287" s="6"/>
      <c r="B287" s="95"/>
      <c r="C287" s="96"/>
      <c r="D287" s="97"/>
      <c r="E287" s="97"/>
      <c r="F287" s="96"/>
      <c r="G287" s="98"/>
      <c r="H287" s="41" t="str">
        <f>IF(OR(B287="",D287="",F287="",G287=""),"",IF(AND(E287&lt;&gt;"",E287&lt;SISTEM!$C$17),"Pasif","Aktif"))</f>
        <v/>
      </c>
      <c r="I287" s="74">
        <f t="shared" si="20"/>
        <v>0</v>
      </c>
      <c r="J287" s="42" t="str">
        <f t="shared" si="21"/>
        <v/>
      </c>
      <c r="K287" s="43" t="str">
        <f>IF(AND(B287="",C287=""),"",IF(OR(B287="",C287="",D287="",F287="",G287=""),"EKSİK",IF(COUNTIF(MUSTERILER!$B$7:$B$156,B287)=0,"TANIMSIZ MÜŞTERİ","UYGUN")))</f>
        <v/>
      </c>
      <c r="L287" s="43" t="str">
        <f t="shared" si="22"/>
        <v/>
      </c>
      <c r="M287" s="96"/>
      <c r="N287" s="22" t="str">
        <f>IF(B287="","",IF(E287="",SISTEM!$C$17,MIN(E287,SISTEM!$C$17)))</f>
        <v/>
      </c>
      <c r="O287" s="22" t="str">
        <f t="shared" si="23"/>
        <v/>
      </c>
      <c r="P287" s="22">
        <f t="shared" si="24"/>
        <v>0</v>
      </c>
    </row>
    <row r="288" spans="1:16" ht="17">
      <c r="A288" s="6"/>
      <c r="B288" s="95"/>
      <c r="C288" s="96"/>
      <c r="D288" s="97"/>
      <c r="E288" s="97"/>
      <c r="F288" s="96"/>
      <c r="G288" s="98"/>
      <c r="H288" s="41" t="str">
        <f>IF(OR(B288="",D288="",F288="",G288=""),"",IF(AND(E288&lt;&gt;"",E288&lt;SISTEM!$C$17),"Pasif","Aktif"))</f>
        <v/>
      </c>
      <c r="I288" s="74">
        <f t="shared" si="20"/>
        <v>0</v>
      </c>
      <c r="J288" s="42" t="str">
        <f t="shared" si="21"/>
        <v/>
      </c>
      <c r="K288" s="43" t="str">
        <f>IF(AND(B288="",C288=""),"",IF(OR(B288="",C288="",D288="",F288="",G288=""),"EKSİK",IF(COUNTIF(MUSTERILER!$B$7:$B$156,B288)=0,"TANIMSIZ MÜŞTERİ","UYGUN")))</f>
        <v/>
      </c>
      <c r="L288" s="43" t="str">
        <f t="shared" si="22"/>
        <v/>
      </c>
      <c r="M288" s="96"/>
      <c r="N288" s="22" t="str">
        <f>IF(B288="","",IF(E288="",SISTEM!$C$17,MIN(E288,SISTEM!$C$17)))</f>
        <v/>
      </c>
      <c r="O288" s="22" t="str">
        <f t="shared" si="23"/>
        <v/>
      </c>
      <c r="P288" s="22">
        <f t="shared" si="24"/>
        <v>0</v>
      </c>
    </row>
    <row r="289" spans="1:16" ht="17">
      <c r="A289" s="6"/>
      <c r="B289" s="95"/>
      <c r="C289" s="96"/>
      <c r="D289" s="97"/>
      <c r="E289" s="97"/>
      <c r="F289" s="96"/>
      <c r="G289" s="98"/>
      <c r="H289" s="41" t="str">
        <f>IF(OR(B289="",D289="",F289="",G289=""),"",IF(AND(E289&lt;&gt;"",E289&lt;SISTEM!$C$17),"Pasif","Aktif"))</f>
        <v/>
      </c>
      <c r="I289" s="74">
        <f t="shared" si="20"/>
        <v>0</v>
      </c>
      <c r="J289" s="42" t="str">
        <f t="shared" si="21"/>
        <v/>
      </c>
      <c r="K289" s="43" t="str">
        <f>IF(AND(B289="",C289=""),"",IF(OR(B289="",C289="",D289="",F289="",G289=""),"EKSİK",IF(COUNTIF(MUSTERILER!$B$7:$B$156,B289)=0,"TANIMSIZ MÜŞTERİ","UYGUN")))</f>
        <v/>
      </c>
      <c r="L289" s="43" t="str">
        <f t="shared" si="22"/>
        <v/>
      </c>
      <c r="M289" s="96"/>
      <c r="N289" s="22" t="str">
        <f>IF(B289="","",IF(E289="",SISTEM!$C$17,MIN(E289,SISTEM!$C$17)))</f>
        <v/>
      </c>
      <c r="O289" s="22" t="str">
        <f t="shared" si="23"/>
        <v/>
      </c>
      <c r="P289" s="22">
        <f t="shared" si="24"/>
        <v>0</v>
      </c>
    </row>
    <row r="290" spans="1:16" ht="17">
      <c r="A290" s="6"/>
      <c r="B290" s="95"/>
      <c r="C290" s="96"/>
      <c r="D290" s="97"/>
      <c r="E290" s="97"/>
      <c r="F290" s="96"/>
      <c r="G290" s="98"/>
      <c r="H290" s="41" t="str">
        <f>IF(OR(B290="",D290="",F290="",G290=""),"",IF(AND(E290&lt;&gt;"",E290&lt;SISTEM!$C$17),"Pasif","Aktif"))</f>
        <v/>
      </c>
      <c r="I290" s="74">
        <f t="shared" si="20"/>
        <v>0</v>
      </c>
      <c r="J290" s="42" t="str">
        <f t="shared" si="21"/>
        <v/>
      </c>
      <c r="K290" s="43" t="str">
        <f>IF(AND(B290="",C290=""),"",IF(OR(B290="",C290="",D290="",F290="",G290=""),"EKSİK",IF(COUNTIF(MUSTERILER!$B$7:$B$156,B290)=0,"TANIMSIZ MÜŞTERİ","UYGUN")))</f>
        <v/>
      </c>
      <c r="L290" s="43" t="str">
        <f t="shared" si="22"/>
        <v/>
      </c>
      <c r="M290" s="96"/>
      <c r="N290" s="22" t="str">
        <f>IF(B290="","",IF(E290="",SISTEM!$C$17,MIN(E290,SISTEM!$C$17)))</f>
        <v/>
      </c>
      <c r="O290" s="22" t="str">
        <f t="shared" si="23"/>
        <v/>
      </c>
      <c r="P290" s="22">
        <f t="shared" si="24"/>
        <v>0</v>
      </c>
    </row>
    <row r="291" spans="1:16" ht="17">
      <c r="A291" s="6"/>
      <c r="B291" s="95"/>
      <c r="C291" s="96"/>
      <c r="D291" s="97"/>
      <c r="E291" s="97"/>
      <c r="F291" s="96"/>
      <c r="G291" s="98"/>
      <c r="H291" s="41" t="str">
        <f>IF(OR(B291="",D291="",F291="",G291=""),"",IF(AND(E291&lt;&gt;"",E291&lt;SISTEM!$C$17),"Pasif","Aktif"))</f>
        <v/>
      </c>
      <c r="I291" s="74">
        <f t="shared" si="20"/>
        <v>0</v>
      </c>
      <c r="J291" s="42" t="str">
        <f t="shared" si="21"/>
        <v/>
      </c>
      <c r="K291" s="43" t="str">
        <f>IF(AND(B291="",C291=""),"",IF(OR(B291="",C291="",D291="",F291="",G291=""),"EKSİK",IF(COUNTIF(MUSTERILER!$B$7:$B$156,B291)=0,"TANIMSIZ MÜŞTERİ","UYGUN")))</f>
        <v/>
      </c>
      <c r="L291" s="43" t="str">
        <f t="shared" si="22"/>
        <v/>
      </c>
      <c r="M291" s="96"/>
      <c r="N291" s="22" t="str">
        <f>IF(B291="","",IF(E291="",SISTEM!$C$17,MIN(E291,SISTEM!$C$17)))</f>
        <v/>
      </c>
      <c r="O291" s="22" t="str">
        <f t="shared" si="23"/>
        <v/>
      </c>
      <c r="P291" s="22">
        <f t="shared" si="24"/>
        <v>0</v>
      </c>
    </row>
    <row r="292" spans="1:16" ht="17">
      <c r="A292" s="6"/>
      <c r="B292" s="95"/>
      <c r="C292" s="96"/>
      <c r="D292" s="97"/>
      <c r="E292" s="97"/>
      <c r="F292" s="96"/>
      <c r="G292" s="98"/>
      <c r="H292" s="41" t="str">
        <f>IF(OR(B292="",D292="",F292="",G292=""),"",IF(AND(E292&lt;&gt;"",E292&lt;SISTEM!$C$17),"Pasif","Aktif"))</f>
        <v/>
      </c>
      <c r="I292" s="74">
        <f t="shared" si="20"/>
        <v>0</v>
      </c>
      <c r="J292" s="42" t="str">
        <f t="shared" si="21"/>
        <v/>
      </c>
      <c r="K292" s="43" t="str">
        <f>IF(AND(B292="",C292=""),"",IF(OR(B292="",C292="",D292="",F292="",G292=""),"EKSİK",IF(COUNTIF(MUSTERILER!$B$7:$B$156,B292)=0,"TANIMSIZ MÜŞTERİ","UYGUN")))</f>
        <v/>
      </c>
      <c r="L292" s="43" t="str">
        <f t="shared" si="22"/>
        <v/>
      </c>
      <c r="M292" s="96"/>
      <c r="N292" s="22" t="str">
        <f>IF(B292="","",IF(E292="",SISTEM!$C$17,MIN(E292,SISTEM!$C$17)))</f>
        <v/>
      </c>
      <c r="O292" s="22" t="str">
        <f t="shared" si="23"/>
        <v/>
      </c>
      <c r="P292" s="22">
        <f t="shared" si="24"/>
        <v>0</v>
      </c>
    </row>
    <row r="293" spans="1:16" ht="17">
      <c r="A293" s="6"/>
      <c r="B293" s="95"/>
      <c r="C293" s="96"/>
      <c r="D293" s="97"/>
      <c r="E293" s="97"/>
      <c r="F293" s="96"/>
      <c r="G293" s="98"/>
      <c r="H293" s="41" t="str">
        <f>IF(OR(B293="",D293="",F293="",G293=""),"",IF(AND(E293&lt;&gt;"",E293&lt;SISTEM!$C$17),"Pasif","Aktif"))</f>
        <v/>
      </c>
      <c r="I293" s="74">
        <f t="shared" si="20"/>
        <v>0</v>
      </c>
      <c r="J293" s="42" t="str">
        <f t="shared" si="21"/>
        <v/>
      </c>
      <c r="K293" s="43" t="str">
        <f>IF(AND(B293="",C293=""),"",IF(OR(B293="",C293="",D293="",F293="",G293=""),"EKSİK",IF(COUNTIF(MUSTERILER!$B$7:$B$156,B293)=0,"TANIMSIZ MÜŞTERİ","UYGUN")))</f>
        <v/>
      </c>
      <c r="L293" s="43" t="str">
        <f t="shared" si="22"/>
        <v/>
      </c>
      <c r="M293" s="96"/>
      <c r="N293" s="22" t="str">
        <f>IF(B293="","",IF(E293="",SISTEM!$C$17,MIN(E293,SISTEM!$C$17)))</f>
        <v/>
      </c>
      <c r="O293" s="22" t="str">
        <f t="shared" si="23"/>
        <v/>
      </c>
      <c r="P293" s="22">
        <f t="shared" si="24"/>
        <v>0</v>
      </c>
    </row>
    <row r="294" spans="1:16" ht="17">
      <c r="A294" s="6"/>
      <c r="B294" s="95"/>
      <c r="C294" s="96"/>
      <c r="D294" s="97"/>
      <c r="E294" s="97"/>
      <c r="F294" s="96"/>
      <c r="G294" s="98"/>
      <c r="H294" s="41" t="str">
        <f>IF(OR(B294="",D294="",F294="",G294=""),"",IF(AND(E294&lt;&gt;"",E294&lt;SISTEM!$C$17),"Pasif","Aktif"))</f>
        <v/>
      </c>
      <c r="I294" s="74">
        <f t="shared" si="20"/>
        <v>0</v>
      </c>
      <c r="J294" s="42" t="str">
        <f t="shared" si="21"/>
        <v/>
      </c>
      <c r="K294" s="43" t="str">
        <f>IF(AND(B294="",C294=""),"",IF(OR(B294="",C294="",D294="",F294="",G294=""),"EKSİK",IF(COUNTIF(MUSTERILER!$B$7:$B$156,B294)=0,"TANIMSIZ MÜŞTERİ","UYGUN")))</f>
        <v/>
      </c>
      <c r="L294" s="43" t="str">
        <f t="shared" si="22"/>
        <v/>
      </c>
      <c r="M294" s="96"/>
      <c r="N294" s="22" t="str">
        <f>IF(B294="","",IF(E294="",SISTEM!$C$17,MIN(E294,SISTEM!$C$17)))</f>
        <v/>
      </c>
      <c r="O294" s="22" t="str">
        <f t="shared" si="23"/>
        <v/>
      </c>
      <c r="P294" s="22">
        <f t="shared" si="24"/>
        <v>0</v>
      </c>
    </row>
    <row r="295" spans="1:16" ht="17">
      <c r="A295" s="6"/>
      <c r="B295" s="95"/>
      <c r="C295" s="96"/>
      <c r="D295" s="97"/>
      <c r="E295" s="97"/>
      <c r="F295" s="96"/>
      <c r="G295" s="98"/>
      <c r="H295" s="41" t="str">
        <f>IF(OR(B295="",D295="",F295="",G295=""),"",IF(AND(E295&lt;&gt;"",E295&lt;SISTEM!$C$17),"Pasif","Aktif"))</f>
        <v/>
      </c>
      <c r="I295" s="74">
        <f t="shared" si="20"/>
        <v>0</v>
      </c>
      <c r="J295" s="42" t="str">
        <f t="shared" si="21"/>
        <v/>
      </c>
      <c r="K295" s="43" t="str">
        <f>IF(AND(B295="",C295=""),"",IF(OR(B295="",C295="",D295="",F295="",G295=""),"EKSİK",IF(COUNTIF(MUSTERILER!$B$7:$B$156,B295)=0,"TANIMSIZ MÜŞTERİ","UYGUN")))</f>
        <v/>
      </c>
      <c r="L295" s="43" t="str">
        <f t="shared" si="22"/>
        <v/>
      </c>
      <c r="M295" s="96"/>
      <c r="N295" s="22" t="str">
        <f>IF(B295="","",IF(E295="",SISTEM!$C$17,MIN(E295,SISTEM!$C$17)))</f>
        <v/>
      </c>
      <c r="O295" s="22" t="str">
        <f t="shared" si="23"/>
        <v/>
      </c>
      <c r="P295" s="22">
        <f t="shared" si="24"/>
        <v>0</v>
      </c>
    </row>
    <row r="296" spans="1:16" ht="17">
      <c r="A296" s="6"/>
      <c r="B296" s="95"/>
      <c r="C296" s="96"/>
      <c r="D296" s="97"/>
      <c r="E296" s="97"/>
      <c r="F296" s="96"/>
      <c r="G296" s="98"/>
      <c r="H296" s="41" t="str">
        <f>IF(OR(B296="",D296="",F296="",G296=""),"",IF(AND(E296&lt;&gt;"",E296&lt;SISTEM!$C$17),"Pasif","Aktif"))</f>
        <v/>
      </c>
      <c r="I296" s="74">
        <f t="shared" si="20"/>
        <v>0</v>
      </c>
      <c r="J296" s="42" t="str">
        <f t="shared" si="21"/>
        <v/>
      </c>
      <c r="K296" s="43" t="str">
        <f>IF(AND(B296="",C296=""),"",IF(OR(B296="",C296="",D296="",F296="",G296=""),"EKSİK",IF(COUNTIF(MUSTERILER!$B$7:$B$156,B296)=0,"TANIMSIZ MÜŞTERİ","UYGUN")))</f>
        <v/>
      </c>
      <c r="L296" s="43" t="str">
        <f t="shared" si="22"/>
        <v/>
      </c>
      <c r="M296" s="96"/>
      <c r="N296" s="22" t="str">
        <f>IF(B296="","",IF(E296="",SISTEM!$C$17,MIN(E296,SISTEM!$C$17)))</f>
        <v/>
      </c>
      <c r="O296" s="22" t="str">
        <f t="shared" si="23"/>
        <v/>
      </c>
      <c r="P296" s="22">
        <f t="shared" si="24"/>
        <v>0</v>
      </c>
    </row>
    <row r="297" spans="1:16" ht="17">
      <c r="A297" s="6"/>
      <c r="B297" s="95"/>
      <c r="C297" s="96"/>
      <c r="D297" s="97"/>
      <c r="E297" s="97"/>
      <c r="F297" s="96"/>
      <c r="G297" s="98"/>
      <c r="H297" s="41" t="str">
        <f>IF(OR(B297="",D297="",F297="",G297=""),"",IF(AND(E297&lt;&gt;"",E297&lt;SISTEM!$C$17),"Pasif","Aktif"))</f>
        <v/>
      </c>
      <c r="I297" s="74">
        <f t="shared" si="20"/>
        <v>0</v>
      </c>
      <c r="J297" s="42" t="str">
        <f t="shared" si="21"/>
        <v/>
      </c>
      <c r="K297" s="43" t="str">
        <f>IF(AND(B297="",C297=""),"",IF(OR(B297="",C297="",D297="",F297="",G297=""),"EKSİK",IF(COUNTIF(MUSTERILER!$B$7:$B$156,B297)=0,"TANIMSIZ MÜŞTERİ","UYGUN")))</f>
        <v/>
      </c>
      <c r="L297" s="43" t="str">
        <f t="shared" si="22"/>
        <v/>
      </c>
      <c r="M297" s="96"/>
      <c r="N297" s="22" t="str">
        <f>IF(B297="","",IF(E297="",SISTEM!$C$17,MIN(E297,SISTEM!$C$17)))</f>
        <v/>
      </c>
      <c r="O297" s="22" t="str">
        <f t="shared" si="23"/>
        <v/>
      </c>
      <c r="P297" s="22">
        <f t="shared" si="24"/>
        <v>0</v>
      </c>
    </row>
    <row r="298" spans="1:16" ht="17">
      <c r="A298" s="6"/>
      <c r="B298" s="95"/>
      <c r="C298" s="96"/>
      <c r="D298" s="97"/>
      <c r="E298" s="97"/>
      <c r="F298" s="96"/>
      <c r="G298" s="98"/>
      <c r="H298" s="41" t="str">
        <f>IF(OR(B298="",D298="",F298="",G298=""),"",IF(AND(E298&lt;&gt;"",E298&lt;SISTEM!$C$17),"Pasif","Aktif"))</f>
        <v/>
      </c>
      <c r="I298" s="74">
        <f t="shared" si="20"/>
        <v>0</v>
      </c>
      <c r="J298" s="42" t="str">
        <f t="shared" si="21"/>
        <v/>
      </c>
      <c r="K298" s="43" t="str">
        <f>IF(AND(B298="",C298=""),"",IF(OR(B298="",C298="",D298="",F298="",G298=""),"EKSİK",IF(COUNTIF(MUSTERILER!$B$7:$B$156,B298)=0,"TANIMSIZ MÜŞTERİ","UYGUN")))</f>
        <v/>
      </c>
      <c r="L298" s="43" t="str">
        <f t="shared" si="22"/>
        <v/>
      </c>
      <c r="M298" s="96"/>
      <c r="N298" s="22" t="str">
        <f>IF(B298="","",IF(E298="",SISTEM!$C$17,MIN(E298,SISTEM!$C$17)))</f>
        <v/>
      </c>
      <c r="O298" s="22" t="str">
        <f t="shared" si="23"/>
        <v/>
      </c>
      <c r="P298" s="22">
        <f t="shared" si="24"/>
        <v>0</v>
      </c>
    </row>
    <row r="299" spans="1:16" ht="17">
      <c r="A299" s="6"/>
      <c r="B299" s="95"/>
      <c r="C299" s="96"/>
      <c r="D299" s="97"/>
      <c r="E299" s="97"/>
      <c r="F299" s="96"/>
      <c r="G299" s="98"/>
      <c r="H299" s="41" t="str">
        <f>IF(OR(B299="",D299="",F299="",G299=""),"",IF(AND(E299&lt;&gt;"",E299&lt;SISTEM!$C$17),"Pasif","Aktif"))</f>
        <v/>
      </c>
      <c r="I299" s="74">
        <f t="shared" si="20"/>
        <v>0</v>
      </c>
      <c r="J299" s="42" t="str">
        <f t="shared" si="21"/>
        <v/>
      </c>
      <c r="K299" s="43" t="str">
        <f>IF(AND(B299="",C299=""),"",IF(OR(B299="",C299="",D299="",F299="",G299=""),"EKSİK",IF(COUNTIF(MUSTERILER!$B$7:$B$156,B299)=0,"TANIMSIZ MÜŞTERİ","UYGUN")))</f>
        <v/>
      </c>
      <c r="L299" s="43" t="str">
        <f t="shared" si="22"/>
        <v/>
      </c>
      <c r="M299" s="96"/>
      <c r="N299" s="22" t="str">
        <f>IF(B299="","",IF(E299="",SISTEM!$C$17,MIN(E299,SISTEM!$C$17)))</f>
        <v/>
      </c>
      <c r="O299" s="22" t="str">
        <f t="shared" si="23"/>
        <v/>
      </c>
      <c r="P299" s="22">
        <f t="shared" si="24"/>
        <v>0</v>
      </c>
    </row>
    <row r="300" spans="1:16" ht="17">
      <c r="A300" s="6"/>
      <c r="B300" s="95"/>
      <c r="C300" s="96"/>
      <c r="D300" s="97"/>
      <c r="E300" s="97"/>
      <c r="F300" s="96"/>
      <c r="G300" s="98"/>
      <c r="H300" s="41" t="str">
        <f>IF(OR(B300="",D300="",F300="",G300=""),"",IF(AND(E300&lt;&gt;"",E300&lt;SISTEM!$C$17),"Pasif","Aktif"))</f>
        <v/>
      </c>
      <c r="I300" s="74">
        <f t="shared" si="20"/>
        <v>0</v>
      </c>
      <c r="J300" s="42" t="str">
        <f t="shared" si="21"/>
        <v/>
      </c>
      <c r="K300" s="43" t="str">
        <f>IF(AND(B300="",C300=""),"",IF(OR(B300="",C300="",D300="",F300="",G300=""),"EKSİK",IF(COUNTIF(MUSTERILER!$B$7:$B$156,B300)=0,"TANIMSIZ MÜŞTERİ","UYGUN")))</f>
        <v/>
      </c>
      <c r="L300" s="43" t="str">
        <f t="shared" si="22"/>
        <v/>
      </c>
      <c r="M300" s="96"/>
      <c r="N300" s="22" t="str">
        <f>IF(B300="","",IF(E300="",SISTEM!$C$17,MIN(E300,SISTEM!$C$17)))</f>
        <v/>
      </c>
      <c r="O300" s="22" t="str">
        <f t="shared" si="23"/>
        <v/>
      </c>
      <c r="P300" s="22">
        <f t="shared" si="24"/>
        <v>0</v>
      </c>
    </row>
    <row r="301" spans="1:16" ht="17">
      <c r="A301" s="6"/>
      <c r="B301" s="95"/>
      <c r="C301" s="96"/>
      <c r="D301" s="97"/>
      <c r="E301" s="97"/>
      <c r="F301" s="96"/>
      <c r="G301" s="98"/>
      <c r="H301" s="41" t="str">
        <f>IF(OR(B301="",D301="",F301="",G301=""),"",IF(AND(E301&lt;&gt;"",E301&lt;SISTEM!$C$17),"Pasif","Aktif"))</f>
        <v/>
      </c>
      <c r="I301" s="74">
        <f t="shared" si="20"/>
        <v>0</v>
      </c>
      <c r="J301" s="42" t="str">
        <f t="shared" si="21"/>
        <v/>
      </c>
      <c r="K301" s="43" t="str">
        <f>IF(AND(B301="",C301=""),"",IF(OR(B301="",C301="",D301="",F301="",G301=""),"EKSİK",IF(COUNTIF(MUSTERILER!$B$7:$B$156,B301)=0,"TANIMSIZ MÜŞTERİ","UYGUN")))</f>
        <v/>
      </c>
      <c r="L301" s="43" t="str">
        <f t="shared" si="22"/>
        <v/>
      </c>
      <c r="M301" s="96"/>
      <c r="N301" s="22" t="str">
        <f>IF(B301="","",IF(E301="",SISTEM!$C$17,MIN(E301,SISTEM!$C$17)))</f>
        <v/>
      </c>
      <c r="O301" s="22" t="str">
        <f t="shared" si="23"/>
        <v/>
      </c>
      <c r="P301" s="22">
        <f t="shared" si="24"/>
        <v>0</v>
      </c>
    </row>
    <row r="302" spans="1:16" ht="17">
      <c r="A302" s="6"/>
      <c r="B302" s="95"/>
      <c r="C302" s="96"/>
      <c r="D302" s="97"/>
      <c r="E302" s="97"/>
      <c r="F302" s="96"/>
      <c r="G302" s="98"/>
      <c r="H302" s="41" t="str">
        <f>IF(OR(B302="",D302="",F302="",G302=""),"",IF(AND(E302&lt;&gt;"",E302&lt;SISTEM!$C$17),"Pasif","Aktif"))</f>
        <v/>
      </c>
      <c r="I302" s="74">
        <f t="shared" si="20"/>
        <v>0</v>
      </c>
      <c r="J302" s="42" t="str">
        <f t="shared" si="21"/>
        <v/>
      </c>
      <c r="K302" s="43" t="str">
        <f>IF(AND(B302="",C302=""),"",IF(OR(B302="",C302="",D302="",F302="",G302=""),"EKSİK",IF(COUNTIF(MUSTERILER!$B$7:$B$156,B302)=0,"TANIMSIZ MÜŞTERİ","UYGUN")))</f>
        <v/>
      </c>
      <c r="L302" s="43" t="str">
        <f t="shared" si="22"/>
        <v/>
      </c>
      <c r="M302" s="96"/>
      <c r="N302" s="22" t="str">
        <f>IF(B302="","",IF(E302="",SISTEM!$C$17,MIN(E302,SISTEM!$C$17)))</f>
        <v/>
      </c>
      <c r="O302" s="22" t="str">
        <f t="shared" si="23"/>
        <v/>
      </c>
      <c r="P302" s="22">
        <f t="shared" si="24"/>
        <v>0</v>
      </c>
    </row>
    <row r="303" spans="1:16" ht="17">
      <c r="A303" s="6"/>
      <c r="B303" s="95"/>
      <c r="C303" s="96"/>
      <c r="D303" s="97"/>
      <c r="E303" s="97"/>
      <c r="F303" s="96"/>
      <c r="G303" s="98"/>
      <c r="H303" s="41" t="str">
        <f>IF(OR(B303="",D303="",F303="",G303=""),"",IF(AND(E303&lt;&gt;"",E303&lt;SISTEM!$C$17),"Pasif","Aktif"))</f>
        <v/>
      </c>
      <c r="I303" s="74">
        <f t="shared" si="20"/>
        <v>0</v>
      </c>
      <c r="J303" s="42" t="str">
        <f t="shared" si="21"/>
        <v/>
      </c>
      <c r="K303" s="43" t="str">
        <f>IF(AND(B303="",C303=""),"",IF(OR(B303="",C303="",D303="",F303="",G303=""),"EKSİK",IF(COUNTIF(MUSTERILER!$B$7:$B$156,B303)=0,"TANIMSIZ MÜŞTERİ","UYGUN")))</f>
        <v/>
      </c>
      <c r="L303" s="43" t="str">
        <f t="shared" si="22"/>
        <v/>
      </c>
      <c r="M303" s="96"/>
      <c r="N303" s="22" t="str">
        <f>IF(B303="","",IF(E303="",SISTEM!$C$17,MIN(E303,SISTEM!$C$17)))</f>
        <v/>
      </c>
      <c r="O303" s="22" t="str">
        <f t="shared" si="23"/>
        <v/>
      </c>
      <c r="P303" s="22">
        <f t="shared" si="24"/>
        <v>0</v>
      </c>
    </row>
    <row r="304" spans="1:16" ht="17">
      <c r="A304" s="6"/>
      <c r="B304" s="95"/>
      <c r="C304" s="96"/>
      <c r="D304" s="97"/>
      <c r="E304" s="97"/>
      <c r="F304" s="96"/>
      <c r="G304" s="98"/>
      <c r="H304" s="41" t="str">
        <f>IF(OR(B304="",D304="",F304="",G304=""),"",IF(AND(E304&lt;&gt;"",E304&lt;SISTEM!$C$17),"Pasif","Aktif"))</f>
        <v/>
      </c>
      <c r="I304" s="74">
        <f t="shared" si="20"/>
        <v>0</v>
      </c>
      <c r="J304" s="42" t="str">
        <f t="shared" si="21"/>
        <v/>
      </c>
      <c r="K304" s="43" t="str">
        <f>IF(AND(B304="",C304=""),"",IF(OR(B304="",C304="",D304="",F304="",G304=""),"EKSİK",IF(COUNTIF(MUSTERILER!$B$7:$B$156,B304)=0,"TANIMSIZ MÜŞTERİ","UYGUN")))</f>
        <v/>
      </c>
      <c r="L304" s="43" t="str">
        <f t="shared" si="22"/>
        <v/>
      </c>
      <c r="M304" s="96"/>
      <c r="N304" s="22" t="str">
        <f>IF(B304="","",IF(E304="",SISTEM!$C$17,MIN(E304,SISTEM!$C$17)))</f>
        <v/>
      </c>
      <c r="O304" s="22" t="str">
        <f t="shared" si="23"/>
        <v/>
      </c>
      <c r="P304" s="22">
        <f t="shared" si="24"/>
        <v>0</v>
      </c>
    </row>
    <row r="305" spans="1:16" ht="17">
      <c r="A305" s="6"/>
      <c r="B305" s="95"/>
      <c r="C305" s="96"/>
      <c r="D305" s="97"/>
      <c r="E305" s="97"/>
      <c r="F305" s="96"/>
      <c r="G305" s="98"/>
      <c r="H305" s="41" t="str">
        <f>IF(OR(B305="",D305="",F305="",G305=""),"",IF(AND(E305&lt;&gt;"",E305&lt;SISTEM!$C$17),"Pasif","Aktif"))</f>
        <v/>
      </c>
      <c r="I305" s="74">
        <f t="shared" si="20"/>
        <v>0</v>
      </c>
      <c r="J305" s="42" t="str">
        <f t="shared" si="21"/>
        <v/>
      </c>
      <c r="K305" s="43" t="str">
        <f>IF(AND(B305="",C305=""),"",IF(OR(B305="",C305="",D305="",F305="",G305=""),"EKSİK",IF(COUNTIF(MUSTERILER!$B$7:$B$156,B305)=0,"TANIMSIZ MÜŞTERİ","UYGUN")))</f>
        <v/>
      </c>
      <c r="L305" s="43" t="str">
        <f t="shared" si="22"/>
        <v/>
      </c>
      <c r="M305" s="96"/>
      <c r="N305" s="22" t="str">
        <f>IF(B305="","",IF(E305="",SISTEM!$C$17,MIN(E305,SISTEM!$C$17)))</f>
        <v/>
      </c>
      <c r="O305" s="22" t="str">
        <f t="shared" si="23"/>
        <v/>
      </c>
      <c r="P305" s="22">
        <f t="shared" si="24"/>
        <v>0</v>
      </c>
    </row>
    <row r="306" spans="1:16" ht="17">
      <c r="A306" s="6"/>
      <c r="B306" s="95"/>
      <c r="C306" s="96"/>
      <c r="D306" s="97"/>
      <c r="E306" s="97"/>
      <c r="F306" s="96"/>
      <c r="G306" s="98"/>
      <c r="H306" s="41" t="str">
        <f>IF(OR(B306="",D306="",F306="",G306=""),"",IF(AND(E306&lt;&gt;"",E306&lt;SISTEM!$C$17),"Pasif","Aktif"))</f>
        <v/>
      </c>
      <c r="I306" s="74">
        <f t="shared" si="20"/>
        <v>0</v>
      </c>
      <c r="J306" s="42" t="str">
        <f t="shared" si="21"/>
        <v/>
      </c>
      <c r="K306" s="43" t="str">
        <f>IF(AND(B306="",C306=""),"",IF(OR(B306="",C306="",D306="",F306="",G306=""),"EKSİK",IF(COUNTIF(MUSTERILER!$B$7:$B$156,B306)=0,"TANIMSIZ MÜŞTERİ","UYGUN")))</f>
        <v/>
      </c>
      <c r="L306" s="43" t="str">
        <f t="shared" si="22"/>
        <v/>
      </c>
      <c r="M306" s="96"/>
      <c r="N306" s="22" t="str">
        <f>IF(B306="","",IF(E306="",SISTEM!$C$17,MIN(E306,SISTEM!$C$17)))</f>
        <v/>
      </c>
      <c r="O306" s="22" t="str">
        <f t="shared" si="23"/>
        <v/>
      </c>
      <c r="P306" s="22">
        <f t="shared" si="24"/>
        <v>0</v>
      </c>
    </row>
  </sheetData>
  <mergeCells count="6">
    <mergeCell ref="A2:B2"/>
    <mergeCell ref="A4:G4"/>
    <mergeCell ref="C1:O1"/>
    <mergeCell ref="J5:M5"/>
    <mergeCell ref="A3:O3"/>
    <mergeCell ref="C2:O2"/>
  </mergeCells>
  <dataValidations count="2">
    <dataValidation type="list" sqref="C7:C306" xr:uid="{00000000-0002-0000-0500-000000000000}">
      <formula1>LST_MUSTERI_ADI</formula1>
    </dataValidation>
    <dataValidation type="list" sqref="F7:F306" xr:uid="{00000000-0002-0000-0500-000001000000}">
      <formula1>"Haftalık,Aylık"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563EB"/>
  </sheetPr>
  <dimension ref="A1:O1006"/>
  <sheetViews>
    <sheetView showGridLines="0" topLeftCell="A89" workbookViewId="0"/>
  </sheetViews>
  <sheetFormatPr baseColWidth="10" defaultColWidth="8.83203125" defaultRowHeight="14"/>
  <cols>
    <col min="1" max="1" width="10" customWidth="1"/>
    <col min="2" max="2" width="16" customWidth="1"/>
    <col min="3" max="3" width="24" customWidth="1"/>
    <col min="4" max="4" width="28" customWidth="1"/>
    <col min="5" max="5" width="13" customWidth="1"/>
    <col min="6" max="6" width="15" customWidth="1"/>
    <col min="7" max="7" width="18" customWidth="1"/>
    <col min="8" max="8" width="15" customWidth="1"/>
    <col min="9" max="9" width="14" customWidth="1"/>
    <col min="10" max="10" width="40" customWidth="1"/>
    <col min="11" max="11" width="16" customWidth="1"/>
    <col min="12" max="12" width="14" customWidth="1"/>
    <col min="13" max="13" width="18" customWidth="1"/>
    <col min="14" max="15" width="2.5" hidden="1" customWidth="1"/>
  </cols>
  <sheetData>
    <row r="1" spans="1:15" ht="38" customHeight="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32" t="s">
        <v>594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28" customHeight="1">
      <c r="A2" s="244" t="s">
        <v>438</v>
      </c>
      <c r="B2" s="245"/>
      <c r="C2" s="213" t="s">
        <v>595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1:15" ht="28" customHeight="1">
      <c r="A3" s="213" t="s">
        <v>596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5" ht="24" customHeight="1">
      <c r="A4" s="207" t="str">
        <f>IFERROR(HYPERLINK("#MENU!A1","← MENÜ   │   TAHSİLAT"),"← MENÜ   │   TAHSİLAT")</f>
        <v>← MENÜ   │   TAHSİLAT</v>
      </c>
      <c r="B4" s="208"/>
      <c r="C4" s="208"/>
      <c r="D4" s="208"/>
      <c r="E4" s="208"/>
      <c r="F4" s="208"/>
      <c r="G4" s="209"/>
      <c r="H4" s="79" t="str">
        <f>IFERROR(HYPERLINK("#TAHSILAT!A1","TAHSİLAT"),"TAHSİLAT")</f>
        <v>TAHSİLAT</v>
      </c>
      <c r="I4" s="80"/>
      <c r="J4" s="79" t="str">
        <f>IFERROR(HYPERLINK("#GELIR_GIDER!A1","GELİR / GİDER"),"GELİR / GİDER")</f>
        <v>GELİR / GİDER</v>
      </c>
      <c r="K4" s="80"/>
      <c r="L4" s="79" t="str">
        <f>IFERROR(HYPERLINK("#VIRMAN!A1","VİRMAN"),"VİRMAN")</f>
        <v>VİRMAN</v>
      </c>
      <c r="M4" s="80"/>
      <c r="N4" s="79" t="str">
        <f>IFERROR(HYPERLINK("#RAPOR!A1","RAPOR"),"RAPOR")</f>
        <v>RAPOR</v>
      </c>
      <c r="O4" s="21"/>
    </row>
    <row r="5" spans="1:15" ht="16">
      <c r="A5" s="6"/>
      <c r="B5" s="9" t="s">
        <v>597</v>
      </c>
      <c r="C5" s="10">
        <f>SUM($F$7:$F$1006)</f>
        <v>2299500</v>
      </c>
      <c r="D5" s="9"/>
      <c r="E5" s="9" t="s">
        <v>598</v>
      </c>
      <c r="F5" s="9">
        <f>COUNTIF($B$7:$B$1006,"&lt;&gt;")</f>
        <v>1000</v>
      </c>
      <c r="G5" s="9"/>
      <c r="H5" s="9" t="s">
        <v>599</v>
      </c>
      <c r="I5" s="10">
        <f>SUMIFS($F$7:$F$1006,$G$7:$G$1006,"ÖMER KARTAL")</f>
        <v>594650</v>
      </c>
      <c r="J5" s="252" t="s">
        <v>600</v>
      </c>
      <c r="K5" s="173"/>
      <c r="L5" s="173"/>
      <c r="M5" s="173"/>
      <c r="N5" s="6"/>
      <c r="O5" s="6"/>
    </row>
    <row r="6" spans="1:15" ht="32" customHeight="1">
      <c r="A6" s="6"/>
      <c r="B6" s="88" t="s">
        <v>601</v>
      </c>
      <c r="C6" s="88" t="s">
        <v>445</v>
      </c>
      <c r="D6" s="88" t="s">
        <v>578</v>
      </c>
      <c r="E6" s="88" t="s">
        <v>602</v>
      </c>
      <c r="F6" s="88" t="s">
        <v>603</v>
      </c>
      <c r="G6" s="88" t="s">
        <v>604</v>
      </c>
      <c r="H6" s="88" t="s">
        <v>605</v>
      </c>
      <c r="I6" s="88" t="s">
        <v>606</v>
      </c>
      <c r="J6" s="88" t="s">
        <v>607</v>
      </c>
      <c r="K6" s="88" t="s">
        <v>608</v>
      </c>
      <c r="L6" s="88" t="s">
        <v>430</v>
      </c>
      <c r="M6" s="88" t="s">
        <v>458</v>
      </c>
      <c r="N6" s="89" t="s">
        <v>609</v>
      </c>
      <c r="O6" s="89" t="s">
        <v>610</v>
      </c>
    </row>
    <row r="7" spans="1:15" ht="34">
      <c r="A7" s="6"/>
      <c r="B7" s="95" t="s">
        <v>611</v>
      </c>
      <c r="C7" s="95" t="s">
        <v>544</v>
      </c>
      <c r="D7" s="96" t="s">
        <v>545</v>
      </c>
      <c r="E7" s="97">
        <v>46023</v>
      </c>
      <c r="F7" s="99">
        <v>27000</v>
      </c>
      <c r="G7" s="95" t="s">
        <v>612</v>
      </c>
      <c r="H7" s="95" t="s">
        <v>613</v>
      </c>
      <c r="I7" s="95"/>
      <c r="J7" s="96" t="s">
        <v>614</v>
      </c>
      <c r="K7" s="95"/>
      <c r="L7" s="43">
        <f t="shared" ref="L7:L70" si="0">IF(E7="","",DATE(YEAR(E7),MONTH(E7),1))</f>
        <v>46023</v>
      </c>
      <c r="M7" s="42" t="str">
        <f>IF(AND(C7="",D7="",E7="",F7=""),"",IF(OR(C7="",D7="",E7="",F7="",G7=""),"EKSİK",IF(COUNTIF(MUSTERILER!$B$7:$B$156,C7)=0,"TANIMSIZ MÜŞTERİ","UYGUN")))</f>
        <v>UYGUN</v>
      </c>
      <c r="N7" s="22" t="str">
        <f>IF(D7="","",D7&amp;"|"&amp;TEXT(COUNTIF($D$7:D7,D7),"000"))</f>
        <v>PALAOĞULLARI LTD.ŞTİ.|001</v>
      </c>
      <c r="O7" s="22" t="str">
        <f>IF(G7="","",G7&amp;"|"&amp;TEXT(COUNTIF($G$7:G7,G7),"000"))</f>
        <v>CARİ MAHSUP|001</v>
      </c>
    </row>
    <row r="8" spans="1:15" ht="34">
      <c r="A8" s="6"/>
      <c r="B8" s="95" t="s">
        <v>615</v>
      </c>
      <c r="C8" s="95" t="s">
        <v>548</v>
      </c>
      <c r="D8" s="96" t="s">
        <v>549</v>
      </c>
      <c r="E8" s="97">
        <v>46023</v>
      </c>
      <c r="F8" s="99">
        <v>17200</v>
      </c>
      <c r="G8" s="95" t="s">
        <v>612</v>
      </c>
      <c r="H8" s="95" t="s">
        <v>613</v>
      </c>
      <c r="I8" s="95"/>
      <c r="J8" s="96" t="s">
        <v>614</v>
      </c>
      <c r="K8" s="95"/>
      <c r="L8" s="43">
        <f t="shared" si="0"/>
        <v>46023</v>
      </c>
      <c r="M8" s="42" t="str">
        <f>IF(AND(C8="",D8="",E8="",F8=""),"",IF(OR(C8="",D8="",E8="",F8="",G8=""),"EKSİK",IF(COUNTIF(MUSTERILER!$B$7:$B$156,C8)=0,"TANIMSIZ MÜŞTERİ","UYGUN")))</f>
        <v>UYGUN</v>
      </c>
      <c r="N8" s="22" t="str">
        <f>IF(D8="","",D8&amp;"|"&amp;TEXT(COUNTIF($D$7:D8,D8),"000"))</f>
        <v>RİX ŞOW LTD.ŞTİ.|001</v>
      </c>
      <c r="O8" s="22" t="str">
        <f>IF(G8="","",G8&amp;"|"&amp;TEXT(COUNTIF($G$7:G8,G8),"000"))</f>
        <v>CARİ MAHSUP|002</v>
      </c>
    </row>
    <row r="9" spans="1:15" ht="17">
      <c r="A9" s="6"/>
      <c r="B9" s="95" t="s">
        <v>616</v>
      </c>
      <c r="C9" s="95" t="s">
        <v>479</v>
      </c>
      <c r="D9" s="96" t="s">
        <v>617</v>
      </c>
      <c r="E9" s="97">
        <v>46023</v>
      </c>
      <c r="F9" s="99">
        <v>5000</v>
      </c>
      <c r="G9" s="95" t="s">
        <v>618</v>
      </c>
      <c r="H9" s="95" t="s">
        <v>462</v>
      </c>
      <c r="I9" s="95"/>
      <c r="J9" s="96" t="s">
        <v>619</v>
      </c>
      <c r="K9" s="95"/>
      <c r="L9" s="43">
        <f t="shared" si="0"/>
        <v>46023</v>
      </c>
      <c r="M9" s="42" t="str">
        <f>IF(AND(C9="",D9="",E9="",F9=""),"",IF(OR(C9="",D9="",E9="",F9="",G9=""),"EKSİK",IF(COUNTIF(MUSTERILER!$B$7:$B$156,C9)=0,"TANIMSIZ MÜŞTERİ","UYGUN")))</f>
        <v>UYGUN</v>
      </c>
      <c r="N9" s="22" t="str">
        <f>IF(D9="","",D9&amp;"|"&amp;TEXT(COUNTIF($D$7:D9,D9),"000"))</f>
        <v>Çayıralan Ltd.Şti.|001</v>
      </c>
      <c r="O9" s="22" t="str">
        <f>IF(G9="","",G9&amp;"|"&amp;TEXT(COUNTIF($G$7:G9,G9),"000"))</f>
        <v>MERKEZ KASA|001</v>
      </c>
    </row>
    <row r="10" spans="1:15" ht="17">
      <c r="A10" s="6"/>
      <c r="B10" s="95" t="s">
        <v>620</v>
      </c>
      <c r="C10" s="95" t="s">
        <v>503</v>
      </c>
      <c r="D10" s="96" t="s">
        <v>621</v>
      </c>
      <c r="E10" s="97">
        <v>46023</v>
      </c>
      <c r="F10" s="99">
        <v>3000</v>
      </c>
      <c r="G10" s="95" t="s">
        <v>618</v>
      </c>
      <c r="H10" s="95" t="s">
        <v>462</v>
      </c>
      <c r="I10" s="95"/>
      <c r="J10" s="96" t="s">
        <v>619</v>
      </c>
      <c r="K10" s="95"/>
      <c r="L10" s="43">
        <f t="shared" si="0"/>
        <v>46023</v>
      </c>
      <c r="M10" s="42" t="str">
        <f>IF(AND(C10="",D10="",E10="",F10=""),"",IF(OR(C10="",D10="",E10="",F10="",G10=""),"EKSİK",IF(COUNTIF(MUSTERILER!$B$7:$B$156,C10)=0,"TANIMSIZ MÜŞTERİ","UYGUN")))</f>
        <v>UYGUN</v>
      </c>
      <c r="N10" s="22" t="str">
        <f>IF(D10="","",D10&amp;"|"&amp;TEXT(COUNTIF($D$7:D10,D10),"000"))</f>
        <v>İldeş Ltd.Şti.|001</v>
      </c>
      <c r="O10" s="22" t="str">
        <f>IF(G10="","",G10&amp;"|"&amp;TEXT(COUNTIF($G$7:G10,G10),"000"))</f>
        <v>MERKEZ KASA|002</v>
      </c>
    </row>
    <row r="11" spans="1:15" ht="17">
      <c r="A11" s="6"/>
      <c r="B11" s="95" t="s">
        <v>622</v>
      </c>
      <c r="C11" s="95" t="s">
        <v>473</v>
      </c>
      <c r="D11" s="96" t="s">
        <v>474</v>
      </c>
      <c r="E11" s="97">
        <v>46023</v>
      </c>
      <c r="F11" s="99">
        <v>8000</v>
      </c>
      <c r="G11" s="95" t="s">
        <v>618</v>
      </c>
      <c r="H11" s="95" t="s">
        <v>462</v>
      </c>
      <c r="I11" s="95"/>
      <c r="J11" s="96" t="s">
        <v>619</v>
      </c>
      <c r="K11" s="95"/>
      <c r="L11" s="43">
        <f t="shared" si="0"/>
        <v>46023</v>
      </c>
      <c r="M11" s="42" t="str">
        <f>IF(AND(C11="",D11="",E11="",F11=""),"",IF(OR(C11="",D11="",E11="",F11="",G11=""),"EKSİK",IF(COUNTIF(MUSTERILER!$B$7:$B$156,C11)=0,"TANIMSIZ MÜŞTERİ","UYGUN")))</f>
        <v>UYGUN</v>
      </c>
      <c r="N11" s="22" t="str">
        <f>IF(D11="","",D11&amp;"|"&amp;TEXT(COUNTIF($D$7:D11,D11),"000"))</f>
        <v>ASIM AÇIKGÖZ|001</v>
      </c>
      <c r="O11" s="22" t="str">
        <f>IF(G11="","",G11&amp;"|"&amp;TEXT(COUNTIF($G$7:G11,G11),"000"))</f>
        <v>MERKEZ KASA|003</v>
      </c>
    </row>
    <row r="12" spans="1:15" ht="17">
      <c r="A12" s="6"/>
      <c r="B12" s="95" t="s">
        <v>623</v>
      </c>
      <c r="C12" s="95" t="s">
        <v>475</v>
      </c>
      <c r="D12" s="96" t="s">
        <v>476</v>
      </c>
      <c r="E12" s="97">
        <v>46023</v>
      </c>
      <c r="F12" s="99">
        <v>10000</v>
      </c>
      <c r="G12" s="95" t="s">
        <v>618</v>
      </c>
      <c r="H12" s="95" t="s">
        <v>462</v>
      </c>
      <c r="I12" s="95"/>
      <c r="J12" s="96" t="s">
        <v>619</v>
      </c>
      <c r="K12" s="95"/>
      <c r="L12" s="43">
        <f t="shared" si="0"/>
        <v>46023</v>
      </c>
      <c r="M12" s="42" t="str">
        <f>IF(AND(C12="",D12="",E12="",F12=""),"",IF(OR(C12="",D12="",E12="",F12="",G12=""),"EKSİK",IF(COUNTIF(MUSTERILER!$B$7:$B$156,C12)=0,"TANIMSIZ MÜŞTERİ","UYGUN")))</f>
        <v>UYGUN</v>
      </c>
      <c r="N12" s="22" t="str">
        <f>IF(D12="","",D12&amp;"|"&amp;TEXT(COUNTIF($D$7:D12,D12),"000"))</f>
        <v>ASM EĞLENCE LTD.ŞTİ.|001</v>
      </c>
      <c r="O12" s="22" t="str">
        <f>IF(G12="","",G12&amp;"|"&amp;TEXT(COUNTIF($G$7:G12,G12),"000"))</f>
        <v>MERKEZ KASA|004</v>
      </c>
    </row>
    <row r="13" spans="1:15" ht="17">
      <c r="A13" s="6"/>
      <c r="B13" s="95" t="s">
        <v>624</v>
      </c>
      <c r="C13" s="95" t="s">
        <v>483</v>
      </c>
      <c r="D13" s="96" t="s">
        <v>484</v>
      </c>
      <c r="E13" s="97">
        <v>46023</v>
      </c>
      <c r="F13" s="99">
        <v>4500</v>
      </c>
      <c r="G13" s="95" t="s">
        <v>618</v>
      </c>
      <c r="H13" s="95" t="s">
        <v>462</v>
      </c>
      <c r="I13" s="95"/>
      <c r="J13" s="96" t="s">
        <v>619</v>
      </c>
      <c r="K13" s="95"/>
      <c r="L13" s="43">
        <f t="shared" si="0"/>
        <v>46023</v>
      </c>
      <c r="M13" s="42" t="str">
        <f>IF(AND(C13="",D13="",E13="",F13=""),"",IF(OR(C13="",D13="",E13="",F13="",G13=""),"EKSİK",IF(COUNTIF(MUSTERILER!$B$7:$B$156,C13)=0,"TANIMSIZ MÜŞTERİ","UYGUN")))</f>
        <v>UYGUN</v>
      </c>
      <c r="N13" s="22" t="str">
        <f>IF(D13="","",D13&amp;"|"&amp;TEXT(COUNTIF($D$7:D13,D13),"000"))</f>
        <v>ÇINARHAN LTD.ŞTİ.|001</v>
      </c>
      <c r="O13" s="22" t="str">
        <f>IF(G13="","",G13&amp;"|"&amp;TEXT(COUNTIF($G$7:G13,G13),"000"))</f>
        <v>MERKEZ KASA|005</v>
      </c>
    </row>
    <row r="14" spans="1:15" ht="17">
      <c r="A14" s="6"/>
      <c r="B14" s="95" t="s">
        <v>625</v>
      </c>
      <c r="C14" s="95" t="s">
        <v>570</v>
      </c>
      <c r="D14" s="96" t="s">
        <v>626</v>
      </c>
      <c r="E14" s="97">
        <v>46023</v>
      </c>
      <c r="F14" s="99">
        <v>15750</v>
      </c>
      <c r="G14" s="95" t="s">
        <v>618</v>
      </c>
      <c r="H14" s="95" t="s">
        <v>462</v>
      </c>
      <c r="I14" s="95"/>
      <c r="J14" s="96" t="s">
        <v>619</v>
      </c>
      <c r="K14" s="95"/>
      <c r="L14" s="43">
        <f t="shared" si="0"/>
        <v>46023</v>
      </c>
      <c r="M14" s="42" t="str">
        <f>IF(AND(C14="",D14="",E14="",F14=""),"",IF(OR(C14="",D14="",E14="",F14="",G14=""),"EKSİK",IF(COUNTIF(MUSTERILER!$B$7:$B$156,C14)=0,"TANIMSIZ MÜŞTERİ","UYGUN")))</f>
        <v>UYGUN</v>
      </c>
      <c r="N14" s="22" t="str">
        <f>IF(D14="","",D14&amp;"|"&amp;TEXT(COUNTIF($D$7:D14,D14),"000"))</f>
        <v>Zümrüt Grup Ltd.Şti.|001</v>
      </c>
      <c r="O14" s="22" t="str">
        <f>IF(G14="","",G14&amp;"|"&amp;TEXT(COUNTIF($G$7:G14,G14),"000"))</f>
        <v>MERKEZ KASA|006</v>
      </c>
    </row>
    <row r="15" spans="1:15" ht="17">
      <c r="A15" s="6"/>
      <c r="B15" s="95" t="s">
        <v>627</v>
      </c>
      <c r="C15" s="95" t="s">
        <v>487</v>
      </c>
      <c r="D15" s="96" t="s">
        <v>488</v>
      </c>
      <c r="E15" s="97">
        <v>46025</v>
      </c>
      <c r="F15" s="99">
        <v>3000</v>
      </c>
      <c r="G15" s="95" t="s">
        <v>628</v>
      </c>
      <c r="H15" s="95" t="s">
        <v>462</v>
      </c>
      <c r="I15" s="95"/>
      <c r="J15" s="96" t="s">
        <v>629</v>
      </c>
      <c r="K15" s="95"/>
      <c r="L15" s="43">
        <f t="shared" si="0"/>
        <v>46023</v>
      </c>
      <c r="M15" s="42" t="str">
        <f>IF(AND(C15="",D15="",E15="",F15=""),"",IF(OR(C15="",D15="",E15="",F15="",G15=""),"EKSİK",IF(COUNTIF(MUSTERILER!$B$7:$B$156,C15)=0,"TANIMSIZ MÜŞTERİ","UYGUN")))</f>
        <v>UYGUN</v>
      </c>
      <c r="N15" s="22" t="str">
        <f>IF(D15="","",D15&amp;"|"&amp;TEXT(COUNTIF($D$7:D15,D15),"000"))</f>
        <v>EĞLENGÖR LTD.ŞTİ.|001</v>
      </c>
      <c r="O15" s="22" t="str">
        <f>IF(G15="","",G15&amp;"|"&amp;TEXT(COUNTIF($G$7:G15,G15),"000"))</f>
        <v>ÖMER KARTAL|001</v>
      </c>
    </row>
    <row r="16" spans="1:15" ht="17">
      <c r="A16" s="6"/>
      <c r="B16" s="95" t="s">
        <v>630</v>
      </c>
      <c r="C16" s="95" t="s">
        <v>540</v>
      </c>
      <c r="D16" s="96" t="s">
        <v>541</v>
      </c>
      <c r="E16" s="97">
        <v>46025</v>
      </c>
      <c r="F16" s="99">
        <v>2000</v>
      </c>
      <c r="G16" s="95" t="s">
        <v>628</v>
      </c>
      <c r="H16" s="95" t="s">
        <v>462</v>
      </c>
      <c r="I16" s="95"/>
      <c r="J16" s="96" t="s">
        <v>629</v>
      </c>
      <c r="K16" s="95"/>
      <c r="L16" s="43">
        <f t="shared" si="0"/>
        <v>46023</v>
      </c>
      <c r="M16" s="42" t="str">
        <f>IF(AND(C16="",D16="",E16="",F16=""),"",IF(OR(C16="",D16="",E16="",F16="",G16=""),"EKSİK",IF(COUNTIF(MUSTERILER!$B$7:$B$156,C16)=0,"TANIMSIZ MÜŞTERİ","UYGUN")))</f>
        <v>UYGUN</v>
      </c>
      <c r="N16" s="22" t="str">
        <f>IF(D16="","",D16&amp;"|"&amp;TEXT(COUNTIF($D$7:D16,D16),"000"))</f>
        <v>ÖZFİDANLAR LTD.ŞTİ.|001</v>
      </c>
      <c r="O16" s="22" t="str">
        <f>IF(G16="","",G16&amp;"|"&amp;TEXT(COUNTIF($G$7:G16,G16),"000"))</f>
        <v>ÖMER KARTAL|002</v>
      </c>
    </row>
    <row r="17" spans="1:15" ht="17">
      <c r="A17" s="6"/>
      <c r="B17" s="95" t="s">
        <v>631</v>
      </c>
      <c r="C17" s="95" t="s">
        <v>542</v>
      </c>
      <c r="D17" s="96" t="s">
        <v>543</v>
      </c>
      <c r="E17" s="97">
        <v>46025</v>
      </c>
      <c r="F17" s="99">
        <v>2000</v>
      </c>
      <c r="G17" s="95" t="s">
        <v>628</v>
      </c>
      <c r="H17" s="95" t="s">
        <v>462</v>
      </c>
      <c r="I17" s="95"/>
      <c r="J17" s="96" t="s">
        <v>629</v>
      </c>
      <c r="K17" s="95"/>
      <c r="L17" s="43">
        <f t="shared" si="0"/>
        <v>46023</v>
      </c>
      <c r="M17" s="42" t="str">
        <f>IF(AND(C17="",D17="",E17="",F17=""),"",IF(OR(C17="",D17="",E17="",F17="",G17=""),"EKSİK",IF(COUNTIF(MUSTERILER!$B$7:$B$156,C17)=0,"TANIMSIZ MÜŞTERİ","UYGUN")))</f>
        <v>UYGUN</v>
      </c>
      <c r="N17" s="22" t="str">
        <f>IF(D17="","",D17&amp;"|"&amp;TEXT(COUNTIF($D$7:D17,D17),"000"))</f>
        <v>PAKYILDIZ LTD.ŞTİ.|001</v>
      </c>
      <c r="O17" s="22" t="str">
        <f>IF(G17="","",G17&amp;"|"&amp;TEXT(COUNTIF($G$7:G17,G17),"000"))</f>
        <v>ÖMER KARTAL|003</v>
      </c>
    </row>
    <row r="18" spans="1:15" ht="17">
      <c r="A18" s="6"/>
      <c r="B18" s="95" t="s">
        <v>632</v>
      </c>
      <c r="C18" s="95" t="s">
        <v>570</v>
      </c>
      <c r="D18" s="96" t="s">
        <v>571</v>
      </c>
      <c r="E18" s="97">
        <v>46025</v>
      </c>
      <c r="F18" s="99">
        <v>1750</v>
      </c>
      <c r="G18" s="95" t="s">
        <v>628</v>
      </c>
      <c r="H18" s="95" t="s">
        <v>462</v>
      </c>
      <c r="I18" s="95"/>
      <c r="J18" s="96" t="s">
        <v>629</v>
      </c>
      <c r="K18" s="95"/>
      <c r="L18" s="43">
        <f t="shared" si="0"/>
        <v>46023</v>
      </c>
      <c r="M18" s="42" t="str">
        <f>IF(AND(C18="",D18="",E18="",F18=""),"",IF(OR(C18="",D18="",E18="",F18="",G18=""),"EKSİK",IF(COUNTIF(MUSTERILER!$B$7:$B$156,C18)=0,"TANIMSIZ MÜŞTERİ","UYGUN")))</f>
        <v>UYGUN</v>
      </c>
      <c r="N18" s="22" t="str">
        <f>IF(D18="","",D18&amp;"|"&amp;TEXT(COUNTIF($D$7:D18,D18),"000"))</f>
        <v>ZÜMRÜT GRUP LTD.ŞTİ.|002</v>
      </c>
      <c r="O18" s="22" t="str">
        <f>IF(G18="","",G18&amp;"|"&amp;TEXT(COUNTIF($G$7:G18,G18),"000"))</f>
        <v>ÖMER KARTAL|004</v>
      </c>
    </row>
    <row r="19" spans="1:15" ht="17">
      <c r="A19" s="6"/>
      <c r="B19" s="95" t="s">
        <v>633</v>
      </c>
      <c r="C19" s="95" t="s">
        <v>467</v>
      </c>
      <c r="D19" s="96" t="s">
        <v>468</v>
      </c>
      <c r="E19" s="97">
        <v>46032</v>
      </c>
      <c r="F19" s="99">
        <v>4000</v>
      </c>
      <c r="G19" s="95" t="s">
        <v>628</v>
      </c>
      <c r="H19" s="95" t="s">
        <v>462</v>
      </c>
      <c r="I19" s="95"/>
      <c r="J19" s="96" t="s">
        <v>629</v>
      </c>
      <c r="K19" s="95"/>
      <c r="L19" s="43">
        <f t="shared" si="0"/>
        <v>46023</v>
      </c>
      <c r="M19" s="42" t="str">
        <f>IF(AND(C19="",D19="",E19="",F19=""),"",IF(OR(C19="",D19="",E19="",F19="",G19=""),"EKSİK",IF(COUNTIF(MUSTERILER!$B$7:$B$156,C19)=0,"TANIMSIZ MÜŞTERİ","UYGUN")))</f>
        <v>UYGUN</v>
      </c>
      <c r="N19" s="22" t="str">
        <f>IF(D19="","",D19&amp;"|"&amp;TEXT(COUNTIF($D$7:D19,D19),"000"))</f>
        <v>ANKARA HAVANA LTD.ŞTİ.|001</v>
      </c>
      <c r="O19" s="22" t="str">
        <f>IF(G19="","",G19&amp;"|"&amp;TEXT(COUNTIF($G$7:G19,G19),"000"))</f>
        <v>ÖMER KARTAL|005</v>
      </c>
    </row>
    <row r="20" spans="1:15" ht="17">
      <c r="A20" s="6"/>
      <c r="B20" s="95" t="s">
        <v>634</v>
      </c>
      <c r="C20" s="95" t="s">
        <v>487</v>
      </c>
      <c r="D20" s="96" t="s">
        <v>488</v>
      </c>
      <c r="E20" s="97">
        <v>46032</v>
      </c>
      <c r="F20" s="99">
        <v>3000</v>
      </c>
      <c r="G20" s="95" t="s">
        <v>628</v>
      </c>
      <c r="H20" s="95" t="s">
        <v>462</v>
      </c>
      <c r="I20" s="95"/>
      <c r="J20" s="96" t="s">
        <v>629</v>
      </c>
      <c r="K20" s="95"/>
      <c r="L20" s="43">
        <f t="shared" si="0"/>
        <v>46023</v>
      </c>
      <c r="M20" s="42" t="str">
        <f>IF(AND(C20="",D20="",E20="",F20=""),"",IF(OR(C20="",D20="",E20="",F20="",G20=""),"EKSİK",IF(COUNTIF(MUSTERILER!$B$7:$B$156,C20)=0,"TANIMSIZ MÜŞTERİ","UYGUN")))</f>
        <v>UYGUN</v>
      </c>
      <c r="N20" s="22" t="str">
        <f>IF(D20="","",D20&amp;"|"&amp;TEXT(COUNTIF($D$7:D20,D20),"000"))</f>
        <v>EĞLENGÖR LTD.ŞTİ.|002</v>
      </c>
      <c r="O20" s="22" t="str">
        <f>IF(G20="","",G20&amp;"|"&amp;TEXT(COUNTIF($G$7:G20,G20),"000"))</f>
        <v>ÖMER KARTAL|006</v>
      </c>
    </row>
    <row r="21" spans="1:15" ht="17">
      <c r="A21" s="6"/>
      <c r="B21" s="95" t="s">
        <v>635</v>
      </c>
      <c r="C21" s="95" t="s">
        <v>495</v>
      </c>
      <c r="D21" s="96" t="s">
        <v>496</v>
      </c>
      <c r="E21" s="97">
        <v>46032</v>
      </c>
      <c r="F21" s="99">
        <v>4000</v>
      </c>
      <c r="G21" s="95" t="s">
        <v>628</v>
      </c>
      <c r="H21" s="95" t="s">
        <v>462</v>
      </c>
      <c r="I21" s="95"/>
      <c r="J21" s="96" t="s">
        <v>629</v>
      </c>
      <c r="K21" s="95"/>
      <c r="L21" s="43">
        <f t="shared" si="0"/>
        <v>46023</v>
      </c>
      <c r="M21" s="42" t="str">
        <f>IF(AND(C21="",D21="",E21="",F21=""),"",IF(OR(C21="",D21="",E21="",F21="",G21=""),"EKSİK",IF(COUNTIF(MUSTERILER!$B$7:$B$156,C21)=0,"TANIMSIZ MÜŞTERİ","UYGUN")))</f>
        <v>UYGUN</v>
      </c>
      <c r="N21" s="22" t="str">
        <f>IF(D21="","",D21&amp;"|"&amp;TEXT(COUNTIF($D$7:D21,D21),"000"))</f>
        <v>FİNAL SİYAH BEYAZ LTD.ŞTİ.|001</v>
      </c>
      <c r="O21" s="22" t="str">
        <f>IF(G21="","",G21&amp;"|"&amp;TEXT(COUNTIF($G$7:G21,G21),"000"))</f>
        <v>ÖMER KARTAL|007</v>
      </c>
    </row>
    <row r="22" spans="1:15" ht="17">
      <c r="A22" s="6"/>
      <c r="B22" s="95" t="s">
        <v>636</v>
      </c>
      <c r="C22" s="95" t="s">
        <v>503</v>
      </c>
      <c r="D22" s="96" t="s">
        <v>504</v>
      </c>
      <c r="E22" s="97">
        <v>46032</v>
      </c>
      <c r="F22" s="99">
        <v>4000</v>
      </c>
      <c r="G22" s="95" t="s">
        <v>628</v>
      </c>
      <c r="H22" s="95" t="s">
        <v>462</v>
      </c>
      <c r="I22" s="95"/>
      <c r="J22" s="96" t="s">
        <v>629</v>
      </c>
      <c r="K22" s="95"/>
      <c r="L22" s="43">
        <f t="shared" si="0"/>
        <v>46023</v>
      </c>
      <c r="M22" s="42" t="str">
        <f>IF(AND(C22="",D22="",E22="",F22=""),"",IF(OR(C22="",D22="",E22="",F22="",G22=""),"EKSİK",IF(COUNTIF(MUSTERILER!$B$7:$B$156,C22)=0,"TANIMSIZ MÜŞTERİ","UYGUN")))</f>
        <v>UYGUN</v>
      </c>
      <c r="N22" s="22" t="str">
        <f>IF(D22="","",D22&amp;"|"&amp;TEXT(COUNTIF($D$7:D22,D22),"000"))</f>
        <v>İLDEŞ LTD.ŞTİ.|002</v>
      </c>
      <c r="O22" s="22" t="str">
        <f>IF(G22="","",G22&amp;"|"&amp;TEXT(COUNTIF($G$7:G22,G22),"000"))</f>
        <v>ÖMER KARTAL|008</v>
      </c>
    </row>
    <row r="23" spans="1:15" ht="17">
      <c r="A23" s="6"/>
      <c r="B23" s="95" t="s">
        <v>637</v>
      </c>
      <c r="C23" s="95" t="s">
        <v>525</v>
      </c>
      <c r="D23" s="96" t="s">
        <v>526</v>
      </c>
      <c r="E23" s="97">
        <v>46032</v>
      </c>
      <c r="F23" s="99">
        <v>3500</v>
      </c>
      <c r="G23" s="95" t="s">
        <v>628</v>
      </c>
      <c r="H23" s="95" t="s">
        <v>462</v>
      </c>
      <c r="I23" s="95"/>
      <c r="J23" s="96" t="s">
        <v>629</v>
      </c>
      <c r="K23" s="95"/>
      <c r="L23" s="43">
        <f t="shared" si="0"/>
        <v>46023</v>
      </c>
      <c r="M23" s="42" t="str">
        <f>IF(AND(C23="",D23="",E23="",F23=""),"",IF(OR(C23="",D23="",E23="",F23="",G23=""),"EKSİK",IF(COUNTIF(MUSTERILER!$B$7:$B$156,C23)=0,"TANIMSIZ MÜŞTERİ","UYGUN")))</f>
        <v>UYGUN</v>
      </c>
      <c r="N23" s="22" t="str">
        <f>IF(D23="","",D23&amp;"|"&amp;TEXT(COUNTIF($D$7:D23,D23),"000"))</f>
        <v>MONAMOUR LTD.ŞTİ.|001</v>
      </c>
      <c r="O23" s="22" t="str">
        <f>IF(G23="","",G23&amp;"|"&amp;TEXT(COUNTIF($G$7:G23,G23),"000"))</f>
        <v>ÖMER KARTAL|009</v>
      </c>
    </row>
    <row r="24" spans="1:15" ht="17">
      <c r="A24" s="6"/>
      <c r="B24" s="95" t="s">
        <v>638</v>
      </c>
      <c r="C24" s="95" t="s">
        <v>534</v>
      </c>
      <c r="D24" s="96" t="s">
        <v>535</v>
      </c>
      <c r="E24" s="97">
        <v>46032</v>
      </c>
      <c r="F24" s="99">
        <v>13150</v>
      </c>
      <c r="G24" s="95" t="s">
        <v>628</v>
      </c>
      <c r="H24" s="95" t="s">
        <v>462</v>
      </c>
      <c r="I24" s="95"/>
      <c r="J24" s="96" t="s">
        <v>629</v>
      </c>
      <c r="K24" s="95"/>
      <c r="L24" s="43">
        <f t="shared" si="0"/>
        <v>46023</v>
      </c>
      <c r="M24" s="42" t="str">
        <f>IF(AND(C24="",D24="",E24="",F24=""),"",IF(OR(C24="",D24="",E24="",F24="",G24=""),"EKSİK",IF(COUNTIF(MUSTERILER!$B$7:$B$156,C24)=0,"TANIMSIZ MÜŞTERİ","UYGUN")))</f>
        <v>UYGUN</v>
      </c>
      <c r="N24" s="22" t="str">
        <f>IF(D24="","",D24&amp;"|"&amp;TEXT(COUNTIF($D$7:D24,D24),"000"))</f>
        <v>NAZ 1 GIDA LTD.ŞTİ.|001</v>
      </c>
      <c r="O24" s="22" t="str">
        <f>IF(G24="","",G24&amp;"|"&amp;TEXT(COUNTIF($G$7:G24,G24),"000"))</f>
        <v>ÖMER KARTAL|010</v>
      </c>
    </row>
    <row r="25" spans="1:15" ht="17">
      <c r="A25" s="6"/>
      <c r="B25" s="95" t="s">
        <v>639</v>
      </c>
      <c r="C25" s="95" t="s">
        <v>540</v>
      </c>
      <c r="D25" s="96" t="s">
        <v>541</v>
      </c>
      <c r="E25" s="97">
        <v>46032</v>
      </c>
      <c r="F25" s="99">
        <v>4000</v>
      </c>
      <c r="G25" s="95" t="s">
        <v>628</v>
      </c>
      <c r="H25" s="95" t="s">
        <v>462</v>
      </c>
      <c r="I25" s="95"/>
      <c r="J25" s="96" t="s">
        <v>629</v>
      </c>
      <c r="K25" s="95"/>
      <c r="L25" s="43">
        <f t="shared" si="0"/>
        <v>46023</v>
      </c>
      <c r="M25" s="42" t="str">
        <f>IF(AND(C25="",D25="",E25="",F25=""),"",IF(OR(C25="",D25="",E25="",F25="",G25=""),"EKSİK",IF(COUNTIF(MUSTERILER!$B$7:$B$156,C25)=0,"TANIMSIZ MÜŞTERİ","UYGUN")))</f>
        <v>UYGUN</v>
      </c>
      <c r="N25" s="22" t="str">
        <f>IF(D25="","",D25&amp;"|"&amp;TEXT(COUNTIF($D$7:D25,D25),"000"))</f>
        <v>ÖZFİDANLAR LTD.ŞTİ.|002</v>
      </c>
      <c r="O25" s="22" t="str">
        <f>IF(G25="","",G25&amp;"|"&amp;TEXT(COUNTIF($G$7:G25,G25),"000"))</f>
        <v>ÖMER KARTAL|011</v>
      </c>
    </row>
    <row r="26" spans="1:15" ht="17">
      <c r="A26" s="6"/>
      <c r="B26" s="95" t="s">
        <v>640</v>
      </c>
      <c r="C26" s="95" t="s">
        <v>570</v>
      </c>
      <c r="D26" s="96" t="s">
        <v>571</v>
      </c>
      <c r="E26" s="97">
        <v>46032</v>
      </c>
      <c r="F26" s="99">
        <v>1750</v>
      </c>
      <c r="G26" s="95" t="s">
        <v>628</v>
      </c>
      <c r="H26" s="95" t="s">
        <v>462</v>
      </c>
      <c r="I26" s="95"/>
      <c r="J26" s="96" t="s">
        <v>629</v>
      </c>
      <c r="K26" s="95"/>
      <c r="L26" s="43">
        <f t="shared" si="0"/>
        <v>46023</v>
      </c>
      <c r="M26" s="42" t="str">
        <f>IF(AND(C26="",D26="",E26="",F26=""),"",IF(OR(C26="",D26="",E26="",F26="",G26=""),"EKSİK",IF(COUNTIF(MUSTERILER!$B$7:$B$156,C26)=0,"TANIMSIZ MÜŞTERİ","UYGUN")))</f>
        <v>UYGUN</v>
      </c>
      <c r="N26" s="22" t="str">
        <f>IF(D26="","",D26&amp;"|"&amp;TEXT(COUNTIF($D$7:D26,D26),"000"))</f>
        <v>ZÜMRÜT GRUP LTD.ŞTİ.|003</v>
      </c>
      <c r="O26" s="22" t="str">
        <f>IF(G26="","",G26&amp;"|"&amp;TEXT(COUNTIF($G$7:G26,G26),"000"))</f>
        <v>ÖMER KARTAL|012</v>
      </c>
    </row>
    <row r="27" spans="1:15" ht="17">
      <c r="A27" s="6"/>
      <c r="B27" s="95" t="s">
        <v>641</v>
      </c>
      <c r="C27" s="95" t="s">
        <v>479</v>
      </c>
      <c r="D27" s="96" t="s">
        <v>480</v>
      </c>
      <c r="E27" s="97">
        <v>46034</v>
      </c>
      <c r="F27" s="99">
        <v>6000</v>
      </c>
      <c r="G27" s="95" t="s">
        <v>628</v>
      </c>
      <c r="H27" s="95" t="s">
        <v>462</v>
      </c>
      <c r="I27" s="95"/>
      <c r="J27" s="96" t="s">
        <v>629</v>
      </c>
      <c r="K27" s="95"/>
      <c r="L27" s="43">
        <f t="shared" si="0"/>
        <v>46023</v>
      </c>
      <c r="M27" s="42" t="str">
        <f>IF(AND(C27="",D27="",E27="",F27=""),"",IF(OR(C27="",D27="",E27="",F27="",G27=""),"EKSİK",IF(COUNTIF(MUSTERILER!$B$7:$B$156,C27)=0,"TANIMSIZ MÜŞTERİ","UYGUN")))</f>
        <v>UYGUN</v>
      </c>
      <c r="N27" s="22" t="str">
        <f>IF(D27="","",D27&amp;"|"&amp;TEXT(COUNTIF($D$7:D27,D27),"000"))</f>
        <v>ÇAYIRALAN LTD.ŞTİ.|002</v>
      </c>
      <c r="O27" s="22" t="str">
        <f>IF(G27="","",G27&amp;"|"&amp;TEXT(COUNTIF($G$7:G27,G27),"000"))</f>
        <v>ÖMER KARTAL|013</v>
      </c>
    </row>
    <row r="28" spans="1:15" ht="17">
      <c r="A28" s="6"/>
      <c r="B28" s="95" t="s">
        <v>642</v>
      </c>
      <c r="C28" s="95" t="s">
        <v>501</v>
      </c>
      <c r="D28" s="96" t="s">
        <v>502</v>
      </c>
      <c r="E28" s="97">
        <v>46034</v>
      </c>
      <c r="F28" s="99">
        <v>3000</v>
      </c>
      <c r="G28" s="95" t="s">
        <v>628</v>
      </c>
      <c r="H28" s="95" t="s">
        <v>462</v>
      </c>
      <c r="I28" s="95"/>
      <c r="J28" s="96" t="s">
        <v>629</v>
      </c>
      <c r="K28" s="95"/>
      <c r="L28" s="43">
        <f t="shared" si="0"/>
        <v>46023</v>
      </c>
      <c r="M28" s="42" t="str">
        <f>IF(AND(C28="",D28="",E28="",F28=""),"",IF(OR(C28="",D28="",E28="",F28="",G28=""),"EKSİK",IF(COUNTIF(MUSTERILER!$B$7:$B$156,C28)=0,"TANIMSIZ MÜŞTERİ","UYGUN")))</f>
        <v>UYGUN</v>
      </c>
      <c r="N28" s="22" t="str">
        <f>IF(D28="","",D28&amp;"|"&amp;TEXT(COUNTIF($D$7:D28,D28),"000"))</f>
        <v>İBRAHİM MALDAN|001</v>
      </c>
      <c r="O28" s="22" t="str">
        <f>IF(G28="","",G28&amp;"|"&amp;TEXT(COUNTIF($G$7:G28,G28),"000"))</f>
        <v>ÖMER KARTAL|014</v>
      </c>
    </row>
    <row r="29" spans="1:15" ht="17">
      <c r="A29" s="6"/>
      <c r="B29" s="95" t="s">
        <v>643</v>
      </c>
      <c r="C29" s="95" t="s">
        <v>548</v>
      </c>
      <c r="D29" s="96" t="s">
        <v>549</v>
      </c>
      <c r="E29" s="97">
        <v>46034</v>
      </c>
      <c r="F29" s="99">
        <v>4000</v>
      </c>
      <c r="G29" s="95" t="s">
        <v>628</v>
      </c>
      <c r="H29" s="95" t="s">
        <v>462</v>
      </c>
      <c r="I29" s="95"/>
      <c r="J29" s="96" t="s">
        <v>629</v>
      </c>
      <c r="K29" s="95"/>
      <c r="L29" s="43">
        <f t="shared" si="0"/>
        <v>46023</v>
      </c>
      <c r="M29" s="42" t="str">
        <f>IF(AND(C29="",D29="",E29="",F29=""),"",IF(OR(C29="",D29="",E29="",F29="",G29=""),"EKSİK",IF(COUNTIF(MUSTERILER!$B$7:$B$156,C29)=0,"TANIMSIZ MÜŞTERİ","UYGUN")))</f>
        <v>UYGUN</v>
      </c>
      <c r="N29" s="22" t="str">
        <f>IF(D29="","",D29&amp;"|"&amp;TEXT(COUNTIF($D$7:D29,D29),"000"))</f>
        <v>RİX ŞOW LTD.ŞTİ.|002</v>
      </c>
      <c r="O29" s="22" t="str">
        <f>IF(G29="","",G29&amp;"|"&amp;TEXT(COUNTIF($G$7:G29,G29),"000"))</f>
        <v>ÖMER KARTAL|015</v>
      </c>
    </row>
    <row r="30" spans="1:15" ht="17">
      <c r="A30" s="6"/>
      <c r="B30" s="95" t="s">
        <v>644</v>
      </c>
      <c r="C30" s="95" t="s">
        <v>568</v>
      </c>
      <c r="D30" s="96" t="s">
        <v>569</v>
      </c>
      <c r="E30" s="97">
        <v>46034</v>
      </c>
      <c r="F30" s="99">
        <v>6000</v>
      </c>
      <c r="G30" s="95" t="s">
        <v>628</v>
      </c>
      <c r="H30" s="95" t="s">
        <v>462</v>
      </c>
      <c r="I30" s="95"/>
      <c r="J30" s="96" t="s">
        <v>629</v>
      </c>
      <c r="K30" s="95"/>
      <c r="L30" s="43">
        <f t="shared" si="0"/>
        <v>46023</v>
      </c>
      <c r="M30" s="42" t="str">
        <f>IF(AND(C30="",D30="",E30="",F30=""),"",IF(OR(C30="",D30="",E30="",F30="",G30=""),"EKSİK",IF(COUNTIF(MUSTERILER!$B$7:$B$156,C30)=0,"TANIMSIZ MÜŞTERİ","UYGUN")))</f>
        <v>UYGUN</v>
      </c>
      <c r="N30" s="22" t="str">
        <f>IF(D30="","",D30&amp;"|"&amp;TEXT(COUNTIF($D$7:D30,D30),"000"))</f>
        <v>ZÜMRÜT EĞLENCE LTD.ŞTİ.|001</v>
      </c>
      <c r="O30" s="22" t="str">
        <f>IF(G30="","",G30&amp;"|"&amp;TEXT(COUNTIF($G$7:G30,G30),"000"))</f>
        <v>ÖMER KARTAL|016</v>
      </c>
    </row>
    <row r="31" spans="1:15" ht="17">
      <c r="A31" s="6"/>
      <c r="B31" s="95" t="s">
        <v>645</v>
      </c>
      <c r="C31" s="95" t="s">
        <v>558</v>
      </c>
      <c r="D31" s="96" t="s">
        <v>559</v>
      </c>
      <c r="E31" s="97">
        <v>46035</v>
      </c>
      <c r="F31" s="99">
        <v>3000</v>
      </c>
      <c r="G31" s="95" t="s">
        <v>628</v>
      </c>
      <c r="H31" s="95" t="s">
        <v>462</v>
      </c>
      <c r="I31" s="95"/>
      <c r="J31" s="96" t="s">
        <v>619</v>
      </c>
      <c r="K31" s="95"/>
      <c r="L31" s="43">
        <f t="shared" si="0"/>
        <v>46023</v>
      </c>
      <c r="M31" s="42" t="str">
        <f>IF(AND(C31="",D31="",E31="",F31=""),"",IF(OR(C31="",D31="",E31="",F31="",G31=""),"EKSİK",IF(COUNTIF(MUSTERILER!$B$7:$B$156,C31)=0,"TANIMSIZ MÜŞTERİ","UYGUN")))</f>
        <v>UYGUN</v>
      </c>
      <c r="N31" s="22" t="str">
        <f>IF(D31="","",D31&amp;"|"&amp;TEXT(COUNTIF($D$7:D31,D31),"000"))</f>
        <v>UFUK YILMAZ|001</v>
      </c>
      <c r="O31" s="22" t="str">
        <f>IF(G31="","",G31&amp;"|"&amp;TEXT(COUNTIF($G$7:G31,G31),"000"))</f>
        <v>ÖMER KARTAL|017</v>
      </c>
    </row>
    <row r="32" spans="1:15" ht="17">
      <c r="A32" s="6"/>
      <c r="B32" s="95" t="s">
        <v>646</v>
      </c>
      <c r="C32" s="95" t="s">
        <v>473</v>
      </c>
      <c r="D32" s="96" t="s">
        <v>474</v>
      </c>
      <c r="E32" s="97">
        <v>46039</v>
      </c>
      <c r="F32" s="99">
        <v>6000</v>
      </c>
      <c r="G32" s="95" t="s">
        <v>618</v>
      </c>
      <c r="H32" s="95" t="s">
        <v>462</v>
      </c>
      <c r="I32" s="95"/>
      <c r="J32" s="96" t="s">
        <v>619</v>
      </c>
      <c r="K32" s="95"/>
      <c r="L32" s="43">
        <f t="shared" si="0"/>
        <v>46023</v>
      </c>
      <c r="M32" s="42" t="str">
        <f>IF(AND(C32="",D32="",E32="",F32=""),"",IF(OR(C32="",D32="",E32="",F32="",G32=""),"EKSİK",IF(COUNTIF(MUSTERILER!$B$7:$B$156,C32)=0,"TANIMSIZ MÜŞTERİ","UYGUN")))</f>
        <v>UYGUN</v>
      </c>
      <c r="N32" s="22" t="str">
        <f>IF(D32="","",D32&amp;"|"&amp;TEXT(COUNTIF($D$7:D32,D32),"000"))</f>
        <v>ASIM AÇIKGÖZ|002</v>
      </c>
      <c r="O32" s="22" t="str">
        <f>IF(G32="","",G32&amp;"|"&amp;TEXT(COUNTIF($G$7:G32,G32),"000"))</f>
        <v>MERKEZ KASA|007</v>
      </c>
    </row>
    <row r="33" spans="1:15" ht="17">
      <c r="A33" s="6"/>
      <c r="B33" s="95" t="s">
        <v>647</v>
      </c>
      <c r="C33" s="95" t="s">
        <v>475</v>
      </c>
      <c r="D33" s="96" t="s">
        <v>476</v>
      </c>
      <c r="E33" s="97">
        <v>46039</v>
      </c>
      <c r="F33" s="99">
        <v>5000</v>
      </c>
      <c r="G33" s="95" t="s">
        <v>618</v>
      </c>
      <c r="H33" s="95" t="s">
        <v>462</v>
      </c>
      <c r="I33" s="95"/>
      <c r="J33" s="96" t="s">
        <v>619</v>
      </c>
      <c r="K33" s="95"/>
      <c r="L33" s="43">
        <f t="shared" si="0"/>
        <v>46023</v>
      </c>
      <c r="M33" s="42" t="str">
        <f>IF(AND(C33="",D33="",E33="",F33=""),"",IF(OR(C33="",D33="",E33="",F33="",G33=""),"EKSİK",IF(COUNTIF(MUSTERILER!$B$7:$B$156,C33)=0,"TANIMSIZ MÜŞTERİ","UYGUN")))</f>
        <v>UYGUN</v>
      </c>
      <c r="N33" s="22" t="str">
        <f>IF(D33="","",D33&amp;"|"&amp;TEXT(COUNTIF($D$7:D33,D33),"000"))</f>
        <v>ASM EĞLENCE LTD.ŞTİ.|002</v>
      </c>
      <c r="O33" s="22" t="str">
        <f>IF(G33="","",G33&amp;"|"&amp;TEXT(COUNTIF($G$7:G33,G33),"000"))</f>
        <v>MERKEZ KASA|008</v>
      </c>
    </row>
    <row r="34" spans="1:15" ht="17">
      <c r="A34" s="6"/>
      <c r="B34" s="95" t="s">
        <v>648</v>
      </c>
      <c r="C34" s="95" t="s">
        <v>479</v>
      </c>
      <c r="D34" s="96" t="s">
        <v>480</v>
      </c>
      <c r="E34" s="97">
        <v>46039</v>
      </c>
      <c r="F34" s="99">
        <v>3000</v>
      </c>
      <c r="G34" s="95" t="s">
        <v>618</v>
      </c>
      <c r="H34" s="95" t="s">
        <v>462</v>
      </c>
      <c r="I34" s="95"/>
      <c r="J34" s="96" t="s">
        <v>619</v>
      </c>
      <c r="K34" s="95"/>
      <c r="L34" s="43">
        <f t="shared" si="0"/>
        <v>46023</v>
      </c>
      <c r="M34" s="42" t="str">
        <f>IF(AND(C34="",D34="",E34="",F34=""),"",IF(OR(C34="",D34="",E34="",F34="",G34=""),"EKSİK",IF(COUNTIF(MUSTERILER!$B$7:$B$156,C34)=0,"TANIMSIZ MÜŞTERİ","UYGUN")))</f>
        <v>UYGUN</v>
      </c>
      <c r="N34" s="22" t="str">
        <f>IF(D34="","",D34&amp;"|"&amp;TEXT(COUNTIF($D$7:D34,D34),"000"))</f>
        <v>ÇAYIRALAN LTD.ŞTİ.|003</v>
      </c>
      <c r="O34" s="22" t="str">
        <f>IF(G34="","",G34&amp;"|"&amp;TEXT(COUNTIF($G$7:G34,G34),"000"))</f>
        <v>MERKEZ KASA|009</v>
      </c>
    </row>
    <row r="35" spans="1:15" ht="17">
      <c r="A35" s="6"/>
      <c r="B35" s="95" t="s">
        <v>649</v>
      </c>
      <c r="C35" s="95" t="s">
        <v>501</v>
      </c>
      <c r="D35" s="96" t="s">
        <v>502</v>
      </c>
      <c r="E35" s="97">
        <v>46039</v>
      </c>
      <c r="F35" s="99">
        <v>1500</v>
      </c>
      <c r="G35" s="95" t="s">
        <v>618</v>
      </c>
      <c r="H35" s="95" t="s">
        <v>462</v>
      </c>
      <c r="I35" s="95"/>
      <c r="J35" s="96" t="s">
        <v>619</v>
      </c>
      <c r="K35" s="95"/>
      <c r="L35" s="43">
        <f t="shared" si="0"/>
        <v>46023</v>
      </c>
      <c r="M35" s="42" t="str">
        <f>IF(AND(C35="",D35="",E35="",F35=""),"",IF(OR(C35="",D35="",E35="",F35="",G35=""),"EKSİK",IF(COUNTIF(MUSTERILER!$B$7:$B$156,C35)=0,"TANIMSIZ MÜŞTERİ","UYGUN")))</f>
        <v>UYGUN</v>
      </c>
      <c r="N35" s="22" t="str">
        <f>IF(D35="","",D35&amp;"|"&amp;TEXT(COUNTIF($D$7:D35,D35),"000"))</f>
        <v>İBRAHİM MALDAN|002</v>
      </c>
      <c r="O35" s="22" t="str">
        <f>IF(G35="","",G35&amp;"|"&amp;TEXT(COUNTIF($G$7:G35,G35),"000"))</f>
        <v>MERKEZ KASA|010</v>
      </c>
    </row>
    <row r="36" spans="1:15" ht="17">
      <c r="A36" s="6"/>
      <c r="B36" s="95" t="s">
        <v>650</v>
      </c>
      <c r="C36" s="95" t="s">
        <v>511</v>
      </c>
      <c r="D36" s="96" t="s">
        <v>512</v>
      </c>
      <c r="E36" s="97">
        <v>46039</v>
      </c>
      <c r="F36" s="99">
        <v>3500</v>
      </c>
      <c r="G36" s="95" t="s">
        <v>618</v>
      </c>
      <c r="H36" s="95" t="s">
        <v>462</v>
      </c>
      <c r="I36" s="95"/>
      <c r="J36" s="96" t="s">
        <v>619</v>
      </c>
      <c r="K36" s="95"/>
      <c r="L36" s="43">
        <f t="shared" si="0"/>
        <v>46023</v>
      </c>
      <c r="M36" s="42" t="str">
        <f>IF(AND(C36="",D36="",E36="",F36=""),"",IF(OR(C36="",D36="",E36="",F36="",G36=""),"EKSİK",IF(COUNTIF(MUSTERILER!$B$7:$B$156,C36)=0,"TANIMSIZ MÜŞTERİ","UYGUN")))</f>
        <v>UYGUN</v>
      </c>
      <c r="N36" s="22" t="str">
        <f>IF(D36="","",D36&amp;"|"&amp;TEXT(COUNTIF($D$7:D36,D36),"000"))</f>
        <v>KÖŞK YÜKSELEN LTD.ŞTİ.|001</v>
      </c>
      <c r="O36" s="22" t="str">
        <f>IF(G36="","",G36&amp;"|"&amp;TEXT(COUNTIF($G$7:G36,G36),"000"))</f>
        <v>MERKEZ KASA|011</v>
      </c>
    </row>
    <row r="37" spans="1:15" ht="17">
      <c r="A37" s="6"/>
      <c r="B37" s="95" t="s">
        <v>651</v>
      </c>
      <c r="C37" s="95" t="s">
        <v>525</v>
      </c>
      <c r="D37" s="96" t="s">
        <v>526</v>
      </c>
      <c r="E37" s="97">
        <v>46039</v>
      </c>
      <c r="F37" s="99">
        <v>2000</v>
      </c>
      <c r="G37" s="95" t="s">
        <v>618</v>
      </c>
      <c r="H37" s="95" t="s">
        <v>462</v>
      </c>
      <c r="I37" s="95"/>
      <c r="J37" s="96" t="s">
        <v>619</v>
      </c>
      <c r="K37" s="95"/>
      <c r="L37" s="43">
        <f t="shared" si="0"/>
        <v>46023</v>
      </c>
      <c r="M37" s="42" t="str">
        <f>IF(AND(C37="",D37="",E37="",F37=""),"",IF(OR(C37="",D37="",E37="",F37="",G37=""),"EKSİK",IF(COUNTIF(MUSTERILER!$B$7:$B$156,C37)=0,"TANIMSIZ MÜŞTERİ","UYGUN")))</f>
        <v>UYGUN</v>
      </c>
      <c r="N37" s="22" t="str">
        <f>IF(D37="","",D37&amp;"|"&amp;TEXT(COUNTIF($D$7:D37,D37),"000"))</f>
        <v>MONAMOUR LTD.ŞTİ.|002</v>
      </c>
      <c r="O37" s="22" t="str">
        <f>IF(G37="","",G37&amp;"|"&amp;TEXT(COUNTIF($G$7:G37,G37),"000"))</f>
        <v>MERKEZ KASA|012</v>
      </c>
    </row>
    <row r="38" spans="1:15" ht="17">
      <c r="A38" s="6"/>
      <c r="B38" s="95" t="s">
        <v>652</v>
      </c>
      <c r="C38" s="95" t="s">
        <v>525</v>
      </c>
      <c r="D38" s="96" t="s">
        <v>526</v>
      </c>
      <c r="E38" s="97">
        <v>46039</v>
      </c>
      <c r="F38" s="99">
        <v>3500</v>
      </c>
      <c r="G38" s="95" t="s">
        <v>618</v>
      </c>
      <c r="H38" s="95" t="s">
        <v>462</v>
      </c>
      <c r="I38" s="95"/>
      <c r="J38" s="96" t="s">
        <v>619</v>
      </c>
      <c r="K38" s="95"/>
      <c r="L38" s="43">
        <f t="shared" si="0"/>
        <v>46023</v>
      </c>
      <c r="M38" s="42" t="str">
        <f>IF(AND(C38="",D38="",E38="",F38=""),"",IF(OR(C38="",D38="",E38="",F38="",G38=""),"EKSİK",IF(COUNTIF(MUSTERILER!$B$7:$B$156,C38)=0,"TANIMSIZ MÜŞTERİ","UYGUN")))</f>
        <v>UYGUN</v>
      </c>
      <c r="N38" s="22" t="str">
        <f>IF(D38="","",D38&amp;"|"&amp;TEXT(COUNTIF($D$7:D38,D38),"000"))</f>
        <v>MONAMOUR LTD.ŞTİ.|003</v>
      </c>
      <c r="O38" s="22" t="str">
        <f>IF(G38="","",G38&amp;"|"&amp;TEXT(COUNTIF($G$7:G38,G38),"000"))</f>
        <v>MERKEZ KASA|013</v>
      </c>
    </row>
    <row r="39" spans="1:15" ht="17">
      <c r="A39" s="6"/>
      <c r="B39" s="95" t="s">
        <v>653</v>
      </c>
      <c r="C39" s="95" t="s">
        <v>534</v>
      </c>
      <c r="D39" s="96" t="s">
        <v>535</v>
      </c>
      <c r="E39" s="97">
        <v>46039</v>
      </c>
      <c r="F39" s="99">
        <v>2000</v>
      </c>
      <c r="G39" s="95" t="s">
        <v>618</v>
      </c>
      <c r="H39" s="95" t="s">
        <v>462</v>
      </c>
      <c r="I39" s="95"/>
      <c r="J39" s="96" t="s">
        <v>619</v>
      </c>
      <c r="K39" s="95"/>
      <c r="L39" s="43">
        <f t="shared" si="0"/>
        <v>46023</v>
      </c>
      <c r="M39" s="42" t="str">
        <f>IF(AND(C39="",D39="",E39="",F39=""),"",IF(OR(C39="",D39="",E39="",F39="",G39=""),"EKSİK",IF(COUNTIF(MUSTERILER!$B$7:$B$156,C39)=0,"TANIMSIZ MÜŞTERİ","UYGUN")))</f>
        <v>UYGUN</v>
      </c>
      <c r="N39" s="22" t="str">
        <f>IF(D39="","",D39&amp;"|"&amp;TEXT(COUNTIF($D$7:D39,D39),"000"))</f>
        <v>NAZ 1 GIDA LTD.ŞTİ.|002</v>
      </c>
      <c r="O39" s="22" t="str">
        <f>IF(G39="","",G39&amp;"|"&amp;TEXT(COUNTIF($G$7:G39,G39),"000"))</f>
        <v>MERKEZ KASA|014</v>
      </c>
    </row>
    <row r="40" spans="1:15" ht="17">
      <c r="A40" s="6"/>
      <c r="B40" s="95" t="s">
        <v>654</v>
      </c>
      <c r="C40" s="95" t="s">
        <v>548</v>
      </c>
      <c r="D40" s="96" t="s">
        <v>549</v>
      </c>
      <c r="E40" s="97">
        <v>46039</v>
      </c>
      <c r="F40" s="99">
        <v>2000</v>
      </c>
      <c r="G40" s="95" t="s">
        <v>618</v>
      </c>
      <c r="H40" s="95" t="s">
        <v>462</v>
      </c>
      <c r="I40" s="95"/>
      <c r="J40" s="96" t="s">
        <v>619</v>
      </c>
      <c r="K40" s="95"/>
      <c r="L40" s="43">
        <f t="shared" si="0"/>
        <v>46023</v>
      </c>
      <c r="M40" s="42" t="str">
        <f>IF(AND(C40="",D40="",E40="",F40=""),"",IF(OR(C40="",D40="",E40="",F40="",G40=""),"EKSİK",IF(COUNTIF(MUSTERILER!$B$7:$B$156,C40)=0,"TANIMSIZ MÜŞTERİ","UYGUN")))</f>
        <v>UYGUN</v>
      </c>
      <c r="N40" s="22" t="str">
        <f>IF(D40="","",D40&amp;"|"&amp;TEXT(COUNTIF($D$7:D40,D40),"000"))</f>
        <v>RİX ŞOW LTD.ŞTİ.|003</v>
      </c>
      <c r="O40" s="22" t="str">
        <f>IF(G40="","",G40&amp;"|"&amp;TEXT(COUNTIF($G$7:G40,G40),"000"))</f>
        <v>MERKEZ KASA|015</v>
      </c>
    </row>
    <row r="41" spans="1:15" ht="17">
      <c r="A41" s="6"/>
      <c r="B41" s="95" t="s">
        <v>655</v>
      </c>
      <c r="C41" s="95" t="s">
        <v>556</v>
      </c>
      <c r="D41" s="96" t="s">
        <v>557</v>
      </c>
      <c r="E41" s="97">
        <v>46039</v>
      </c>
      <c r="F41" s="99">
        <v>4000</v>
      </c>
      <c r="G41" s="95" t="s">
        <v>618</v>
      </c>
      <c r="H41" s="95" t="s">
        <v>462</v>
      </c>
      <c r="I41" s="95"/>
      <c r="J41" s="96" t="s">
        <v>619</v>
      </c>
      <c r="K41" s="95"/>
      <c r="L41" s="43">
        <f t="shared" si="0"/>
        <v>46023</v>
      </c>
      <c r="M41" s="42" t="str">
        <f>IF(AND(C41="",D41="",E41="",F41=""),"",IF(OR(C41="",D41="",E41="",F41="",G41=""),"EKSİK",IF(COUNTIF(MUSTERILER!$B$7:$B$156,C41)=0,"TANIMSIZ MÜŞTERİ","UYGUN")))</f>
        <v>UYGUN</v>
      </c>
      <c r="N41" s="22" t="str">
        <f>IF(D41="","",D41&amp;"|"&amp;TEXT(COUNTIF($D$7:D41,D41),"000"))</f>
        <v>TYANA LTD.ŞTİ.|001</v>
      </c>
      <c r="O41" s="22" t="str">
        <f>IF(G41="","",G41&amp;"|"&amp;TEXT(COUNTIF($G$7:G41,G41),"000"))</f>
        <v>MERKEZ KASA|016</v>
      </c>
    </row>
    <row r="42" spans="1:15" ht="17">
      <c r="A42" s="6"/>
      <c r="B42" s="95" t="s">
        <v>656</v>
      </c>
      <c r="C42" s="95" t="s">
        <v>568</v>
      </c>
      <c r="D42" s="96" t="s">
        <v>569</v>
      </c>
      <c r="E42" s="97">
        <v>46039</v>
      </c>
      <c r="F42" s="99">
        <v>3000</v>
      </c>
      <c r="G42" s="95" t="s">
        <v>618</v>
      </c>
      <c r="H42" s="95" t="s">
        <v>462</v>
      </c>
      <c r="I42" s="95"/>
      <c r="J42" s="96" t="s">
        <v>619</v>
      </c>
      <c r="K42" s="95"/>
      <c r="L42" s="43">
        <f t="shared" si="0"/>
        <v>46023</v>
      </c>
      <c r="M42" s="42" t="str">
        <f>IF(AND(C42="",D42="",E42="",F42=""),"",IF(OR(C42="",D42="",E42="",F42="",G42=""),"EKSİK",IF(COUNTIF(MUSTERILER!$B$7:$B$156,C42)=0,"TANIMSIZ MÜŞTERİ","UYGUN")))</f>
        <v>UYGUN</v>
      </c>
      <c r="N42" s="22" t="str">
        <f>IF(D42="","",D42&amp;"|"&amp;TEXT(COUNTIF($D$7:D42,D42),"000"))</f>
        <v>ZÜMRÜT EĞLENCE LTD.ŞTİ.|002</v>
      </c>
      <c r="O42" s="22" t="str">
        <f>IF(G42="","",G42&amp;"|"&amp;TEXT(COUNTIF($G$7:G42,G42),"000"))</f>
        <v>MERKEZ KASA|017</v>
      </c>
    </row>
    <row r="43" spans="1:15" ht="17">
      <c r="A43" s="6"/>
      <c r="B43" s="95" t="s">
        <v>657</v>
      </c>
      <c r="C43" s="95" t="s">
        <v>513</v>
      </c>
      <c r="D43" s="96" t="s">
        <v>514</v>
      </c>
      <c r="E43" s="97">
        <v>46039</v>
      </c>
      <c r="F43" s="99">
        <v>6000</v>
      </c>
      <c r="G43" s="95" t="s">
        <v>618</v>
      </c>
      <c r="H43" s="95" t="s">
        <v>462</v>
      </c>
      <c r="I43" s="95"/>
      <c r="J43" s="96" t="s">
        <v>619</v>
      </c>
      <c r="K43" s="95"/>
      <c r="L43" s="43">
        <f t="shared" si="0"/>
        <v>46023</v>
      </c>
      <c r="M43" s="42" t="str">
        <f>IF(AND(C43="",D43="",E43="",F43=""),"",IF(OR(C43="",D43="",E43="",F43="",G43=""),"EKSİK",IF(COUNTIF(MUSTERILER!$B$7:$B$156,C43)=0,"TANIMSIZ MÜŞTERİ","UYGUN")))</f>
        <v>UYGUN</v>
      </c>
      <c r="N43" s="22" t="str">
        <f>IF(D43="","",D43&amp;"|"&amp;TEXT(COUNTIF($D$7:D43,D43),"000"))</f>
        <v>KRİSTAL LTD.ŞTİ.|001</v>
      </c>
      <c r="O43" s="22" t="str">
        <f>IF(G43="","",G43&amp;"|"&amp;TEXT(COUNTIF($G$7:G43,G43),"000"))</f>
        <v>MERKEZ KASA|018</v>
      </c>
    </row>
    <row r="44" spans="1:15" ht="17">
      <c r="A44" s="6"/>
      <c r="B44" s="95" t="s">
        <v>658</v>
      </c>
      <c r="C44" s="95" t="s">
        <v>513</v>
      </c>
      <c r="D44" s="96" t="s">
        <v>514</v>
      </c>
      <c r="E44" s="97">
        <v>46039</v>
      </c>
      <c r="F44" s="99">
        <v>3000</v>
      </c>
      <c r="G44" s="95" t="s">
        <v>618</v>
      </c>
      <c r="H44" s="95" t="s">
        <v>462</v>
      </c>
      <c r="I44" s="95"/>
      <c r="J44" s="96" t="s">
        <v>619</v>
      </c>
      <c r="K44" s="95"/>
      <c r="L44" s="43">
        <f t="shared" si="0"/>
        <v>46023</v>
      </c>
      <c r="M44" s="42" t="str">
        <f>IF(AND(C44="",D44="",E44="",F44=""),"",IF(OR(C44="",D44="",E44="",F44="",G44=""),"EKSİK",IF(COUNTIF(MUSTERILER!$B$7:$B$156,C44)=0,"TANIMSIZ MÜŞTERİ","UYGUN")))</f>
        <v>UYGUN</v>
      </c>
      <c r="N44" s="22" t="str">
        <f>IF(D44="","",D44&amp;"|"&amp;TEXT(COUNTIF($D$7:D44,D44),"000"))</f>
        <v>KRİSTAL LTD.ŞTİ.|002</v>
      </c>
      <c r="O44" s="22" t="str">
        <f>IF(G44="","",G44&amp;"|"&amp;TEXT(COUNTIF($G$7:G44,G44),"000"))</f>
        <v>MERKEZ KASA|019</v>
      </c>
    </row>
    <row r="45" spans="1:15" ht="17">
      <c r="A45" s="6"/>
      <c r="B45" s="95" t="s">
        <v>659</v>
      </c>
      <c r="C45" s="95" t="s">
        <v>487</v>
      </c>
      <c r="D45" s="96" t="s">
        <v>488</v>
      </c>
      <c r="E45" s="97">
        <v>46041</v>
      </c>
      <c r="F45" s="99">
        <v>3000</v>
      </c>
      <c r="G45" s="95" t="s">
        <v>618</v>
      </c>
      <c r="H45" s="95" t="s">
        <v>462</v>
      </c>
      <c r="I45" s="95"/>
      <c r="J45" s="96" t="s">
        <v>619</v>
      </c>
      <c r="K45" s="95"/>
      <c r="L45" s="43">
        <f t="shared" si="0"/>
        <v>46023</v>
      </c>
      <c r="M45" s="42" t="str">
        <f>IF(AND(C45="",D45="",E45="",F45=""),"",IF(OR(C45="",D45="",E45="",F45="",G45=""),"EKSİK",IF(COUNTIF(MUSTERILER!$B$7:$B$156,C45)=0,"TANIMSIZ MÜŞTERİ","UYGUN")))</f>
        <v>UYGUN</v>
      </c>
      <c r="N45" s="22" t="str">
        <f>IF(D45="","",D45&amp;"|"&amp;TEXT(COUNTIF($D$7:D45,D45),"000"))</f>
        <v>EĞLENGÖR LTD.ŞTİ.|003</v>
      </c>
      <c r="O45" s="22" t="str">
        <f>IF(G45="","",G45&amp;"|"&amp;TEXT(COUNTIF($G$7:G45,G45),"000"))</f>
        <v>MERKEZ KASA|020</v>
      </c>
    </row>
    <row r="46" spans="1:15" ht="17">
      <c r="A46" s="6"/>
      <c r="B46" s="95" t="s">
        <v>660</v>
      </c>
      <c r="C46" s="95" t="s">
        <v>495</v>
      </c>
      <c r="D46" s="96" t="s">
        <v>496</v>
      </c>
      <c r="E46" s="97">
        <v>46041</v>
      </c>
      <c r="F46" s="99">
        <v>2000</v>
      </c>
      <c r="G46" s="95" t="s">
        <v>618</v>
      </c>
      <c r="H46" s="95" t="s">
        <v>462</v>
      </c>
      <c r="I46" s="95"/>
      <c r="J46" s="96" t="s">
        <v>619</v>
      </c>
      <c r="K46" s="95"/>
      <c r="L46" s="43">
        <f t="shared" si="0"/>
        <v>46023</v>
      </c>
      <c r="M46" s="42" t="str">
        <f>IF(AND(C46="",D46="",E46="",F46=""),"",IF(OR(C46="",D46="",E46="",F46="",G46=""),"EKSİK",IF(COUNTIF(MUSTERILER!$B$7:$B$156,C46)=0,"TANIMSIZ MÜŞTERİ","UYGUN")))</f>
        <v>UYGUN</v>
      </c>
      <c r="N46" s="22" t="str">
        <f>IF(D46="","",D46&amp;"|"&amp;TEXT(COUNTIF($D$7:D46,D46),"000"))</f>
        <v>FİNAL SİYAH BEYAZ LTD.ŞTİ.|002</v>
      </c>
      <c r="O46" s="22" t="str">
        <f>IF(G46="","",G46&amp;"|"&amp;TEXT(COUNTIF($G$7:G46,G46),"000"))</f>
        <v>MERKEZ KASA|021</v>
      </c>
    </row>
    <row r="47" spans="1:15" ht="17">
      <c r="A47" s="6"/>
      <c r="B47" s="95" t="s">
        <v>661</v>
      </c>
      <c r="C47" s="95" t="s">
        <v>542</v>
      </c>
      <c r="D47" s="96" t="s">
        <v>543</v>
      </c>
      <c r="E47" s="97">
        <v>46041</v>
      </c>
      <c r="F47" s="99">
        <v>4000</v>
      </c>
      <c r="G47" s="95" t="s">
        <v>618</v>
      </c>
      <c r="H47" s="95" t="s">
        <v>462</v>
      </c>
      <c r="I47" s="95"/>
      <c r="J47" s="96" t="s">
        <v>619</v>
      </c>
      <c r="K47" s="95"/>
      <c r="L47" s="43">
        <f t="shared" si="0"/>
        <v>46023</v>
      </c>
      <c r="M47" s="42" t="str">
        <f>IF(AND(C47="",D47="",E47="",F47=""),"",IF(OR(C47="",D47="",E47="",F47="",G47=""),"EKSİK",IF(COUNTIF(MUSTERILER!$B$7:$B$156,C47)=0,"TANIMSIZ MÜŞTERİ","UYGUN")))</f>
        <v>UYGUN</v>
      </c>
      <c r="N47" s="22" t="str">
        <f>IF(D47="","",D47&amp;"|"&amp;TEXT(COUNTIF($D$7:D47,D47),"000"))</f>
        <v>PAKYILDIZ LTD.ŞTİ.|002</v>
      </c>
      <c r="O47" s="22" t="str">
        <f>IF(G47="","",G47&amp;"|"&amp;TEXT(COUNTIF($G$7:G47,G47),"000"))</f>
        <v>MERKEZ KASA|022</v>
      </c>
    </row>
    <row r="48" spans="1:15" ht="17">
      <c r="A48" s="6"/>
      <c r="B48" s="95" t="s">
        <v>662</v>
      </c>
      <c r="C48" s="95" t="s">
        <v>570</v>
      </c>
      <c r="D48" s="96" t="s">
        <v>571</v>
      </c>
      <c r="E48" s="97">
        <v>46041</v>
      </c>
      <c r="F48" s="99">
        <v>1750</v>
      </c>
      <c r="G48" s="95" t="s">
        <v>618</v>
      </c>
      <c r="H48" s="95" t="s">
        <v>462</v>
      </c>
      <c r="I48" s="95"/>
      <c r="J48" s="96" t="s">
        <v>619</v>
      </c>
      <c r="K48" s="95"/>
      <c r="L48" s="43">
        <f t="shared" si="0"/>
        <v>46023</v>
      </c>
      <c r="M48" s="42" t="str">
        <f>IF(AND(C48="",D48="",E48="",F48=""),"",IF(OR(C48="",D48="",E48="",F48="",G48=""),"EKSİK",IF(COUNTIF(MUSTERILER!$B$7:$B$156,C48)=0,"TANIMSIZ MÜŞTERİ","UYGUN")))</f>
        <v>UYGUN</v>
      </c>
      <c r="N48" s="22" t="str">
        <f>IF(D48="","",D48&amp;"|"&amp;TEXT(COUNTIF($D$7:D48,D48),"000"))</f>
        <v>ZÜMRÜT GRUP LTD.ŞTİ.|004</v>
      </c>
      <c r="O48" s="22" t="str">
        <f>IF(G48="","",G48&amp;"|"&amp;TEXT(COUNTIF($G$7:G48,G48),"000"))</f>
        <v>MERKEZ KASA|023</v>
      </c>
    </row>
    <row r="49" spans="1:15" ht="17">
      <c r="A49" s="6"/>
      <c r="B49" s="95" t="s">
        <v>663</v>
      </c>
      <c r="C49" s="95" t="s">
        <v>483</v>
      </c>
      <c r="D49" s="96" t="s">
        <v>484</v>
      </c>
      <c r="E49" s="97">
        <v>46043</v>
      </c>
      <c r="F49" s="99">
        <v>7500</v>
      </c>
      <c r="G49" s="95" t="s">
        <v>618</v>
      </c>
      <c r="H49" s="95" t="s">
        <v>462</v>
      </c>
      <c r="I49" s="95"/>
      <c r="J49" s="96" t="s">
        <v>619</v>
      </c>
      <c r="K49" s="95"/>
      <c r="L49" s="43">
        <f t="shared" si="0"/>
        <v>46023</v>
      </c>
      <c r="M49" s="42" t="str">
        <f>IF(AND(C49="",D49="",E49="",F49=""),"",IF(OR(C49="",D49="",E49="",F49="",G49=""),"EKSİK",IF(COUNTIF(MUSTERILER!$B$7:$B$156,C49)=0,"TANIMSIZ MÜŞTERİ","UYGUN")))</f>
        <v>UYGUN</v>
      </c>
      <c r="N49" s="22" t="str">
        <f>IF(D49="","",D49&amp;"|"&amp;TEXT(COUNTIF($D$7:D49,D49),"000"))</f>
        <v>ÇINARHAN LTD.ŞTİ.|002</v>
      </c>
      <c r="O49" s="22" t="str">
        <f>IF(G49="","",G49&amp;"|"&amp;TEXT(COUNTIF($G$7:G49,G49),"000"))</f>
        <v>MERKEZ KASA|024</v>
      </c>
    </row>
    <row r="50" spans="1:15" ht="17">
      <c r="A50" s="6"/>
      <c r="B50" s="95" t="s">
        <v>664</v>
      </c>
      <c r="C50" s="95" t="s">
        <v>556</v>
      </c>
      <c r="D50" s="96" t="s">
        <v>557</v>
      </c>
      <c r="E50" s="97">
        <v>46045</v>
      </c>
      <c r="F50" s="99">
        <v>8000</v>
      </c>
      <c r="G50" s="95" t="s">
        <v>618</v>
      </c>
      <c r="H50" s="95" t="s">
        <v>462</v>
      </c>
      <c r="I50" s="95"/>
      <c r="J50" s="96" t="s">
        <v>619</v>
      </c>
      <c r="K50" s="95"/>
      <c r="L50" s="43">
        <f t="shared" si="0"/>
        <v>46023</v>
      </c>
      <c r="M50" s="42" t="str">
        <f>IF(AND(C50="",D50="",E50="",F50=""),"",IF(OR(C50="",D50="",E50="",F50="",G50=""),"EKSİK",IF(COUNTIF(MUSTERILER!$B$7:$B$156,C50)=0,"TANIMSIZ MÜŞTERİ","UYGUN")))</f>
        <v>UYGUN</v>
      </c>
      <c r="N50" s="22" t="str">
        <f>IF(D50="","",D50&amp;"|"&amp;TEXT(COUNTIF($D$7:D50,D50),"000"))</f>
        <v>TYANA LTD.ŞTİ.|002</v>
      </c>
      <c r="O50" s="22" t="str">
        <f>IF(G50="","",G50&amp;"|"&amp;TEXT(COUNTIF($G$7:G50,G50),"000"))</f>
        <v>MERKEZ KASA|025</v>
      </c>
    </row>
    <row r="51" spans="1:15" ht="17">
      <c r="A51" s="6"/>
      <c r="B51" s="95" t="s">
        <v>665</v>
      </c>
      <c r="C51" s="95" t="s">
        <v>467</v>
      </c>
      <c r="D51" s="96" t="s">
        <v>468</v>
      </c>
      <c r="E51" s="97">
        <v>46046</v>
      </c>
      <c r="F51" s="99">
        <v>8000</v>
      </c>
      <c r="G51" s="95" t="s">
        <v>618</v>
      </c>
      <c r="H51" s="95" t="s">
        <v>462</v>
      </c>
      <c r="I51" s="95"/>
      <c r="J51" s="96" t="s">
        <v>619</v>
      </c>
      <c r="K51" s="95"/>
      <c r="L51" s="43">
        <f t="shared" si="0"/>
        <v>46023</v>
      </c>
      <c r="M51" s="42" t="str">
        <f>IF(AND(C51="",D51="",E51="",F51=""),"",IF(OR(C51="",D51="",E51="",F51="",G51=""),"EKSİK",IF(COUNTIF(MUSTERILER!$B$7:$B$156,C51)=0,"TANIMSIZ MÜŞTERİ","UYGUN")))</f>
        <v>UYGUN</v>
      </c>
      <c r="N51" s="22" t="str">
        <f>IF(D51="","",D51&amp;"|"&amp;TEXT(COUNTIF($D$7:D51,D51),"000"))</f>
        <v>ANKARA HAVANA LTD.ŞTİ.|002</v>
      </c>
      <c r="O51" s="22" t="str">
        <f>IF(G51="","",G51&amp;"|"&amp;TEXT(COUNTIF($G$7:G51,G51),"000"))</f>
        <v>MERKEZ KASA|026</v>
      </c>
    </row>
    <row r="52" spans="1:15" ht="17">
      <c r="A52" s="6"/>
      <c r="B52" s="95" t="s">
        <v>666</v>
      </c>
      <c r="C52" s="95" t="s">
        <v>473</v>
      </c>
      <c r="D52" s="96" t="s">
        <v>474</v>
      </c>
      <c r="E52" s="97">
        <v>46046</v>
      </c>
      <c r="F52" s="99">
        <v>2000</v>
      </c>
      <c r="G52" s="95" t="s">
        <v>618</v>
      </c>
      <c r="H52" s="95" t="s">
        <v>462</v>
      </c>
      <c r="I52" s="95"/>
      <c r="J52" s="96" t="s">
        <v>619</v>
      </c>
      <c r="K52" s="95"/>
      <c r="L52" s="43">
        <f t="shared" si="0"/>
        <v>46023</v>
      </c>
      <c r="M52" s="42" t="str">
        <f>IF(AND(C52="",D52="",E52="",F52=""),"",IF(OR(C52="",D52="",E52="",F52="",G52=""),"EKSİK",IF(COUNTIF(MUSTERILER!$B$7:$B$156,C52)=0,"TANIMSIZ MÜŞTERİ","UYGUN")))</f>
        <v>UYGUN</v>
      </c>
      <c r="N52" s="22" t="str">
        <f>IF(D52="","",D52&amp;"|"&amp;TEXT(COUNTIF($D$7:D52,D52),"000"))</f>
        <v>ASIM AÇIKGÖZ|003</v>
      </c>
      <c r="O52" s="22" t="str">
        <f>IF(G52="","",G52&amp;"|"&amp;TEXT(COUNTIF($G$7:G52,G52),"000"))</f>
        <v>MERKEZ KASA|027</v>
      </c>
    </row>
    <row r="53" spans="1:15" ht="17">
      <c r="A53" s="6"/>
      <c r="B53" s="95" t="s">
        <v>667</v>
      </c>
      <c r="C53" s="95" t="s">
        <v>475</v>
      </c>
      <c r="D53" s="96" t="s">
        <v>476</v>
      </c>
      <c r="E53" s="97">
        <v>46046</v>
      </c>
      <c r="F53" s="99">
        <v>2500</v>
      </c>
      <c r="G53" s="95" t="s">
        <v>618</v>
      </c>
      <c r="H53" s="95" t="s">
        <v>462</v>
      </c>
      <c r="I53" s="95"/>
      <c r="J53" s="96" t="s">
        <v>619</v>
      </c>
      <c r="K53" s="95"/>
      <c r="L53" s="43">
        <f t="shared" si="0"/>
        <v>46023</v>
      </c>
      <c r="M53" s="42" t="str">
        <f>IF(AND(C53="",D53="",E53="",F53=""),"",IF(OR(C53="",D53="",E53="",F53="",G53=""),"EKSİK",IF(COUNTIF(MUSTERILER!$B$7:$B$156,C53)=0,"TANIMSIZ MÜŞTERİ","UYGUN")))</f>
        <v>UYGUN</v>
      </c>
      <c r="N53" s="22" t="str">
        <f>IF(D53="","",D53&amp;"|"&amp;TEXT(COUNTIF($D$7:D53,D53),"000"))</f>
        <v>ASM EĞLENCE LTD.ŞTİ.|003</v>
      </c>
      <c r="O53" s="22" t="str">
        <f>IF(G53="","",G53&amp;"|"&amp;TEXT(COUNTIF($G$7:G53,G53),"000"))</f>
        <v>MERKEZ KASA|028</v>
      </c>
    </row>
    <row r="54" spans="1:15" ht="17">
      <c r="A54" s="6"/>
      <c r="B54" s="95" t="s">
        <v>668</v>
      </c>
      <c r="C54" s="95" t="s">
        <v>479</v>
      </c>
      <c r="D54" s="96" t="s">
        <v>480</v>
      </c>
      <c r="E54" s="97">
        <v>46046</v>
      </c>
      <c r="F54" s="99">
        <v>3000</v>
      </c>
      <c r="G54" s="95" t="s">
        <v>618</v>
      </c>
      <c r="H54" s="95" t="s">
        <v>462</v>
      </c>
      <c r="I54" s="95"/>
      <c r="J54" s="96" t="s">
        <v>619</v>
      </c>
      <c r="K54" s="95"/>
      <c r="L54" s="43">
        <f t="shared" si="0"/>
        <v>46023</v>
      </c>
      <c r="M54" s="42" t="str">
        <f>IF(AND(C54="",D54="",E54="",F54=""),"",IF(OR(C54="",D54="",E54="",F54="",G54=""),"EKSİK",IF(COUNTIF(MUSTERILER!$B$7:$B$156,C54)=0,"TANIMSIZ MÜŞTERİ","UYGUN")))</f>
        <v>UYGUN</v>
      </c>
      <c r="N54" s="22" t="str">
        <f>IF(D54="","",D54&amp;"|"&amp;TEXT(COUNTIF($D$7:D54,D54),"000"))</f>
        <v>ÇAYIRALAN LTD.ŞTİ.|004</v>
      </c>
      <c r="O54" s="22" t="str">
        <f>IF(G54="","",G54&amp;"|"&amp;TEXT(COUNTIF($G$7:G54,G54),"000"))</f>
        <v>MERKEZ KASA|029</v>
      </c>
    </row>
    <row r="55" spans="1:15" ht="17">
      <c r="A55" s="6"/>
      <c r="B55" s="95" t="s">
        <v>669</v>
      </c>
      <c r="C55" s="95" t="s">
        <v>495</v>
      </c>
      <c r="D55" s="96" t="s">
        <v>496</v>
      </c>
      <c r="E55" s="97">
        <v>46046</v>
      </c>
      <c r="F55" s="99">
        <v>2000</v>
      </c>
      <c r="G55" s="95" t="s">
        <v>618</v>
      </c>
      <c r="H55" s="95" t="s">
        <v>462</v>
      </c>
      <c r="I55" s="95"/>
      <c r="J55" s="96" t="s">
        <v>619</v>
      </c>
      <c r="K55" s="95"/>
      <c r="L55" s="43">
        <f t="shared" si="0"/>
        <v>46023</v>
      </c>
      <c r="M55" s="42" t="str">
        <f>IF(AND(C55="",D55="",E55="",F55=""),"",IF(OR(C55="",D55="",E55="",F55="",G55=""),"EKSİK",IF(COUNTIF(MUSTERILER!$B$7:$B$156,C55)=0,"TANIMSIZ MÜŞTERİ","UYGUN")))</f>
        <v>UYGUN</v>
      </c>
      <c r="N55" s="22" t="str">
        <f>IF(D55="","",D55&amp;"|"&amp;TEXT(COUNTIF($D$7:D55,D55),"000"))</f>
        <v>FİNAL SİYAH BEYAZ LTD.ŞTİ.|003</v>
      </c>
      <c r="O55" s="22" t="str">
        <f>IF(G55="","",G55&amp;"|"&amp;TEXT(COUNTIF($G$7:G55,G55),"000"))</f>
        <v>MERKEZ KASA|030</v>
      </c>
    </row>
    <row r="56" spans="1:15" ht="17">
      <c r="A56" s="6"/>
      <c r="B56" s="95" t="s">
        <v>670</v>
      </c>
      <c r="C56" s="95" t="s">
        <v>501</v>
      </c>
      <c r="D56" s="96" t="s">
        <v>502</v>
      </c>
      <c r="E56" s="97">
        <v>46046</v>
      </c>
      <c r="F56" s="99">
        <v>1500</v>
      </c>
      <c r="G56" s="95" t="s">
        <v>618</v>
      </c>
      <c r="H56" s="95" t="s">
        <v>462</v>
      </c>
      <c r="I56" s="95"/>
      <c r="J56" s="96" t="s">
        <v>619</v>
      </c>
      <c r="K56" s="95"/>
      <c r="L56" s="43">
        <f t="shared" si="0"/>
        <v>46023</v>
      </c>
      <c r="M56" s="42" t="str">
        <f>IF(AND(C56="",D56="",E56="",F56=""),"",IF(OR(C56="",D56="",E56="",F56="",G56=""),"EKSİK",IF(COUNTIF(MUSTERILER!$B$7:$B$156,C56)=0,"TANIMSIZ MÜŞTERİ","UYGUN")))</f>
        <v>UYGUN</v>
      </c>
      <c r="N56" s="22" t="str">
        <f>IF(D56="","",D56&amp;"|"&amp;TEXT(COUNTIF($D$7:D56,D56),"000"))</f>
        <v>İBRAHİM MALDAN|003</v>
      </c>
      <c r="O56" s="22" t="str">
        <f>IF(G56="","",G56&amp;"|"&amp;TEXT(COUNTIF($G$7:G56,G56),"000"))</f>
        <v>MERKEZ KASA|031</v>
      </c>
    </row>
    <row r="57" spans="1:15" ht="17">
      <c r="A57" s="6"/>
      <c r="B57" s="95" t="s">
        <v>671</v>
      </c>
      <c r="C57" s="95" t="s">
        <v>503</v>
      </c>
      <c r="D57" s="96" t="s">
        <v>504</v>
      </c>
      <c r="E57" s="97">
        <v>46046</v>
      </c>
      <c r="F57" s="99">
        <v>4000</v>
      </c>
      <c r="G57" s="95" t="s">
        <v>618</v>
      </c>
      <c r="H57" s="95" t="s">
        <v>462</v>
      </c>
      <c r="I57" s="95"/>
      <c r="J57" s="96" t="s">
        <v>619</v>
      </c>
      <c r="K57" s="95"/>
      <c r="L57" s="43">
        <f t="shared" si="0"/>
        <v>46023</v>
      </c>
      <c r="M57" s="42" t="str">
        <f>IF(AND(C57="",D57="",E57="",F57=""),"",IF(OR(C57="",D57="",E57="",F57="",G57=""),"EKSİK",IF(COUNTIF(MUSTERILER!$B$7:$B$156,C57)=0,"TANIMSIZ MÜŞTERİ","UYGUN")))</f>
        <v>UYGUN</v>
      </c>
      <c r="N57" s="22" t="str">
        <f>IF(D57="","",D57&amp;"|"&amp;TEXT(COUNTIF($D$7:D57,D57),"000"))</f>
        <v>İLDEŞ LTD.ŞTİ.|003</v>
      </c>
      <c r="O57" s="22" t="str">
        <f>IF(G57="","",G57&amp;"|"&amp;TEXT(COUNTIF($G$7:G57,G57),"000"))</f>
        <v>MERKEZ KASA|032</v>
      </c>
    </row>
    <row r="58" spans="1:15" ht="17">
      <c r="A58" s="6"/>
      <c r="B58" s="95" t="s">
        <v>672</v>
      </c>
      <c r="C58" s="95" t="s">
        <v>511</v>
      </c>
      <c r="D58" s="96" t="s">
        <v>512</v>
      </c>
      <c r="E58" s="97">
        <v>46046</v>
      </c>
      <c r="F58" s="99">
        <v>2500</v>
      </c>
      <c r="G58" s="95" t="s">
        <v>618</v>
      </c>
      <c r="H58" s="95" t="s">
        <v>462</v>
      </c>
      <c r="I58" s="95"/>
      <c r="J58" s="96" t="s">
        <v>619</v>
      </c>
      <c r="K58" s="95"/>
      <c r="L58" s="43">
        <f t="shared" si="0"/>
        <v>46023</v>
      </c>
      <c r="M58" s="42" t="str">
        <f>IF(AND(C58="",D58="",E58="",F58=""),"",IF(OR(C58="",D58="",E58="",F58="",G58=""),"EKSİK",IF(COUNTIF(MUSTERILER!$B$7:$B$156,C58)=0,"TANIMSIZ MÜŞTERİ","UYGUN")))</f>
        <v>UYGUN</v>
      </c>
      <c r="N58" s="22" t="str">
        <f>IF(D58="","",D58&amp;"|"&amp;TEXT(COUNTIF($D$7:D58,D58),"000"))</f>
        <v>KÖŞK YÜKSELEN LTD.ŞTİ.|002</v>
      </c>
      <c r="O58" s="22" t="str">
        <f>IF(G58="","",G58&amp;"|"&amp;TEXT(COUNTIF($G$7:G58,G58),"000"))</f>
        <v>MERKEZ KASA|033</v>
      </c>
    </row>
    <row r="59" spans="1:15" ht="17">
      <c r="A59" s="6"/>
      <c r="B59" s="95" t="s">
        <v>673</v>
      </c>
      <c r="C59" s="95" t="s">
        <v>525</v>
      </c>
      <c r="D59" s="96" t="s">
        <v>526</v>
      </c>
      <c r="E59" s="97">
        <v>46046</v>
      </c>
      <c r="F59" s="99">
        <v>3500</v>
      </c>
      <c r="G59" s="95" t="s">
        <v>618</v>
      </c>
      <c r="H59" s="95" t="s">
        <v>462</v>
      </c>
      <c r="I59" s="95"/>
      <c r="J59" s="96" t="s">
        <v>619</v>
      </c>
      <c r="K59" s="95"/>
      <c r="L59" s="43">
        <f t="shared" si="0"/>
        <v>46023</v>
      </c>
      <c r="M59" s="42" t="str">
        <f>IF(AND(C59="",D59="",E59="",F59=""),"",IF(OR(C59="",D59="",E59="",F59="",G59=""),"EKSİK",IF(COUNTIF(MUSTERILER!$B$7:$B$156,C59)=0,"TANIMSIZ MÜŞTERİ","UYGUN")))</f>
        <v>UYGUN</v>
      </c>
      <c r="N59" s="22" t="str">
        <f>IF(D59="","",D59&amp;"|"&amp;TEXT(COUNTIF($D$7:D59,D59),"000"))</f>
        <v>MONAMOUR LTD.ŞTİ.|004</v>
      </c>
      <c r="O59" s="22" t="str">
        <f>IF(G59="","",G59&amp;"|"&amp;TEXT(COUNTIF($G$7:G59,G59),"000"))</f>
        <v>MERKEZ KASA|034</v>
      </c>
    </row>
    <row r="60" spans="1:15" ht="17">
      <c r="A60" s="6"/>
      <c r="B60" s="95" t="s">
        <v>674</v>
      </c>
      <c r="C60" s="95" t="s">
        <v>534</v>
      </c>
      <c r="D60" s="96" t="s">
        <v>535</v>
      </c>
      <c r="E60" s="97">
        <v>46046</v>
      </c>
      <c r="F60" s="99">
        <v>2000</v>
      </c>
      <c r="G60" s="95" t="s">
        <v>618</v>
      </c>
      <c r="H60" s="95" t="s">
        <v>462</v>
      </c>
      <c r="I60" s="95"/>
      <c r="J60" s="96" t="s">
        <v>619</v>
      </c>
      <c r="K60" s="95"/>
      <c r="L60" s="43">
        <f t="shared" si="0"/>
        <v>46023</v>
      </c>
      <c r="M60" s="42" t="str">
        <f>IF(AND(C60="",D60="",E60="",F60=""),"",IF(OR(C60="",D60="",E60="",F60="",G60=""),"EKSİK",IF(COUNTIF(MUSTERILER!$B$7:$B$156,C60)=0,"TANIMSIZ MÜŞTERİ","UYGUN")))</f>
        <v>UYGUN</v>
      </c>
      <c r="N60" s="22" t="str">
        <f>IF(D60="","",D60&amp;"|"&amp;TEXT(COUNTIF($D$7:D60,D60),"000"))</f>
        <v>NAZ 1 GIDA LTD.ŞTİ.|003</v>
      </c>
      <c r="O60" s="22" t="str">
        <f>IF(G60="","",G60&amp;"|"&amp;TEXT(COUNTIF($G$7:G60,G60),"000"))</f>
        <v>MERKEZ KASA|035</v>
      </c>
    </row>
    <row r="61" spans="1:15" ht="17">
      <c r="A61" s="6"/>
      <c r="B61" s="95" t="s">
        <v>675</v>
      </c>
      <c r="C61" s="95" t="s">
        <v>540</v>
      </c>
      <c r="D61" s="96" t="s">
        <v>541</v>
      </c>
      <c r="E61" s="97">
        <v>46046</v>
      </c>
      <c r="F61" s="99">
        <v>2000</v>
      </c>
      <c r="G61" s="95" t="s">
        <v>618</v>
      </c>
      <c r="H61" s="95" t="s">
        <v>462</v>
      </c>
      <c r="I61" s="95"/>
      <c r="J61" s="96" t="s">
        <v>619</v>
      </c>
      <c r="K61" s="95"/>
      <c r="L61" s="43">
        <f t="shared" si="0"/>
        <v>46023</v>
      </c>
      <c r="M61" s="42" t="str">
        <f>IF(AND(C61="",D61="",E61="",F61=""),"",IF(OR(C61="",D61="",E61="",F61="",G61=""),"EKSİK",IF(COUNTIF(MUSTERILER!$B$7:$B$156,C61)=0,"TANIMSIZ MÜŞTERİ","UYGUN")))</f>
        <v>UYGUN</v>
      </c>
      <c r="N61" s="22" t="str">
        <f>IF(D61="","",D61&amp;"|"&amp;TEXT(COUNTIF($D$7:D61,D61),"000"))</f>
        <v>ÖZFİDANLAR LTD.ŞTİ.|003</v>
      </c>
      <c r="O61" s="22" t="str">
        <f>IF(G61="","",G61&amp;"|"&amp;TEXT(COUNTIF($G$7:G61,G61),"000"))</f>
        <v>MERKEZ KASA|036</v>
      </c>
    </row>
    <row r="62" spans="1:15" ht="17">
      <c r="A62" s="6"/>
      <c r="B62" s="95" t="s">
        <v>676</v>
      </c>
      <c r="C62" s="95" t="s">
        <v>542</v>
      </c>
      <c r="D62" s="96" t="s">
        <v>543</v>
      </c>
      <c r="E62" s="97">
        <v>46046</v>
      </c>
      <c r="F62" s="99">
        <v>2000</v>
      </c>
      <c r="G62" s="95" t="s">
        <v>618</v>
      </c>
      <c r="H62" s="95" t="s">
        <v>462</v>
      </c>
      <c r="I62" s="95"/>
      <c r="J62" s="96" t="s">
        <v>619</v>
      </c>
      <c r="K62" s="95"/>
      <c r="L62" s="43">
        <f t="shared" si="0"/>
        <v>46023</v>
      </c>
      <c r="M62" s="42" t="str">
        <f>IF(AND(C62="",D62="",E62="",F62=""),"",IF(OR(C62="",D62="",E62="",F62="",G62=""),"EKSİK",IF(COUNTIF(MUSTERILER!$B$7:$B$156,C62)=0,"TANIMSIZ MÜŞTERİ","UYGUN")))</f>
        <v>UYGUN</v>
      </c>
      <c r="N62" s="22" t="str">
        <f>IF(D62="","",D62&amp;"|"&amp;TEXT(COUNTIF($D$7:D62,D62),"000"))</f>
        <v>PAKYILDIZ LTD.ŞTİ.|003</v>
      </c>
      <c r="O62" s="22" t="str">
        <f>IF(G62="","",G62&amp;"|"&amp;TEXT(COUNTIF($G$7:G62,G62),"000"))</f>
        <v>MERKEZ KASA|037</v>
      </c>
    </row>
    <row r="63" spans="1:15" ht="17">
      <c r="A63" s="6"/>
      <c r="B63" s="95" t="s">
        <v>677</v>
      </c>
      <c r="C63" s="95" t="s">
        <v>548</v>
      </c>
      <c r="D63" s="96" t="s">
        <v>549</v>
      </c>
      <c r="E63" s="97">
        <v>46046</v>
      </c>
      <c r="F63" s="99">
        <v>2000</v>
      </c>
      <c r="G63" s="95" t="s">
        <v>618</v>
      </c>
      <c r="H63" s="95" t="s">
        <v>462</v>
      </c>
      <c r="I63" s="95"/>
      <c r="J63" s="96" t="s">
        <v>619</v>
      </c>
      <c r="K63" s="95"/>
      <c r="L63" s="43">
        <f t="shared" si="0"/>
        <v>46023</v>
      </c>
      <c r="M63" s="42" t="str">
        <f>IF(AND(C63="",D63="",E63="",F63=""),"",IF(OR(C63="",D63="",E63="",F63="",G63=""),"EKSİK",IF(COUNTIF(MUSTERILER!$B$7:$B$156,C63)=0,"TANIMSIZ MÜŞTERİ","UYGUN")))</f>
        <v>UYGUN</v>
      </c>
      <c r="N63" s="22" t="str">
        <f>IF(D63="","",D63&amp;"|"&amp;TEXT(COUNTIF($D$7:D63,D63),"000"))</f>
        <v>RİX ŞOW LTD.ŞTİ.|004</v>
      </c>
      <c r="O63" s="22" t="str">
        <f>IF(G63="","",G63&amp;"|"&amp;TEXT(COUNTIF($G$7:G63,G63),"000"))</f>
        <v>MERKEZ KASA|038</v>
      </c>
    </row>
    <row r="64" spans="1:15" ht="17">
      <c r="A64" s="6"/>
      <c r="B64" s="95" t="s">
        <v>678</v>
      </c>
      <c r="C64" s="95" t="s">
        <v>568</v>
      </c>
      <c r="D64" s="96" t="s">
        <v>569</v>
      </c>
      <c r="E64" s="97">
        <v>46046</v>
      </c>
      <c r="F64" s="99">
        <v>3000</v>
      </c>
      <c r="G64" s="95" t="s">
        <v>618</v>
      </c>
      <c r="H64" s="95" t="s">
        <v>462</v>
      </c>
      <c r="I64" s="95"/>
      <c r="J64" s="96" t="s">
        <v>619</v>
      </c>
      <c r="K64" s="95"/>
      <c r="L64" s="43">
        <f t="shared" si="0"/>
        <v>46023</v>
      </c>
      <c r="M64" s="42" t="str">
        <f>IF(AND(C64="",D64="",E64="",F64=""),"",IF(OR(C64="",D64="",E64="",F64="",G64=""),"EKSİK",IF(COUNTIF(MUSTERILER!$B$7:$B$156,C64)=0,"TANIMSIZ MÜŞTERİ","UYGUN")))</f>
        <v>UYGUN</v>
      </c>
      <c r="N64" s="22" t="str">
        <f>IF(D64="","",D64&amp;"|"&amp;TEXT(COUNTIF($D$7:D64,D64),"000"))</f>
        <v>ZÜMRÜT EĞLENCE LTD.ŞTİ.|003</v>
      </c>
      <c r="O64" s="22" t="str">
        <f>IF(G64="","",G64&amp;"|"&amp;TEXT(COUNTIF($G$7:G64,G64),"000"))</f>
        <v>MERKEZ KASA|039</v>
      </c>
    </row>
    <row r="65" spans="1:15" ht="17">
      <c r="A65" s="6"/>
      <c r="B65" s="95" t="s">
        <v>679</v>
      </c>
      <c r="C65" s="95" t="s">
        <v>570</v>
      </c>
      <c r="D65" s="96" t="s">
        <v>571</v>
      </c>
      <c r="E65" s="97">
        <v>46046</v>
      </c>
      <c r="F65" s="99">
        <v>1750</v>
      </c>
      <c r="G65" s="95" t="s">
        <v>618</v>
      </c>
      <c r="H65" s="95" t="s">
        <v>462</v>
      </c>
      <c r="I65" s="95"/>
      <c r="J65" s="96" t="s">
        <v>619</v>
      </c>
      <c r="K65" s="95"/>
      <c r="L65" s="43">
        <f t="shared" si="0"/>
        <v>46023</v>
      </c>
      <c r="M65" s="42" t="str">
        <f>IF(AND(C65="",D65="",E65="",F65=""),"",IF(OR(C65="",D65="",E65="",F65="",G65=""),"EKSİK",IF(COUNTIF(MUSTERILER!$B$7:$B$156,C65)=0,"TANIMSIZ MÜŞTERİ","UYGUN")))</f>
        <v>UYGUN</v>
      </c>
      <c r="N65" s="22" t="str">
        <f>IF(D65="","",D65&amp;"|"&amp;TEXT(COUNTIF($D$7:D65,D65),"000"))</f>
        <v>ZÜMRÜT GRUP LTD.ŞTİ.|005</v>
      </c>
      <c r="O65" s="22" t="str">
        <f>IF(G65="","",G65&amp;"|"&amp;TEXT(COUNTIF($G$7:G65,G65),"000"))</f>
        <v>MERKEZ KASA|040</v>
      </c>
    </row>
    <row r="66" spans="1:15" ht="17">
      <c r="A66" s="6"/>
      <c r="B66" s="95" t="s">
        <v>680</v>
      </c>
      <c r="C66" s="95" t="s">
        <v>513</v>
      </c>
      <c r="D66" s="96" t="s">
        <v>514</v>
      </c>
      <c r="E66" s="97">
        <v>46046</v>
      </c>
      <c r="F66" s="99">
        <v>3000</v>
      </c>
      <c r="G66" s="95" t="s">
        <v>618</v>
      </c>
      <c r="H66" s="95" t="s">
        <v>462</v>
      </c>
      <c r="I66" s="95"/>
      <c r="J66" s="96" t="s">
        <v>619</v>
      </c>
      <c r="K66" s="95"/>
      <c r="L66" s="43">
        <f t="shared" si="0"/>
        <v>46023</v>
      </c>
      <c r="M66" s="42" t="str">
        <f>IF(AND(C66="",D66="",E66="",F66=""),"",IF(OR(C66="",D66="",E66="",F66="",G66=""),"EKSİK",IF(COUNTIF(MUSTERILER!$B$7:$B$156,C66)=0,"TANIMSIZ MÜŞTERİ","UYGUN")))</f>
        <v>UYGUN</v>
      </c>
      <c r="N66" s="22" t="str">
        <f>IF(D66="","",D66&amp;"|"&amp;TEXT(COUNTIF($D$7:D66,D66),"000"))</f>
        <v>KRİSTAL LTD.ŞTİ.|003</v>
      </c>
      <c r="O66" s="22" t="str">
        <f>IF(G66="","",G66&amp;"|"&amp;TEXT(COUNTIF($G$7:G66,G66),"000"))</f>
        <v>MERKEZ KASA|041</v>
      </c>
    </row>
    <row r="67" spans="1:15" ht="17">
      <c r="A67" s="6"/>
      <c r="B67" s="95" t="s">
        <v>681</v>
      </c>
      <c r="C67" s="95" t="s">
        <v>483</v>
      </c>
      <c r="D67" s="96" t="s">
        <v>484</v>
      </c>
      <c r="E67" s="97">
        <v>46048</v>
      </c>
      <c r="F67" s="99">
        <v>2500</v>
      </c>
      <c r="G67" s="95" t="s">
        <v>618</v>
      </c>
      <c r="H67" s="95" t="s">
        <v>462</v>
      </c>
      <c r="I67" s="95"/>
      <c r="J67" s="96" t="s">
        <v>619</v>
      </c>
      <c r="K67" s="95"/>
      <c r="L67" s="43">
        <f t="shared" si="0"/>
        <v>46023</v>
      </c>
      <c r="M67" s="42" t="str">
        <f>IF(AND(C67="",D67="",E67="",F67=""),"",IF(OR(C67="",D67="",E67="",F67="",G67=""),"EKSİK",IF(COUNTIF(MUSTERILER!$B$7:$B$156,C67)=0,"TANIMSIZ MÜŞTERİ","UYGUN")))</f>
        <v>UYGUN</v>
      </c>
      <c r="N67" s="22" t="str">
        <f>IF(D67="","",D67&amp;"|"&amp;TEXT(COUNTIF($D$7:D67,D67),"000"))</f>
        <v>ÇINARHAN LTD.ŞTİ.|003</v>
      </c>
      <c r="O67" s="22" t="str">
        <f>IF(G67="","",G67&amp;"|"&amp;TEXT(COUNTIF($G$7:G67,G67),"000"))</f>
        <v>MERKEZ KASA|042</v>
      </c>
    </row>
    <row r="68" spans="1:15" ht="17">
      <c r="A68" s="6"/>
      <c r="B68" s="95" t="s">
        <v>682</v>
      </c>
      <c r="C68" s="95" t="s">
        <v>459</v>
      </c>
      <c r="D68" s="96" t="s">
        <v>460</v>
      </c>
      <c r="E68" s="97">
        <v>46049</v>
      </c>
      <c r="F68" s="99">
        <v>1000</v>
      </c>
      <c r="G68" s="95" t="s">
        <v>618</v>
      </c>
      <c r="H68" s="95" t="s">
        <v>462</v>
      </c>
      <c r="I68" s="95"/>
      <c r="J68" s="96" t="s">
        <v>619</v>
      </c>
      <c r="K68" s="95"/>
      <c r="L68" s="43">
        <f t="shared" si="0"/>
        <v>46023</v>
      </c>
      <c r="M68" s="42" t="str">
        <f>IF(AND(C68="",D68="",E68="",F68=""),"",IF(OR(C68="",D68="",E68="",F68="",G68=""),"EKSİK",IF(COUNTIF(MUSTERILER!$B$7:$B$156,C68)=0,"TANIMSIZ MÜŞTERİ","UYGUN")))</f>
        <v>UYGUN</v>
      </c>
      <c r="N68" s="22" t="str">
        <f>IF(D68="","",D68&amp;"|"&amp;TEXT(COUNTIF($D$7:D68,D68),"000"))</f>
        <v>AC OTEL LTD.ŞTİ.|001</v>
      </c>
      <c r="O68" s="22" t="str">
        <f>IF(G68="","",G68&amp;"|"&amp;TEXT(COUNTIF($G$7:G68,G68),"000"))</f>
        <v>MERKEZ KASA|043</v>
      </c>
    </row>
    <row r="69" spans="1:15" ht="17">
      <c r="A69" s="6"/>
      <c r="B69" s="95" t="s">
        <v>683</v>
      </c>
      <c r="C69" s="95" t="s">
        <v>465</v>
      </c>
      <c r="D69" s="96" t="s">
        <v>466</v>
      </c>
      <c r="E69" s="97">
        <v>46053</v>
      </c>
      <c r="F69" s="99">
        <v>12000</v>
      </c>
      <c r="G69" s="95" t="s">
        <v>628</v>
      </c>
      <c r="H69" s="95" t="s">
        <v>462</v>
      </c>
      <c r="I69" s="95"/>
      <c r="J69" s="96" t="s">
        <v>684</v>
      </c>
      <c r="K69" s="95"/>
      <c r="L69" s="43">
        <f t="shared" si="0"/>
        <v>46023</v>
      </c>
      <c r="M69" s="42" t="str">
        <f>IF(AND(C69="",D69="",E69="",F69=""),"",IF(OR(C69="",D69="",E69="",F69="",G69=""),"EKSİK",IF(COUNTIF(MUSTERILER!$B$7:$B$156,C69)=0,"TANIMSIZ MÜŞTERİ","UYGUN")))</f>
        <v>UYGUN</v>
      </c>
      <c r="N69" s="22" t="str">
        <f>IF(D69="","",D69&amp;"|"&amp;TEXT(COUNTIF($D$7:D69,D69),"000"))</f>
        <v>ALTINEL LTD.ŞTİ.|001</v>
      </c>
      <c r="O69" s="22" t="str">
        <f>IF(G69="","",G69&amp;"|"&amp;TEXT(COUNTIF($G$7:G69,G69),"000"))</f>
        <v>ÖMER KARTAL|018</v>
      </c>
    </row>
    <row r="70" spans="1:15" ht="17">
      <c r="A70" s="6"/>
      <c r="B70" s="95" t="s">
        <v>685</v>
      </c>
      <c r="C70" s="95" t="s">
        <v>469</v>
      </c>
      <c r="D70" s="96" t="s">
        <v>470</v>
      </c>
      <c r="E70" s="97">
        <v>46053</v>
      </c>
      <c r="F70" s="99">
        <v>3000</v>
      </c>
      <c r="G70" s="95" t="s">
        <v>628</v>
      </c>
      <c r="H70" s="95" t="s">
        <v>462</v>
      </c>
      <c r="I70" s="95"/>
      <c r="J70" s="96" t="s">
        <v>629</v>
      </c>
      <c r="K70" s="95"/>
      <c r="L70" s="43">
        <f t="shared" si="0"/>
        <v>46023</v>
      </c>
      <c r="M70" s="42" t="str">
        <f>IF(AND(C70="",D70="",E70="",F70=""),"",IF(OR(C70="",D70="",E70="",F70="",G70=""),"EKSİK",IF(COUNTIF(MUSTERILER!$B$7:$B$156,C70)=0,"TANIMSIZ MÜŞTERİ","UYGUN")))</f>
        <v>UYGUN</v>
      </c>
      <c r="N70" s="22" t="str">
        <f>IF(D70="","",D70&amp;"|"&amp;TEXT(COUNTIF($D$7:D70,D70),"000"))</f>
        <v>ARMAN DİK|001</v>
      </c>
      <c r="O70" s="22" t="str">
        <f>IF(G70="","",G70&amp;"|"&amp;TEXT(COUNTIF($G$7:G70,G70),"000"))</f>
        <v>ÖMER KARTAL|019</v>
      </c>
    </row>
    <row r="71" spans="1:15" ht="17">
      <c r="A71" s="6"/>
      <c r="B71" s="95" t="s">
        <v>686</v>
      </c>
      <c r="C71" s="95" t="s">
        <v>471</v>
      </c>
      <c r="D71" s="96" t="s">
        <v>472</v>
      </c>
      <c r="E71" s="97">
        <v>46053</v>
      </c>
      <c r="F71" s="99">
        <v>20000</v>
      </c>
      <c r="G71" s="95" t="s">
        <v>628</v>
      </c>
      <c r="H71" s="95" t="s">
        <v>462</v>
      </c>
      <c r="I71" s="95"/>
      <c r="J71" s="96" t="s">
        <v>687</v>
      </c>
      <c r="K71" s="95"/>
      <c r="L71" s="43">
        <f t="shared" ref="L71:L134" si="1">IF(E71="","",DATE(YEAR(E71),MONTH(E71),1))</f>
        <v>46023</v>
      </c>
      <c r="M71" s="42" t="str">
        <f>IF(AND(C71="",D71="",E71="",F71=""),"",IF(OR(C71="",D71="",E71="",F71="",G71=""),"EKSİK",IF(COUNTIF(MUSTERILER!$B$7:$B$156,C71)=0,"TANIMSIZ MÜŞTERİ","UYGUN")))</f>
        <v>UYGUN</v>
      </c>
      <c r="N71" s="22" t="str">
        <f>IF(D71="","",D71&amp;"|"&amp;TEXT(COUNTIF($D$7:D71,D71),"000"))</f>
        <v>ARON TOPTAN LTD.ŞTİ.|001</v>
      </c>
      <c r="O71" s="22" t="str">
        <f>IF(G71="","",G71&amp;"|"&amp;TEXT(COUNTIF($G$7:G71,G71),"000"))</f>
        <v>ÖMER KARTAL|020</v>
      </c>
    </row>
    <row r="72" spans="1:15" ht="17">
      <c r="A72" s="6"/>
      <c r="B72" s="95" t="s">
        <v>688</v>
      </c>
      <c r="C72" s="95" t="s">
        <v>483</v>
      </c>
      <c r="D72" s="96" t="s">
        <v>484</v>
      </c>
      <c r="E72" s="97">
        <v>46053</v>
      </c>
      <c r="F72" s="99">
        <v>2500</v>
      </c>
      <c r="G72" s="95" t="s">
        <v>628</v>
      </c>
      <c r="H72" s="95" t="s">
        <v>462</v>
      </c>
      <c r="I72" s="95"/>
      <c r="J72" s="96" t="s">
        <v>629</v>
      </c>
      <c r="K72" s="95"/>
      <c r="L72" s="43">
        <f t="shared" si="1"/>
        <v>46023</v>
      </c>
      <c r="M72" s="42" t="str">
        <f>IF(AND(C72="",D72="",E72="",F72=""),"",IF(OR(C72="",D72="",E72="",F72="",G72=""),"EKSİK",IF(COUNTIF(MUSTERILER!$B$7:$B$156,C72)=0,"TANIMSIZ MÜŞTERİ","UYGUN")))</f>
        <v>UYGUN</v>
      </c>
      <c r="N72" s="22" t="str">
        <f>IF(D72="","",D72&amp;"|"&amp;TEXT(COUNTIF($D$7:D72,D72),"000"))</f>
        <v>ÇINARHAN LTD.ŞTİ.|004</v>
      </c>
      <c r="O72" s="22" t="str">
        <f>IF(G72="","",G72&amp;"|"&amp;TEXT(COUNTIF($G$7:G72,G72),"000"))</f>
        <v>ÖMER KARTAL|021</v>
      </c>
    </row>
    <row r="73" spans="1:15" ht="17">
      <c r="A73" s="6"/>
      <c r="B73" s="95" t="s">
        <v>689</v>
      </c>
      <c r="C73" s="95" t="s">
        <v>487</v>
      </c>
      <c r="D73" s="96" t="s">
        <v>488</v>
      </c>
      <c r="E73" s="97">
        <v>46053</v>
      </c>
      <c r="F73" s="99">
        <v>6000</v>
      </c>
      <c r="G73" s="95" t="s">
        <v>628</v>
      </c>
      <c r="H73" s="95" t="s">
        <v>462</v>
      </c>
      <c r="I73" s="95"/>
      <c r="J73" s="96" t="s">
        <v>629</v>
      </c>
      <c r="K73" s="95"/>
      <c r="L73" s="43">
        <f t="shared" si="1"/>
        <v>46023</v>
      </c>
      <c r="M73" s="42" t="str">
        <f>IF(AND(C73="",D73="",E73="",F73=""),"",IF(OR(C73="",D73="",E73="",F73="",G73=""),"EKSİK",IF(COUNTIF(MUSTERILER!$B$7:$B$156,C73)=0,"TANIMSIZ MÜŞTERİ","UYGUN")))</f>
        <v>UYGUN</v>
      </c>
      <c r="N73" s="22" t="str">
        <f>IF(D73="","",D73&amp;"|"&amp;TEXT(COUNTIF($D$7:D73,D73),"000"))</f>
        <v>EĞLENGÖR LTD.ŞTİ.|004</v>
      </c>
      <c r="O73" s="22" t="str">
        <f>IF(G73="","",G73&amp;"|"&amp;TEXT(COUNTIF($G$7:G73,G73),"000"))</f>
        <v>ÖMER KARTAL|022</v>
      </c>
    </row>
    <row r="74" spans="1:15" ht="17">
      <c r="A74" s="6"/>
      <c r="B74" s="95" t="s">
        <v>690</v>
      </c>
      <c r="C74" s="95" t="s">
        <v>467</v>
      </c>
      <c r="D74" s="96" t="s">
        <v>468</v>
      </c>
      <c r="E74" s="97">
        <v>46053</v>
      </c>
      <c r="F74" s="99">
        <v>8000</v>
      </c>
      <c r="G74" s="95" t="s">
        <v>618</v>
      </c>
      <c r="H74" s="95" t="s">
        <v>462</v>
      </c>
      <c r="I74" s="95"/>
      <c r="J74" s="96" t="s">
        <v>619</v>
      </c>
      <c r="K74" s="95"/>
      <c r="L74" s="43">
        <f t="shared" si="1"/>
        <v>46023</v>
      </c>
      <c r="M74" s="42" t="str">
        <f>IF(AND(C74="",D74="",E74="",F74=""),"",IF(OR(C74="",D74="",E74="",F74="",G74=""),"EKSİK",IF(COUNTIF(MUSTERILER!$B$7:$B$156,C74)=0,"TANIMSIZ MÜŞTERİ","UYGUN")))</f>
        <v>UYGUN</v>
      </c>
      <c r="N74" s="22" t="str">
        <f>IF(D74="","",D74&amp;"|"&amp;TEXT(COUNTIF($D$7:D74,D74),"000"))</f>
        <v>ANKARA HAVANA LTD.ŞTİ.|003</v>
      </c>
      <c r="O74" s="22" t="str">
        <f>IF(G74="","",G74&amp;"|"&amp;TEXT(COUNTIF($G$7:G74,G74),"000"))</f>
        <v>MERKEZ KASA|044</v>
      </c>
    </row>
    <row r="75" spans="1:15" ht="17">
      <c r="A75" s="6"/>
      <c r="B75" s="95" t="s">
        <v>691</v>
      </c>
      <c r="C75" s="95" t="s">
        <v>473</v>
      </c>
      <c r="D75" s="96" t="s">
        <v>474</v>
      </c>
      <c r="E75" s="97">
        <v>46053</v>
      </c>
      <c r="F75" s="99">
        <v>2000</v>
      </c>
      <c r="G75" s="95" t="s">
        <v>618</v>
      </c>
      <c r="H75" s="95" t="s">
        <v>462</v>
      </c>
      <c r="I75" s="95"/>
      <c r="J75" s="96" t="s">
        <v>619</v>
      </c>
      <c r="K75" s="95"/>
      <c r="L75" s="43">
        <f t="shared" si="1"/>
        <v>46023</v>
      </c>
      <c r="M75" s="42" t="str">
        <f>IF(AND(C75="",D75="",E75="",F75=""),"",IF(OR(C75="",D75="",E75="",F75="",G75=""),"EKSİK",IF(COUNTIF(MUSTERILER!$B$7:$B$156,C75)=0,"TANIMSIZ MÜŞTERİ","UYGUN")))</f>
        <v>UYGUN</v>
      </c>
      <c r="N75" s="22" t="str">
        <f>IF(D75="","",D75&amp;"|"&amp;TEXT(COUNTIF($D$7:D75,D75),"000"))</f>
        <v>ASIM AÇIKGÖZ|004</v>
      </c>
      <c r="O75" s="22" t="str">
        <f>IF(G75="","",G75&amp;"|"&amp;TEXT(COUNTIF($G$7:G75,G75),"000"))</f>
        <v>MERKEZ KASA|045</v>
      </c>
    </row>
    <row r="76" spans="1:15" ht="17">
      <c r="A76" s="6"/>
      <c r="B76" s="95" t="s">
        <v>692</v>
      </c>
      <c r="C76" s="95" t="s">
        <v>475</v>
      </c>
      <c r="D76" s="96" t="s">
        <v>476</v>
      </c>
      <c r="E76" s="97">
        <v>46053</v>
      </c>
      <c r="F76" s="99">
        <v>2500</v>
      </c>
      <c r="G76" s="95" t="s">
        <v>618</v>
      </c>
      <c r="H76" s="95" t="s">
        <v>462</v>
      </c>
      <c r="I76" s="95"/>
      <c r="J76" s="96" t="s">
        <v>619</v>
      </c>
      <c r="K76" s="95"/>
      <c r="L76" s="43">
        <f t="shared" si="1"/>
        <v>46023</v>
      </c>
      <c r="M76" s="42" t="str">
        <f>IF(AND(C76="",D76="",E76="",F76=""),"",IF(OR(C76="",D76="",E76="",F76="",G76=""),"EKSİK",IF(COUNTIF(MUSTERILER!$B$7:$B$156,C76)=0,"TANIMSIZ MÜŞTERİ","UYGUN")))</f>
        <v>UYGUN</v>
      </c>
      <c r="N76" s="22" t="str">
        <f>IF(D76="","",D76&amp;"|"&amp;TEXT(COUNTIF($D$7:D76,D76),"000"))</f>
        <v>ASM EĞLENCE LTD.ŞTİ.|004</v>
      </c>
      <c r="O76" s="22" t="str">
        <f>IF(G76="","",G76&amp;"|"&amp;TEXT(COUNTIF($G$7:G76,G76),"000"))</f>
        <v>MERKEZ KASA|046</v>
      </c>
    </row>
    <row r="77" spans="1:15" ht="17">
      <c r="A77" s="6"/>
      <c r="B77" s="95" t="s">
        <v>693</v>
      </c>
      <c r="C77" s="95" t="s">
        <v>534</v>
      </c>
      <c r="D77" s="96" t="s">
        <v>535</v>
      </c>
      <c r="E77" s="97">
        <v>46053</v>
      </c>
      <c r="F77" s="99">
        <v>2000</v>
      </c>
      <c r="G77" s="95" t="s">
        <v>628</v>
      </c>
      <c r="H77" s="95" t="s">
        <v>462</v>
      </c>
      <c r="I77" s="95"/>
      <c r="J77" s="96" t="s">
        <v>629</v>
      </c>
      <c r="K77" s="95"/>
      <c r="L77" s="43">
        <f t="shared" si="1"/>
        <v>46023</v>
      </c>
      <c r="M77" s="42" t="str">
        <f>IF(AND(C77="",D77="",E77="",F77=""),"",IF(OR(C77="",D77="",E77="",F77="",G77=""),"EKSİK",IF(COUNTIF(MUSTERILER!$B$7:$B$156,C77)=0,"TANIMSIZ MÜŞTERİ","UYGUN")))</f>
        <v>UYGUN</v>
      </c>
      <c r="N77" s="22" t="str">
        <f>IF(D77="","",D77&amp;"|"&amp;TEXT(COUNTIF($D$7:D77,D77),"000"))</f>
        <v>NAZ 1 GIDA LTD.ŞTİ.|004</v>
      </c>
      <c r="O77" s="22" t="str">
        <f>IF(G77="","",G77&amp;"|"&amp;TEXT(COUNTIF($G$7:G77,G77),"000"))</f>
        <v>ÖMER KARTAL|023</v>
      </c>
    </row>
    <row r="78" spans="1:15" ht="17">
      <c r="A78" s="6"/>
      <c r="B78" s="95" t="s">
        <v>694</v>
      </c>
      <c r="C78" s="95" t="s">
        <v>479</v>
      </c>
      <c r="D78" s="96" t="s">
        <v>480</v>
      </c>
      <c r="E78" s="97">
        <v>46053</v>
      </c>
      <c r="F78" s="99">
        <v>3000</v>
      </c>
      <c r="G78" s="95" t="s">
        <v>618</v>
      </c>
      <c r="H78" s="95" t="s">
        <v>462</v>
      </c>
      <c r="I78" s="95"/>
      <c r="J78" s="96" t="s">
        <v>619</v>
      </c>
      <c r="K78" s="95"/>
      <c r="L78" s="43">
        <f t="shared" si="1"/>
        <v>46023</v>
      </c>
      <c r="M78" s="42" t="str">
        <f>IF(AND(C78="",D78="",E78="",F78=""),"",IF(OR(C78="",D78="",E78="",F78="",G78=""),"EKSİK",IF(COUNTIF(MUSTERILER!$B$7:$B$156,C78)=0,"TANIMSIZ MÜŞTERİ","UYGUN")))</f>
        <v>UYGUN</v>
      </c>
      <c r="N78" s="22" t="str">
        <f>IF(D78="","",D78&amp;"|"&amp;TEXT(COUNTIF($D$7:D78,D78),"000"))</f>
        <v>ÇAYIRALAN LTD.ŞTİ.|005</v>
      </c>
      <c r="O78" s="22" t="str">
        <f>IF(G78="","",G78&amp;"|"&amp;TEXT(COUNTIF($G$7:G78,G78),"000"))</f>
        <v>MERKEZ KASA|047</v>
      </c>
    </row>
    <row r="79" spans="1:15" ht="17">
      <c r="A79" s="6"/>
      <c r="B79" s="95" t="s">
        <v>695</v>
      </c>
      <c r="C79" s="95" t="s">
        <v>495</v>
      </c>
      <c r="D79" s="96" t="s">
        <v>496</v>
      </c>
      <c r="E79" s="97">
        <v>46053</v>
      </c>
      <c r="F79" s="99">
        <v>2000</v>
      </c>
      <c r="G79" s="95" t="s">
        <v>618</v>
      </c>
      <c r="H79" s="95" t="s">
        <v>462</v>
      </c>
      <c r="I79" s="95"/>
      <c r="J79" s="96" t="s">
        <v>619</v>
      </c>
      <c r="K79" s="95"/>
      <c r="L79" s="43">
        <f t="shared" si="1"/>
        <v>46023</v>
      </c>
      <c r="M79" s="42" t="str">
        <f>IF(AND(C79="",D79="",E79="",F79=""),"",IF(OR(C79="",D79="",E79="",F79="",G79=""),"EKSİK",IF(COUNTIF(MUSTERILER!$B$7:$B$156,C79)=0,"TANIMSIZ MÜŞTERİ","UYGUN")))</f>
        <v>UYGUN</v>
      </c>
      <c r="N79" s="22" t="str">
        <f>IF(D79="","",D79&amp;"|"&amp;TEXT(COUNTIF($D$7:D79,D79),"000"))</f>
        <v>FİNAL SİYAH BEYAZ LTD.ŞTİ.|004</v>
      </c>
      <c r="O79" s="22" t="str">
        <f>IF(G79="","",G79&amp;"|"&amp;TEXT(COUNTIF($G$7:G79,G79),"000"))</f>
        <v>MERKEZ KASA|048</v>
      </c>
    </row>
    <row r="80" spans="1:15" ht="17">
      <c r="A80" s="6"/>
      <c r="B80" s="95" t="s">
        <v>696</v>
      </c>
      <c r="C80" s="95" t="s">
        <v>501</v>
      </c>
      <c r="D80" s="96" t="s">
        <v>502</v>
      </c>
      <c r="E80" s="97">
        <v>46053</v>
      </c>
      <c r="F80" s="99">
        <v>1500</v>
      </c>
      <c r="G80" s="95" t="s">
        <v>618</v>
      </c>
      <c r="H80" s="95" t="s">
        <v>462</v>
      </c>
      <c r="I80" s="95"/>
      <c r="J80" s="96" t="s">
        <v>619</v>
      </c>
      <c r="K80" s="95"/>
      <c r="L80" s="43">
        <f t="shared" si="1"/>
        <v>46023</v>
      </c>
      <c r="M80" s="42" t="str">
        <f>IF(AND(C80="",D80="",E80="",F80=""),"",IF(OR(C80="",D80="",E80="",F80="",G80=""),"EKSİK",IF(COUNTIF(MUSTERILER!$B$7:$B$156,C80)=0,"TANIMSIZ MÜŞTERİ","UYGUN")))</f>
        <v>UYGUN</v>
      </c>
      <c r="N80" s="22" t="str">
        <f>IF(D80="","",D80&amp;"|"&amp;TEXT(COUNTIF($D$7:D80,D80),"000"))</f>
        <v>İBRAHİM MALDAN|004</v>
      </c>
      <c r="O80" s="22" t="str">
        <f>IF(G80="","",G80&amp;"|"&amp;TEXT(COUNTIF($G$7:G80,G80),"000"))</f>
        <v>MERKEZ KASA|049</v>
      </c>
    </row>
    <row r="81" spans="1:15" ht="17">
      <c r="A81" s="6"/>
      <c r="B81" s="95" t="s">
        <v>697</v>
      </c>
      <c r="C81" s="95" t="s">
        <v>562</v>
      </c>
      <c r="D81" s="96" t="s">
        <v>563</v>
      </c>
      <c r="E81" s="97">
        <v>46053</v>
      </c>
      <c r="F81" s="99">
        <v>1000</v>
      </c>
      <c r="G81" s="95" t="s">
        <v>628</v>
      </c>
      <c r="H81" s="95" t="s">
        <v>462</v>
      </c>
      <c r="I81" s="95"/>
      <c r="J81" s="96" t="s">
        <v>698</v>
      </c>
      <c r="K81" s="95"/>
      <c r="L81" s="43">
        <f t="shared" si="1"/>
        <v>46023</v>
      </c>
      <c r="M81" s="42" t="str">
        <f>IF(AND(C81="",D81="",E81="",F81=""),"",IF(OR(C81="",D81="",E81="",F81="",G81=""),"EKSİK",IF(COUNTIF(MUSTERILER!$B$7:$B$156,C81)=0,"TANIMSIZ MÜŞTERİ","UYGUN")))</f>
        <v>UYGUN</v>
      </c>
      <c r="N81" s="22" t="str">
        <f>IF(D81="","",D81&amp;"|"&amp;TEXT(COUNTIF($D$7:D81,D81),"000"))</f>
        <v>VOLKAN AÇIK|001</v>
      </c>
      <c r="O81" s="22" t="str">
        <f>IF(G81="","",G81&amp;"|"&amp;TEXT(COUNTIF($G$7:G81,G81),"000"))</f>
        <v>ÖMER KARTAL|024</v>
      </c>
    </row>
    <row r="82" spans="1:15" ht="17">
      <c r="A82" s="6"/>
      <c r="B82" s="95" t="s">
        <v>699</v>
      </c>
      <c r="C82" s="95" t="s">
        <v>503</v>
      </c>
      <c r="D82" s="96" t="s">
        <v>504</v>
      </c>
      <c r="E82" s="97">
        <v>46053</v>
      </c>
      <c r="F82" s="99">
        <v>2000</v>
      </c>
      <c r="G82" s="95" t="s">
        <v>618</v>
      </c>
      <c r="H82" s="95" t="s">
        <v>462</v>
      </c>
      <c r="I82" s="95"/>
      <c r="J82" s="96" t="s">
        <v>619</v>
      </c>
      <c r="K82" s="95"/>
      <c r="L82" s="43">
        <f t="shared" si="1"/>
        <v>46023</v>
      </c>
      <c r="M82" s="42" t="str">
        <f>IF(AND(C82="",D82="",E82="",F82=""),"",IF(OR(C82="",D82="",E82="",F82="",G82=""),"EKSİK",IF(COUNTIF(MUSTERILER!$B$7:$B$156,C82)=0,"TANIMSIZ MÜŞTERİ","UYGUN")))</f>
        <v>UYGUN</v>
      </c>
      <c r="N82" s="22" t="str">
        <f>IF(D82="","",D82&amp;"|"&amp;TEXT(COUNTIF($D$7:D82,D82),"000"))</f>
        <v>İLDEŞ LTD.ŞTİ.|004</v>
      </c>
      <c r="O82" s="22" t="str">
        <f>IF(G82="","",G82&amp;"|"&amp;TEXT(COUNTIF($G$7:G82,G82),"000"))</f>
        <v>MERKEZ KASA|050</v>
      </c>
    </row>
    <row r="83" spans="1:15" ht="17">
      <c r="A83" s="6"/>
      <c r="B83" s="95" t="s">
        <v>700</v>
      </c>
      <c r="C83" s="95" t="s">
        <v>540</v>
      </c>
      <c r="D83" s="96" t="s">
        <v>541</v>
      </c>
      <c r="E83" s="97">
        <v>46053</v>
      </c>
      <c r="F83" s="99">
        <v>8000</v>
      </c>
      <c r="G83" s="95" t="s">
        <v>618</v>
      </c>
      <c r="H83" s="95" t="s">
        <v>462</v>
      </c>
      <c r="I83" s="95"/>
      <c r="J83" s="96" t="s">
        <v>701</v>
      </c>
      <c r="K83" s="95"/>
      <c r="L83" s="43">
        <f t="shared" si="1"/>
        <v>46023</v>
      </c>
      <c r="M83" s="42" t="str">
        <f>IF(AND(C83="",D83="",E83="",F83=""),"",IF(OR(C83="",D83="",E83="",F83="",G83=""),"EKSİK",IF(COUNTIF(MUSTERILER!$B$7:$B$156,C83)=0,"TANIMSIZ MÜŞTERİ","UYGUN")))</f>
        <v>UYGUN</v>
      </c>
      <c r="N83" s="22" t="str">
        <f>IF(D83="","",D83&amp;"|"&amp;TEXT(COUNTIF($D$7:D83,D83),"000"))</f>
        <v>ÖZFİDANLAR LTD.ŞTİ.|004</v>
      </c>
      <c r="O83" s="22" t="str">
        <f>IF(G83="","",G83&amp;"|"&amp;TEXT(COUNTIF($G$7:G83,G83),"000"))</f>
        <v>MERKEZ KASA|051</v>
      </c>
    </row>
    <row r="84" spans="1:15" ht="17">
      <c r="A84" s="6"/>
      <c r="B84" s="95" t="s">
        <v>702</v>
      </c>
      <c r="C84" s="95" t="s">
        <v>542</v>
      </c>
      <c r="D84" s="96" t="s">
        <v>543</v>
      </c>
      <c r="E84" s="97">
        <v>46053</v>
      </c>
      <c r="F84" s="99">
        <v>2000</v>
      </c>
      <c r="G84" s="95" t="s">
        <v>618</v>
      </c>
      <c r="H84" s="95" t="s">
        <v>462</v>
      </c>
      <c r="I84" s="95"/>
      <c r="J84" s="96" t="s">
        <v>619</v>
      </c>
      <c r="K84" s="95"/>
      <c r="L84" s="43">
        <f t="shared" si="1"/>
        <v>46023</v>
      </c>
      <c r="M84" s="42" t="str">
        <f>IF(AND(C84="",D84="",E84="",F84=""),"",IF(OR(C84="",D84="",E84="",F84="",G84=""),"EKSİK",IF(COUNTIF(MUSTERILER!$B$7:$B$156,C84)=0,"TANIMSIZ MÜŞTERİ","UYGUN")))</f>
        <v>UYGUN</v>
      </c>
      <c r="N84" s="22" t="str">
        <f>IF(D84="","",D84&amp;"|"&amp;TEXT(COUNTIF($D$7:D84,D84),"000"))</f>
        <v>PAKYILDIZ LTD.ŞTİ.|004</v>
      </c>
      <c r="O84" s="22" t="str">
        <f>IF(G84="","",G84&amp;"|"&amp;TEXT(COUNTIF($G$7:G84,G84),"000"))</f>
        <v>MERKEZ KASA|052</v>
      </c>
    </row>
    <row r="85" spans="1:15" ht="17">
      <c r="A85" s="6"/>
      <c r="B85" s="95" t="s">
        <v>703</v>
      </c>
      <c r="C85" s="95" t="s">
        <v>548</v>
      </c>
      <c r="D85" s="96" t="s">
        <v>549</v>
      </c>
      <c r="E85" s="97">
        <v>46053</v>
      </c>
      <c r="F85" s="99">
        <v>1800</v>
      </c>
      <c r="G85" s="95" t="s">
        <v>618</v>
      </c>
      <c r="H85" s="95" t="s">
        <v>462</v>
      </c>
      <c r="I85" s="95"/>
      <c r="J85" s="96" t="s">
        <v>619</v>
      </c>
      <c r="K85" s="95"/>
      <c r="L85" s="43">
        <f t="shared" si="1"/>
        <v>46023</v>
      </c>
      <c r="M85" s="42" t="str">
        <f>IF(AND(C85="",D85="",E85="",F85=""),"",IF(OR(C85="",D85="",E85="",F85="",G85=""),"EKSİK",IF(COUNTIF(MUSTERILER!$B$7:$B$156,C85)=0,"TANIMSIZ MÜŞTERİ","UYGUN")))</f>
        <v>UYGUN</v>
      </c>
      <c r="N85" s="22" t="str">
        <f>IF(D85="","",D85&amp;"|"&amp;TEXT(COUNTIF($D$7:D85,D85),"000"))</f>
        <v>RİX ŞOW LTD.ŞTİ.|005</v>
      </c>
      <c r="O85" s="22" t="str">
        <f>IF(G85="","",G85&amp;"|"&amp;TEXT(COUNTIF($G$7:G85,G85),"000"))</f>
        <v>MERKEZ KASA|053</v>
      </c>
    </row>
    <row r="86" spans="1:15" ht="17">
      <c r="A86" s="6"/>
      <c r="B86" s="95" t="s">
        <v>704</v>
      </c>
      <c r="C86" s="95" t="s">
        <v>568</v>
      </c>
      <c r="D86" s="96" t="s">
        <v>569</v>
      </c>
      <c r="E86" s="97">
        <v>46053</v>
      </c>
      <c r="F86" s="99">
        <v>3000</v>
      </c>
      <c r="G86" s="95" t="s">
        <v>618</v>
      </c>
      <c r="H86" s="95" t="s">
        <v>462</v>
      </c>
      <c r="I86" s="95"/>
      <c r="J86" s="96" t="s">
        <v>619</v>
      </c>
      <c r="K86" s="95"/>
      <c r="L86" s="43">
        <f t="shared" si="1"/>
        <v>46023</v>
      </c>
      <c r="M86" s="42" t="str">
        <f>IF(AND(C86="",D86="",E86="",F86=""),"",IF(OR(C86="",D86="",E86="",F86="",G86=""),"EKSİK",IF(COUNTIF(MUSTERILER!$B$7:$B$156,C86)=0,"TANIMSIZ MÜŞTERİ","UYGUN")))</f>
        <v>UYGUN</v>
      </c>
      <c r="N86" s="22" t="str">
        <f>IF(D86="","",D86&amp;"|"&amp;TEXT(COUNTIF($D$7:D86,D86),"000"))</f>
        <v>ZÜMRÜT EĞLENCE LTD.ŞTİ.|004</v>
      </c>
      <c r="O86" s="22" t="str">
        <f>IF(G86="","",G86&amp;"|"&amp;TEXT(COUNTIF($G$7:G86,G86),"000"))</f>
        <v>MERKEZ KASA|054</v>
      </c>
    </row>
    <row r="87" spans="1:15" ht="17">
      <c r="A87" s="6"/>
      <c r="B87" s="95" t="s">
        <v>705</v>
      </c>
      <c r="C87" s="95" t="s">
        <v>570</v>
      </c>
      <c r="D87" s="96" t="s">
        <v>571</v>
      </c>
      <c r="E87" s="97">
        <v>46053</v>
      </c>
      <c r="F87" s="99">
        <v>2000</v>
      </c>
      <c r="G87" s="95" t="s">
        <v>618</v>
      </c>
      <c r="H87" s="95" t="s">
        <v>462</v>
      </c>
      <c r="I87" s="95"/>
      <c r="J87" s="96" t="s">
        <v>619</v>
      </c>
      <c r="K87" s="95"/>
      <c r="L87" s="43">
        <f t="shared" si="1"/>
        <v>46023</v>
      </c>
      <c r="M87" s="42" t="str">
        <f>IF(AND(C87="",D87="",E87="",F87=""),"",IF(OR(C87="",D87="",E87="",F87="",G87=""),"EKSİK",IF(COUNTIF(MUSTERILER!$B$7:$B$156,C87)=0,"TANIMSIZ MÜŞTERİ","UYGUN")))</f>
        <v>UYGUN</v>
      </c>
      <c r="N87" s="22" t="str">
        <f>IF(D87="","",D87&amp;"|"&amp;TEXT(COUNTIF($D$7:D87,D87),"000"))</f>
        <v>ZÜMRÜT GRUP LTD.ŞTİ.|006</v>
      </c>
      <c r="O87" s="22" t="str">
        <f>IF(G87="","",G87&amp;"|"&amp;TEXT(COUNTIF($G$7:G87,G87),"000"))</f>
        <v>MERKEZ KASA|055</v>
      </c>
    </row>
    <row r="88" spans="1:15" ht="17">
      <c r="A88" s="6"/>
      <c r="B88" s="95" t="s">
        <v>706</v>
      </c>
      <c r="C88" s="95" t="s">
        <v>513</v>
      </c>
      <c r="D88" s="96" t="s">
        <v>514</v>
      </c>
      <c r="E88" s="97">
        <v>46053</v>
      </c>
      <c r="F88" s="99">
        <v>3000</v>
      </c>
      <c r="G88" s="95" t="s">
        <v>618</v>
      </c>
      <c r="H88" s="95" t="s">
        <v>462</v>
      </c>
      <c r="I88" s="95"/>
      <c r="J88" s="96" t="s">
        <v>619</v>
      </c>
      <c r="K88" s="95"/>
      <c r="L88" s="43">
        <f t="shared" si="1"/>
        <v>46023</v>
      </c>
      <c r="M88" s="42" t="str">
        <f>IF(AND(C88="",D88="",E88="",F88=""),"",IF(OR(C88="",D88="",E88="",F88="",G88=""),"EKSİK",IF(COUNTIF(MUSTERILER!$B$7:$B$156,C88)=0,"TANIMSIZ MÜŞTERİ","UYGUN")))</f>
        <v>UYGUN</v>
      </c>
      <c r="N88" s="22" t="str">
        <f>IF(D88="","",D88&amp;"|"&amp;TEXT(COUNTIF($D$7:D88,D88),"000"))</f>
        <v>KRİSTAL LTD.ŞTİ.|004</v>
      </c>
      <c r="O88" s="22" t="str">
        <f>IF(G88="","",G88&amp;"|"&amp;TEXT(COUNTIF($G$7:G88,G88),"000"))</f>
        <v>MERKEZ KASA|056</v>
      </c>
    </row>
    <row r="89" spans="1:15" ht="17">
      <c r="A89" s="6"/>
      <c r="B89" s="95" t="s">
        <v>707</v>
      </c>
      <c r="C89" s="95" t="s">
        <v>566</v>
      </c>
      <c r="D89" s="96" t="s">
        <v>567</v>
      </c>
      <c r="E89" s="97">
        <v>46054</v>
      </c>
      <c r="F89" s="99">
        <v>10000</v>
      </c>
      <c r="G89" s="95" t="s">
        <v>628</v>
      </c>
      <c r="H89" s="95" t="s">
        <v>462</v>
      </c>
      <c r="I89" s="95"/>
      <c r="J89" s="96" t="s">
        <v>619</v>
      </c>
      <c r="K89" s="95"/>
      <c r="L89" s="43">
        <f t="shared" si="1"/>
        <v>46054</v>
      </c>
      <c r="M89" s="42" t="str">
        <f>IF(AND(C89="",D89="",E89="",F89=""),"",IF(OR(C89="",D89="",E89="",F89="",G89=""),"EKSİK",IF(COUNTIF(MUSTERILER!$B$7:$B$156,C89)=0,"TANIMSIZ MÜŞTERİ","UYGUN")))</f>
        <v>UYGUN</v>
      </c>
      <c r="N89" s="22" t="str">
        <f>IF(D89="","",D89&amp;"|"&amp;TEXT(COUNTIF($D$7:D89,D89),"000"))</f>
        <v>YEDİYİRMİDÖRT LTD.ŞTİ.|001</v>
      </c>
      <c r="O89" s="22" t="str">
        <f>IF(G89="","",G89&amp;"|"&amp;TEXT(COUNTIF($G$7:G89,G89),"000"))</f>
        <v>ÖMER KARTAL|025</v>
      </c>
    </row>
    <row r="90" spans="1:15" ht="17">
      <c r="A90" s="6"/>
      <c r="B90" s="95" t="s">
        <v>708</v>
      </c>
      <c r="C90" s="95" t="s">
        <v>467</v>
      </c>
      <c r="D90" s="96" t="s">
        <v>709</v>
      </c>
      <c r="E90" s="97">
        <v>46060</v>
      </c>
      <c r="F90" s="99">
        <v>4000</v>
      </c>
      <c r="G90" s="95" t="s">
        <v>618</v>
      </c>
      <c r="H90" s="95" t="s">
        <v>462</v>
      </c>
      <c r="I90" s="95"/>
      <c r="J90" s="96" t="s">
        <v>619</v>
      </c>
      <c r="K90" s="95"/>
      <c r="L90" s="43">
        <f t="shared" si="1"/>
        <v>46054</v>
      </c>
      <c r="M90" s="42" t="str">
        <f>IF(AND(C90="",D90="",E90="",F90=""),"",IF(OR(C90="",D90="",E90="",F90="",G90=""),"EKSİK",IF(COUNTIF(MUSTERILER!$B$7:$B$156,C90)=0,"TANIMSIZ MÜŞTERİ","UYGUN")))</f>
        <v>UYGUN</v>
      </c>
      <c r="N90" s="22" t="str">
        <f>IF(D90="","",D90&amp;"|"&amp;TEXT(COUNTIF($D$7:D90,D90),"000"))</f>
        <v>Ankara Havana Ltd.Şti.|004</v>
      </c>
      <c r="O90" s="22" t="str">
        <f>IF(G90="","",G90&amp;"|"&amp;TEXT(COUNTIF($G$7:G90,G90),"000"))</f>
        <v>MERKEZ KASA|057</v>
      </c>
    </row>
    <row r="91" spans="1:15" ht="17">
      <c r="A91" s="6"/>
      <c r="B91" s="95" t="s">
        <v>710</v>
      </c>
      <c r="C91" s="95" t="s">
        <v>473</v>
      </c>
      <c r="D91" s="96" t="s">
        <v>474</v>
      </c>
      <c r="E91" s="97">
        <v>46060</v>
      </c>
      <c r="F91" s="99">
        <v>2000</v>
      </c>
      <c r="G91" s="95" t="s">
        <v>618</v>
      </c>
      <c r="H91" s="95" t="s">
        <v>462</v>
      </c>
      <c r="I91" s="95"/>
      <c r="J91" s="96" t="s">
        <v>619</v>
      </c>
      <c r="K91" s="95"/>
      <c r="L91" s="43">
        <f t="shared" si="1"/>
        <v>46054</v>
      </c>
      <c r="M91" s="42" t="str">
        <f>IF(AND(C91="",D91="",E91="",F91=""),"",IF(OR(C91="",D91="",E91="",F91="",G91=""),"EKSİK",IF(COUNTIF(MUSTERILER!$B$7:$B$156,C91)=0,"TANIMSIZ MÜŞTERİ","UYGUN")))</f>
        <v>UYGUN</v>
      </c>
      <c r="N91" s="22" t="str">
        <f>IF(D91="","",D91&amp;"|"&amp;TEXT(COUNTIF($D$7:D91,D91),"000"))</f>
        <v>ASIM AÇIKGÖZ|005</v>
      </c>
      <c r="O91" s="22" t="str">
        <f>IF(G91="","",G91&amp;"|"&amp;TEXT(COUNTIF($G$7:G91,G91),"000"))</f>
        <v>MERKEZ KASA|058</v>
      </c>
    </row>
    <row r="92" spans="1:15" ht="17">
      <c r="A92" s="6"/>
      <c r="B92" s="95" t="s">
        <v>711</v>
      </c>
      <c r="C92" s="95" t="s">
        <v>475</v>
      </c>
      <c r="D92" s="96" t="s">
        <v>476</v>
      </c>
      <c r="E92" s="97">
        <v>46060</v>
      </c>
      <c r="F92" s="99">
        <v>2500</v>
      </c>
      <c r="G92" s="95" t="s">
        <v>618</v>
      </c>
      <c r="H92" s="95" t="s">
        <v>462</v>
      </c>
      <c r="I92" s="95"/>
      <c r="J92" s="96" t="s">
        <v>619</v>
      </c>
      <c r="K92" s="95"/>
      <c r="L92" s="43">
        <f t="shared" si="1"/>
        <v>46054</v>
      </c>
      <c r="M92" s="42" t="str">
        <f>IF(AND(C92="",D92="",E92="",F92=""),"",IF(OR(C92="",D92="",E92="",F92="",G92=""),"EKSİK",IF(COUNTIF(MUSTERILER!$B$7:$B$156,C92)=0,"TANIMSIZ MÜŞTERİ","UYGUN")))</f>
        <v>UYGUN</v>
      </c>
      <c r="N92" s="22" t="str">
        <f>IF(D92="","",D92&amp;"|"&amp;TEXT(COUNTIF($D$7:D92,D92),"000"))</f>
        <v>ASM EĞLENCE LTD.ŞTİ.|005</v>
      </c>
      <c r="O92" s="22" t="str">
        <f>IF(G92="","",G92&amp;"|"&amp;TEXT(COUNTIF($G$7:G92,G92),"000"))</f>
        <v>MERKEZ KASA|059</v>
      </c>
    </row>
    <row r="93" spans="1:15" ht="17">
      <c r="A93" s="6"/>
      <c r="B93" s="95" t="s">
        <v>712</v>
      </c>
      <c r="C93" s="95" t="s">
        <v>479</v>
      </c>
      <c r="D93" s="96" t="s">
        <v>617</v>
      </c>
      <c r="E93" s="97">
        <v>46060</v>
      </c>
      <c r="F93" s="99">
        <v>3000</v>
      </c>
      <c r="G93" s="95" t="s">
        <v>618</v>
      </c>
      <c r="H93" s="95" t="s">
        <v>462</v>
      </c>
      <c r="I93" s="95"/>
      <c r="J93" s="96" t="s">
        <v>619</v>
      </c>
      <c r="K93" s="95"/>
      <c r="L93" s="43">
        <f t="shared" si="1"/>
        <v>46054</v>
      </c>
      <c r="M93" s="42" t="str">
        <f>IF(AND(C93="",D93="",E93="",F93=""),"",IF(OR(C93="",D93="",E93="",F93="",G93=""),"EKSİK",IF(COUNTIF(MUSTERILER!$B$7:$B$156,C93)=0,"TANIMSIZ MÜŞTERİ","UYGUN")))</f>
        <v>UYGUN</v>
      </c>
      <c r="N93" s="22" t="str">
        <f>IF(D93="","",D93&amp;"|"&amp;TEXT(COUNTIF($D$7:D93,D93),"000"))</f>
        <v>Çayıralan Ltd.Şti.|006</v>
      </c>
      <c r="O93" s="22" t="str">
        <f>IF(G93="","",G93&amp;"|"&amp;TEXT(COUNTIF($G$7:G93,G93),"000"))</f>
        <v>MERKEZ KASA|060</v>
      </c>
    </row>
    <row r="94" spans="1:15" ht="17">
      <c r="A94" s="6"/>
      <c r="B94" s="95" t="s">
        <v>713</v>
      </c>
      <c r="C94" s="95" t="s">
        <v>487</v>
      </c>
      <c r="D94" s="96" t="s">
        <v>714</v>
      </c>
      <c r="E94" s="97">
        <v>46060</v>
      </c>
      <c r="F94" s="99">
        <v>3000</v>
      </c>
      <c r="G94" s="95" t="s">
        <v>618</v>
      </c>
      <c r="H94" s="95" t="s">
        <v>462</v>
      </c>
      <c r="I94" s="95"/>
      <c r="J94" s="96" t="s">
        <v>619</v>
      </c>
      <c r="K94" s="95"/>
      <c r="L94" s="43">
        <f t="shared" si="1"/>
        <v>46054</v>
      </c>
      <c r="M94" s="42" t="str">
        <f>IF(AND(C94="",D94="",E94="",F94=""),"",IF(OR(C94="",D94="",E94="",F94="",G94=""),"EKSİK",IF(COUNTIF(MUSTERILER!$B$7:$B$156,C94)=0,"TANIMSIZ MÜŞTERİ","UYGUN")))</f>
        <v>UYGUN</v>
      </c>
      <c r="N94" s="22" t="str">
        <f>IF(D94="","",D94&amp;"|"&amp;TEXT(COUNTIF($D$7:D94,D94),"000"))</f>
        <v>Eğlengör Ltd.Şti.|005</v>
      </c>
      <c r="O94" s="22" t="str">
        <f>IF(G94="","",G94&amp;"|"&amp;TEXT(COUNTIF($G$7:G94,G94),"000"))</f>
        <v>MERKEZ KASA|061</v>
      </c>
    </row>
    <row r="95" spans="1:15" ht="17">
      <c r="A95" s="6"/>
      <c r="B95" s="95" t="s">
        <v>715</v>
      </c>
      <c r="C95" s="95" t="s">
        <v>495</v>
      </c>
      <c r="D95" s="96" t="s">
        <v>716</v>
      </c>
      <c r="E95" s="97">
        <v>46060</v>
      </c>
      <c r="F95" s="99">
        <v>2000</v>
      </c>
      <c r="G95" s="95" t="s">
        <v>618</v>
      </c>
      <c r="H95" s="95" t="s">
        <v>462</v>
      </c>
      <c r="I95" s="95"/>
      <c r="J95" s="96" t="s">
        <v>619</v>
      </c>
      <c r="K95" s="95"/>
      <c r="L95" s="43">
        <f t="shared" si="1"/>
        <v>46054</v>
      </c>
      <c r="M95" s="42" t="str">
        <f>IF(AND(C95="",D95="",E95="",F95=""),"",IF(OR(C95="",D95="",E95="",F95="",G95=""),"EKSİK",IF(COUNTIF(MUSTERILER!$B$7:$B$156,C95)=0,"TANIMSIZ MÜŞTERİ","UYGUN")))</f>
        <v>UYGUN</v>
      </c>
      <c r="N95" s="22" t="str">
        <f>IF(D95="","",D95&amp;"|"&amp;TEXT(COUNTIF($D$7:D95,D95),"000"))</f>
        <v>Final Siyah Beyaz Ltd.Şti.|005</v>
      </c>
      <c r="O95" s="22" t="str">
        <f>IF(G95="","",G95&amp;"|"&amp;TEXT(COUNTIF($G$7:G95,G95),"000"))</f>
        <v>MERKEZ KASA|062</v>
      </c>
    </row>
    <row r="96" spans="1:15" ht="17">
      <c r="A96" s="6"/>
      <c r="B96" s="95" t="s">
        <v>717</v>
      </c>
      <c r="C96" s="95" t="s">
        <v>501</v>
      </c>
      <c r="D96" s="96" t="s">
        <v>718</v>
      </c>
      <c r="E96" s="97">
        <v>46060</v>
      </c>
      <c r="F96" s="99">
        <v>1500</v>
      </c>
      <c r="G96" s="95" t="s">
        <v>618</v>
      </c>
      <c r="H96" s="95" t="s">
        <v>462</v>
      </c>
      <c r="I96" s="95"/>
      <c r="J96" s="96" t="s">
        <v>619</v>
      </c>
      <c r="K96" s="95"/>
      <c r="L96" s="43">
        <f t="shared" si="1"/>
        <v>46054</v>
      </c>
      <c r="M96" s="42" t="str">
        <f>IF(AND(C96="",D96="",E96="",F96=""),"",IF(OR(C96="",D96="",E96="",F96="",G96=""),"EKSİK",IF(COUNTIF(MUSTERILER!$B$7:$B$156,C96)=0,"TANIMSIZ MÜŞTERİ","UYGUN")))</f>
        <v>UYGUN</v>
      </c>
      <c r="N96" s="22" t="str">
        <f>IF(D96="","",D96&amp;"|"&amp;TEXT(COUNTIF($D$7:D96,D96),"000"))</f>
        <v>İbrahim Maldan|005</v>
      </c>
      <c r="O96" s="22" t="str">
        <f>IF(G96="","",G96&amp;"|"&amp;TEXT(COUNTIF($G$7:G96,G96),"000"))</f>
        <v>MERKEZ KASA|063</v>
      </c>
    </row>
    <row r="97" spans="1:15" ht="17">
      <c r="A97" s="6"/>
      <c r="B97" s="95" t="s">
        <v>719</v>
      </c>
      <c r="C97" s="95" t="s">
        <v>503</v>
      </c>
      <c r="D97" s="96" t="s">
        <v>621</v>
      </c>
      <c r="E97" s="97">
        <v>46060</v>
      </c>
      <c r="F97" s="99">
        <v>2000</v>
      </c>
      <c r="G97" s="95" t="s">
        <v>618</v>
      </c>
      <c r="H97" s="95" t="s">
        <v>462</v>
      </c>
      <c r="I97" s="95"/>
      <c r="J97" s="96" t="s">
        <v>619</v>
      </c>
      <c r="K97" s="95"/>
      <c r="L97" s="43">
        <f t="shared" si="1"/>
        <v>46054</v>
      </c>
      <c r="M97" s="42" t="str">
        <f>IF(AND(C97="",D97="",E97="",F97=""),"",IF(OR(C97="",D97="",E97="",F97="",G97=""),"EKSİK",IF(COUNTIF(MUSTERILER!$B$7:$B$156,C97)=0,"TANIMSIZ MÜŞTERİ","UYGUN")))</f>
        <v>UYGUN</v>
      </c>
      <c r="N97" s="22" t="str">
        <f>IF(D97="","",D97&amp;"|"&amp;TEXT(COUNTIF($D$7:D97,D97),"000"))</f>
        <v>İldeş Ltd.Şti.|005</v>
      </c>
      <c r="O97" s="22" t="str">
        <f>IF(G97="","",G97&amp;"|"&amp;TEXT(COUNTIF($G$7:G97,G97),"000"))</f>
        <v>MERKEZ KASA|064</v>
      </c>
    </row>
    <row r="98" spans="1:15" ht="17">
      <c r="A98" s="6"/>
      <c r="B98" s="95" t="s">
        <v>720</v>
      </c>
      <c r="C98" s="95" t="s">
        <v>525</v>
      </c>
      <c r="D98" s="96" t="s">
        <v>721</v>
      </c>
      <c r="E98" s="97">
        <v>46060</v>
      </c>
      <c r="F98" s="99">
        <v>3500</v>
      </c>
      <c r="G98" s="95" t="s">
        <v>618</v>
      </c>
      <c r="H98" s="95" t="s">
        <v>462</v>
      </c>
      <c r="I98" s="95"/>
      <c r="J98" s="96" t="s">
        <v>619</v>
      </c>
      <c r="K98" s="95"/>
      <c r="L98" s="43">
        <f t="shared" si="1"/>
        <v>46054</v>
      </c>
      <c r="M98" s="42" t="str">
        <f>IF(AND(C98="",D98="",E98="",F98=""),"",IF(OR(C98="",D98="",E98="",F98="",G98=""),"EKSİK",IF(COUNTIF(MUSTERILER!$B$7:$B$156,C98)=0,"TANIMSIZ MÜŞTERİ","UYGUN")))</f>
        <v>UYGUN</v>
      </c>
      <c r="N98" s="22" t="str">
        <f>IF(D98="","",D98&amp;"|"&amp;TEXT(COUNTIF($D$7:D98,D98),"000"))</f>
        <v>Monamour Ltd.Şti.|005</v>
      </c>
      <c r="O98" s="22" t="str">
        <f>IF(G98="","",G98&amp;"|"&amp;TEXT(COUNTIF($G$7:G98,G98),"000"))</f>
        <v>MERKEZ KASA|065</v>
      </c>
    </row>
    <row r="99" spans="1:15" ht="17">
      <c r="A99" s="6"/>
      <c r="B99" s="95" t="s">
        <v>722</v>
      </c>
      <c r="C99" s="95" t="s">
        <v>483</v>
      </c>
      <c r="D99" s="96" t="s">
        <v>484</v>
      </c>
      <c r="E99" s="97">
        <v>46060</v>
      </c>
      <c r="F99" s="99">
        <v>2500</v>
      </c>
      <c r="G99" s="95" t="s">
        <v>628</v>
      </c>
      <c r="H99" s="95" t="s">
        <v>462</v>
      </c>
      <c r="I99" s="95"/>
      <c r="J99" s="96" t="s">
        <v>619</v>
      </c>
      <c r="K99" s="95"/>
      <c r="L99" s="43">
        <f t="shared" si="1"/>
        <v>46054</v>
      </c>
      <c r="M99" s="42" t="str">
        <f>IF(AND(C99="",D99="",E99="",F99=""),"",IF(OR(C99="",D99="",E99="",F99="",G99=""),"EKSİK",IF(COUNTIF(MUSTERILER!$B$7:$B$156,C99)=0,"TANIMSIZ MÜŞTERİ","UYGUN")))</f>
        <v>UYGUN</v>
      </c>
      <c r="N99" s="22" t="str">
        <f>IF(D99="","",D99&amp;"|"&amp;TEXT(COUNTIF($D$7:D99,D99),"000"))</f>
        <v>ÇINARHAN LTD.ŞTİ.|005</v>
      </c>
      <c r="O99" s="22" t="str">
        <f>IF(G99="","",G99&amp;"|"&amp;TEXT(COUNTIF($G$7:G99,G99),"000"))</f>
        <v>ÖMER KARTAL|026</v>
      </c>
    </row>
    <row r="100" spans="1:15" ht="17">
      <c r="A100" s="6"/>
      <c r="B100" s="95" t="s">
        <v>723</v>
      </c>
      <c r="C100" s="95" t="s">
        <v>534</v>
      </c>
      <c r="D100" s="96" t="s">
        <v>724</v>
      </c>
      <c r="E100" s="97">
        <v>46060</v>
      </c>
      <c r="F100" s="99">
        <v>2000</v>
      </c>
      <c r="G100" s="95" t="s">
        <v>618</v>
      </c>
      <c r="H100" s="95" t="s">
        <v>462</v>
      </c>
      <c r="I100" s="95"/>
      <c r="J100" s="96" t="s">
        <v>619</v>
      </c>
      <c r="K100" s="95"/>
      <c r="L100" s="43">
        <f t="shared" si="1"/>
        <v>46054</v>
      </c>
      <c r="M100" s="42" t="str">
        <f>IF(AND(C100="",D100="",E100="",F100=""),"",IF(OR(C100="",D100="",E100="",F100="",G100=""),"EKSİK",IF(COUNTIF(MUSTERILER!$B$7:$B$156,C100)=0,"TANIMSIZ MÜŞTERİ","UYGUN")))</f>
        <v>UYGUN</v>
      </c>
      <c r="N100" s="22" t="str">
        <f>IF(D100="","",D100&amp;"|"&amp;TEXT(COUNTIF($D$7:D100,D100),"000"))</f>
        <v>Naz 1 Gıda Ltd.Şti.|005</v>
      </c>
      <c r="O100" s="22" t="str">
        <f>IF(G100="","",G100&amp;"|"&amp;TEXT(COUNTIF($G$7:G100,G100),"000"))</f>
        <v>MERKEZ KASA|066</v>
      </c>
    </row>
    <row r="101" spans="1:15" ht="17">
      <c r="A101" s="6"/>
      <c r="B101" s="95" t="s">
        <v>725</v>
      </c>
      <c r="C101" s="95" t="s">
        <v>542</v>
      </c>
      <c r="D101" s="96" t="s">
        <v>726</v>
      </c>
      <c r="E101" s="97">
        <v>46060</v>
      </c>
      <c r="F101" s="99">
        <v>2000</v>
      </c>
      <c r="G101" s="95" t="s">
        <v>618</v>
      </c>
      <c r="H101" s="95" t="s">
        <v>462</v>
      </c>
      <c r="I101" s="95"/>
      <c r="J101" s="96" t="s">
        <v>619</v>
      </c>
      <c r="K101" s="95"/>
      <c r="L101" s="43">
        <f t="shared" si="1"/>
        <v>46054</v>
      </c>
      <c r="M101" s="42" t="str">
        <f>IF(AND(C101="",D101="",E101="",F101=""),"",IF(OR(C101="",D101="",E101="",F101="",G101=""),"EKSİK",IF(COUNTIF(MUSTERILER!$B$7:$B$156,C101)=0,"TANIMSIZ MÜŞTERİ","UYGUN")))</f>
        <v>UYGUN</v>
      </c>
      <c r="N101" s="22" t="str">
        <f>IF(D101="","",D101&amp;"|"&amp;TEXT(COUNTIF($D$7:D101,D101),"000"))</f>
        <v>Pakyıldız Ltd.Şti.|005</v>
      </c>
      <c r="O101" s="22" t="str">
        <f>IF(G101="","",G101&amp;"|"&amp;TEXT(COUNTIF($G$7:G101,G101),"000"))</f>
        <v>MERKEZ KASA|067</v>
      </c>
    </row>
    <row r="102" spans="1:15" ht="17">
      <c r="A102" s="6"/>
      <c r="B102" s="95" t="s">
        <v>727</v>
      </c>
      <c r="C102" s="95" t="s">
        <v>548</v>
      </c>
      <c r="D102" s="96" t="s">
        <v>728</v>
      </c>
      <c r="E102" s="97">
        <v>46060</v>
      </c>
      <c r="F102" s="99">
        <v>2000</v>
      </c>
      <c r="G102" s="95" t="s">
        <v>618</v>
      </c>
      <c r="H102" s="95" t="s">
        <v>462</v>
      </c>
      <c r="I102" s="95"/>
      <c r="J102" s="96" t="s">
        <v>619</v>
      </c>
      <c r="K102" s="95"/>
      <c r="L102" s="43">
        <f t="shared" si="1"/>
        <v>46054</v>
      </c>
      <c r="M102" s="42" t="str">
        <f>IF(AND(C102="",D102="",E102="",F102=""),"",IF(OR(C102="",D102="",E102="",F102="",G102=""),"EKSİK",IF(COUNTIF(MUSTERILER!$B$7:$B$156,C102)=0,"TANIMSIZ MÜŞTERİ","UYGUN")))</f>
        <v>UYGUN</v>
      </c>
      <c r="N102" s="22" t="str">
        <f>IF(D102="","",D102&amp;"|"&amp;TEXT(COUNTIF($D$7:D102,D102),"000"))</f>
        <v>Rix Şow Ltd.Şti.|006</v>
      </c>
      <c r="O102" s="22" t="str">
        <f>IF(G102="","",G102&amp;"|"&amp;TEXT(COUNTIF($G$7:G102,G102),"000"))</f>
        <v>MERKEZ KASA|068</v>
      </c>
    </row>
    <row r="103" spans="1:15" ht="17">
      <c r="A103" s="6"/>
      <c r="B103" s="95" t="s">
        <v>729</v>
      </c>
      <c r="C103" s="95" t="s">
        <v>570</v>
      </c>
      <c r="D103" s="96" t="s">
        <v>626</v>
      </c>
      <c r="E103" s="97">
        <v>46060</v>
      </c>
      <c r="F103" s="99">
        <v>1750</v>
      </c>
      <c r="G103" s="95" t="s">
        <v>618</v>
      </c>
      <c r="H103" s="95" t="s">
        <v>462</v>
      </c>
      <c r="I103" s="95"/>
      <c r="J103" s="96" t="s">
        <v>619</v>
      </c>
      <c r="K103" s="95"/>
      <c r="L103" s="43">
        <f t="shared" si="1"/>
        <v>46054</v>
      </c>
      <c r="M103" s="42" t="str">
        <f>IF(AND(C103="",D103="",E103="",F103=""),"",IF(OR(C103="",D103="",E103="",F103="",G103=""),"EKSİK",IF(COUNTIF(MUSTERILER!$B$7:$B$156,C103)=0,"TANIMSIZ MÜŞTERİ","UYGUN")))</f>
        <v>UYGUN</v>
      </c>
      <c r="N103" s="22" t="str">
        <f>IF(D103="","",D103&amp;"|"&amp;TEXT(COUNTIF($D$7:D103,D103),"000"))</f>
        <v>Zümrüt Grup Ltd.Şti.|007</v>
      </c>
      <c r="O103" s="22" t="str">
        <f>IF(G103="","",G103&amp;"|"&amp;TEXT(COUNTIF($G$7:G103,G103),"000"))</f>
        <v>MERKEZ KASA|069</v>
      </c>
    </row>
    <row r="104" spans="1:15" ht="17">
      <c r="A104" s="6"/>
      <c r="B104" s="95" t="s">
        <v>730</v>
      </c>
      <c r="C104" s="95" t="s">
        <v>513</v>
      </c>
      <c r="D104" s="96" t="s">
        <v>514</v>
      </c>
      <c r="E104" s="97">
        <v>46060</v>
      </c>
      <c r="F104" s="99">
        <v>3000</v>
      </c>
      <c r="G104" s="95" t="s">
        <v>618</v>
      </c>
      <c r="H104" s="95" t="s">
        <v>462</v>
      </c>
      <c r="I104" s="95"/>
      <c r="J104" s="96" t="s">
        <v>619</v>
      </c>
      <c r="K104" s="95"/>
      <c r="L104" s="43">
        <f t="shared" si="1"/>
        <v>46054</v>
      </c>
      <c r="M104" s="42" t="str">
        <f>IF(AND(C104="",D104="",E104="",F104=""),"",IF(OR(C104="",D104="",E104="",F104="",G104=""),"EKSİK",IF(COUNTIF(MUSTERILER!$B$7:$B$156,C104)=0,"TANIMSIZ MÜŞTERİ","UYGUN")))</f>
        <v>UYGUN</v>
      </c>
      <c r="N104" s="22" t="str">
        <f>IF(D104="","",D104&amp;"|"&amp;TEXT(COUNTIF($D$7:D104,D104),"000"))</f>
        <v>KRİSTAL LTD.ŞTİ.|005</v>
      </c>
      <c r="O104" s="22" t="str">
        <f>IF(G104="","",G104&amp;"|"&amp;TEXT(COUNTIF($G$7:G104,G104),"000"))</f>
        <v>MERKEZ KASA|070</v>
      </c>
    </row>
    <row r="105" spans="1:15" ht="17">
      <c r="A105" s="6"/>
      <c r="B105" s="95" t="s">
        <v>731</v>
      </c>
      <c r="C105" s="95" t="s">
        <v>525</v>
      </c>
      <c r="D105" s="96" t="s">
        <v>721</v>
      </c>
      <c r="E105" s="97">
        <v>46063</v>
      </c>
      <c r="F105" s="99">
        <v>3500</v>
      </c>
      <c r="G105" s="95" t="s">
        <v>628</v>
      </c>
      <c r="H105" s="95" t="s">
        <v>462</v>
      </c>
      <c r="I105" s="95"/>
      <c r="J105" s="96" t="s">
        <v>629</v>
      </c>
      <c r="K105" s="95"/>
      <c r="L105" s="43">
        <f t="shared" si="1"/>
        <v>46054</v>
      </c>
      <c r="M105" s="42" t="str">
        <f>IF(AND(C105="",D105="",E105="",F105=""),"",IF(OR(C105="",D105="",E105="",F105="",G105=""),"EKSİK",IF(COUNTIF(MUSTERILER!$B$7:$B$156,C105)=0,"TANIMSIZ MÜŞTERİ","UYGUN")))</f>
        <v>UYGUN</v>
      </c>
      <c r="N105" s="22" t="str">
        <f>IF(D105="","",D105&amp;"|"&amp;TEXT(COUNTIF($D$7:D105,D105),"000"))</f>
        <v>Monamour Ltd.Şti.|006</v>
      </c>
      <c r="O105" s="22" t="str">
        <f>IF(G105="","",G105&amp;"|"&amp;TEXT(COUNTIF($G$7:G105,G105),"000"))</f>
        <v>ÖMER KARTAL|027</v>
      </c>
    </row>
    <row r="106" spans="1:15" ht="17">
      <c r="A106" s="6"/>
      <c r="B106" s="95" t="s">
        <v>732</v>
      </c>
      <c r="C106" s="95" t="s">
        <v>521</v>
      </c>
      <c r="D106" s="96" t="s">
        <v>522</v>
      </c>
      <c r="E106" s="97">
        <v>46063</v>
      </c>
      <c r="F106" s="99">
        <v>1500</v>
      </c>
      <c r="G106" s="95" t="s">
        <v>618</v>
      </c>
      <c r="H106" s="95" t="s">
        <v>462</v>
      </c>
      <c r="I106" s="95"/>
      <c r="J106" s="96" t="s">
        <v>619</v>
      </c>
      <c r="K106" s="95"/>
      <c r="L106" s="43">
        <f t="shared" si="1"/>
        <v>46054</v>
      </c>
      <c r="M106" s="42" t="str">
        <f>IF(AND(C106="",D106="",E106="",F106=""),"",IF(OR(C106="",D106="",E106="",F106="",G106=""),"EKSİK",IF(COUNTIF(MUSTERILER!$B$7:$B$156,C106)=0,"TANIMSIZ MÜŞTERİ","UYGUN")))</f>
        <v>UYGUN</v>
      </c>
      <c r="N106" s="22" t="str">
        <f>IF(D106="","",D106&amp;"|"&amp;TEXT(COUNTIF($D$7:D106,D106),"000"))</f>
        <v>MENEKŞE AKAN|001</v>
      </c>
      <c r="O106" s="22" t="str">
        <f>IF(G106="","",G106&amp;"|"&amp;TEXT(COUNTIF($G$7:G106,G106),"000"))</f>
        <v>MERKEZ KASA|071</v>
      </c>
    </row>
    <row r="107" spans="1:15" ht="17">
      <c r="A107" s="6"/>
      <c r="B107" s="95" t="s">
        <v>733</v>
      </c>
      <c r="C107" s="95" t="s">
        <v>558</v>
      </c>
      <c r="D107" s="96" t="s">
        <v>559</v>
      </c>
      <c r="E107" s="97">
        <v>46066</v>
      </c>
      <c r="F107" s="99">
        <v>3000</v>
      </c>
      <c r="G107" s="95" t="s">
        <v>628</v>
      </c>
      <c r="H107" s="95" t="s">
        <v>462</v>
      </c>
      <c r="I107" s="95"/>
      <c r="J107" s="96" t="s">
        <v>619</v>
      </c>
      <c r="K107" s="95"/>
      <c r="L107" s="43">
        <f t="shared" si="1"/>
        <v>46054</v>
      </c>
      <c r="M107" s="42" t="str">
        <f>IF(AND(C107="",D107="",E107="",F107=""),"",IF(OR(C107="",D107="",E107="",F107="",G107=""),"EKSİK",IF(COUNTIF(MUSTERILER!$B$7:$B$156,C107)=0,"TANIMSIZ MÜŞTERİ","UYGUN")))</f>
        <v>UYGUN</v>
      </c>
      <c r="N107" s="22" t="str">
        <f>IF(D107="","",D107&amp;"|"&amp;TEXT(COUNTIF($D$7:D107,D107),"000"))</f>
        <v>UFUK YILMAZ|002</v>
      </c>
      <c r="O107" s="22" t="str">
        <f>IF(G107="","",G107&amp;"|"&amp;TEXT(COUNTIF($G$7:G107,G107),"000"))</f>
        <v>ÖMER KARTAL|028</v>
      </c>
    </row>
    <row r="108" spans="1:15" ht="17">
      <c r="A108" s="6"/>
      <c r="B108" s="95" t="s">
        <v>734</v>
      </c>
      <c r="C108" s="95" t="s">
        <v>467</v>
      </c>
      <c r="D108" s="96" t="s">
        <v>709</v>
      </c>
      <c r="E108" s="97">
        <v>46067</v>
      </c>
      <c r="F108" s="99">
        <v>4000</v>
      </c>
      <c r="G108" s="95" t="s">
        <v>618</v>
      </c>
      <c r="H108" s="95" t="s">
        <v>462</v>
      </c>
      <c r="I108" s="95"/>
      <c r="J108" s="96" t="s">
        <v>619</v>
      </c>
      <c r="K108" s="95"/>
      <c r="L108" s="43">
        <f t="shared" si="1"/>
        <v>46054</v>
      </c>
      <c r="M108" s="42" t="str">
        <f>IF(AND(C108="",D108="",E108="",F108=""),"",IF(OR(C108="",D108="",E108="",F108="",G108=""),"EKSİK",IF(COUNTIF(MUSTERILER!$B$7:$B$156,C108)=0,"TANIMSIZ MÜŞTERİ","UYGUN")))</f>
        <v>UYGUN</v>
      </c>
      <c r="N108" s="22" t="str">
        <f>IF(D108="","",D108&amp;"|"&amp;TEXT(COUNTIF($D$7:D108,D108),"000"))</f>
        <v>Ankara Havana Ltd.Şti.|005</v>
      </c>
      <c r="O108" s="22" t="str">
        <f>IF(G108="","",G108&amp;"|"&amp;TEXT(COUNTIF($G$7:G108,G108),"000"))</f>
        <v>MERKEZ KASA|072</v>
      </c>
    </row>
    <row r="109" spans="1:15" ht="17">
      <c r="A109" s="6"/>
      <c r="B109" s="95" t="s">
        <v>735</v>
      </c>
      <c r="C109" s="95" t="s">
        <v>473</v>
      </c>
      <c r="D109" s="96" t="s">
        <v>474</v>
      </c>
      <c r="E109" s="97">
        <v>46067</v>
      </c>
      <c r="F109" s="99">
        <v>2000</v>
      </c>
      <c r="G109" s="95" t="s">
        <v>618</v>
      </c>
      <c r="H109" s="95" t="s">
        <v>462</v>
      </c>
      <c r="I109" s="95"/>
      <c r="J109" s="96" t="s">
        <v>619</v>
      </c>
      <c r="K109" s="95"/>
      <c r="L109" s="43">
        <f t="shared" si="1"/>
        <v>46054</v>
      </c>
      <c r="M109" s="42" t="str">
        <f>IF(AND(C109="",D109="",E109="",F109=""),"",IF(OR(C109="",D109="",E109="",F109="",G109=""),"EKSİK",IF(COUNTIF(MUSTERILER!$B$7:$B$156,C109)=0,"TANIMSIZ MÜŞTERİ","UYGUN")))</f>
        <v>UYGUN</v>
      </c>
      <c r="N109" s="22" t="str">
        <f>IF(D109="","",D109&amp;"|"&amp;TEXT(COUNTIF($D$7:D109,D109),"000"))</f>
        <v>ASIM AÇIKGÖZ|006</v>
      </c>
      <c r="O109" s="22" t="str">
        <f>IF(G109="","",G109&amp;"|"&amp;TEXT(COUNTIF($G$7:G109,G109),"000"))</f>
        <v>MERKEZ KASA|073</v>
      </c>
    </row>
    <row r="110" spans="1:15" ht="17">
      <c r="A110" s="6"/>
      <c r="B110" s="95" t="s">
        <v>736</v>
      </c>
      <c r="C110" s="95" t="s">
        <v>475</v>
      </c>
      <c r="D110" s="96" t="s">
        <v>476</v>
      </c>
      <c r="E110" s="97">
        <v>46067</v>
      </c>
      <c r="F110" s="99">
        <v>2500</v>
      </c>
      <c r="G110" s="95" t="s">
        <v>618</v>
      </c>
      <c r="H110" s="95" t="s">
        <v>462</v>
      </c>
      <c r="I110" s="95"/>
      <c r="J110" s="96" t="s">
        <v>619</v>
      </c>
      <c r="K110" s="95"/>
      <c r="L110" s="43">
        <f t="shared" si="1"/>
        <v>46054</v>
      </c>
      <c r="M110" s="42" t="str">
        <f>IF(AND(C110="",D110="",E110="",F110=""),"",IF(OR(C110="",D110="",E110="",F110="",G110=""),"EKSİK",IF(COUNTIF(MUSTERILER!$B$7:$B$156,C110)=0,"TANIMSIZ MÜŞTERİ","UYGUN")))</f>
        <v>UYGUN</v>
      </c>
      <c r="N110" s="22" t="str">
        <f>IF(D110="","",D110&amp;"|"&amp;TEXT(COUNTIF($D$7:D110,D110),"000"))</f>
        <v>ASM EĞLENCE LTD.ŞTİ.|006</v>
      </c>
      <c r="O110" s="22" t="str">
        <f>IF(G110="","",G110&amp;"|"&amp;TEXT(COUNTIF($G$7:G110,G110),"000"))</f>
        <v>MERKEZ KASA|074</v>
      </c>
    </row>
    <row r="111" spans="1:15" ht="17">
      <c r="A111" s="6"/>
      <c r="B111" s="95" t="s">
        <v>737</v>
      </c>
      <c r="C111" s="95" t="s">
        <v>479</v>
      </c>
      <c r="D111" s="96" t="s">
        <v>617</v>
      </c>
      <c r="E111" s="97">
        <v>46067</v>
      </c>
      <c r="F111" s="99">
        <v>3000</v>
      </c>
      <c r="G111" s="95" t="s">
        <v>618</v>
      </c>
      <c r="H111" s="95" t="s">
        <v>462</v>
      </c>
      <c r="I111" s="95"/>
      <c r="J111" s="96" t="s">
        <v>619</v>
      </c>
      <c r="K111" s="95"/>
      <c r="L111" s="43">
        <f t="shared" si="1"/>
        <v>46054</v>
      </c>
      <c r="M111" s="42" t="str">
        <f>IF(AND(C111="",D111="",E111="",F111=""),"",IF(OR(C111="",D111="",E111="",F111="",G111=""),"EKSİK",IF(COUNTIF(MUSTERILER!$B$7:$B$156,C111)=0,"TANIMSIZ MÜŞTERİ","UYGUN")))</f>
        <v>UYGUN</v>
      </c>
      <c r="N111" s="22" t="str">
        <f>IF(D111="","",D111&amp;"|"&amp;TEXT(COUNTIF($D$7:D111,D111),"000"))</f>
        <v>Çayıralan Ltd.Şti.|007</v>
      </c>
      <c r="O111" s="22" t="str">
        <f>IF(G111="","",G111&amp;"|"&amp;TEXT(COUNTIF($G$7:G111,G111),"000"))</f>
        <v>MERKEZ KASA|075</v>
      </c>
    </row>
    <row r="112" spans="1:15" ht="17">
      <c r="A112" s="6"/>
      <c r="B112" s="95" t="s">
        <v>738</v>
      </c>
      <c r="C112" s="95" t="s">
        <v>487</v>
      </c>
      <c r="D112" s="96" t="s">
        <v>714</v>
      </c>
      <c r="E112" s="97">
        <v>46067</v>
      </c>
      <c r="F112" s="99">
        <v>3000</v>
      </c>
      <c r="G112" s="95" t="s">
        <v>618</v>
      </c>
      <c r="H112" s="95" t="s">
        <v>462</v>
      </c>
      <c r="I112" s="95"/>
      <c r="J112" s="96" t="s">
        <v>619</v>
      </c>
      <c r="K112" s="95"/>
      <c r="L112" s="43">
        <f t="shared" si="1"/>
        <v>46054</v>
      </c>
      <c r="M112" s="42" t="str">
        <f>IF(AND(C112="",D112="",E112="",F112=""),"",IF(OR(C112="",D112="",E112="",F112="",G112=""),"EKSİK",IF(COUNTIF(MUSTERILER!$B$7:$B$156,C112)=0,"TANIMSIZ MÜŞTERİ","UYGUN")))</f>
        <v>UYGUN</v>
      </c>
      <c r="N112" s="22" t="str">
        <f>IF(D112="","",D112&amp;"|"&amp;TEXT(COUNTIF($D$7:D112,D112),"000"))</f>
        <v>Eğlengör Ltd.Şti.|006</v>
      </c>
      <c r="O112" s="22" t="str">
        <f>IF(G112="","",G112&amp;"|"&amp;TEXT(COUNTIF($G$7:G112,G112),"000"))</f>
        <v>MERKEZ KASA|076</v>
      </c>
    </row>
    <row r="113" spans="1:15" ht="17">
      <c r="A113" s="6"/>
      <c r="B113" s="95" t="s">
        <v>739</v>
      </c>
      <c r="C113" s="95" t="s">
        <v>495</v>
      </c>
      <c r="D113" s="96" t="s">
        <v>716</v>
      </c>
      <c r="E113" s="97">
        <v>46067</v>
      </c>
      <c r="F113" s="99">
        <v>2000</v>
      </c>
      <c r="G113" s="95" t="s">
        <v>618</v>
      </c>
      <c r="H113" s="95" t="s">
        <v>462</v>
      </c>
      <c r="I113" s="95"/>
      <c r="J113" s="96" t="s">
        <v>619</v>
      </c>
      <c r="K113" s="95"/>
      <c r="L113" s="43">
        <f t="shared" si="1"/>
        <v>46054</v>
      </c>
      <c r="M113" s="42" t="str">
        <f>IF(AND(C113="",D113="",E113="",F113=""),"",IF(OR(C113="",D113="",E113="",F113="",G113=""),"EKSİK",IF(COUNTIF(MUSTERILER!$B$7:$B$156,C113)=0,"TANIMSIZ MÜŞTERİ","UYGUN")))</f>
        <v>UYGUN</v>
      </c>
      <c r="N113" s="22" t="str">
        <f>IF(D113="","",D113&amp;"|"&amp;TEXT(COUNTIF($D$7:D113,D113),"000"))</f>
        <v>Final Siyah Beyaz Ltd.Şti.|006</v>
      </c>
      <c r="O113" s="22" t="str">
        <f>IF(G113="","",G113&amp;"|"&amp;TEXT(COUNTIF($G$7:G113,G113),"000"))</f>
        <v>MERKEZ KASA|077</v>
      </c>
    </row>
    <row r="114" spans="1:15" ht="17">
      <c r="A114" s="6"/>
      <c r="B114" s="95" t="s">
        <v>740</v>
      </c>
      <c r="C114" s="95" t="s">
        <v>501</v>
      </c>
      <c r="D114" s="96" t="s">
        <v>718</v>
      </c>
      <c r="E114" s="97">
        <v>46067</v>
      </c>
      <c r="F114" s="99">
        <v>1500</v>
      </c>
      <c r="G114" s="95" t="s">
        <v>618</v>
      </c>
      <c r="H114" s="95" t="s">
        <v>462</v>
      </c>
      <c r="I114" s="95"/>
      <c r="J114" s="96" t="s">
        <v>619</v>
      </c>
      <c r="K114" s="95"/>
      <c r="L114" s="43">
        <f t="shared" si="1"/>
        <v>46054</v>
      </c>
      <c r="M114" s="42" t="str">
        <f>IF(AND(C114="",D114="",E114="",F114=""),"",IF(OR(C114="",D114="",E114="",F114="",G114=""),"EKSİK",IF(COUNTIF(MUSTERILER!$B$7:$B$156,C114)=0,"TANIMSIZ MÜŞTERİ","UYGUN")))</f>
        <v>UYGUN</v>
      </c>
      <c r="N114" s="22" t="str">
        <f>IF(D114="","",D114&amp;"|"&amp;TEXT(COUNTIF($D$7:D114,D114),"000"))</f>
        <v>İbrahim Maldan|006</v>
      </c>
      <c r="O114" s="22" t="str">
        <f>IF(G114="","",G114&amp;"|"&amp;TEXT(COUNTIF($G$7:G114,G114),"000"))</f>
        <v>MERKEZ KASA|078</v>
      </c>
    </row>
    <row r="115" spans="1:15" ht="17">
      <c r="A115" s="6"/>
      <c r="B115" s="95" t="s">
        <v>741</v>
      </c>
      <c r="C115" s="95" t="s">
        <v>525</v>
      </c>
      <c r="D115" s="96" t="s">
        <v>721</v>
      </c>
      <c r="E115" s="97">
        <v>46067</v>
      </c>
      <c r="F115" s="99">
        <v>3500</v>
      </c>
      <c r="G115" s="95" t="s">
        <v>618</v>
      </c>
      <c r="H115" s="95" t="s">
        <v>462</v>
      </c>
      <c r="I115" s="95"/>
      <c r="J115" s="96" t="s">
        <v>619</v>
      </c>
      <c r="K115" s="95"/>
      <c r="L115" s="43">
        <f t="shared" si="1"/>
        <v>46054</v>
      </c>
      <c r="M115" s="42" t="str">
        <f>IF(AND(C115="",D115="",E115="",F115=""),"",IF(OR(C115="",D115="",E115="",F115="",G115=""),"EKSİK",IF(COUNTIF(MUSTERILER!$B$7:$B$156,C115)=0,"TANIMSIZ MÜŞTERİ","UYGUN")))</f>
        <v>UYGUN</v>
      </c>
      <c r="N115" s="22" t="str">
        <f>IF(D115="","",D115&amp;"|"&amp;TEXT(COUNTIF($D$7:D115,D115),"000"))</f>
        <v>Monamour Ltd.Şti.|007</v>
      </c>
      <c r="O115" s="22" t="str">
        <f>IF(G115="","",G115&amp;"|"&amp;TEXT(COUNTIF($G$7:G115,G115),"000"))</f>
        <v>MERKEZ KASA|079</v>
      </c>
    </row>
    <row r="116" spans="1:15" ht="17">
      <c r="A116" s="6"/>
      <c r="B116" s="95" t="s">
        <v>742</v>
      </c>
      <c r="C116" s="95" t="s">
        <v>534</v>
      </c>
      <c r="D116" s="96" t="s">
        <v>724</v>
      </c>
      <c r="E116" s="97">
        <v>46067</v>
      </c>
      <c r="F116" s="99">
        <v>2000</v>
      </c>
      <c r="G116" s="95" t="s">
        <v>618</v>
      </c>
      <c r="H116" s="95" t="s">
        <v>462</v>
      </c>
      <c r="I116" s="95"/>
      <c r="J116" s="96" t="s">
        <v>619</v>
      </c>
      <c r="K116" s="95"/>
      <c r="L116" s="43">
        <f t="shared" si="1"/>
        <v>46054</v>
      </c>
      <c r="M116" s="42" t="str">
        <f>IF(AND(C116="",D116="",E116="",F116=""),"",IF(OR(C116="",D116="",E116="",F116="",G116=""),"EKSİK",IF(COUNTIF(MUSTERILER!$B$7:$B$156,C116)=0,"TANIMSIZ MÜŞTERİ","UYGUN")))</f>
        <v>UYGUN</v>
      </c>
      <c r="N116" s="22" t="str">
        <f>IF(D116="","",D116&amp;"|"&amp;TEXT(COUNTIF($D$7:D116,D116),"000"))</f>
        <v>Naz 1 Gıda Ltd.Şti.|006</v>
      </c>
      <c r="O116" s="22" t="str">
        <f>IF(G116="","",G116&amp;"|"&amp;TEXT(COUNTIF($G$7:G116,G116),"000"))</f>
        <v>MERKEZ KASA|080</v>
      </c>
    </row>
    <row r="117" spans="1:15" ht="17">
      <c r="A117" s="6"/>
      <c r="B117" s="95" t="s">
        <v>743</v>
      </c>
      <c r="C117" s="95" t="s">
        <v>542</v>
      </c>
      <c r="D117" s="96" t="s">
        <v>726</v>
      </c>
      <c r="E117" s="97">
        <v>46067</v>
      </c>
      <c r="F117" s="99">
        <v>2000</v>
      </c>
      <c r="G117" s="95" t="s">
        <v>618</v>
      </c>
      <c r="H117" s="95" t="s">
        <v>462</v>
      </c>
      <c r="I117" s="95"/>
      <c r="J117" s="96" t="s">
        <v>619</v>
      </c>
      <c r="K117" s="95"/>
      <c r="L117" s="43">
        <f t="shared" si="1"/>
        <v>46054</v>
      </c>
      <c r="M117" s="42" t="str">
        <f>IF(AND(C117="",D117="",E117="",F117=""),"",IF(OR(C117="",D117="",E117="",F117="",G117=""),"EKSİK",IF(COUNTIF(MUSTERILER!$B$7:$B$156,C117)=0,"TANIMSIZ MÜŞTERİ","UYGUN")))</f>
        <v>UYGUN</v>
      </c>
      <c r="N117" s="22" t="str">
        <f>IF(D117="","",D117&amp;"|"&amp;TEXT(COUNTIF($D$7:D117,D117),"000"))</f>
        <v>Pakyıldız Ltd.Şti.|006</v>
      </c>
      <c r="O117" s="22" t="str">
        <f>IF(G117="","",G117&amp;"|"&amp;TEXT(COUNTIF($G$7:G117,G117),"000"))</f>
        <v>MERKEZ KASA|081</v>
      </c>
    </row>
    <row r="118" spans="1:15" ht="17">
      <c r="A118" s="6"/>
      <c r="B118" s="95" t="s">
        <v>744</v>
      </c>
      <c r="C118" s="95" t="s">
        <v>548</v>
      </c>
      <c r="D118" s="96" t="s">
        <v>728</v>
      </c>
      <c r="E118" s="97">
        <v>46067</v>
      </c>
      <c r="F118" s="99">
        <v>4000</v>
      </c>
      <c r="G118" s="95" t="s">
        <v>618</v>
      </c>
      <c r="H118" s="95" t="s">
        <v>462</v>
      </c>
      <c r="I118" s="95"/>
      <c r="J118" s="96" t="s">
        <v>619</v>
      </c>
      <c r="K118" s="95"/>
      <c r="L118" s="43">
        <f t="shared" si="1"/>
        <v>46054</v>
      </c>
      <c r="M118" s="42" t="str">
        <f>IF(AND(C118="",D118="",E118="",F118=""),"",IF(OR(C118="",D118="",E118="",F118="",G118=""),"EKSİK",IF(COUNTIF(MUSTERILER!$B$7:$B$156,C118)=0,"TANIMSIZ MÜŞTERİ","UYGUN")))</f>
        <v>UYGUN</v>
      </c>
      <c r="N118" s="22" t="str">
        <f>IF(D118="","",D118&amp;"|"&amp;TEXT(COUNTIF($D$7:D118,D118),"000"))</f>
        <v>Rix Şow Ltd.Şti.|007</v>
      </c>
      <c r="O118" s="22" t="str">
        <f>IF(G118="","",G118&amp;"|"&amp;TEXT(COUNTIF($G$7:G118,G118),"000"))</f>
        <v>MERKEZ KASA|082</v>
      </c>
    </row>
    <row r="119" spans="1:15" ht="17">
      <c r="A119" s="6"/>
      <c r="B119" s="95" t="s">
        <v>745</v>
      </c>
      <c r="C119" s="95" t="s">
        <v>570</v>
      </c>
      <c r="D119" s="96" t="s">
        <v>626</v>
      </c>
      <c r="E119" s="97">
        <v>46067</v>
      </c>
      <c r="F119" s="99">
        <v>1750</v>
      </c>
      <c r="G119" s="95" t="s">
        <v>618</v>
      </c>
      <c r="H119" s="95" t="s">
        <v>462</v>
      </c>
      <c r="I119" s="95"/>
      <c r="J119" s="96" t="s">
        <v>619</v>
      </c>
      <c r="K119" s="95"/>
      <c r="L119" s="43">
        <f t="shared" si="1"/>
        <v>46054</v>
      </c>
      <c r="M119" s="42" t="str">
        <f>IF(AND(C119="",D119="",E119="",F119=""),"",IF(OR(C119="",D119="",E119="",F119="",G119=""),"EKSİK",IF(COUNTIF(MUSTERILER!$B$7:$B$156,C119)=0,"TANIMSIZ MÜŞTERİ","UYGUN")))</f>
        <v>UYGUN</v>
      </c>
      <c r="N119" s="22" t="str">
        <f>IF(D119="","",D119&amp;"|"&amp;TEXT(COUNTIF($D$7:D119,D119),"000"))</f>
        <v>Zümrüt Grup Ltd.Şti.|008</v>
      </c>
      <c r="O119" s="22" t="str">
        <f>IF(G119="","",G119&amp;"|"&amp;TEXT(COUNTIF($G$7:G119,G119),"000"))</f>
        <v>MERKEZ KASA|083</v>
      </c>
    </row>
    <row r="120" spans="1:15" ht="17">
      <c r="A120" s="6"/>
      <c r="B120" s="95" t="s">
        <v>746</v>
      </c>
      <c r="C120" s="95" t="s">
        <v>505</v>
      </c>
      <c r="D120" s="96" t="s">
        <v>506</v>
      </c>
      <c r="E120" s="97">
        <v>46067</v>
      </c>
      <c r="F120" s="99">
        <v>3500</v>
      </c>
      <c r="G120" s="95" t="s">
        <v>618</v>
      </c>
      <c r="H120" s="95" t="s">
        <v>462</v>
      </c>
      <c r="I120" s="95"/>
      <c r="J120" s="96" t="s">
        <v>619</v>
      </c>
      <c r="K120" s="95"/>
      <c r="L120" s="43">
        <f t="shared" si="1"/>
        <v>46054</v>
      </c>
      <c r="M120" s="42" t="str">
        <f>IF(AND(C120="",D120="",E120="",F120=""),"",IF(OR(C120="",D120="",E120="",F120="",G120=""),"EKSİK",IF(COUNTIF(MUSTERILER!$B$7:$B$156,C120)=0,"TANIMSIZ MÜŞTERİ","UYGUN")))</f>
        <v>UYGUN</v>
      </c>
      <c r="N120" s="22" t="str">
        <f>IF(D120="","",D120&amp;"|"&amp;TEXT(COUNTIF($D$7:D120,D120),"000"))</f>
        <v>İSA DEMİRCİ|001</v>
      </c>
      <c r="O120" s="22" t="str">
        <f>IF(G120="","",G120&amp;"|"&amp;TEXT(COUNTIF($G$7:G120,G120),"000"))</f>
        <v>MERKEZ KASA|084</v>
      </c>
    </row>
    <row r="121" spans="1:15" ht="17">
      <c r="A121" s="6"/>
      <c r="B121" s="95" t="s">
        <v>747</v>
      </c>
      <c r="C121" s="95" t="s">
        <v>513</v>
      </c>
      <c r="D121" s="96" t="s">
        <v>514</v>
      </c>
      <c r="E121" s="97">
        <v>46067</v>
      </c>
      <c r="F121" s="99">
        <v>3000</v>
      </c>
      <c r="G121" s="95" t="s">
        <v>618</v>
      </c>
      <c r="H121" s="95" t="s">
        <v>462</v>
      </c>
      <c r="I121" s="95"/>
      <c r="J121" s="96" t="s">
        <v>619</v>
      </c>
      <c r="K121" s="95"/>
      <c r="L121" s="43">
        <f t="shared" si="1"/>
        <v>46054</v>
      </c>
      <c r="M121" s="42" t="str">
        <f>IF(AND(C121="",D121="",E121="",F121=""),"",IF(OR(C121="",D121="",E121="",F121="",G121=""),"EKSİK",IF(COUNTIF(MUSTERILER!$B$7:$B$156,C121)=0,"TANIMSIZ MÜŞTERİ","UYGUN")))</f>
        <v>UYGUN</v>
      </c>
      <c r="N121" s="22" t="str">
        <f>IF(D121="","",D121&amp;"|"&amp;TEXT(COUNTIF($D$7:D121,D121),"000"))</f>
        <v>KRİSTAL LTD.ŞTİ.|006</v>
      </c>
      <c r="O121" s="22" t="str">
        <f>IF(G121="","",G121&amp;"|"&amp;TEXT(COUNTIF($G$7:G121,G121),"000"))</f>
        <v>MERKEZ KASA|085</v>
      </c>
    </row>
    <row r="122" spans="1:15" ht="17">
      <c r="A122" s="6"/>
      <c r="B122" s="95" t="s">
        <v>748</v>
      </c>
      <c r="C122" s="95" t="s">
        <v>536</v>
      </c>
      <c r="D122" s="96" t="s">
        <v>537</v>
      </c>
      <c r="E122" s="97">
        <v>46069</v>
      </c>
      <c r="F122" s="99">
        <v>7500</v>
      </c>
      <c r="G122" s="95" t="s">
        <v>628</v>
      </c>
      <c r="H122" s="95" t="s">
        <v>462</v>
      </c>
      <c r="I122" s="95"/>
      <c r="J122" s="96" t="s">
        <v>629</v>
      </c>
      <c r="K122" s="95"/>
      <c r="L122" s="43">
        <f t="shared" si="1"/>
        <v>46054</v>
      </c>
      <c r="M122" s="42" t="str">
        <f>IF(AND(C122="",D122="",E122="",F122=""),"",IF(OR(C122="",D122="",E122="",F122="",G122=""),"EKSİK",IF(COUNTIF(MUSTERILER!$B$7:$B$156,C122)=0,"TANIMSIZ MÜŞTERİ","UYGUN")))</f>
        <v>UYGUN</v>
      </c>
      <c r="N122" s="22" t="str">
        <f>IF(D122="","",D122&amp;"|"&amp;TEXT(COUNTIF($D$7:D122,D122),"000"))</f>
        <v>NERO E TİCARET LTD.ŞTİ.|001</v>
      </c>
      <c r="O122" s="22" t="str">
        <f>IF(G122="","",G122&amp;"|"&amp;TEXT(COUNTIF($G$7:G122,G122),"000"))</f>
        <v>ÖMER KARTAL|029</v>
      </c>
    </row>
    <row r="123" spans="1:15" ht="17">
      <c r="A123" s="6"/>
      <c r="B123" s="95" t="s">
        <v>749</v>
      </c>
      <c r="C123" s="95" t="s">
        <v>497</v>
      </c>
      <c r="D123" s="96" t="s">
        <v>498</v>
      </c>
      <c r="E123" s="97">
        <v>46069</v>
      </c>
      <c r="F123" s="99">
        <v>3000</v>
      </c>
      <c r="G123" s="95" t="s">
        <v>618</v>
      </c>
      <c r="H123" s="95" t="s">
        <v>462</v>
      </c>
      <c r="I123" s="95"/>
      <c r="J123" s="96" t="s">
        <v>619</v>
      </c>
      <c r="K123" s="95"/>
      <c r="L123" s="43">
        <f t="shared" si="1"/>
        <v>46054</v>
      </c>
      <c r="M123" s="42" t="str">
        <f>IF(AND(C123="",D123="",E123="",F123=""),"",IF(OR(C123="",D123="",E123="",F123="",G123=""),"EKSİK",IF(COUNTIF(MUSTERILER!$B$7:$B$156,C123)=0,"TANIMSIZ MÜŞTERİ","UYGUN")))</f>
        <v>UYGUN</v>
      </c>
      <c r="N123" s="22" t="str">
        <f>IF(D123="","",D123&amp;"|"&amp;TEXT(COUNTIF($D$7:D123,D123),"000"))</f>
        <v>HALİL AVŞAR|001</v>
      </c>
      <c r="O123" s="22" t="str">
        <f>IF(G123="","",G123&amp;"|"&amp;TEXT(COUNTIF($G$7:G123,G123),"000"))</f>
        <v>MERKEZ KASA|086</v>
      </c>
    </row>
    <row r="124" spans="1:15" ht="17">
      <c r="A124" s="6"/>
      <c r="B124" s="95" t="s">
        <v>750</v>
      </c>
      <c r="C124" s="95" t="s">
        <v>459</v>
      </c>
      <c r="D124" s="96" t="s">
        <v>460</v>
      </c>
      <c r="E124" s="97">
        <v>46071</v>
      </c>
      <c r="F124" s="99">
        <v>3000</v>
      </c>
      <c r="G124" s="95" t="s">
        <v>618</v>
      </c>
      <c r="H124" s="95" t="s">
        <v>462</v>
      </c>
      <c r="I124" s="95"/>
      <c r="J124" s="96" t="s">
        <v>619</v>
      </c>
      <c r="K124" s="95"/>
      <c r="L124" s="43">
        <f t="shared" si="1"/>
        <v>46054</v>
      </c>
      <c r="M124" s="42" t="str">
        <f>IF(AND(C124="",D124="",E124="",F124=""),"",IF(OR(C124="",D124="",E124="",F124="",G124=""),"EKSİK",IF(COUNTIF(MUSTERILER!$B$7:$B$156,C124)=0,"TANIMSIZ MÜŞTERİ","UYGUN")))</f>
        <v>UYGUN</v>
      </c>
      <c r="N124" s="22" t="str">
        <f>IF(D124="","",D124&amp;"|"&amp;TEXT(COUNTIF($D$7:D124,D124),"000"))</f>
        <v>AC OTEL LTD.ŞTİ.|002</v>
      </c>
      <c r="O124" s="22" t="str">
        <f>IF(G124="","",G124&amp;"|"&amp;TEXT(COUNTIF($G$7:G124,G124),"000"))</f>
        <v>MERKEZ KASA|087</v>
      </c>
    </row>
    <row r="125" spans="1:15" ht="17">
      <c r="A125" s="6"/>
      <c r="B125" s="95" t="s">
        <v>751</v>
      </c>
      <c r="C125" s="95" t="s">
        <v>475</v>
      </c>
      <c r="D125" s="96" t="s">
        <v>476</v>
      </c>
      <c r="E125" s="97">
        <v>46074</v>
      </c>
      <c r="F125" s="99">
        <v>2500</v>
      </c>
      <c r="G125" s="95" t="s">
        <v>628</v>
      </c>
      <c r="H125" s="95" t="s">
        <v>462</v>
      </c>
      <c r="I125" s="95"/>
      <c r="J125" s="96" t="s">
        <v>629</v>
      </c>
      <c r="K125" s="95"/>
      <c r="L125" s="43">
        <f t="shared" si="1"/>
        <v>46054</v>
      </c>
      <c r="M125" s="42" t="str">
        <f>IF(AND(C125="",D125="",E125="",F125=""),"",IF(OR(C125="",D125="",E125="",F125="",G125=""),"EKSİK",IF(COUNTIF(MUSTERILER!$B$7:$B$156,C125)=0,"TANIMSIZ MÜŞTERİ","UYGUN")))</f>
        <v>UYGUN</v>
      </c>
      <c r="N125" s="22" t="str">
        <f>IF(D125="","",D125&amp;"|"&amp;TEXT(COUNTIF($D$7:D125,D125),"000"))</f>
        <v>ASM EĞLENCE LTD.ŞTİ.|007</v>
      </c>
      <c r="O125" s="22" t="str">
        <f>IF(G125="","",G125&amp;"|"&amp;TEXT(COUNTIF($G$7:G125,G125),"000"))</f>
        <v>ÖMER KARTAL|030</v>
      </c>
    </row>
    <row r="126" spans="1:15" ht="17">
      <c r="A126" s="6"/>
      <c r="B126" s="95" t="s">
        <v>752</v>
      </c>
      <c r="C126" s="95" t="s">
        <v>503</v>
      </c>
      <c r="D126" s="96" t="s">
        <v>621</v>
      </c>
      <c r="E126" s="97">
        <v>46074</v>
      </c>
      <c r="F126" s="99">
        <v>4000</v>
      </c>
      <c r="G126" s="95" t="s">
        <v>628</v>
      </c>
      <c r="H126" s="95" t="s">
        <v>462</v>
      </c>
      <c r="I126" s="95"/>
      <c r="J126" s="96" t="s">
        <v>629</v>
      </c>
      <c r="K126" s="95"/>
      <c r="L126" s="43">
        <f t="shared" si="1"/>
        <v>46054</v>
      </c>
      <c r="M126" s="42" t="str">
        <f>IF(AND(C126="",D126="",E126="",F126=""),"",IF(OR(C126="",D126="",E126="",F126="",G126=""),"EKSİK",IF(COUNTIF(MUSTERILER!$B$7:$B$156,C126)=0,"TANIMSIZ MÜŞTERİ","UYGUN")))</f>
        <v>UYGUN</v>
      </c>
      <c r="N126" s="22" t="str">
        <f>IF(D126="","",D126&amp;"|"&amp;TEXT(COUNTIF($D$7:D126,D126),"000"))</f>
        <v>İldeş Ltd.Şti.|006</v>
      </c>
      <c r="O126" s="22" t="str">
        <f>IF(G126="","",G126&amp;"|"&amp;TEXT(COUNTIF($G$7:G126,G126),"000"))</f>
        <v>ÖMER KARTAL|031</v>
      </c>
    </row>
    <row r="127" spans="1:15" ht="17">
      <c r="A127" s="6"/>
      <c r="B127" s="95" t="s">
        <v>753</v>
      </c>
      <c r="C127" s="95" t="s">
        <v>540</v>
      </c>
      <c r="D127" s="96" t="s">
        <v>754</v>
      </c>
      <c r="E127" s="97">
        <v>46074</v>
      </c>
      <c r="F127" s="99">
        <v>8000</v>
      </c>
      <c r="G127" s="95" t="s">
        <v>628</v>
      </c>
      <c r="H127" s="95" t="s">
        <v>462</v>
      </c>
      <c r="I127" s="95"/>
      <c r="J127" s="96" t="s">
        <v>629</v>
      </c>
      <c r="K127" s="95"/>
      <c r="L127" s="43">
        <f t="shared" si="1"/>
        <v>46054</v>
      </c>
      <c r="M127" s="42" t="str">
        <f>IF(AND(C127="",D127="",E127="",F127=""),"",IF(OR(C127="",D127="",E127="",F127="",G127=""),"EKSİK",IF(COUNTIF(MUSTERILER!$B$7:$B$156,C127)=0,"TANIMSIZ MÜŞTERİ","UYGUN")))</f>
        <v>UYGUN</v>
      </c>
      <c r="N127" s="22" t="str">
        <f>IF(D127="","",D127&amp;"|"&amp;TEXT(COUNTIF($D$7:D127,D127),"000"))</f>
        <v>Özfidanlar Ltd.Şti.|005</v>
      </c>
      <c r="O127" s="22" t="str">
        <f>IF(G127="","",G127&amp;"|"&amp;TEXT(COUNTIF($G$7:G127,G127),"000"))</f>
        <v>ÖMER KARTAL|032</v>
      </c>
    </row>
    <row r="128" spans="1:15" ht="17">
      <c r="A128" s="6"/>
      <c r="B128" s="95" t="s">
        <v>755</v>
      </c>
      <c r="C128" s="95" t="s">
        <v>548</v>
      </c>
      <c r="D128" s="96" t="s">
        <v>728</v>
      </c>
      <c r="E128" s="97">
        <v>46074</v>
      </c>
      <c r="F128" s="99">
        <v>3000</v>
      </c>
      <c r="G128" s="95" t="s">
        <v>628</v>
      </c>
      <c r="H128" s="95" t="s">
        <v>462</v>
      </c>
      <c r="I128" s="95"/>
      <c r="J128" s="96" t="s">
        <v>629</v>
      </c>
      <c r="K128" s="95"/>
      <c r="L128" s="43">
        <f t="shared" si="1"/>
        <v>46054</v>
      </c>
      <c r="M128" s="42" t="str">
        <f>IF(AND(C128="",D128="",E128="",F128=""),"",IF(OR(C128="",D128="",E128="",F128="",G128=""),"EKSİK",IF(COUNTIF(MUSTERILER!$B$7:$B$156,C128)=0,"TANIMSIZ MÜŞTERİ","UYGUN")))</f>
        <v>UYGUN</v>
      </c>
      <c r="N128" s="22" t="str">
        <f>IF(D128="","",D128&amp;"|"&amp;TEXT(COUNTIF($D$7:D128,D128),"000"))</f>
        <v>Rix Şow Ltd.Şti.|008</v>
      </c>
      <c r="O128" s="22" t="str">
        <f>IF(G128="","",G128&amp;"|"&amp;TEXT(COUNTIF($G$7:G128,G128),"000"))</f>
        <v>ÖMER KARTAL|033</v>
      </c>
    </row>
    <row r="129" spans="1:15" ht="17">
      <c r="A129" s="6"/>
      <c r="B129" s="95" t="s">
        <v>756</v>
      </c>
      <c r="C129" s="95" t="s">
        <v>513</v>
      </c>
      <c r="D129" s="96" t="s">
        <v>514</v>
      </c>
      <c r="E129" s="97">
        <v>46074</v>
      </c>
      <c r="F129" s="99">
        <v>3000</v>
      </c>
      <c r="G129" s="95" t="s">
        <v>628</v>
      </c>
      <c r="H129" s="95" t="s">
        <v>462</v>
      </c>
      <c r="I129" s="95"/>
      <c r="J129" s="96" t="s">
        <v>619</v>
      </c>
      <c r="K129" s="95"/>
      <c r="L129" s="43">
        <f t="shared" si="1"/>
        <v>46054</v>
      </c>
      <c r="M129" s="42" t="str">
        <f>IF(AND(C129="",D129="",E129="",F129=""),"",IF(OR(C129="",D129="",E129="",F129="",G129=""),"EKSİK",IF(COUNTIF(MUSTERILER!$B$7:$B$156,C129)=0,"TANIMSIZ MÜŞTERİ","UYGUN")))</f>
        <v>UYGUN</v>
      </c>
      <c r="N129" s="22" t="str">
        <f>IF(D129="","",D129&amp;"|"&amp;TEXT(COUNTIF($D$7:D129,D129),"000"))</f>
        <v>KRİSTAL LTD.ŞTİ.|007</v>
      </c>
      <c r="O129" s="22" t="str">
        <f>IF(G129="","",G129&amp;"|"&amp;TEXT(COUNTIF($G$7:G129,G129),"000"))</f>
        <v>ÖMER KARTAL|034</v>
      </c>
    </row>
    <row r="130" spans="1:15" ht="17">
      <c r="A130" s="6"/>
      <c r="B130" s="95" t="s">
        <v>757</v>
      </c>
      <c r="C130" s="95" t="s">
        <v>491</v>
      </c>
      <c r="D130" s="96" t="s">
        <v>492</v>
      </c>
      <c r="E130" s="97">
        <v>46074</v>
      </c>
      <c r="F130" s="99">
        <v>3500</v>
      </c>
      <c r="G130" s="95" t="s">
        <v>628</v>
      </c>
      <c r="H130" s="95" t="s">
        <v>462</v>
      </c>
      <c r="I130" s="95"/>
      <c r="J130" s="96" t="s">
        <v>629</v>
      </c>
      <c r="K130" s="95"/>
      <c r="L130" s="43">
        <f t="shared" si="1"/>
        <v>46054</v>
      </c>
      <c r="M130" s="42" t="str">
        <f>IF(AND(C130="",D130="",E130="",F130=""),"",IF(OR(C130="",D130="",E130="",F130="",G130=""),"EKSİK",IF(COUNTIF(MUSTERILER!$B$7:$B$156,C130)=0,"TANIMSIZ MÜŞTERİ","UYGUN")))</f>
        <v>UYGUN</v>
      </c>
      <c r="N130" s="22" t="str">
        <f>IF(D130="","",D130&amp;"|"&amp;TEXT(COUNTIF($D$7:D130,D130),"000"))</f>
        <v>ESERLİ LTD.ŞTİ.|001</v>
      </c>
      <c r="O130" s="22" t="str">
        <f>IF(G130="","",G130&amp;"|"&amp;TEXT(COUNTIF($G$7:G130,G130),"000"))</f>
        <v>ÖMER KARTAL|035</v>
      </c>
    </row>
    <row r="131" spans="1:15" ht="17">
      <c r="A131" s="6"/>
      <c r="B131" s="95" t="s">
        <v>758</v>
      </c>
      <c r="C131" s="95" t="s">
        <v>487</v>
      </c>
      <c r="D131" s="96" t="s">
        <v>488</v>
      </c>
      <c r="E131" s="97">
        <v>46074</v>
      </c>
      <c r="F131" s="99">
        <v>3000</v>
      </c>
      <c r="G131" s="95" t="s">
        <v>618</v>
      </c>
      <c r="H131" s="95" t="s">
        <v>462</v>
      </c>
      <c r="I131" s="95"/>
      <c r="J131" s="96" t="s">
        <v>619</v>
      </c>
      <c r="K131" s="95"/>
      <c r="L131" s="43">
        <f t="shared" si="1"/>
        <v>46054</v>
      </c>
      <c r="M131" s="42" t="str">
        <f>IF(AND(C131="",D131="",E131="",F131=""),"",IF(OR(C131="",D131="",E131="",F131="",G131=""),"EKSİK",IF(COUNTIF(MUSTERILER!$B$7:$B$156,C131)=0,"TANIMSIZ MÜŞTERİ","UYGUN")))</f>
        <v>UYGUN</v>
      </c>
      <c r="N131" s="22" t="str">
        <f>IF(D131="","",D131&amp;"|"&amp;TEXT(COUNTIF($D$7:D131,D131),"000"))</f>
        <v>EĞLENGÖR LTD.ŞTİ.|007</v>
      </c>
      <c r="O131" s="22" t="str">
        <f>IF(G131="","",G131&amp;"|"&amp;TEXT(COUNTIF($G$7:G131,G131),"000"))</f>
        <v>MERKEZ KASA|088</v>
      </c>
    </row>
    <row r="132" spans="1:15" ht="17">
      <c r="A132" s="6"/>
      <c r="B132" s="95" t="s">
        <v>759</v>
      </c>
      <c r="C132" s="95" t="s">
        <v>493</v>
      </c>
      <c r="D132" s="96" t="s">
        <v>494</v>
      </c>
      <c r="E132" s="97">
        <v>46076</v>
      </c>
      <c r="F132" s="99">
        <v>2000</v>
      </c>
      <c r="G132" s="95" t="s">
        <v>618</v>
      </c>
      <c r="H132" s="95" t="s">
        <v>462</v>
      </c>
      <c r="I132" s="95"/>
      <c r="J132" s="96" t="s">
        <v>619</v>
      </c>
      <c r="K132" s="95"/>
      <c r="L132" s="43">
        <f t="shared" si="1"/>
        <v>46054</v>
      </c>
      <c r="M132" s="42" t="str">
        <f>IF(AND(C132="",D132="",E132="",F132=""),"",IF(OR(C132="",D132="",E132="",F132="",G132=""),"EKSİK",IF(COUNTIF(MUSTERILER!$B$7:$B$156,C132)=0,"TANIMSIZ MÜŞTERİ","UYGUN")))</f>
        <v>UYGUN</v>
      </c>
      <c r="N132" s="22" t="str">
        <f>IF(D132="","",D132&amp;"|"&amp;TEXT(COUNTIF($D$7:D132,D132),"000"))</f>
        <v>FARUK DEMİRCİ|001</v>
      </c>
      <c r="O132" s="22" t="str">
        <f>IF(G132="","",G132&amp;"|"&amp;TEXT(COUNTIF($G$7:G132,G132),"000"))</f>
        <v>MERKEZ KASA|089</v>
      </c>
    </row>
    <row r="133" spans="1:15" ht="17">
      <c r="A133" s="6"/>
      <c r="B133" s="95" t="s">
        <v>760</v>
      </c>
      <c r="C133" s="95" t="s">
        <v>556</v>
      </c>
      <c r="D133" s="96" t="s">
        <v>557</v>
      </c>
      <c r="E133" s="97">
        <v>46077</v>
      </c>
      <c r="F133" s="99">
        <v>12000</v>
      </c>
      <c r="G133" s="95" t="s">
        <v>618</v>
      </c>
      <c r="H133" s="95" t="s">
        <v>462</v>
      </c>
      <c r="I133" s="95"/>
      <c r="J133" s="96" t="s">
        <v>619</v>
      </c>
      <c r="K133" s="95"/>
      <c r="L133" s="43">
        <f t="shared" si="1"/>
        <v>46054</v>
      </c>
      <c r="M133" s="42" t="str">
        <f>IF(AND(C133="",D133="",E133="",F133=""),"",IF(OR(C133="",D133="",E133="",F133="",G133=""),"EKSİK",IF(COUNTIF(MUSTERILER!$B$7:$B$156,C133)=0,"TANIMSIZ MÜŞTERİ","UYGUN")))</f>
        <v>UYGUN</v>
      </c>
      <c r="N133" s="22" t="str">
        <f>IF(D133="","",D133&amp;"|"&amp;TEXT(COUNTIF($D$7:D133,D133),"000"))</f>
        <v>TYANA LTD.ŞTİ.|003</v>
      </c>
      <c r="O133" s="22" t="str">
        <f>IF(G133="","",G133&amp;"|"&amp;TEXT(COUNTIF($G$7:G133,G133),"000"))</f>
        <v>MERKEZ KASA|090</v>
      </c>
    </row>
    <row r="134" spans="1:15" ht="17">
      <c r="A134" s="6"/>
      <c r="B134" s="95" t="s">
        <v>761</v>
      </c>
      <c r="C134" s="95" t="s">
        <v>515</v>
      </c>
      <c r="D134" s="96" t="s">
        <v>516</v>
      </c>
      <c r="E134" s="97">
        <v>46078</v>
      </c>
      <c r="F134" s="99">
        <v>2000</v>
      </c>
      <c r="G134" s="95" t="s">
        <v>628</v>
      </c>
      <c r="H134" s="95" t="s">
        <v>462</v>
      </c>
      <c r="I134" s="95"/>
      <c r="J134" s="96" t="s">
        <v>629</v>
      </c>
      <c r="K134" s="95"/>
      <c r="L134" s="43">
        <f t="shared" si="1"/>
        <v>46054</v>
      </c>
      <c r="M134" s="42" t="str">
        <f>IF(AND(C134="",D134="",E134="",F134=""),"",IF(OR(C134="",D134="",E134="",F134="",G134=""),"EKSİK",IF(COUNTIF(MUSTERILER!$B$7:$B$156,C134)=0,"TANIMSIZ MÜŞTERİ","UYGUN")))</f>
        <v>UYGUN</v>
      </c>
      <c r="N134" s="22" t="str">
        <f>IF(D134="","",D134&amp;"|"&amp;TEXT(COUNTIF($D$7:D134,D134),"000"))</f>
        <v>MEHMET EVREN KILINÇ|001</v>
      </c>
      <c r="O134" s="22" t="str">
        <f>IF(G134="","",G134&amp;"|"&amp;TEXT(COUNTIF($G$7:G134,G134),"000"))</f>
        <v>ÖMER KARTAL|036</v>
      </c>
    </row>
    <row r="135" spans="1:15" ht="17">
      <c r="A135" s="6"/>
      <c r="B135" s="95" t="s">
        <v>762</v>
      </c>
      <c r="C135" s="95" t="s">
        <v>566</v>
      </c>
      <c r="D135" s="96" t="s">
        <v>567</v>
      </c>
      <c r="E135" s="97">
        <v>46079</v>
      </c>
      <c r="F135" s="99">
        <v>20000</v>
      </c>
      <c r="G135" s="95" t="s">
        <v>618</v>
      </c>
      <c r="H135" s="95" t="s">
        <v>462</v>
      </c>
      <c r="I135" s="95"/>
      <c r="J135" s="96" t="s">
        <v>619</v>
      </c>
      <c r="K135" s="95"/>
      <c r="L135" s="43">
        <f t="shared" ref="L135:L198" si="2">IF(E135="","",DATE(YEAR(E135),MONTH(E135),1))</f>
        <v>46054</v>
      </c>
      <c r="M135" s="42" t="str">
        <f>IF(AND(C135="",D135="",E135="",F135=""),"",IF(OR(C135="",D135="",E135="",F135="",G135=""),"EKSİK",IF(COUNTIF(MUSTERILER!$B$7:$B$156,C135)=0,"TANIMSIZ MÜŞTERİ","UYGUN")))</f>
        <v>UYGUN</v>
      </c>
      <c r="N135" s="22" t="str">
        <f>IF(D135="","",D135&amp;"|"&amp;TEXT(COUNTIF($D$7:D135,D135),"000"))</f>
        <v>YEDİYİRMİDÖRT LTD.ŞTİ.|002</v>
      </c>
      <c r="O135" s="22" t="str">
        <f>IF(G135="","",G135&amp;"|"&amp;TEXT(COUNTIF($G$7:G135,G135),"000"))</f>
        <v>MERKEZ KASA|091</v>
      </c>
    </row>
    <row r="136" spans="1:15" ht="17">
      <c r="A136" s="6"/>
      <c r="B136" s="95" t="s">
        <v>763</v>
      </c>
      <c r="C136" s="95" t="s">
        <v>465</v>
      </c>
      <c r="D136" s="96" t="s">
        <v>466</v>
      </c>
      <c r="E136" s="97">
        <v>46081</v>
      </c>
      <c r="F136" s="99">
        <v>12000</v>
      </c>
      <c r="G136" s="95" t="s">
        <v>628</v>
      </c>
      <c r="H136" s="95" t="s">
        <v>462</v>
      </c>
      <c r="I136" s="95"/>
      <c r="J136" s="96" t="s">
        <v>684</v>
      </c>
      <c r="K136" s="95"/>
      <c r="L136" s="43">
        <f t="shared" si="2"/>
        <v>46054</v>
      </c>
      <c r="M136" s="42" t="str">
        <f>IF(AND(C136="",D136="",E136="",F136=""),"",IF(OR(C136="",D136="",E136="",F136="",G136=""),"EKSİK",IF(COUNTIF(MUSTERILER!$B$7:$B$156,C136)=0,"TANIMSIZ MÜŞTERİ","UYGUN")))</f>
        <v>UYGUN</v>
      </c>
      <c r="N136" s="22" t="str">
        <f>IF(D136="","",D136&amp;"|"&amp;TEXT(COUNTIF($D$7:D136,D136),"000"))</f>
        <v>ALTINEL LTD.ŞTİ.|002</v>
      </c>
      <c r="O136" s="22" t="str">
        <f>IF(G136="","",G136&amp;"|"&amp;TEXT(COUNTIF($G$7:G136,G136),"000"))</f>
        <v>ÖMER KARTAL|037</v>
      </c>
    </row>
    <row r="137" spans="1:15" ht="17">
      <c r="A137" s="6"/>
      <c r="B137" s="95" t="s">
        <v>764</v>
      </c>
      <c r="C137" s="95" t="s">
        <v>473</v>
      </c>
      <c r="D137" s="96" t="s">
        <v>474</v>
      </c>
      <c r="E137" s="97">
        <v>46081</v>
      </c>
      <c r="F137" s="99">
        <v>2000</v>
      </c>
      <c r="G137" s="95" t="s">
        <v>618</v>
      </c>
      <c r="H137" s="95" t="s">
        <v>462</v>
      </c>
      <c r="I137" s="95"/>
      <c r="J137" s="96" t="s">
        <v>619</v>
      </c>
      <c r="K137" s="95"/>
      <c r="L137" s="43">
        <f t="shared" si="2"/>
        <v>46054</v>
      </c>
      <c r="M137" s="42" t="str">
        <f>IF(AND(C137="",D137="",E137="",F137=""),"",IF(OR(C137="",D137="",E137="",F137="",G137=""),"EKSİK",IF(COUNTIF(MUSTERILER!$B$7:$B$156,C137)=0,"TANIMSIZ MÜŞTERİ","UYGUN")))</f>
        <v>UYGUN</v>
      </c>
      <c r="N137" s="22" t="str">
        <f>IF(D137="","",D137&amp;"|"&amp;TEXT(COUNTIF($D$7:D137,D137),"000"))</f>
        <v>ASIM AÇIKGÖZ|007</v>
      </c>
      <c r="O137" s="22" t="str">
        <f>IF(G137="","",G137&amp;"|"&amp;TEXT(COUNTIF($G$7:G137,G137),"000"))</f>
        <v>MERKEZ KASA|092</v>
      </c>
    </row>
    <row r="138" spans="1:15" ht="17">
      <c r="A138" s="6"/>
      <c r="B138" s="95" t="s">
        <v>765</v>
      </c>
      <c r="C138" s="95" t="s">
        <v>495</v>
      </c>
      <c r="D138" s="96" t="s">
        <v>716</v>
      </c>
      <c r="E138" s="97">
        <v>46081</v>
      </c>
      <c r="F138" s="99">
        <v>4000</v>
      </c>
      <c r="G138" s="95" t="s">
        <v>618</v>
      </c>
      <c r="H138" s="95" t="s">
        <v>462</v>
      </c>
      <c r="I138" s="95"/>
      <c r="J138" s="96" t="s">
        <v>619</v>
      </c>
      <c r="K138" s="95"/>
      <c r="L138" s="43">
        <f t="shared" si="2"/>
        <v>46054</v>
      </c>
      <c r="M138" s="42" t="str">
        <f>IF(AND(C138="",D138="",E138="",F138=""),"",IF(OR(C138="",D138="",E138="",F138="",G138=""),"EKSİK",IF(COUNTIF(MUSTERILER!$B$7:$B$156,C138)=0,"TANIMSIZ MÜŞTERİ","UYGUN")))</f>
        <v>UYGUN</v>
      </c>
      <c r="N138" s="22" t="str">
        <f>IF(D138="","",D138&amp;"|"&amp;TEXT(COUNTIF($D$7:D138,D138),"000"))</f>
        <v>Final Siyah Beyaz Ltd.Şti.|007</v>
      </c>
      <c r="O138" s="22" t="str">
        <f>IF(G138="","",G138&amp;"|"&amp;TEXT(COUNTIF($G$7:G138,G138),"000"))</f>
        <v>MERKEZ KASA|093</v>
      </c>
    </row>
    <row r="139" spans="1:15" ht="17">
      <c r="A139" s="6"/>
      <c r="B139" s="95" t="s">
        <v>766</v>
      </c>
      <c r="C139" s="95" t="s">
        <v>503</v>
      </c>
      <c r="D139" s="96" t="s">
        <v>621</v>
      </c>
      <c r="E139" s="97">
        <v>46081</v>
      </c>
      <c r="F139" s="99">
        <v>4000</v>
      </c>
      <c r="G139" s="95" t="s">
        <v>618</v>
      </c>
      <c r="H139" s="95" t="s">
        <v>462</v>
      </c>
      <c r="I139" s="95"/>
      <c r="J139" s="96" t="s">
        <v>619</v>
      </c>
      <c r="K139" s="95"/>
      <c r="L139" s="43">
        <f t="shared" si="2"/>
        <v>46054</v>
      </c>
      <c r="M139" s="42" t="str">
        <f>IF(AND(C139="",D139="",E139="",F139=""),"",IF(OR(C139="",D139="",E139="",F139="",G139=""),"EKSİK",IF(COUNTIF(MUSTERILER!$B$7:$B$156,C139)=0,"TANIMSIZ MÜŞTERİ","UYGUN")))</f>
        <v>UYGUN</v>
      </c>
      <c r="N139" s="22" t="str">
        <f>IF(D139="","",D139&amp;"|"&amp;TEXT(COUNTIF($D$7:D139,D139),"000"))</f>
        <v>İldeş Ltd.Şti.|007</v>
      </c>
      <c r="O139" s="22" t="str">
        <f>IF(G139="","",G139&amp;"|"&amp;TEXT(COUNTIF($G$7:G139,G139),"000"))</f>
        <v>MERKEZ KASA|094</v>
      </c>
    </row>
    <row r="140" spans="1:15" ht="17">
      <c r="A140" s="6"/>
      <c r="B140" s="95" t="s">
        <v>767</v>
      </c>
      <c r="C140" s="95" t="s">
        <v>568</v>
      </c>
      <c r="D140" s="96" t="s">
        <v>768</v>
      </c>
      <c r="E140" s="97">
        <v>46081</v>
      </c>
      <c r="F140" s="99">
        <v>3500</v>
      </c>
      <c r="G140" s="95" t="s">
        <v>618</v>
      </c>
      <c r="H140" s="95" t="s">
        <v>462</v>
      </c>
      <c r="I140" s="95"/>
      <c r="J140" s="96" t="s">
        <v>619</v>
      </c>
      <c r="K140" s="95"/>
      <c r="L140" s="43">
        <f t="shared" si="2"/>
        <v>46054</v>
      </c>
      <c r="M140" s="42" t="str">
        <f>IF(AND(C140="",D140="",E140="",F140=""),"",IF(OR(C140="",D140="",E140="",F140="",G140=""),"EKSİK",IF(COUNTIF(MUSTERILER!$B$7:$B$156,C140)=0,"TANIMSIZ MÜŞTERİ","UYGUN")))</f>
        <v>UYGUN</v>
      </c>
      <c r="N140" s="22" t="str">
        <f>IF(D140="","",D140&amp;"|"&amp;TEXT(COUNTIF($D$7:D140,D140),"000"))</f>
        <v>Zümrüt Eğlence Ltd.Şti.|005</v>
      </c>
      <c r="O140" s="22" t="str">
        <f>IF(G140="","",G140&amp;"|"&amp;TEXT(COUNTIF($G$7:G140,G140),"000"))</f>
        <v>MERKEZ KASA|095</v>
      </c>
    </row>
    <row r="141" spans="1:15" ht="17">
      <c r="A141" s="6"/>
      <c r="B141" s="95" t="s">
        <v>769</v>
      </c>
      <c r="C141" s="95" t="s">
        <v>487</v>
      </c>
      <c r="D141" s="96" t="s">
        <v>488</v>
      </c>
      <c r="E141" s="97">
        <v>46081</v>
      </c>
      <c r="F141" s="99">
        <v>3000</v>
      </c>
      <c r="G141" s="95" t="s">
        <v>618</v>
      </c>
      <c r="H141" s="95" t="s">
        <v>462</v>
      </c>
      <c r="I141" s="95"/>
      <c r="J141" s="96" t="s">
        <v>619</v>
      </c>
      <c r="K141" s="95"/>
      <c r="L141" s="43">
        <f t="shared" si="2"/>
        <v>46054</v>
      </c>
      <c r="M141" s="42" t="str">
        <f>IF(AND(C141="",D141="",E141="",F141=""),"",IF(OR(C141="",D141="",E141="",F141="",G141=""),"EKSİK",IF(COUNTIF(MUSTERILER!$B$7:$B$156,C141)=0,"TANIMSIZ MÜŞTERİ","UYGUN")))</f>
        <v>UYGUN</v>
      </c>
      <c r="N141" s="22" t="str">
        <f>IF(D141="","",D141&amp;"|"&amp;TEXT(COUNTIF($D$7:D141,D141),"000"))</f>
        <v>EĞLENGÖR LTD.ŞTİ.|008</v>
      </c>
      <c r="O141" s="22" t="str">
        <f>IF(G141="","",G141&amp;"|"&amp;TEXT(COUNTIF($G$7:G141,G141),"000"))</f>
        <v>MERKEZ KASA|096</v>
      </c>
    </row>
    <row r="142" spans="1:15" ht="17">
      <c r="A142" s="6"/>
      <c r="B142" s="95" t="s">
        <v>770</v>
      </c>
      <c r="C142" s="95" t="s">
        <v>513</v>
      </c>
      <c r="D142" s="96" t="s">
        <v>514</v>
      </c>
      <c r="E142" s="97">
        <v>46081</v>
      </c>
      <c r="F142" s="99">
        <v>3000</v>
      </c>
      <c r="G142" s="95" t="s">
        <v>618</v>
      </c>
      <c r="H142" s="95" t="s">
        <v>462</v>
      </c>
      <c r="I142" s="95"/>
      <c r="J142" s="96" t="s">
        <v>619</v>
      </c>
      <c r="K142" s="95"/>
      <c r="L142" s="43">
        <f t="shared" si="2"/>
        <v>46054</v>
      </c>
      <c r="M142" s="42" t="str">
        <f>IF(AND(C142="",D142="",E142="",F142=""),"",IF(OR(C142="",D142="",E142="",F142="",G142=""),"EKSİK",IF(COUNTIF(MUSTERILER!$B$7:$B$156,C142)=0,"TANIMSIZ MÜŞTERİ","UYGUN")))</f>
        <v>UYGUN</v>
      </c>
      <c r="N142" s="22" t="str">
        <f>IF(D142="","",D142&amp;"|"&amp;TEXT(COUNTIF($D$7:D142,D142),"000"))</f>
        <v>KRİSTAL LTD.ŞTİ.|008</v>
      </c>
      <c r="O142" s="22" t="str">
        <f>IF(G142="","",G142&amp;"|"&amp;TEXT(COUNTIF($G$7:G142,G142),"000"))</f>
        <v>MERKEZ KASA|097</v>
      </c>
    </row>
    <row r="143" spans="1:15" ht="17">
      <c r="A143" s="6"/>
      <c r="B143" s="95" t="s">
        <v>771</v>
      </c>
      <c r="C143" s="95" t="s">
        <v>507</v>
      </c>
      <c r="D143" s="96" t="s">
        <v>508</v>
      </c>
      <c r="E143" s="97">
        <v>46081</v>
      </c>
      <c r="F143" s="99">
        <v>5000</v>
      </c>
      <c r="G143" s="95" t="s">
        <v>628</v>
      </c>
      <c r="H143" s="95" t="s">
        <v>462</v>
      </c>
      <c r="I143" s="95"/>
      <c r="J143" s="96" t="s">
        <v>629</v>
      </c>
      <c r="K143" s="95"/>
      <c r="L143" s="43">
        <f t="shared" si="2"/>
        <v>46054</v>
      </c>
      <c r="M143" s="42" t="str">
        <f>IF(AND(C143="",D143="",E143="",F143=""),"",IF(OR(C143="",D143="",E143="",F143="",G143=""),"EKSİK",IF(COUNTIF(MUSTERILER!$B$7:$B$156,C143)=0,"TANIMSIZ MÜŞTERİ","UYGUN")))</f>
        <v>UYGUN</v>
      </c>
      <c r="N143" s="22" t="str">
        <f>IF(D143="","",D143&amp;"|"&amp;TEXT(COUNTIF($D$7:D143,D143),"000"))</f>
        <v>IŞIL GRUP LTD.ŞTİ.|001</v>
      </c>
      <c r="O143" s="22" t="str">
        <f>IF(G143="","",G143&amp;"|"&amp;TEXT(COUNTIF($G$7:G143,G143),"000"))</f>
        <v>ÖMER KARTAL|038</v>
      </c>
    </row>
    <row r="144" spans="1:15" ht="17">
      <c r="A144" s="6"/>
      <c r="B144" s="95" t="s">
        <v>772</v>
      </c>
      <c r="C144" s="95" t="s">
        <v>566</v>
      </c>
      <c r="D144" s="96" t="s">
        <v>567</v>
      </c>
      <c r="E144" s="97">
        <v>46082</v>
      </c>
      <c r="F144" s="99">
        <v>10000</v>
      </c>
      <c r="G144" s="95" t="s">
        <v>628</v>
      </c>
      <c r="H144" s="95" t="s">
        <v>462</v>
      </c>
      <c r="I144" s="95"/>
      <c r="J144" s="96" t="s">
        <v>619</v>
      </c>
      <c r="K144" s="95"/>
      <c r="L144" s="43">
        <f t="shared" si="2"/>
        <v>46082</v>
      </c>
      <c r="M144" s="42" t="str">
        <f>IF(AND(C144="",D144="",E144="",F144=""),"",IF(OR(C144="",D144="",E144="",F144="",G144=""),"EKSİK",IF(COUNTIF(MUSTERILER!$B$7:$B$156,C144)=0,"TANIMSIZ MÜŞTERİ","UYGUN")))</f>
        <v>UYGUN</v>
      </c>
      <c r="N144" s="22" t="str">
        <f>IF(D144="","",D144&amp;"|"&amp;TEXT(COUNTIF($D$7:D144,D144),"000"))</f>
        <v>YEDİYİRMİDÖRT LTD.ŞTİ.|003</v>
      </c>
      <c r="O144" s="22" t="str">
        <f>IF(G144="","",G144&amp;"|"&amp;TEXT(COUNTIF($G$7:G144,G144),"000"))</f>
        <v>ÖMER KARTAL|039</v>
      </c>
    </row>
    <row r="145" spans="1:15" ht="17">
      <c r="A145" s="6"/>
      <c r="B145" s="95" t="s">
        <v>773</v>
      </c>
      <c r="C145" s="95" t="s">
        <v>471</v>
      </c>
      <c r="D145" s="96" t="s">
        <v>472</v>
      </c>
      <c r="E145" s="97">
        <v>46088</v>
      </c>
      <c r="F145" s="99">
        <v>10000</v>
      </c>
      <c r="G145" s="95" t="s">
        <v>618</v>
      </c>
      <c r="H145" s="95" t="s">
        <v>462</v>
      </c>
      <c r="I145" s="95"/>
      <c r="J145" s="96" t="s">
        <v>619</v>
      </c>
      <c r="K145" s="95"/>
      <c r="L145" s="43">
        <f t="shared" si="2"/>
        <v>46082</v>
      </c>
      <c r="M145" s="42" t="str">
        <f>IF(AND(C145="",D145="",E145="",F145=""),"",IF(OR(C145="",D145="",E145="",F145="",G145=""),"EKSİK",IF(COUNTIF(MUSTERILER!$B$7:$B$156,C145)=0,"TANIMSIZ MÜŞTERİ","UYGUN")))</f>
        <v>UYGUN</v>
      </c>
      <c r="N145" s="22" t="str">
        <f>IF(D145="","",D145&amp;"|"&amp;TEXT(COUNTIF($D$7:D145,D145),"000"))</f>
        <v>ARON TOPTAN LTD.ŞTİ.|002</v>
      </c>
      <c r="O145" s="22" t="str">
        <f>IF(G145="","",G145&amp;"|"&amp;TEXT(COUNTIF($G$7:G145,G145),"000"))</f>
        <v>MERKEZ KASA|098</v>
      </c>
    </row>
    <row r="146" spans="1:15" ht="17">
      <c r="A146" s="6"/>
      <c r="B146" s="95" t="s">
        <v>774</v>
      </c>
      <c r="C146" s="95" t="s">
        <v>473</v>
      </c>
      <c r="D146" s="96" t="s">
        <v>474</v>
      </c>
      <c r="E146" s="97">
        <v>46088</v>
      </c>
      <c r="F146" s="99">
        <v>2000</v>
      </c>
      <c r="G146" s="95" t="s">
        <v>618</v>
      </c>
      <c r="H146" s="95" t="s">
        <v>462</v>
      </c>
      <c r="I146" s="95"/>
      <c r="J146" s="96" t="s">
        <v>619</v>
      </c>
      <c r="K146" s="95"/>
      <c r="L146" s="43">
        <f t="shared" si="2"/>
        <v>46082</v>
      </c>
      <c r="M146" s="42" t="str">
        <f>IF(AND(C146="",D146="",E146="",F146=""),"",IF(OR(C146="",D146="",E146="",F146="",G146=""),"EKSİK",IF(COUNTIF(MUSTERILER!$B$7:$B$156,C146)=0,"TANIMSIZ MÜŞTERİ","UYGUN")))</f>
        <v>UYGUN</v>
      </c>
      <c r="N146" s="22" t="str">
        <f>IF(D146="","",D146&amp;"|"&amp;TEXT(COUNTIF($D$7:D146,D146),"000"))</f>
        <v>ASIM AÇIKGÖZ|008</v>
      </c>
      <c r="O146" s="22" t="str">
        <f>IF(G146="","",G146&amp;"|"&amp;TEXT(COUNTIF($G$7:G146,G146),"000"))</f>
        <v>MERKEZ KASA|099</v>
      </c>
    </row>
    <row r="147" spans="1:15" ht="17">
      <c r="A147" s="6"/>
      <c r="B147" s="95" t="s">
        <v>775</v>
      </c>
      <c r="C147" s="95" t="s">
        <v>475</v>
      </c>
      <c r="D147" s="96" t="s">
        <v>476</v>
      </c>
      <c r="E147" s="97">
        <v>46088</v>
      </c>
      <c r="F147" s="99">
        <v>2500</v>
      </c>
      <c r="G147" s="95" t="s">
        <v>618</v>
      </c>
      <c r="H147" s="95" t="s">
        <v>462</v>
      </c>
      <c r="I147" s="95"/>
      <c r="J147" s="96" t="s">
        <v>619</v>
      </c>
      <c r="K147" s="95"/>
      <c r="L147" s="43">
        <f t="shared" si="2"/>
        <v>46082</v>
      </c>
      <c r="M147" s="42" t="str">
        <f>IF(AND(C147="",D147="",E147="",F147=""),"",IF(OR(C147="",D147="",E147="",F147="",G147=""),"EKSİK",IF(COUNTIF(MUSTERILER!$B$7:$B$156,C147)=0,"TANIMSIZ MÜŞTERİ","UYGUN")))</f>
        <v>UYGUN</v>
      </c>
      <c r="N147" s="22" t="str">
        <f>IF(D147="","",D147&amp;"|"&amp;TEXT(COUNTIF($D$7:D147,D147),"000"))</f>
        <v>ASM EĞLENCE LTD.ŞTİ.|008</v>
      </c>
      <c r="O147" s="22" t="str">
        <f>IF(G147="","",G147&amp;"|"&amp;TEXT(COUNTIF($G$7:G147,G147),"000"))</f>
        <v>MERKEZ KASA|100</v>
      </c>
    </row>
    <row r="148" spans="1:15" ht="17">
      <c r="A148" s="6"/>
      <c r="B148" s="95" t="s">
        <v>776</v>
      </c>
      <c r="C148" s="95" t="s">
        <v>495</v>
      </c>
      <c r="D148" s="96" t="s">
        <v>716</v>
      </c>
      <c r="E148" s="97">
        <v>46088</v>
      </c>
      <c r="F148" s="99">
        <v>2000</v>
      </c>
      <c r="G148" s="95" t="s">
        <v>618</v>
      </c>
      <c r="H148" s="95" t="s">
        <v>462</v>
      </c>
      <c r="I148" s="95"/>
      <c r="J148" s="96" t="s">
        <v>619</v>
      </c>
      <c r="K148" s="95"/>
      <c r="L148" s="43">
        <f t="shared" si="2"/>
        <v>46082</v>
      </c>
      <c r="M148" s="42" t="str">
        <f>IF(AND(C148="",D148="",E148="",F148=""),"",IF(OR(C148="",D148="",E148="",F148="",G148=""),"EKSİK",IF(COUNTIF(MUSTERILER!$B$7:$B$156,C148)=0,"TANIMSIZ MÜŞTERİ","UYGUN")))</f>
        <v>UYGUN</v>
      </c>
      <c r="N148" s="22" t="str">
        <f>IF(D148="","",D148&amp;"|"&amp;TEXT(COUNTIF($D$7:D148,D148),"000"))</f>
        <v>Final Siyah Beyaz Ltd.Şti.|008</v>
      </c>
      <c r="O148" s="22" t="str">
        <f>IF(G148="","",G148&amp;"|"&amp;TEXT(COUNTIF($G$7:G148,G148),"000"))</f>
        <v>MERKEZ KASA|101</v>
      </c>
    </row>
    <row r="149" spans="1:15" ht="17">
      <c r="A149" s="6"/>
      <c r="B149" s="95" t="s">
        <v>777</v>
      </c>
      <c r="C149" s="95" t="s">
        <v>503</v>
      </c>
      <c r="D149" s="96" t="s">
        <v>621</v>
      </c>
      <c r="E149" s="97">
        <v>46088</v>
      </c>
      <c r="F149" s="99">
        <v>4000</v>
      </c>
      <c r="G149" s="95" t="s">
        <v>618</v>
      </c>
      <c r="H149" s="95" t="s">
        <v>462</v>
      </c>
      <c r="I149" s="95"/>
      <c r="J149" s="96" t="s">
        <v>619</v>
      </c>
      <c r="K149" s="95"/>
      <c r="L149" s="43">
        <f t="shared" si="2"/>
        <v>46082</v>
      </c>
      <c r="M149" s="42" t="str">
        <f>IF(AND(C149="",D149="",E149="",F149=""),"",IF(OR(C149="",D149="",E149="",F149="",G149=""),"EKSİK",IF(COUNTIF(MUSTERILER!$B$7:$B$156,C149)=0,"TANIMSIZ MÜŞTERİ","UYGUN")))</f>
        <v>UYGUN</v>
      </c>
      <c r="N149" s="22" t="str">
        <f>IF(D149="","",D149&amp;"|"&amp;TEXT(COUNTIF($D$7:D149,D149),"000"))</f>
        <v>İldeş Ltd.Şti.|008</v>
      </c>
      <c r="O149" s="22" t="str">
        <f>IF(G149="","",G149&amp;"|"&amp;TEXT(COUNTIF($G$7:G149,G149),"000"))</f>
        <v>MERKEZ KASA|102</v>
      </c>
    </row>
    <row r="150" spans="1:15" ht="17">
      <c r="A150" s="6"/>
      <c r="B150" s="95" t="s">
        <v>778</v>
      </c>
      <c r="C150" s="95" t="s">
        <v>540</v>
      </c>
      <c r="D150" s="96" t="s">
        <v>754</v>
      </c>
      <c r="E150" s="97">
        <v>46088</v>
      </c>
      <c r="F150" s="99">
        <v>4000</v>
      </c>
      <c r="G150" s="95" t="s">
        <v>618</v>
      </c>
      <c r="H150" s="95" t="s">
        <v>462</v>
      </c>
      <c r="I150" s="95"/>
      <c r="J150" s="96" t="s">
        <v>619</v>
      </c>
      <c r="K150" s="95"/>
      <c r="L150" s="43">
        <f t="shared" si="2"/>
        <v>46082</v>
      </c>
      <c r="M150" s="42" t="str">
        <f>IF(AND(C150="",D150="",E150="",F150=""),"",IF(OR(C150="",D150="",E150="",F150="",G150=""),"EKSİK",IF(COUNTIF(MUSTERILER!$B$7:$B$156,C150)=0,"TANIMSIZ MÜŞTERİ","UYGUN")))</f>
        <v>UYGUN</v>
      </c>
      <c r="N150" s="22" t="str">
        <f>IF(D150="","",D150&amp;"|"&amp;TEXT(COUNTIF($D$7:D150,D150),"000"))</f>
        <v>Özfidanlar Ltd.Şti.|006</v>
      </c>
      <c r="O150" s="22" t="str">
        <f>IF(G150="","",G150&amp;"|"&amp;TEXT(COUNTIF($G$7:G150,G150),"000"))</f>
        <v>MERKEZ KASA|103</v>
      </c>
    </row>
    <row r="151" spans="1:15" ht="17">
      <c r="A151" s="6"/>
      <c r="B151" s="95" t="s">
        <v>779</v>
      </c>
      <c r="C151" s="95" t="s">
        <v>548</v>
      </c>
      <c r="D151" s="96" t="s">
        <v>728</v>
      </c>
      <c r="E151" s="97">
        <v>46088</v>
      </c>
      <c r="F151" s="99">
        <v>3000</v>
      </c>
      <c r="G151" s="95" t="s">
        <v>618</v>
      </c>
      <c r="H151" s="95" t="s">
        <v>462</v>
      </c>
      <c r="I151" s="95"/>
      <c r="J151" s="96" t="s">
        <v>619</v>
      </c>
      <c r="K151" s="95"/>
      <c r="L151" s="43">
        <f t="shared" si="2"/>
        <v>46082</v>
      </c>
      <c r="M151" s="42" t="str">
        <f>IF(AND(C151="",D151="",E151="",F151=""),"",IF(OR(C151="",D151="",E151="",F151="",G151=""),"EKSİK",IF(COUNTIF(MUSTERILER!$B$7:$B$156,C151)=0,"TANIMSIZ MÜŞTERİ","UYGUN")))</f>
        <v>UYGUN</v>
      </c>
      <c r="N151" s="22" t="str">
        <f>IF(D151="","",D151&amp;"|"&amp;TEXT(COUNTIF($D$7:D151,D151),"000"))</f>
        <v>Rix Şow Ltd.Şti.|009</v>
      </c>
      <c r="O151" s="22" t="str">
        <f>IF(G151="","",G151&amp;"|"&amp;TEXT(COUNTIF($G$7:G151,G151),"000"))</f>
        <v>MERKEZ KASA|104</v>
      </c>
    </row>
    <row r="152" spans="1:15" ht="17">
      <c r="A152" s="6"/>
      <c r="B152" s="95" t="s">
        <v>780</v>
      </c>
      <c r="C152" s="95" t="s">
        <v>570</v>
      </c>
      <c r="D152" s="96" t="s">
        <v>626</v>
      </c>
      <c r="E152" s="97">
        <v>46088</v>
      </c>
      <c r="F152" s="99">
        <v>1750</v>
      </c>
      <c r="G152" s="95" t="s">
        <v>618</v>
      </c>
      <c r="H152" s="95" t="s">
        <v>462</v>
      </c>
      <c r="I152" s="95"/>
      <c r="J152" s="96" t="s">
        <v>619</v>
      </c>
      <c r="K152" s="95"/>
      <c r="L152" s="43">
        <f t="shared" si="2"/>
        <v>46082</v>
      </c>
      <c r="M152" s="42" t="str">
        <f>IF(AND(C152="",D152="",E152="",F152=""),"",IF(OR(C152="",D152="",E152="",F152="",G152=""),"EKSİK",IF(COUNTIF(MUSTERILER!$B$7:$B$156,C152)=0,"TANIMSIZ MÜŞTERİ","UYGUN")))</f>
        <v>UYGUN</v>
      </c>
      <c r="N152" s="22" t="str">
        <f>IF(D152="","",D152&amp;"|"&amp;TEXT(COUNTIF($D$7:D152,D152),"000"))</f>
        <v>Zümrüt Grup Ltd.Şti.|009</v>
      </c>
      <c r="O152" s="22" t="str">
        <f>IF(G152="","",G152&amp;"|"&amp;TEXT(COUNTIF($G$7:G152,G152),"000"))</f>
        <v>MERKEZ KASA|105</v>
      </c>
    </row>
    <row r="153" spans="1:15" ht="17">
      <c r="A153" s="6"/>
      <c r="B153" s="95" t="s">
        <v>781</v>
      </c>
      <c r="C153" s="95" t="s">
        <v>564</v>
      </c>
      <c r="D153" s="96" t="s">
        <v>565</v>
      </c>
      <c r="E153" s="97">
        <v>46088</v>
      </c>
      <c r="F153" s="99">
        <v>4000</v>
      </c>
      <c r="G153" s="95" t="s">
        <v>618</v>
      </c>
      <c r="H153" s="95" t="s">
        <v>462</v>
      </c>
      <c r="I153" s="95"/>
      <c r="J153" s="96" t="s">
        <v>619</v>
      </c>
      <c r="K153" s="95"/>
      <c r="L153" s="43">
        <f t="shared" si="2"/>
        <v>46082</v>
      </c>
      <c r="M153" s="42" t="str">
        <f>IF(AND(C153="",D153="",E153="",F153=""),"",IF(OR(C153="",D153="",E153="",F153="",G153=""),"EKSİK",IF(COUNTIF(MUSTERILER!$B$7:$B$156,C153)=0,"TANIMSIZ MÜŞTERİ","UYGUN")))</f>
        <v>UYGUN</v>
      </c>
      <c r="N153" s="22" t="str">
        <f>IF(D153="","",D153&amp;"|"&amp;TEXT(COUNTIF($D$7:D153,D153),"000"))</f>
        <v>YALIKENT LTD.ŞTİ.|001</v>
      </c>
      <c r="O153" s="22" t="str">
        <f>IF(G153="","",G153&amp;"|"&amp;TEXT(COUNTIF($G$7:G153,G153),"000"))</f>
        <v>MERKEZ KASA|106</v>
      </c>
    </row>
    <row r="154" spans="1:15" ht="17">
      <c r="A154" s="6"/>
      <c r="B154" s="95" t="s">
        <v>782</v>
      </c>
      <c r="C154" s="95" t="s">
        <v>487</v>
      </c>
      <c r="D154" s="96" t="s">
        <v>488</v>
      </c>
      <c r="E154" s="97">
        <v>46088</v>
      </c>
      <c r="F154" s="99">
        <v>3000</v>
      </c>
      <c r="G154" s="95" t="s">
        <v>618</v>
      </c>
      <c r="H154" s="95" t="s">
        <v>462</v>
      </c>
      <c r="I154" s="95"/>
      <c r="J154" s="96" t="s">
        <v>619</v>
      </c>
      <c r="K154" s="95"/>
      <c r="L154" s="43">
        <f t="shared" si="2"/>
        <v>46082</v>
      </c>
      <c r="M154" s="42" t="str">
        <f>IF(AND(C154="",D154="",E154="",F154=""),"",IF(OR(C154="",D154="",E154="",F154="",G154=""),"EKSİK",IF(COUNTIF(MUSTERILER!$B$7:$B$156,C154)=0,"TANIMSIZ MÜŞTERİ","UYGUN")))</f>
        <v>UYGUN</v>
      </c>
      <c r="N154" s="22" t="str">
        <f>IF(D154="","",D154&amp;"|"&amp;TEXT(COUNTIF($D$7:D154,D154),"000"))</f>
        <v>EĞLENGÖR LTD.ŞTİ.|009</v>
      </c>
      <c r="O154" s="22" t="str">
        <f>IF(G154="","",G154&amp;"|"&amp;TEXT(COUNTIF($G$7:G154,G154),"000"))</f>
        <v>MERKEZ KASA|107</v>
      </c>
    </row>
    <row r="155" spans="1:15" ht="17">
      <c r="A155" s="6"/>
      <c r="B155" s="95" t="s">
        <v>783</v>
      </c>
      <c r="C155" s="95" t="s">
        <v>491</v>
      </c>
      <c r="D155" s="96" t="s">
        <v>492</v>
      </c>
      <c r="E155" s="97">
        <v>46088</v>
      </c>
      <c r="F155" s="99">
        <v>3500</v>
      </c>
      <c r="G155" s="95" t="s">
        <v>618</v>
      </c>
      <c r="H155" s="95" t="s">
        <v>462</v>
      </c>
      <c r="I155" s="95"/>
      <c r="J155" s="96" t="s">
        <v>619</v>
      </c>
      <c r="K155" s="95"/>
      <c r="L155" s="43">
        <f t="shared" si="2"/>
        <v>46082</v>
      </c>
      <c r="M155" s="42" t="str">
        <f>IF(AND(C155="",D155="",E155="",F155=""),"",IF(OR(C155="",D155="",E155="",F155="",G155=""),"EKSİK",IF(COUNTIF(MUSTERILER!$B$7:$B$156,C155)=0,"TANIMSIZ MÜŞTERİ","UYGUN")))</f>
        <v>UYGUN</v>
      </c>
      <c r="N155" s="22" t="str">
        <f>IF(D155="","",D155&amp;"|"&amp;TEXT(COUNTIF($D$7:D155,D155),"000"))</f>
        <v>ESERLİ LTD.ŞTİ.|002</v>
      </c>
      <c r="O155" s="22" t="str">
        <f>IF(G155="","",G155&amp;"|"&amp;TEXT(COUNTIF($G$7:G155,G155),"000"))</f>
        <v>MERKEZ KASA|108</v>
      </c>
    </row>
    <row r="156" spans="1:15" ht="17">
      <c r="A156" s="6"/>
      <c r="B156" s="95" t="s">
        <v>784</v>
      </c>
      <c r="C156" s="95" t="s">
        <v>513</v>
      </c>
      <c r="D156" s="96" t="s">
        <v>514</v>
      </c>
      <c r="E156" s="97">
        <v>46088</v>
      </c>
      <c r="F156" s="99">
        <v>3000</v>
      </c>
      <c r="G156" s="95" t="s">
        <v>618</v>
      </c>
      <c r="H156" s="95" t="s">
        <v>462</v>
      </c>
      <c r="I156" s="95"/>
      <c r="J156" s="96" t="s">
        <v>619</v>
      </c>
      <c r="K156" s="95"/>
      <c r="L156" s="43">
        <f t="shared" si="2"/>
        <v>46082</v>
      </c>
      <c r="M156" s="42" t="str">
        <f>IF(AND(C156="",D156="",E156="",F156=""),"",IF(OR(C156="",D156="",E156="",F156="",G156=""),"EKSİK",IF(COUNTIF(MUSTERILER!$B$7:$B$156,C156)=0,"TANIMSIZ MÜŞTERİ","UYGUN")))</f>
        <v>UYGUN</v>
      </c>
      <c r="N156" s="22" t="str">
        <f>IF(D156="","",D156&amp;"|"&amp;TEXT(COUNTIF($D$7:D156,D156),"000"))</f>
        <v>KRİSTAL LTD.ŞTİ.|009</v>
      </c>
      <c r="O156" s="22" t="str">
        <f>IF(G156="","",G156&amp;"|"&amp;TEXT(COUNTIF($G$7:G156,G156),"000"))</f>
        <v>MERKEZ KASA|109</v>
      </c>
    </row>
    <row r="157" spans="1:15" ht="17">
      <c r="A157" s="6"/>
      <c r="B157" s="95" t="s">
        <v>785</v>
      </c>
      <c r="C157" s="95" t="s">
        <v>544</v>
      </c>
      <c r="D157" s="96" t="s">
        <v>545</v>
      </c>
      <c r="E157" s="97">
        <v>46088</v>
      </c>
      <c r="F157" s="99">
        <v>4000</v>
      </c>
      <c r="G157" s="95" t="s">
        <v>618</v>
      </c>
      <c r="H157" s="95" t="s">
        <v>462</v>
      </c>
      <c r="I157" s="95"/>
      <c r="J157" s="96" t="s">
        <v>619</v>
      </c>
      <c r="K157" s="95"/>
      <c r="L157" s="43">
        <f t="shared" si="2"/>
        <v>46082</v>
      </c>
      <c r="M157" s="42" t="str">
        <f>IF(AND(C157="",D157="",E157="",F157=""),"",IF(OR(C157="",D157="",E157="",F157="",G157=""),"EKSİK",IF(COUNTIF(MUSTERILER!$B$7:$B$156,C157)=0,"TANIMSIZ MÜŞTERİ","UYGUN")))</f>
        <v>UYGUN</v>
      </c>
      <c r="N157" s="22" t="str">
        <f>IF(D157="","",D157&amp;"|"&amp;TEXT(COUNTIF($D$7:D157,D157),"000"))</f>
        <v>PALAOĞULLARI LTD.ŞTİ.|002</v>
      </c>
      <c r="O157" s="22" t="str">
        <f>IF(G157="","",G157&amp;"|"&amp;TEXT(COUNTIF($G$7:G157,G157),"000"))</f>
        <v>MERKEZ KASA|110</v>
      </c>
    </row>
    <row r="158" spans="1:15" ht="17">
      <c r="A158" s="6"/>
      <c r="B158" s="95" t="s">
        <v>786</v>
      </c>
      <c r="C158" s="95" t="s">
        <v>459</v>
      </c>
      <c r="D158" s="96" t="s">
        <v>460</v>
      </c>
      <c r="E158" s="97">
        <v>46090</v>
      </c>
      <c r="F158" s="99">
        <v>4000</v>
      </c>
      <c r="G158" s="95" t="s">
        <v>618</v>
      </c>
      <c r="H158" s="95" t="s">
        <v>462</v>
      </c>
      <c r="I158" s="95"/>
      <c r="J158" s="96" t="s">
        <v>619</v>
      </c>
      <c r="K158" s="95"/>
      <c r="L158" s="43">
        <f t="shared" si="2"/>
        <v>46082</v>
      </c>
      <c r="M158" s="42" t="str">
        <f>IF(AND(C158="",D158="",E158="",F158=""),"",IF(OR(C158="",D158="",E158="",F158="",G158=""),"EKSİK",IF(COUNTIF(MUSTERILER!$B$7:$B$156,C158)=0,"TANIMSIZ MÜŞTERİ","UYGUN")))</f>
        <v>UYGUN</v>
      </c>
      <c r="N158" s="22" t="str">
        <f>IF(D158="","",D158&amp;"|"&amp;TEXT(COUNTIF($D$7:D158,D158),"000"))</f>
        <v>AC OTEL LTD.ŞTİ.|003</v>
      </c>
      <c r="O158" s="22" t="str">
        <f>IF(G158="","",G158&amp;"|"&amp;TEXT(COUNTIF($G$7:G158,G158),"000"))</f>
        <v>MERKEZ KASA|111</v>
      </c>
    </row>
    <row r="159" spans="1:15" ht="17">
      <c r="A159" s="6"/>
      <c r="B159" s="95" t="s">
        <v>787</v>
      </c>
      <c r="C159" s="95" t="s">
        <v>521</v>
      </c>
      <c r="D159" s="96" t="s">
        <v>522</v>
      </c>
      <c r="E159" s="97">
        <v>46093</v>
      </c>
      <c r="F159" s="99">
        <v>17000</v>
      </c>
      <c r="G159" s="95" t="s">
        <v>628</v>
      </c>
      <c r="H159" s="95" t="s">
        <v>462</v>
      </c>
      <c r="I159" s="95"/>
      <c r="J159" s="96" t="s">
        <v>788</v>
      </c>
      <c r="K159" s="95"/>
      <c r="L159" s="43">
        <f t="shared" si="2"/>
        <v>46082</v>
      </c>
      <c r="M159" s="42" t="str">
        <f>IF(AND(C159="",D159="",E159="",F159=""),"",IF(OR(C159="",D159="",E159="",F159="",G159=""),"EKSİK",IF(COUNTIF(MUSTERILER!$B$7:$B$156,C159)=0,"TANIMSIZ MÜŞTERİ","UYGUN")))</f>
        <v>UYGUN</v>
      </c>
      <c r="N159" s="22" t="str">
        <f>IF(D159="","",D159&amp;"|"&amp;TEXT(COUNTIF($D$7:D159,D159),"000"))</f>
        <v>MENEKŞE AKAN|002</v>
      </c>
      <c r="O159" s="22" t="str">
        <f>IF(G159="","",G159&amp;"|"&amp;TEXT(COUNTIF($G$7:G159,G159),"000"))</f>
        <v>ÖMER KARTAL|040</v>
      </c>
    </row>
    <row r="160" spans="1:15" ht="17">
      <c r="A160" s="6"/>
      <c r="B160" s="95" t="s">
        <v>789</v>
      </c>
      <c r="C160" s="95" t="s">
        <v>487</v>
      </c>
      <c r="D160" s="96" t="s">
        <v>488</v>
      </c>
      <c r="E160" s="97">
        <v>46095</v>
      </c>
      <c r="F160" s="99">
        <v>3000</v>
      </c>
      <c r="G160" s="95" t="s">
        <v>618</v>
      </c>
      <c r="H160" s="95" t="s">
        <v>462</v>
      </c>
      <c r="I160" s="95"/>
      <c r="J160" s="96" t="s">
        <v>619</v>
      </c>
      <c r="K160" s="95"/>
      <c r="L160" s="43">
        <f t="shared" si="2"/>
        <v>46082</v>
      </c>
      <c r="M160" s="42" t="str">
        <f>IF(AND(C160="",D160="",E160="",F160=""),"",IF(OR(C160="",D160="",E160="",F160="",G160=""),"EKSİK",IF(COUNTIF(MUSTERILER!$B$7:$B$156,C160)=0,"TANIMSIZ MÜŞTERİ","UYGUN")))</f>
        <v>UYGUN</v>
      </c>
      <c r="N160" s="22" t="str">
        <f>IF(D160="","",D160&amp;"|"&amp;TEXT(COUNTIF($D$7:D160,D160),"000"))</f>
        <v>EĞLENGÖR LTD.ŞTİ.|010</v>
      </c>
      <c r="O160" s="22" t="str">
        <f>IF(G160="","",G160&amp;"|"&amp;TEXT(COUNTIF($G$7:G160,G160),"000"))</f>
        <v>MERKEZ KASA|112</v>
      </c>
    </row>
    <row r="161" spans="1:15" ht="17">
      <c r="A161" s="6"/>
      <c r="B161" s="95" t="s">
        <v>790</v>
      </c>
      <c r="C161" s="95" t="s">
        <v>475</v>
      </c>
      <c r="D161" s="96" t="s">
        <v>476</v>
      </c>
      <c r="E161" s="97">
        <v>46096</v>
      </c>
      <c r="F161" s="99">
        <v>2500</v>
      </c>
      <c r="G161" s="95" t="s">
        <v>628</v>
      </c>
      <c r="H161" s="95" t="s">
        <v>462</v>
      </c>
      <c r="I161" s="95"/>
      <c r="J161" s="96" t="s">
        <v>619</v>
      </c>
      <c r="K161" s="95"/>
      <c r="L161" s="43">
        <f t="shared" si="2"/>
        <v>46082</v>
      </c>
      <c r="M161" s="42" t="str">
        <f>IF(AND(C161="",D161="",E161="",F161=""),"",IF(OR(C161="",D161="",E161="",F161="",G161=""),"EKSİK",IF(COUNTIF(MUSTERILER!$B$7:$B$156,C161)=0,"TANIMSIZ MÜŞTERİ","UYGUN")))</f>
        <v>UYGUN</v>
      </c>
      <c r="N161" s="22" t="str">
        <f>IF(D161="","",D161&amp;"|"&amp;TEXT(COUNTIF($D$7:D161,D161),"000"))</f>
        <v>ASM EĞLENCE LTD.ŞTİ.|009</v>
      </c>
      <c r="O161" s="22" t="str">
        <f>IF(G161="","",G161&amp;"|"&amp;TEXT(COUNTIF($G$7:G161,G161),"000"))</f>
        <v>ÖMER KARTAL|041</v>
      </c>
    </row>
    <row r="162" spans="1:15" ht="17">
      <c r="A162" s="6"/>
      <c r="B162" s="95" t="s">
        <v>791</v>
      </c>
      <c r="C162" s="95" t="s">
        <v>479</v>
      </c>
      <c r="D162" s="96" t="s">
        <v>617</v>
      </c>
      <c r="E162" s="97">
        <v>46096</v>
      </c>
      <c r="F162" s="99">
        <v>12000</v>
      </c>
      <c r="G162" s="95" t="s">
        <v>628</v>
      </c>
      <c r="H162" s="95" t="s">
        <v>462</v>
      </c>
      <c r="I162" s="95"/>
      <c r="J162" s="96" t="s">
        <v>629</v>
      </c>
      <c r="K162" s="95"/>
      <c r="L162" s="43">
        <f t="shared" si="2"/>
        <v>46082</v>
      </c>
      <c r="M162" s="42" t="str">
        <f>IF(AND(C162="",D162="",E162="",F162=""),"",IF(OR(C162="",D162="",E162="",F162="",G162=""),"EKSİK",IF(COUNTIF(MUSTERILER!$B$7:$B$156,C162)=0,"TANIMSIZ MÜŞTERİ","UYGUN")))</f>
        <v>UYGUN</v>
      </c>
      <c r="N162" s="22" t="str">
        <f>IF(D162="","",D162&amp;"|"&amp;TEXT(COUNTIF($D$7:D162,D162),"000"))</f>
        <v>Çayıralan Ltd.Şti.|008</v>
      </c>
      <c r="O162" s="22" t="str">
        <f>IF(G162="","",G162&amp;"|"&amp;TEXT(COUNTIF($G$7:G162,G162),"000"))</f>
        <v>ÖMER KARTAL|042</v>
      </c>
    </row>
    <row r="163" spans="1:15" ht="17">
      <c r="A163" s="6"/>
      <c r="B163" s="95" t="s">
        <v>792</v>
      </c>
      <c r="C163" s="95" t="s">
        <v>501</v>
      </c>
      <c r="D163" s="96" t="s">
        <v>718</v>
      </c>
      <c r="E163" s="97">
        <v>46096</v>
      </c>
      <c r="F163" s="99">
        <v>4000</v>
      </c>
      <c r="G163" s="95" t="s">
        <v>628</v>
      </c>
      <c r="H163" s="95" t="s">
        <v>462</v>
      </c>
      <c r="I163" s="95"/>
      <c r="J163" s="96" t="s">
        <v>629</v>
      </c>
      <c r="K163" s="95"/>
      <c r="L163" s="43">
        <f t="shared" si="2"/>
        <v>46082</v>
      </c>
      <c r="M163" s="42" t="str">
        <f>IF(AND(C163="",D163="",E163="",F163=""),"",IF(OR(C163="",D163="",E163="",F163="",G163=""),"EKSİK",IF(COUNTIF(MUSTERILER!$B$7:$B$156,C163)=0,"TANIMSIZ MÜŞTERİ","UYGUN")))</f>
        <v>UYGUN</v>
      </c>
      <c r="N163" s="22" t="str">
        <f>IF(D163="","",D163&amp;"|"&amp;TEXT(COUNTIF($D$7:D163,D163),"000"))</f>
        <v>İbrahim Maldan|007</v>
      </c>
      <c r="O163" s="22" t="str">
        <f>IF(G163="","",G163&amp;"|"&amp;TEXT(COUNTIF($G$7:G163,G163),"000"))</f>
        <v>ÖMER KARTAL|043</v>
      </c>
    </row>
    <row r="164" spans="1:15" ht="17">
      <c r="A164" s="6"/>
      <c r="B164" s="95" t="s">
        <v>793</v>
      </c>
      <c r="C164" s="95" t="s">
        <v>548</v>
      </c>
      <c r="D164" s="96" t="s">
        <v>728</v>
      </c>
      <c r="E164" s="97">
        <v>46096</v>
      </c>
      <c r="F164" s="99">
        <v>3000</v>
      </c>
      <c r="G164" s="95" t="s">
        <v>628</v>
      </c>
      <c r="H164" s="95" t="s">
        <v>462</v>
      </c>
      <c r="I164" s="95"/>
      <c r="J164" s="96" t="s">
        <v>629</v>
      </c>
      <c r="K164" s="95"/>
      <c r="L164" s="43">
        <f t="shared" si="2"/>
        <v>46082</v>
      </c>
      <c r="M164" s="42" t="str">
        <f>IF(AND(C164="",D164="",E164="",F164=""),"",IF(OR(C164="",D164="",E164="",F164="",G164=""),"EKSİK",IF(COUNTIF(MUSTERILER!$B$7:$B$156,C164)=0,"TANIMSIZ MÜŞTERİ","UYGUN")))</f>
        <v>UYGUN</v>
      </c>
      <c r="N164" s="22" t="str">
        <f>IF(D164="","",D164&amp;"|"&amp;TEXT(COUNTIF($D$7:D164,D164),"000"))</f>
        <v>Rix Şow Ltd.Şti.|010</v>
      </c>
      <c r="O164" s="22" t="str">
        <f>IF(G164="","",G164&amp;"|"&amp;TEXT(COUNTIF($G$7:G164,G164),"000"))</f>
        <v>ÖMER KARTAL|044</v>
      </c>
    </row>
    <row r="165" spans="1:15" ht="17">
      <c r="A165" s="6"/>
      <c r="B165" s="95" t="s">
        <v>794</v>
      </c>
      <c r="C165" s="95" t="s">
        <v>473</v>
      </c>
      <c r="D165" s="96" t="s">
        <v>474</v>
      </c>
      <c r="E165" s="97">
        <v>46096</v>
      </c>
      <c r="F165" s="99">
        <v>2000</v>
      </c>
      <c r="G165" s="95" t="s">
        <v>618</v>
      </c>
      <c r="H165" s="95" t="s">
        <v>462</v>
      </c>
      <c r="I165" s="95"/>
      <c r="J165" s="96" t="s">
        <v>619</v>
      </c>
      <c r="K165" s="95"/>
      <c r="L165" s="43">
        <f t="shared" si="2"/>
        <v>46082</v>
      </c>
      <c r="M165" s="42" t="str">
        <f>IF(AND(C165="",D165="",E165="",F165=""),"",IF(OR(C165="",D165="",E165="",F165="",G165=""),"EKSİK",IF(COUNTIF(MUSTERILER!$B$7:$B$156,C165)=0,"TANIMSIZ MÜŞTERİ","UYGUN")))</f>
        <v>UYGUN</v>
      </c>
      <c r="N165" s="22" t="str">
        <f>IF(D165="","",D165&amp;"|"&amp;TEXT(COUNTIF($D$7:D165,D165),"000"))</f>
        <v>ASIM AÇIKGÖZ|009</v>
      </c>
      <c r="O165" s="22" t="str">
        <f>IF(G165="","",G165&amp;"|"&amp;TEXT(COUNTIF($G$7:G165,G165),"000"))</f>
        <v>MERKEZ KASA|113</v>
      </c>
    </row>
    <row r="166" spans="1:15" ht="17">
      <c r="A166" s="6"/>
      <c r="B166" s="95" t="s">
        <v>795</v>
      </c>
      <c r="C166" s="95" t="s">
        <v>544</v>
      </c>
      <c r="D166" s="96" t="s">
        <v>545</v>
      </c>
      <c r="E166" s="97">
        <v>46096</v>
      </c>
      <c r="F166" s="99">
        <v>4000</v>
      </c>
      <c r="G166" s="95" t="s">
        <v>628</v>
      </c>
      <c r="H166" s="95" t="s">
        <v>462</v>
      </c>
      <c r="I166" s="95"/>
      <c r="J166" s="96" t="s">
        <v>619</v>
      </c>
      <c r="K166" s="95"/>
      <c r="L166" s="43">
        <f t="shared" si="2"/>
        <v>46082</v>
      </c>
      <c r="M166" s="42" t="str">
        <f>IF(AND(C166="",D166="",E166="",F166=""),"",IF(OR(C166="",D166="",E166="",F166="",G166=""),"EKSİK",IF(COUNTIF(MUSTERILER!$B$7:$B$156,C166)=0,"TANIMSIZ MÜŞTERİ","UYGUN")))</f>
        <v>UYGUN</v>
      </c>
      <c r="N166" s="22" t="str">
        <f>IF(D166="","",D166&amp;"|"&amp;TEXT(COUNTIF($D$7:D166,D166),"000"))</f>
        <v>PALAOĞULLARI LTD.ŞTİ.|003</v>
      </c>
      <c r="O166" s="22" t="str">
        <f>IF(G166="","",G166&amp;"|"&amp;TEXT(COUNTIF($G$7:G166,G166),"000"))</f>
        <v>ÖMER KARTAL|045</v>
      </c>
    </row>
    <row r="167" spans="1:15" ht="17">
      <c r="A167" s="6"/>
      <c r="B167" s="95" t="s">
        <v>796</v>
      </c>
      <c r="C167" s="95" t="s">
        <v>556</v>
      </c>
      <c r="D167" s="96" t="s">
        <v>557</v>
      </c>
      <c r="E167" s="97">
        <v>46096</v>
      </c>
      <c r="F167" s="99">
        <v>4000</v>
      </c>
      <c r="G167" s="95" t="s">
        <v>628</v>
      </c>
      <c r="H167" s="95" t="s">
        <v>462</v>
      </c>
      <c r="I167" s="95"/>
      <c r="J167" s="96" t="s">
        <v>619</v>
      </c>
      <c r="K167" s="95"/>
      <c r="L167" s="43">
        <f t="shared" si="2"/>
        <v>46082</v>
      </c>
      <c r="M167" s="42" t="str">
        <f>IF(AND(C167="",D167="",E167="",F167=""),"",IF(OR(C167="",D167="",E167="",F167="",G167=""),"EKSİK",IF(COUNTIF(MUSTERILER!$B$7:$B$156,C167)=0,"TANIMSIZ MÜŞTERİ","UYGUN")))</f>
        <v>UYGUN</v>
      </c>
      <c r="N167" s="22" t="str">
        <f>IF(D167="","",D167&amp;"|"&amp;TEXT(COUNTIF($D$7:D167,D167),"000"))</f>
        <v>TYANA LTD.ŞTİ.|004</v>
      </c>
      <c r="O167" s="22" t="str">
        <f>IF(G167="","",G167&amp;"|"&amp;TEXT(COUNTIF($G$7:G167,G167),"000"))</f>
        <v>ÖMER KARTAL|046</v>
      </c>
    </row>
    <row r="168" spans="1:15" ht="17">
      <c r="A168" s="6"/>
      <c r="B168" s="95" t="s">
        <v>797</v>
      </c>
      <c r="C168" s="95" t="s">
        <v>495</v>
      </c>
      <c r="D168" s="96" t="s">
        <v>716</v>
      </c>
      <c r="E168" s="97">
        <v>46096</v>
      </c>
      <c r="F168" s="99">
        <v>2000</v>
      </c>
      <c r="G168" s="95" t="s">
        <v>618</v>
      </c>
      <c r="H168" s="95" t="s">
        <v>462</v>
      </c>
      <c r="I168" s="95"/>
      <c r="J168" s="96" t="s">
        <v>619</v>
      </c>
      <c r="K168" s="95"/>
      <c r="L168" s="43">
        <f t="shared" si="2"/>
        <v>46082</v>
      </c>
      <c r="M168" s="42" t="str">
        <f>IF(AND(C168="",D168="",E168="",F168=""),"",IF(OR(C168="",D168="",E168="",F168="",G168=""),"EKSİK",IF(COUNTIF(MUSTERILER!$B$7:$B$156,C168)=0,"TANIMSIZ MÜŞTERİ","UYGUN")))</f>
        <v>UYGUN</v>
      </c>
      <c r="N168" s="22" t="str">
        <f>IF(D168="","",D168&amp;"|"&amp;TEXT(COUNTIF($D$7:D168,D168),"000"))</f>
        <v>Final Siyah Beyaz Ltd.Şti.|009</v>
      </c>
      <c r="O168" s="22" t="str">
        <f>IF(G168="","",G168&amp;"|"&amp;TEXT(COUNTIF($G$7:G168,G168),"000"))</f>
        <v>MERKEZ KASA|114</v>
      </c>
    </row>
    <row r="169" spans="1:15" ht="17">
      <c r="A169" s="6"/>
      <c r="B169" s="95" t="s">
        <v>798</v>
      </c>
      <c r="C169" s="95" t="s">
        <v>503</v>
      </c>
      <c r="D169" s="96" t="s">
        <v>621</v>
      </c>
      <c r="E169" s="97">
        <v>46096</v>
      </c>
      <c r="F169" s="99">
        <v>4000</v>
      </c>
      <c r="G169" s="95" t="s">
        <v>618</v>
      </c>
      <c r="H169" s="95" t="s">
        <v>462</v>
      </c>
      <c r="I169" s="95"/>
      <c r="J169" s="96" t="s">
        <v>619</v>
      </c>
      <c r="K169" s="95"/>
      <c r="L169" s="43">
        <f t="shared" si="2"/>
        <v>46082</v>
      </c>
      <c r="M169" s="42" t="str">
        <f>IF(AND(C169="",D169="",E169="",F169=""),"",IF(OR(C169="",D169="",E169="",F169="",G169=""),"EKSİK",IF(COUNTIF(MUSTERILER!$B$7:$B$156,C169)=0,"TANIMSIZ MÜŞTERİ","UYGUN")))</f>
        <v>UYGUN</v>
      </c>
      <c r="N169" s="22" t="str">
        <f>IF(D169="","",D169&amp;"|"&amp;TEXT(COUNTIF($D$7:D169,D169),"000"))</f>
        <v>İldeş Ltd.Şti.|009</v>
      </c>
      <c r="O169" s="22" t="str">
        <f>IF(G169="","",G169&amp;"|"&amp;TEXT(COUNTIF($G$7:G169,G169),"000"))</f>
        <v>MERKEZ KASA|115</v>
      </c>
    </row>
    <row r="170" spans="1:15" ht="17">
      <c r="A170" s="6"/>
      <c r="B170" s="95" t="s">
        <v>799</v>
      </c>
      <c r="C170" s="95" t="s">
        <v>525</v>
      </c>
      <c r="D170" s="96" t="s">
        <v>721</v>
      </c>
      <c r="E170" s="97">
        <v>46096</v>
      </c>
      <c r="F170" s="99">
        <v>3500</v>
      </c>
      <c r="G170" s="95" t="s">
        <v>618</v>
      </c>
      <c r="H170" s="95" t="s">
        <v>462</v>
      </c>
      <c r="I170" s="95"/>
      <c r="J170" s="96" t="s">
        <v>619</v>
      </c>
      <c r="K170" s="95"/>
      <c r="L170" s="43">
        <f t="shared" si="2"/>
        <v>46082</v>
      </c>
      <c r="M170" s="42" t="str">
        <f>IF(AND(C170="",D170="",E170="",F170=""),"",IF(OR(C170="",D170="",E170="",F170="",G170=""),"EKSİK",IF(COUNTIF(MUSTERILER!$B$7:$B$156,C170)=0,"TANIMSIZ MÜŞTERİ","UYGUN")))</f>
        <v>UYGUN</v>
      </c>
      <c r="N170" s="22" t="str">
        <f>IF(D170="","",D170&amp;"|"&amp;TEXT(COUNTIF($D$7:D170,D170),"000"))</f>
        <v>Monamour Ltd.Şti.|008</v>
      </c>
      <c r="O170" s="22" t="str">
        <f>IF(G170="","",G170&amp;"|"&amp;TEXT(COUNTIF($G$7:G170,G170),"000"))</f>
        <v>MERKEZ KASA|116</v>
      </c>
    </row>
    <row r="171" spans="1:15" ht="17">
      <c r="A171" s="6"/>
      <c r="B171" s="95" t="s">
        <v>800</v>
      </c>
      <c r="C171" s="95" t="s">
        <v>570</v>
      </c>
      <c r="D171" s="96" t="s">
        <v>626</v>
      </c>
      <c r="E171" s="97">
        <v>46096</v>
      </c>
      <c r="F171" s="99">
        <v>1750</v>
      </c>
      <c r="G171" s="95" t="s">
        <v>618</v>
      </c>
      <c r="H171" s="95" t="s">
        <v>462</v>
      </c>
      <c r="I171" s="95"/>
      <c r="J171" s="96" t="s">
        <v>619</v>
      </c>
      <c r="K171" s="95"/>
      <c r="L171" s="43">
        <f t="shared" si="2"/>
        <v>46082</v>
      </c>
      <c r="M171" s="42" t="str">
        <f>IF(AND(C171="",D171="",E171="",F171=""),"",IF(OR(C171="",D171="",E171="",F171="",G171=""),"EKSİK",IF(COUNTIF(MUSTERILER!$B$7:$B$156,C171)=0,"TANIMSIZ MÜŞTERİ","UYGUN")))</f>
        <v>UYGUN</v>
      </c>
      <c r="N171" s="22" t="str">
        <f>IF(D171="","",D171&amp;"|"&amp;TEXT(COUNTIF($D$7:D171,D171),"000"))</f>
        <v>Zümrüt Grup Ltd.Şti.|010</v>
      </c>
      <c r="O171" s="22" t="str">
        <f>IF(G171="","",G171&amp;"|"&amp;TEXT(COUNTIF($G$7:G171,G171),"000"))</f>
        <v>MERKEZ KASA|117</v>
      </c>
    </row>
    <row r="172" spans="1:15" ht="17">
      <c r="A172" s="6"/>
      <c r="B172" s="95" t="s">
        <v>801</v>
      </c>
      <c r="C172" s="95" t="s">
        <v>513</v>
      </c>
      <c r="D172" s="96" t="s">
        <v>514</v>
      </c>
      <c r="E172" s="97">
        <v>46096</v>
      </c>
      <c r="F172" s="99">
        <v>3000</v>
      </c>
      <c r="G172" s="95" t="s">
        <v>618</v>
      </c>
      <c r="H172" s="95" t="s">
        <v>462</v>
      </c>
      <c r="I172" s="95"/>
      <c r="J172" s="96" t="s">
        <v>619</v>
      </c>
      <c r="K172" s="95"/>
      <c r="L172" s="43">
        <f t="shared" si="2"/>
        <v>46082</v>
      </c>
      <c r="M172" s="42" t="str">
        <f>IF(AND(C172="",D172="",E172="",F172=""),"",IF(OR(C172="",D172="",E172="",F172="",G172=""),"EKSİK",IF(COUNTIF(MUSTERILER!$B$7:$B$156,C172)=0,"TANIMSIZ MÜŞTERİ","UYGUN")))</f>
        <v>UYGUN</v>
      </c>
      <c r="N172" s="22" t="str">
        <f>IF(D172="","",D172&amp;"|"&amp;TEXT(COUNTIF($D$7:D172,D172),"000"))</f>
        <v>KRİSTAL LTD.ŞTİ.|010</v>
      </c>
      <c r="O172" s="22" t="str">
        <f>IF(G172="","",G172&amp;"|"&amp;TEXT(COUNTIF($G$7:G172,G172),"000"))</f>
        <v>MERKEZ KASA|118</v>
      </c>
    </row>
    <row r="173" spans="1:15" ht="17">
      <c r="A173" s="6"/>
      <c r="B173" s="95" t="s">
        <v>802</v>
      </c>
      <c r="C173" s="95" t="s">
        <v>564</v>
      </c>
      <c r="D173" s="96" t="s">
        <v>565</v>
      </c>
      <c r="E173" s="97">
        <v>46096</v>
      </c>
      <c r="F173" s="99">
        <v>4000</v>
      </c>
      <c r="G173" s="95" t="s">
        <v>618</v>
      </c>
      <c r="H173" s="95" t="s">
        <v>462</v>
      </c>
      <c r="I173" s="95"/>
      <c r="J173" s="96" t="s">
        <v>619</v>
      </c>
      <c r="K173" s="95"/>
      <c r="L173" s="43">
        <f t="shared" si="2"/>
        <v>46082</v>
      </c>
      <c r="M173" s="42" t="str">
        <f>IF(AND(C173="",D173="",E173="",F173=""),"",IF(OR(C173="",D173="",E173="",F173="",G173=""),"EKSİK",IF(COUNTIF(MUSTERILER!$B$7:$B$156,C173)=0,"TANIMSIZ MÜŞTERİ","UYGUN")))</f>
        <v>UYGUN</v>
      </c>
      <c r="N173" s="22" t="str">
        <f>IF(D173="","",D173&amp;"|"&amp;TEXT(COUNTIF($D$7:D173,D173),"000"))</f>
        <v>YALIKENT LTD.ŞTİ.|002</v>
      </c>
      <c r="O173" s="22" t="str">
        <f>IF(G173="","",G173&amp;"|"&amp;TEXT(COUNTIF($G$7:G173,G173),"000"))</f>
        <v>MERKEZ KASA|119</v>
      </c>
    </row>
    <row r="174" spans="1:15" ht="17">
      <c r="A174" s="6"/>
      <c r="B174" s="95" t="s">
        <v>803</v>
      </c>
      <c r="C174" s="95" t="s">
        <v>550</v>
      </c>
      <c r="D174" s="96" t="s">
        <v>551</v>
      </c>
      <c r="E174" s="97">
        <v>46098</v>
      </c>
      <c r="F174" s="99">
        <v>4000</v>
      </c>
      <c r="G174" s="95" t="s">
        <v>618</v>
      </c>
      <c r="H174" s="95" t="s">
        <v>462</v>
      </c>
      <c r="I174" s="95"/>
      <c r="J174" s="96" t="s">
        <v>619</v>
      </c>
      <c r="K174" s="95"/>
      <c r="L174" s="43">
        <f t="shared" si="2"/>
        <v>46082</v>
      </c>
      <c r="M174" s="42" t="str">
        <f>IF(AND(C174="",D174="",E174="",F174=""),"",IF(OR(C174="",D174="",E174="",F174="",G174=""),"EKSİK",IF(COUNTIF(MUSTERILER!$B$7:$B$156,C174)=0,"TANIMSIZ MÜŞTERİ","UYGUN")))</f>
        <v>UYGUN</v>
      </c>
      <c r="N174" s="22" t="str">
        <f>IF(D174="","",D174&amp;"|"&amp;TEXT(COUNTIF($D$7:D174,D174),"000"))</f>
        <v>SEMRA GÜMÜŞ|001</v>
      </c>
      <c r="O174" s="22" t="str">
        <f>IF(G174="","",G174&amp;"|"&amp;TEXT(COUNTIF($G$7:G174,G174),"000"))</f>
        <v>MERKEZ KASA|120</v>
      </c>
    </row>
    <row r="175" spans="1:15" ht="17">
      <c r="A175" s="6"/>
      <c r="B175" s="95" t="s">
        <v>804</v>
      </c>
      <c r="C175" s="95" t="s">
        <v>550</v>
      </c>
      <c r="D175" s="96" t="s">
        <v>551</v>
      </c>
      <c r="E175" s="97">
        <v>46099</v>
      </c>
      <c r="F175" s="99">
        <v>4000</v>
      </c>
      <c r="G175" s="95" t="s">
        <v>618</v>
      </c>
      <c r="H175" s="95" t="s">
        <v>462</v>
      </c>
      <c r="I175" s="95"/>
      <c r="J175" s="96" t="s">
        <v>619</v>
      </c>
      <c r="K175" s="95"/>
      <c r="L175" s="43">
        <f t="shared" si="2"/>
        <v>46082</v>
      </c>
      <c r="M175" s="42" t="str">
        <f>IF(AND(C175="",D175="",E175="",F175=""),"",IF(OR(C175="",D175="",E175="",F175="",G175=""),"EKSİK",IF(COUNTIF(MUSTERILER!$B$7:$B$156,C175)=0,"TANIMSIZ MÜŞTERİ","UYGUN")))</f>
        <v>UYGUN</v>
      </c>
      <c r="N175" s="22" t="str">
        <f>IF(D175="","",D175&amp;"|"&amp;TEXT(COUNTIF($D$7:D175,D175),"000"))</f>
        <v>SEMRA GÜMÜŞ|002</v>
      </c>
      <c r="O175" s="22" t="str">
        <f>IF(G175="","",G175&amp;"|"&amp;TEXT(COUNTIF($G$7:G175,G175),"000"))</f>
        <v>MERKEZ KASA|121</v>
      </c>
    </row>
    <row r="176" spans="1:15" ht="17">
      <c r="A176" s="6"/>
      <c r="B176" s="95" t="s">
        <v>805</v>
      </c>
      <c r="C176" s="95" t="s">
        <v>558</v>
      </c>
      <c r="D176" s="96" t="s">
        <v>559</v>
      </c>
      <c r="E176" s="97">
        <v>46099</v>
      </c>
      <c r="F176" s="99">
        <v>3000</v>
      </c>
      <c r="G176" s="95" t="s">
        <v>618</v>
      </c>
      <c r="H176" s="95" t="s">
        <v>462</v>
      </c>
      <c r="I176" s="95"/>
      <c r="J176" s="96" t="s">
        <v>619</v>
      </c>
      <c r="K176" s="95"/>
      <c r="L176" s="43">
        <f t="shared" si="2"/>
        <v>46082</v>
      </c>
      <c r="M176" s="42" t="str">
        <f>IF(AND(C176="",D176="",E176="",F176=""),"",IF(OR(C176="",D176="",E176="",F176="",G176=""),"EKSİK",IF(COUNTIF(MUSTERILER!$B$7:$B$156,C176)=0,"TANIMSIZ MÜŞTERİ","UYGUN")))</f>
        <v>UYGUN</v>
      </c>
      <c r="N176" s="22" t="str">
        <f>IF(D176="","",D176&amp;"|"&amp;TEXT(COUNTIF($D$7:D176,D176),"000"))</f>
        <v>UFUK YILMAZ|003</v>
      </c>
      <c r="O176" s="22" t="str">
        <f>IF(G176="","",G176&amp;"|"&amp;TEXT(COUNTIF($G$7:G176,G176),"000"))</f>
        <v>MERKEZ KASA|122</v>
      </c>
    </row>
    <row r="177" spans="1:15" ht="17">
      <c r="A177" s="6"/>
      <c r="B177" s="95" t="s">
        <v>806</v>
      </c>
      <c r="C177" s="95" t="s">
        <v>469</v>
      </c>
      <c r="D177" s="96" t="s">
        <v>470</v>
      </c>
      <c r="E177" s="97">
        <v>46100</v>
      </c>
      <c r="F177" s="99">
        <v>3000</v>
      </c>
      <c r="G177" s="95" t="s">
        <v>618</v>
      </c>
      <c r="H177" s="95" t="s">
        <v>462</v>
      </c>
      <c r="I177" s="95"/>
      <c r="J177" s="96" t="s">
        <v>619</v>
      </c>
      <c r="K177" s="95"/>
      <c r="L177" s="43">
        <f t="shared" si="2"/>
        <v>46082</v>
      </c>
      <c r="M177" s="42" t="str">
        <f>IF(AND(C177="",D177="",E177="",F177=""),"",IF(OR(C177="",D177="",E177="",F177="",G177=""),"EKSİK",IF(COUNTIF(MUSTERILER!$B$7:$B$156,C177)=0,"TANIMSIZ MÜŞTERİ","UYGUN")))</f>
        <v>UYGUN</v>
      </c>
      <c r="N177" s="22" t="str">
        <f>IF(D177="","",D177&amp;"|"&amp;TEXT(COUNTIF($D$7:D177,D177),"000"))</f>
        <v>ARMAN DİK|002</v>
      </c>
      <c r="O177" s="22" t="str">
        <f>IF(G177="","",G177&amp;"|"&amp;TEXT(COUNTIF($G$7:G177,G177),"000"))</f>
        <v>MERKEZ KASA|123</v>
      </c>
    </row>
    <row r="178" spans="1:15" ht="17">
      <c r="A178" s="6"/>
      <c r="B178" s="95" t="s">
        <v>807</v>
      </c>
      <c r="C178" s="95" t="s">
        <v>487</v>
      </c>
      <c r="D178" s="96" t="s">
        <v>488</v>
      </c>
      <c r="E178" s="97">
        <v>46102</v>
      </c>
      <c r="F178" s="99">
        <v>1000</v>
      </c>
      <c r="G178" s="95" t="s">
        <v>618</v>
      </c>
      <c r="H178" s="95" t="s">
        <v>462</v>
      </c>
      <c r="I178" s="95"/>
      <c r="J178" s="96" t="s">
        <v>619</v>
      </c>
      <c r="K178" s="95"/>
      <c r="L178" s="43">
        <f t="shared" si="2"/>
        <v>46082</v>
      </c>
      <c r="M178" s="42" t="str">
        <f>IF(AND(C178="",D178="",E178="",F178=""),"",IF(OR(C178="",D178="",E178="",F178="",G178=""),"EKSİK",IF(COUNTIF(MUSTERILER!$B$7:$B$156,C178)=0,"TANIMSIZ MÜŞTERİ","UYGUN")))</f>
        <v>UYGUN</v>
      </c>
      <c r="N178" s="22" t="str">
        <f>IF(D178="","",D178&amp;"|"&amp;TEXT(COUNTIF($D$7:D178,D178),"000"))</f>
        <v>EĞLENGÖR LTD.ŞTİ.|011</v>
      </c>
      <c r="O178" s="22" t="str">
        <f>IF(G178="","",G178&amp;"|"&amp;TEXT(COUNTIF($G$7:G178,G178),"000"))</f>
        <v>MERKEZ KASA|124</v>
      </c>
    </row>
    <row r="179" spans="1:15" ht="17">
      <c r="A179" s="6"/>
      <c r="B179" s="95" t="s">
        <v>808</v>
      </c>
      <c r="C179" s="95" t="s">
        <v>475</v>
      </c>
      <c r="D179" s="96" t="s">
        <v>476</v>
      </c>
      <c r="E179" s="97">
        <v>46103</v>
      </c>
      <c r="F179" s="99">
        <v>5000</v>
      </c>
      <c r="G179" s="95" t="s">
        <v>618</v>
      </c>
      <c r="H179" s="95" t="s">
        <v>462</v>
      </c>
      <c r="I179" s="95"/>
      <c r="J179" s="96" t="s">
        <v>619</v>
      </c>
      <c r="K179" s="95"/>
      <c r="L179" s="43">
        <f t="shared" si="2"/>
        <v>46082</v>
      </c>
      <c r="M179" s="42" t="str">
        <f>IF(AND(C179="",D179="",E179="",F179=""),"",IF(OR(C179="",D179="",E179="",F179="",G179=""),"EKSİK",IF(COUNTIF(MUSTERILER!$B$7:$B$156,C179)=0,"TANIMSIZ MÜŞTERİ","UYGUN")))</f>
        <v>UYGUN</v>
      </c>
      <c r="N179" s="22" t="str">
        <f>IF(D179="","",D179&amp;"|"&amp;TEXT(COUNTIF($D$7:D179,D179),"000"))</f>
        <v>ASM EĞLENCE LTD.ŞTİ.|010</v>
      </c>
      <c r="O179" s="22" t="str">
        <f>IF(G179="","",G179&amp;"|"&amp;TEXT(COUNTIF($G$7:G179,G179),"000"))</f>
        <v>MERKEZ KASA|125</v>
      </c>
    </row>
    <row r="180" spans="1:15" ht="17">
      <c r="A180" s="6"/>
      <c r="B180" s="95" t="s">
        <v>809</v>
      </c>
      <c r="C180" s="95" t="s">
        <v>479</v>
      </c>
      <c r="D180" s="96" t="s">
        <v>617</v>
      </c>
      <c r="E180" s="97">
        <v>46103</v>
      </c>
      <c r="F180" s="99">
        <v>3000</v>
      </c>
      <c r="G180" s="95" t="s">
        <v>618</v>
      </c>
      <c r="H180" s="95" t="s">
        <v>462</v>
      </c>
      <c r="I180" s="95"/>
      <c r="J180" s="96" t="s">
        <v>619</v>
      </c>
      <c r="K180" s="95"/>
      <c r="L180" s="43">
        <f t="shared" si="2"/>
        <v>46082</v>
      </c>
      <c r="M180" s="42" t="str">
        <f>IF(AND(C180="",D180="",E180="",F180=""),"",IF(OR(C180="",D180="",E180="",F180="",G180=""),"EKSİK",IF(COUNTIF(MUSTERILER!$B$7:$B$156,C180)=0,"TANIMSIZ MÜŞTERİ","UYGUN")))</f>
        <v>UYGUN</v>
      </c>
      <c r="N180" s="22" t="str">
        <f>IF(D180="","",D180&amp;"|"&amp;TEXT(COUNTIF($D$7:D180,D180),"000"))</f>
        <v>Çayıralan Ltd.Şti.|009</v>
      </c>
      <c r="O180" s="22" t="str">
        <f>IF(G180="","",G180&amp;"|"&amp;TEXT(COUNTIF($G$7:G180,G180),"000"))</f>
        <v>MERKEZ KASA|126</v>
      </c>
    </row>
    <row r="181" spans="1:15" ht="17">
      <c r="A181" s="6"/>
      <c r="B181" s="95" t="s">
        <v>810</v>
      </c>
      <c r="C181" s="95" t="s">
        <v>495</v>
      </c>
      <c r="D181" s="96" t="s">
        <v>716</v>
      </c>
      <c r="E181" s="97">
        <v>46103</v>
      </c>
      <c r="F181" s="99">
        <v>2000</v>
      </c>
      <c r="G181" s="95" t="s">
        <v>618</v>
      </c>
      <c r="H181" s="95" t="s">
        <v>462</v>
      </c>
      <c r="I181" s="95"/>
      <c r="J181" s="96" t="s">
        <v>619</v>
      </c>
      <c r="K181" s="95"/>
      <c r="L181" s="43">
        <f t="shared" si="2"/>
        <v>46082</v>
      </c>
      <c r="M181" s="42" t="str">
        <f>IF(AND(C181="",D181="",E181="",F181=""),"",IF(OR(C181="",D181="",E181="",F181="",G181=""),"EKSİK",IF(COUNTIF(MUSTERILER!$B$7:$B$156,C181)=0,"TANIMSIZ MÜŞTERİ","UYGUN")))</f>
        <v>UYGUN</v>
      </c>
      <c r="N181" s="22" t="str">
        <f>IF(D181="","",D181&amp;"|"&amp;TEXT(COUNTIF($D$7:D181,D181),"000"))</f>
        <v>Final Siyah Beyaz Ltd.Şti.|010</v>
      </c>
      <c r="O181" s="22" t="str">
        <f>IF(G181="","",G181&amp;"|"&amp;TEXT(COUNTIF($G$7:G181,G181),"000"))</f>
        <v>MERKEZ KASA|127</v>
      </c>
    </row>
    <row r="182" spans="1:15" ht="17">
      <c r="A182" s="6"/>
      <c r="B182" s="95" t="s">
        <v>811</v>
      </c>
      <c r="C182" s="95" t="s">
        <v>503</v>
      </c>
      <c r="D182" s="96" t="s">
        <v>621</v>
      </c>
      <c r="E182" s="97">
        <v>46103</v>
      </c>
      <c r="F182" s="99">
        <v>4000</v>
      </c>
      <c r="G182" s="95" t="s">
        <v>618</v>
      </c>
      <c r="H182" s="95" t="s">
        <v>462</v>
      </c>
      <c r="I182" s="95"/>
      <c r="J182" s="96" t="s">
        <v>619</v>
      </c>
      <c r="K182" s="95"/>
      <c r="L182" s="43">
        <f t="shared" si="2"/>
        <v>46082</v>
      </c>
      <c r="M182" s="42" t="str">
        <f>IF(AND(C182="",D182="",E182="",F182=""),"",IF(OR(C182="",D182="",E182="",F182="",G182=""),"EKSİK",IF(COUNTIF(MUSTERILER!$B$7:$B$156,C182)=0,"TANIMSIZ MÜŞTERİ","UYGUN")))</f>
        <v>UYGUN</v>
      </c>
      <c r="N182" s="22" t="str">
        <f>IF(D182="","",D182&amp;"|"&amp;TEXT(COUNTIF($D$7:D182,D182),"000"))</f>
        <v>İldeş Ltd.Şti.|010</v>
      </c>
      <c r="O182" s="22" t="str">
        <f>IF(G182="","",G182&amp;"|"&amp;TEXT(COUNTIF($G$7:G182,G182),"000"))</f>
        <v>MERKEZ KASA|128</v>
      </c>
    </row>
    <row r="183" spans="1:15" ht="17">
      <c r="A183" s="6"/>
      <c r="B183" s="95" t="s">
        <v>812</v>
      </c>
      <c r="C183" s="95" t="s">
        <v>542</v>
      </c>
      <c r="D183" s="96" t="s">
        <v>726</v>
      </c>
      <c r="E183" s="97">
        <v>46103</v>
      </c>
      <c r="F183" s="99">
        <v>2000</v>
      </c>
      <c r="G183" s="95" t="s">
        <v>618</v>
      </c>
      <c r="H183" s="95" t="s">
        <v>462</v>
      </c>
      <c r="I183" s="95"/>
      <c r="J183" s="96" t="s">
        <v>619</v>
      </c>
      <c r="K183" s="95"/>
      <c r="L183" s="43">
        <f t="shared" si="2"/>
        <v>46082</v>
      </c>
      <c r="M183" s="42" t="str">
        <f>IF(AND(C183="",D183="",E183="",F183=""),"",IF(OR(C183="",D183="",E183="",F183="",G183=""),"EKSİK",IF(COUNTIF(MUSTERILER!$B$7:$B$156,C183)=0,"TANIMSIZ MÜŞTERİ","UYGUN")))</f>
        <v>UYGUN</v>
      </c>
      <c r="N183" s="22" t="str">
        <f>IF(D183="","",D183&amp;"|"&amp;TEXT(COUNTIF($D$7:D183,D183),"000"))</f>
        <v>Pakyıldız Ltd.Şti.|007</v>
      </c>
      <c r="O183" s="22" t="str">
        <f>IF(G183="","",G183&amp;"|"&amp;TEXT(COUNTIF($G$7:G183,G183),"000"))</f>
        <v>MERKEZ KASA|129</v>
      </c>
    </row>
    <row r="184" spans="1:15" ht="17">
      <c r="A184" s="6"/>
      <c r="B184" s="95" t="s">
        <v>813</v>
      </c>
      <c r="C184" s="95" t="s">
        <v>548</v>
      </c>
      <c r="D184" s="96" t="s">
        <v>728</v>
      </c>
      <c r="E184" s="97">
        <v>46103</v>
      </c>
      <c r="F184" s="99">
        <v>3000</v>
      </c>
      <c r="G184" s="95" t="s">
        <v>618</v>
      </c>
      <c r="H184" s="95" t="s">
        <v>462</v>
      </c>
      <c r="I184" s="95"/>
      <c r="J184" s="96" t="s">
        <v>619</v>
      </c>
      <c r="K184" s="95"/>
      <c r="L184" s="43">
        <f t="shared" si="2"/>
        <v>46082</v>
      </c>
      <c r="M184" s="42" t="str">
        <f>IF(AND(C184="",D184="",E184="",F184=""),"",IF(OR(C184="",D184="",E184="",F184="",G184=""),"EKSİK",IF(COUNTIF(MUSTERILER!$B$7:$B$156,C184)=0,"TANIMSIZ MÜŞTERİ","UYGUN")))</f>
        <v>UYGUN</v>
      </c>
      <c r="N184" s="22" t="str">
        <f>IF(D184="","",D184&amp;"|"&amp;TEXT(COUNTIF($D$7:D184,D184),"000"))</f>
        <v>Rix Şow Ltd.Şti.|011</v>
      </c>
      <c r="O184" s="22" t="str">
        <f>IF(G184="","",G184&amp;"|"&amp;TEXT(COUNTIF($G$7:G184,G184),"000"))</f>
        <v>MERKEZ KASA|130</v>
      </c>
    </row>
    <row r="185" spans="1:15" ht="17">
      <c r="A185" s="6"/>
      <c r="B185" s="95" t="s">
        <v>814</v>
      </c>
      <c r="C185" s="95" t="s">
        <v>570</v>
      </c>
      <c r="D185" s="96" t="s">
        <v>626</v>
      </c>
      <c r="E185" s="97">
        <v>46103</v>
      </c>
      <c r="F185" s="99">
        <v>1750</v>
      </c>
      <c r="G185" s="95" t="s">
        <v>618</v>
      </c>
      <c r="H185" s="95" t="s">
        <v>462</v>
      </c>
      <c r="I185" s="95"/>
      <c r="J185" s="96" t="s">
        <v>619</v>
      </c>
      <c r="K185" s="95"/>
      <c r="L185" s="43">
        <f t="shared" si="2"/>
        <v>46082</v>
      </c>
      <c r="M185" s="42" t="str">
        <f>IF(AND(C185="",D185="",E185="",F185=""),"",IF(OR(C185="",D185="",E185="",F185="",G185=""),"EKSİK",IF(COUNTIF(MUSTERILER!$B$7:$B$156,C185)=0,"TANIMSIZ MÜŞTERİ","UYGUN")))</f>
        <v>UYGUN</v>
      </c>
      <c r="N185" s="22" t="str">
        <f>IF(D185="","",D185&amp;"|"&amp;TEXT(COUNTIF($D$7:D185,D185),"000"))</f>
        <v>Zümrüt Grup Ltd.Şti.|011</v>
      </c>
      <c r="O185" s="22" t="str">
        <f>IF(G185="","",G185&amp;"|"&amp;TEXT(COUNTIF($G$7:G185,G185),"000"))</f>
        <v>MERKEZ KASA|131</v>
      </c>
    </row>
    <row r="186" spans="1:15" ht="17">
      <c r="A186" s="6"/>
      <c r="B186" s="95" t="s">
        <v>815</v>
      </c>
      <c r="C186" s="95" t="s">
        <v>483</v>
      </c>
      <c r="D186" s="96" t="s">
        <v>484</v>
      </c>
      <c r="E186" s="97">
        <v>46103</v>
      </c>
      <c r="F186" s="99">
        <v>2500</v>
      </c>
      <c r="G186" s="95" t="s">
        <v>618</v>
      </c>
      <c r="H186" s="95" t="s">
        <v>462</v>
      </c>
      <c r="I186" s="95"/>
      <c r="J186" s="96" t="s">
        <v>619</v>
      </c>
      <c r="K186" s="95"/>
      <c r="L186" s="43">
        <f t="shared" si="2"/>
        <v>46082</v>
      </c>
      <c r="M186" s="42" t="str">
        <f>IF(AND(C186="",D186="",E186="",F186=""),"",IF(OR(C186="",D186="",E186="",F186="",G186=""),"EKSİK",IF(COUNTIF(MUSTERILER!$B$7:$B$156,C186)=0,"TANIMSIZ MÜŞTERİ","UYGUN")))</f>
        <v>UYGUN</v>
      </c>
      <c r="N186" s="22" t="str">
        <f>IF(D186="","",D186&amp;"|"&amp;TEXT(COUNTIF($D$7:D186,D186),"000"))</f>
        <v>ÇINARHAN LTD.ŞTİ.|006</v>
      </c>
      <c r="O186" s="22" t="str">
        <f>IF(G186="","",G186&amp;"|"&amp;TEXT(COUNTIF($G$7:G186,G186),"000"))</f>
        <v>MERKEZ KASA|132</v>
      </c>
    </row>
    <row r="187" spans="1:15" ht="17">
      <c r="A187" s="6"/>
      <c r="B187" s="95" t="s">
        <v>816</v>
      </c>
      <c r="C187" s="95" t="s">
        <v>513</v>
      </c>
      <c r="D187" s="96" t="s">
        <v>514</v>
      </c>
      <c r="E187" s="97">
        <v>46103</v>
      </c>
      <c r="F187" s="99">
        <v>3000</v>
      </c>
      <c r="G187" s="95" t="s">
        <v>618</v>
      </c>
      <c r="H187" s="95" t="s">
        <v>462</v>
      </c>
      <c r="I187" s="95"/>
      <c r="J187" s="96" t="s">
        <v>619</v>
      </c>
      <c r="K187" s="95"/>
      <c r="L187" s="43">
        <f t="shared" si="2"/>
        <v>46082</v>
      </c>
      <c r="M187" s="42" t="str">
        <f>IF(AND(C187="",D187="",E187="",F187=""),"",IF(OR(C187="",D187="",E187="",F187="",G187=""),"EKSİK",IF(COUNTIF(MUSTERILER!$B$7:$B$156,C187)=0,"TANIMSIZ MÜŞTERİ","UYGUN")))</f>
        <v>UYGUN</v>
      </c>
      <c r="N187" s="22" t="str">
        <f>IF(D187="","",D187&amp;"|"&amp;TEXT(COUNTIF($D$7:D187,D187),"000"))</f>
        <v>KRİSTAL LTD.ŞTİ.|011</v>
      </c>
      <c r="O187" s="22" t="str">
        <f>IF(G187="","",G187&amp;"|"&amp;TEXT(COUNTIF($G$7:G187,G187),"000"))</f>
        <v>MERKEZ KASA|133</v>
      </c>
    </row>
    <row r="188" spans="1:15" ht="17">
      <c r="A188" s="6"/>
      <c r="B188" s="95" t="s">
        <v>817</v>
      </c>
      <c r="C188" s="95" t="s">
        <v>544</v>
      </c>
      <c r="D188" s="96" t="s">
        <v>545</v>
      </c>
      <c r="E188" s="97">
        <v>46103</v>
      </c>
      <c r="F188" s="99">
        <v>4000</v>
      </c>
      <c r="G188" s="95" t="s">
        <v>618</v>
      </c>
      <c r="H188" s="95" t="s">
        <v>462</v>
      </c>
      <c r="I188" s="95"/>
      <c r="J188" s="96" t="s">
        <v>619</v>
      </c>
      <c r="K188" s="95"/>
      <c r="L188" s="43">
        <f t="shared" si="2"/>
        <v>46082</v>
      </c>
      <c r="M188" s="42" t="str">
        <f>IF(AND(C188="",D188="",E188="",F188=""),"",IF(OR(C188="",D188="",E188="",F188="",G188=""),"EKSİK",IF(COUNTIF(MUSTERILER!$B$7:$B$156,C188)=0,"TANIMSIZ MÜŞTERİ","UYGUN")))</f>
        <v>UYGUN</v>
      </c>
      <c r="N188" s="22" t="str">
        <f>IF(D188="","",D188&amp;"|"&amp;TEXT(COUNTIF($D$7:D188,D188),"000"))</f>
        <v>PALAOĞULLARI LTD.ŞTİ.|004</v>
      </c>
      <c r="O188" s="22" t="str">
        <f>IF(G188="","",G188&amp;"|"&amp;TEXT(COUNTIF($G$7:G188,G188),"000"))</f>
        <v>MERKEZ KASA|134</v>
      </c>
    </row>
    <row r="189" spans="1:15" ht="17">
      <c r="A189" s="6"/>
      <c r="B189" s="95" t="s">
        <v>818</v>
      </c>
      <c r="C189" s="95" t="s">
        <v>534</v>
      </c>
      <c r="D189" s="96" t="s">
        <v>724</v>
      </c>
      <c r="E189" s="97">
        <v>46107</v>
      </c>
      <c r="F189" s="99">
        <v>6000</v>
      </c>
      <c r="G189" s="95" t="s">
        <v>628</v>
      </c>
      <c r="H189" s="95" t="s">
        <v>462</v>
      </c>
      <c r="I189" s="95"/>
      <c r="J189" s="96" t="s">
        <v>629</v>
      </c>
      <c r="K189" s="95"/>
      <c r="L189" s="43">
        <f t="shared" si="2"/>
        <v>46082</v>
      </c>
      <c r="M189" s="42" t="str">
        <f>IF(AND(C189="",D189="",E189="",F189=""),"",IF(OR(C189="",D189="",E189="",F189="",G189=""),"EKSİK",IF(COUNTIF(MUSTERILER!$B$7:$B$156,C189)=0,"TANIMSIZ MÜŞTERİ","UYGUN")))</f>
        <v>UYGUN</v>
      </c>
      <c r="N189" s="22" t="str">
        <f>IF(D189="","",D189&amp;"|"&amp;TEXT(COUNTIF($D$7:D189,D189),"000"))</f>
        <v>Naz 1 Gıda Ltd.Şti.|007</v>
      </c>
      <c r="O189" s="22" t="str">
        <f>IF(G189="","",G189&amp;"|"&amp;TEXT(COUNTIF($G$7:G189,G189),"000"))</f>
        <v>ÖMER KARTAL|047</v>
      </c>
    </row>
    <row r="190" spans="1:15" ht="17">
      <c r="A190" s="6"/>
      <c r="B190" s="95" t="s">
        <v>819</v>
      </c>
      <c r="C190" s="95" t="s">
        <v>473</v>
      </c>
      <c r="D190" s="96" t="s">
        <v>474</v>
      </c>
      <c r="E190" s="97">
        <v>46109</v>
      </c>
      <c r="F190" s="99">
        <v>2000</v>
      </c>
      <c r="G190" s="95" t="s">
        <v>618</v>
      </c>
      <c r="H190" s="95" t="s">
        <v>462</v>
      </c>
      <c r="I190" s="95"/>
      <c r="J190" s="96" t="s">
        <v>619</v>
      </c>
      <c r="K190" s="95"/>
      <c r="L190" s="43">
        <f t="shared" si="2"/>
        <v>46082</v>
      </c>
      <c r="M190" s="42" t="str">
        <f>IF(AND(C190="",D190="",E190="",F190=""),"",IF(OR(C190="",D190="",E190="",F190="",G190=""),"EKSİK",IF(COUNTIF(MUSTERILER!$B$7:$B$156,C190)=0,"TANIMSIZ MÜŞTERİ","UYGUN")))</f>
        <v>UYGUN</v>
      </c>
      <c r="N190" s="22" t="str">
        <f>IF(D190="","",D190&amp;"|"&amp;TEXT(COUNTIF($D$7:D190,D190),"000"))</f>
        <v>ASIM AÇIKGÖZ|010</v>
      </c>
      <c r="O190" s="22" t="str">
        <f>IF(G190="","",G190&amp;"|"&amp;TEXT(COUNTIF($G$7:G190,G190),"000"))</f>
        <v>MERKEZ KASA|135</v>
      </c>
    </row>
    <row r="191" spans="1:15" ht="17">
      <c r="A191" s="6"/>
      <c r="B191" s="95" t="s">
        <v>820</v>
      </c>
      <c r="C191" s="95" t="s">
        <v>475</v>
      </c>
      <c r="D191" s="96" t="s">
        <v>476</v>
      </c>
      <c r="E191" s="97">
        <v>46109</v>
      </c>
      <c r="F191" s="99">
        <v>2500</v>
      </c>
      <c r="G191" s="95" t="s">
        <v>618</v>
      </c>
      <c r="H191" s="95" t="s">
        <v>462</v>
      </c>
      <c r="I191" s="95"/>
      <c r="J191" s="96" t="s">
        <v>619</v>
      </c>
      <c r="K191" s="95"/>
      <c r="L191" s="43">
        <f t="shared" si="2"/>
        <v>46082</v>
      </c>
      <c r="M191" s="42" t="str">
        <f>IF(AND(C191="",D191="",E191="",F191=""),"",IF(OR(C191="",D191="",E191="",F191="",G191=""),"EKSİK",IF(COUNTIF(MUSTERILER!$B$7:$B$156,C191)=0,"TANIMSIZ MÜŞTERİ","UYGUN")))</f>
        <v>UYGUN</v>
      </c>
      <c r="N191" s="22" t="str">
        <f>IF(D191="","",D191&amp;"|"&amp;TEXT(COUNTIF($D$7:D191,D191),"000"))</f>
        <v>ASM EĞLENCE LTD.ŞTİ.|011</v>
      </c>
      <c r="O191" s="22" t="str">
        <f>IF(G191="","",G191&amp;"|"&amp;TEXT(COUNTIF($G$7:G191,G191),"000"))</f>
        <v>MERKEZ KASA|136</v>
      </c>
    </row>
    <row r="192" spans="1:15" ht="17">
      <c r="A192" s="6"/>
      <c r="B192" s="95" t="s">
        <v>821</v>
      </c>
      <c r="C192" s="95" t="s">
        <v>479</v>
      </c>
      <c r="D192" s="96" t="s">
        <v>617</v>
      </c>
      <c r="E192" s="97">
        <v>46109</v>
      </c>
      <c r="F192" s="99">
        <v>3000</v>
      </c>
      <c r="G192" s="95" t="s">
        <v>618</v>
      </c>
      <c r="H192" s="95" t="s">
        <v>462</v>
      </c>
      <c r="I192" s="95"/>
      <c r="J192" s="96" t="s">
        <v>619</v>
      </c>
      <c r="K192" s="95"/>
      <c r="L192" s="43">
        <f t="shared" si="2"/>
        <v>46082</v>
      </c>
      <c r="M192" s="42" t="str">
        <f>IF(AND(C192="",D192="",E192="",F192=""),"",IF(OR(C192="",D192="",E192="",F192="",G192=""),"EKSİK",IF(COUNTIF(MUSTERILER!$B$7:$B$156,C192)=0,"TANIMSIZ MÜŞTERİ","UYGUN")))</f>
        <v>UYGUN</v>
      </c>
      <c r="N192" s="22" t="str">
        <f>IF(D192="","",D192&amp;"|"&amp;TEXT(COUNTIF($D$7:D192,D192),"000"))</f>
        <v>Çayıralan Ltd.Şti.|010</v>
      </c>
      <c r="O192" s="22" t="str">
        <f>IF(G192="","",G192&amp;"|"&amp;TEXT(COUNTIF($G$7:G192,G192),"000"))</f>
        <v>MERKEZ KASA|137</v>
      </c>
    </row>
    <row r="193" spans="1:15" ht="17">
      <c r="A193" s="6"/>
      <c r="B193" s="95" t="s">
        <v>822</v>
      </c>
      <c r="C193" s="95" t="s">
        <v>487</v>
      </c>
      <c r="D193" s="96" t="s">
        <v>714</v>
      </c>
      <c r="E193" s="97">
        <v>46109</v>
      </c>
      <c r="F193" s="99">
        <v>3000</v>
      </c>
      <c r="G193" s="95" t="s">
        <v>618</v>
      </c>
      <c r="H193" s="95" t="s">
        <v>462</v>
      </c>
      <c r="I193" s="95"/>
      <c r="J193" s="96" t="s">
        <v>619</v>
      </c>
      <c r="K193" s="95"/>
      <c r="L193" s="43">
        <f t="shared" si="2"/>
        <v>46082</v>
      </c>
      <c r="M193" s="42" t="str">
        <f>IF(AND(C193="",D193="",E193="",F193=""),"",IF(OR(C193="",D193="",E193="",F193="",G193=""),"EKSİK",IF(COUNTIF(MUSTERILER!$B$7:$B$156,C193)=0,"TANIMSIZ MÜŞTERİ","UYGUN")))</f>
        <v>UYGUN</v>
      </c>
      <c r="N193" s="22" t="str">
        <f>IF(D193="","",D193&amp;"|"&amp;TEXT(COUNTIF($D$7:D193,D193),"000"))</f>
        <v>Eğlengör Ltd.Şti.|012</v>
      </c>
      <c r="O193" s="22" t="str">
        <f>IF(G193="","",G193&amp;"|"&amp;TEXT(COUNTIF($G$7:G193,G193),"000"))</f>
        <v>MERKEZ KASA|138</v>
      </c>
    </row>
    <row r="194" spans="1:15" ht="17">
      <c r="A194" s="6"/>
      <c r="B194" s="95" t="s">
        <v>823</v>
      </c>
      <c r="C194" s="95" t="s">
        <v>495</v>
      </c>
      <c r="D194" s="96" t="s">
        <v>716</v>
      </c>
      <c r="E194" s="97">
        <v>46109</v>
      </c>
      <c r="F194" s="99">
        <v>2000</v>
      </c>
      <c r="G194" s="95" t="s">
        <v>618</v>
      </c>
      <c r="H194" s="95" t="s">
        <v>462</v>
      </c>
      <c r="I194" s="95"/>
      <c r="J194" s="96" t="s">
        <v>619</v>
      </c>
      <c r="K194" s="95"/>
      <c r="L194" s="43">
        <f t="shared" si="2"/>
        <v>46082</v>
      </c>
      <c r="M194" s="42" t="str">
        <f>IF(AND(C194="",D194="",E194="",F194=""),"",IF(OR(C194="",D194="",E194="",F194="",G194=""),"EKSİK",IF(COUNTIF(MUSTERILER!$B$7:$B$156,C194)=0,"TANIMSIZ MÜŞTERİ","UYGUN")))</f>
        <v>UYGUN</v>
      </c>
      <c r="N194" s="22" t="str">
        <f>IF(D194="","",D194&amp;"|"&amp;TEXT(COUNTIF($D$7:D194,D194),"000"))</f>
        <v>Final Siyah Beyaz Ltd.Şti.|011</v>
      </c>
      <c r="O194" s="22" t="str">
        <f>IF(G194="","",G194&amp;"|"&amp;TEXT(COUNTIF($G$7:G194,G194),"000"))</f>
        <v>MERKEZ KASA|139</v>
      </c>
    </row>
    <row r="195" spans="1:15" ht="17">
      <c r="A195" s="6"/>
      <c r="B195" s="95" t="s">
        <v>824</v>
      </c>
      <c r="C195" s="95" t="s">
        <v>501</v>
      </c>
      <c r="D195" s="96" t="s">
        <v>718</v>
      </c>
      <c r="E195" s="97">
        <v>46109</v>
      </c>
      <c r="F195" s="99">
        <v>4000</v>
      </c>
      <c r="G195" s="95" t="s">
        <v>618</v>
      </c>
      <c r="H195" s="95" t="s">
        <v>462</v>
      </c>
      <c r="I195" s="95"/>
      <c r="J195" s="96" t="s">
        <v>619</v>
      </c>
      <c r="K195" s="95"/>
      <c r="L195" s="43">
        <f t="shared" si="2"/>
        <v>46082</v>
      </c>
      <c r="M195" s="42" t="str">
        <f>IF(AND(C195="",D195="",E195="",F195=""),"",IF(OR(C195="",D195="",E195="",F195="",G195=""),"EKSİK",IF(COUNTIF(MUSTERILER!$B$7:$B$156,C195)=0,"TANIMSIZ MÜŞTERİ","UYGUN")))</f>
        <v>UYGUN</v>
      </c>
      <c r="N195" s="22" t="str">
        <f>IF(D195="","",D195&amp;"|"&amp;TEXT(COUNTIF($D$7:D195,D195),"000"))</f>
        <v>İbrahim Maldan|008</v>
      </c>
      <c r="O195" s="22" t="str">
        <f>IF(G195="","",G195&amp;"|"&amp;TEXT(COUNTIF($G$7:G195,G195),"000"))</f>
        <v>MERKEZ KASA|140</v>
      </c>
    </row>
    <row r="196" spans="1:15" ht="17">
      <c r="A196" s="6"/>
      <c r="B196" s="95" t="s">
        <v>825</v>
      </c>
      <c r="C196" s="95" t="s">
        <v>568</v>
      </c>
      <c r="D196" s="96" t="s">
        <v>768</v>
      </c>
      <c r="E196" s="97">
        <v>46109</v>
      </c>
      <c r="F196" s="99">
        <v>5500</v>
      </c>
      <c r="G196" s="95" t="s">
        <v>628</v>
      </c>
      <c r="H196" s="95" t="s">
        <v>462</v>
      </c>
      <c r="I196" s="95"/>
      <c r="J196" s="96" t="s">
        <v>629</v>
      </c>
      <c r="K196" s="95"/>
      <c r="L196" s="43">
        <f t="shared" si="2"/>
        <v>46082</v>
      </c>
      <c r="M196" s="42" t="str">
        <f>IF(AND(C196="",D196="",E196="",F196=""),"",IF(OR(C196="",D196="",E196="",F196="",G196=""),"EKSİK",IF(COUNTIF(MUSTERILER!$B$7:$B$156,C196)=0,"TANIMSIZ MÜŞTERİ","UYGUN")))</f>
        <v>UYGUN</v>
      </c>
      <c r="N196" s="22" t="str">
        <f>IF(D196="","",D196&amp;"|"&amp;TEXT(COUNTIF($D$7:D196,D196),"000"))</f>
        <v>Zümrüt Eğlence Ltd.Şti.|006</v>
      </c>
      <c r="O196" s="22" t="str">
        <f>IF(G196="","",G196&amp;"|"&amp;TEXT(COUNTIF($G$7:G196,G196),"000"))</f>
        <v>ÖMER KARTAL|048</v>
      </c>
    </row>
    <row r="197" spans="1:15" ht="17">
      <c r="A197" s="6"/>
      <c r="B197" s="95" t="s">
        <v>826</v>
      </c>
      <c r="C197" s="95" t="s">
        <v>503</v>
      </c>
      <c r="D197" s="96" t="s">
        <v>621</v>
      </c>
      <c r="E197" s="97">
        <v>46109</v>
      </c>
      <c r="F197" s="99">
        <v>4000</v>
      </c>
      <c r="G197" s="95" t="s">
        <v>618</v>
      </c>
      <c r="H197" s="95" t="s">
        <v>462</v>
      </c>
      <c r="I197" s="95"/>
      <c r="J197" s="96" t="s">
        <v>619</v>
      </c>
      <c r="K197" s="95"/>
      <c r="L197" s="43">
        <f t="shared" si="2"/>
        <v>46082</v>
      </c>
      <c r="M197" s="42" t="str">
        <f>IF(AND(C197="",D197="",E197="",F197=""),"",IF(OR(C197="",D197="",E197="",F197="",G197=""),"EKSİK",IF(COUNTIF(MUSTERILER!$B$7:$B$156,C197)=0,"TANIMSIZ MÜŞTERİ","UYGUN")))</f>
        <v>UYGUN</v>
      </c>
      <c r="N197" s="22" t="str">
        <f>IF(D197="","",D197&amp;"|"&amp;TEXT(COUNTIF($D$7:D197,D197),"000"))</f>
        <v>İldeş Ltd.Şti.|011</v>
      </c>
      <c r="O197" s="22" t="str">
        <f>IF(G197="","",G197&amp;"|"&amp;TEXT(COUNTIF($G$7:G197,G197),"000"))</f>
        <v>MERKEZ KASA|141</v>
      </c>
    </row>
    <row r="198" spans="1:15" ht="17">
      <c r="A198" s="6"/>
      <c r="B198" s="95" t="s">
        <v>827</v>
      </c>
      <c r="C198" s="95" t="s">
        <v>525</v>
      </c>
      <c r="D198" s="96" t="s">
        <v>721</v>
      </c>
      <c r="E198" s="97">
        <v>46109</v>
      </c>
      <c r="F198" s="99">
        <v>10500</v>
      </c>
      <c r="G198" s="95" t="s">
        <v>618</v>
      </c>
      <c r="H198" s="95" t="s">
        <v>462</v>
      </c>
      <c r="I198" s="95"/>
      <c r="J198" s="96" t="s">
        <v>619</v>
      </c>
      <c r="K198" s="95"/>
      <c r="L198" s="43">
        <f t="shared" si="2"/>
        <v>46082</v>
      </c>
      <c r="M198" s="42" t="str">
        <f>IF(AND(C198="",D198="",E198="",F198=""),"",IF(OR(C198="",D198="",E198="",F198="",G198=""),"EKSİK",IF(COUNTIF(MUSTERILER!$B$7:$B$156,C198)=0,"TANIMSIZ MÜŞTERİ","UYGUN")))</f>
        <v>UYGUN</v>
      </c>
      <c r="N198" s="22" t="str">
        <f>IF(D198="","",D198&amp;"|"&amp;TEXT(COUNTIF($D$7:D198,D198),"000"))</f>
        <v>Monamour Ltd.Şti.|009</v>
      </c>
      <c r="O198" s="22" t="str">
        <f>IF(G198="","",G198&amp;"|"&amp;TEXT(COUNTIF($G$7:G198,G198),"000"))</f>
        <v>MERKEZ KASA|142</v>
      </c>
    </row>
    <row r="199" spans="1:15" ht="17">
      <c r="A199" s="6"/>
      <c r="B199" s="95" t="s">
        <v>828</v>
      </c>
      <c r="C199" s="95" t="s">
        <v>534</v>
      </c>
      <c r="D199" s="96" t="s">
        <v>724</v>
      </c>
      <c r="E199" s="97">
        <v>46109</v>
      </c>
      <c r="F199" s="99">
        <v>2000</v>
      </c>
      <c r="G199" s="95" t="s">
        <v>618</v>
      </c>
      <c r="H199" s="95" t="s">
        <v>462</v>
      </c>
      <c r="I199" s="95"/>
      <c r="J199" s="96" t="s">
        <v>619</v>
      </c>
      <c r="K199" s="95"/>
      <c r="L199" s="43">
        <f t="shared" ref="L199:L262" si="3">IF(E199="","",DATE(YEAR(E199),MONTH(E199),1))</f>
        <v>46082</v>
      </c>
      <c r="M199" s="42" t="str">
        <f>IF(AND(C199="",D199="",E199="",F199=""),"",IF(OR(C199="",D199="",E199="",F199="",G199=""),"EKSİK",IF(COUNTIF(MUSTERILER!$B$7:$B$156,C199)=0,"TANIMSIZ MÜŞTERİ","UYGUN")))</f>
        <v>UYGUN</v>
      </c>
      <c r="N199" s="22" t="str">
        <f>IF(D199="","",D199&amp;"|"&amp;TEXT(COUNTIF($D$7:D199,D199),"000"))</f>
        <v>Naz 1 Gıda Ltd.Şti.|008</v>
      </c>
      <c r="O199" s="22" t="str">
        <f>IF(G199="","",G199&amp;"|"&amp;TEXT(COUNTIF($G$7:G199,G199),"000"))</f>
        <v>MERKEZ KASA|143</v>
      </c>
    </row>
    <row r="200" spans="1:15" ht="17">
      <c r="A200" s="6"/>
      <c r="B200" s="95" t="s">
        <v>829</v>
      </c>
      <c r="C200" s="95" t="s">
        <v>548</v>
      </c>
      <c r="D200" s="96" t="s">
        <v>728</v>
      </c>
      <c r="E200" s="97">
        <v>46109</v>
      </c>
      <c r="F200" s="99">
        <v>3000</v>
      </c>
      <c r="G200" s="95" t="s">
        <v>618</v>
      </c>
      <c r="H200" s="95" t="s">
        <v>462</v>
      </c>
      <c r="I200" s="95"/>
      <c r="J200" s="96" t="s">
        <v>619</v>
      </c>
      <c r="K200" s="95"/>
      <c r="L200" s="43">
        <f t="shared" si="3"/>
        <v>46082</v>
      </c>
      <c r="M200" s="42" t="str">
        <f>IF(AND(C200="",D200="",E200="",F200=""),"",IF(OR(C200="",D200="",E200="",F200="",G200=""),"EKSİK",IF(COUNTIF(MUSTERILER!$B$7:$B$156,C200)=0,"TANIMSIZ MÜŞTERİ","UYGUN")))</f>
        <v>UYGUN</v>
      </c>
      <c r="N200" s="22" t="str">
        <f>IF(D200="","",D200&amp;"|"&amp;TEXT(COUNTIF($D$7:D200,D200),"000"))</f>
        <v>Rix Şow Ltd.Şti.|012</v>
      </c>
      <c r="O200" s="22" t="str">
        <f>IF(G200="","",G200&amp;"|"&amp;TEXT(COUNTIF($G$7:G200,G200),"000"))</f>
        <v>MERKEZ KASA|144</v>
      </c>
    </row>
    <row r="201" spans="1:15" ht="17">
      <c r="A201" s="6"/>
      <c r="B201" s="95" t="s">
        <v>830</v>
      </c>
      <c r="C201" s="95" t="s">
        <v>568</v>
      </c>
      <c r="D201" s="96" t="s">
        <v>768</v>
      </c>
      <c r="E201" s="97">
        <v>46109</v>
      </c>
      <c r="F201" s="99">
        <v>3000</v>
      </c>
      <c r="G201" s="95" t="s">
        <v>618</v>
      </c>
      <c r="H201" s="95" t="s">
        <v>462</v>
      </c>
      <c r="I201" s="95"/>
      <c r="J201" s="96" t="s">
        <v>619</v>
      </c>
      <c r="K201" s="95"/>
      <c r="L201" s="43">
        <f t="shared" si="3"/>
        <v>46082</v>
      </c>
      <c r="M201" s="42" t="str">
        <f>IF(AND(C201="",D201="",E201="",F201=""),"",IF(OR(C201="",D201="",E201="",F201="",G201=""),"EKSİK",IF(COUNTIF(MUSTERILER!$B$7:$B$156,C201)=0,"TANIMSIZ MÜŞTERİ","UYGUN")))</f>
        <v>UYGUN</v>
      </c>
      <c r="N201" s="22" t="str">
        <f>IF(D201="","",D201&amp;"|"&amp;TEXT(COUNTIF($D$7:D201,D201),"000"))</f>
        <v>Zümrüt Eğlence Ltd.Şti.|007</v>
      </c>
      <c r="O201" s="22" t="str">
        <f>IF(G201="","",G201&amp;"|"&amp;TEXT(COUNTIF($G$7:G201,G201),"000"))</f>
        <v>MERKEZ KASA|145</v>
      </c>
    </row>
    <row r="202" spans="1:15" ht="17">
      <c r="A202" s="6"/>
      <c r="B202" s="95" t="s">
        <v>831</v>
      </c>
      <c r="C202" s="95" t="s">
        <v>483</v>
      </c>
      <c r="D202" s="96" t="s">
        <v>484</v>
      </c>
      <c r="E202" s="97">
        <v>46109</v>
      </c>
      <c r="F202" s="99">
        <v>2500</v>
      </c>
      <c r="G202" s="95" t="s">
        <v>618</v>
      </c>
      <c r="H202" s="95" t="s">
        <v>462</v>
      </c>
      <c r="I202" s="95"/>
      <c r="J202" s="96" t="s">
        <v>619</v>
      </c>
      <c r="K202" s="95"/>
      <c r="L202" s="43">
        <f t="shared" si="3"/>
        <v>46082</v>
      </c>
      <c r="M202" s="42" t="str">
        <f>IF(AND(C202="",D202="",E202="",F202=""),"",IF(OR(C202="",D202="",E202="",F202="",G202=""),"EKSİK",IF(COUNTIF(MUSTERILER!$B$7:$B$156,C202)=0,"TANIMSIZ MÜŞTERİ","UYGUN")))</f>
        <v>UYGUN</v>
      </c>
      <c r="N202" s="22" t="str">
        <f>IF(D202="","",D202&amp;"|"&amp;TEXT(COUNTIF($D$7:D202,D202),"000"))</f>
        <v>ÇINARHAN LTD.ŞTİ.|007</v>
      </c>
      <c r="O202" s="22" t="str">
        <f>IF(G202="","",G202&amp;"|"&amp;TEXT(COUNTIF($G$7:G202,G202),"000"))</f>
        <v>MERKEZ KASA|146</v>
      </c>
    </row>
    <row r="203" spans="1:15" ht="17">
      <c r="A203" s="6"/>
      <c r="B203" s="95" t="s">
        <v>832</v>
      </c>
      <c r="C203" s="95" t="s">
        <v>505</v>
      </c>
      <c r="D203" s="96" t="s">
        <v>506</v>
      </c>
      <c r="E203" s="97">
        <v>46109</v>
      </c>
      <c r="F203" s="99">
        <v>3500</v>
      </c>
      <c r="G203" s="95" t="s">
        <v>618</v>
      </c>
      <c r="H203" s="95" t="s">
        <v>462</v>
      </c>
      <c r="I203" s="95"/>
      <c r="J203" s="96" t="s">
        <v>619</v>
      </c>
      <c r="K203" s="95"/>
      <c r="L203" s="43">
        <f t="shared" si="3"/>
        <v>46082</v>
      </c>
      <c r="M203" s="42" t="str">
        <f>IF(AND(C203="",D203="",E203="",F203=""),"",IF(OR(C203="",D203="",E203="",F203="",G203=""),"EKSİK",IF(COUNTIF(MUSTERILER!$B$7:$B$156,C203)=0,"TANIMSIZ MÜŞTERİ","UYGUN")))</f>
        <v>UYGUN</v>
      </c>
      <c r="N203" s="22" t="str">
        <f>IF(D203="","",D203&amp;"|"&amp;TEXT(COUNTIF($D$7:D203,D203),"000"))</f>
        <v>İSA DEMİRCİ|002</v>
      </c>
      <c r="O203" s="22" t="str">
        <f>IF(G203="","",G203&amp;"|"&amp;TEXT(COUNTIF($G$7:G203,G203),"000"))</f>
        <v>MERKEZ KASA|147</v>
      </c>
    </row>
    <row r="204" spans="1:15" ht="17">
      <c r="A204" s="6"/>
      <c r="B204" s="95" t="s">
        <v>833</v>
      </c>
      <c r="C204" s="95" t="s">
        <v>513</v>
      </c>
      <c r="D204" s="96" t="s">
        <v>514</v>
      </c>
      <c r="E204" s="97">
        <v>46109</v>
      </c>
      <c r="F204" s="99">
        <v>3000</v>
      </c>
      <c r="G204" s="95" t="s">
        <v>618</v>
      </c>
      <c r="H204" s="95" t="s">
        <v>462</v>
      </c>
      <c r="I204" s="95"/>
      <c r="J204" s="96" t="s">
        <v>619</v>
      </c>
      <c r="K204" s="95"/>
      <c r="L204" s="43">
        <f t="shared" si="3"/>
        <v>46082</v>
      </c>
      <c r="M204" s="42" t="str">
        <f>IF(AND(C204="",D204="",E204="",F204=""),"",IF(OR(C204="",D204="",E204="",F204="",G204=""),"EKSİK",IF(COUNTIF(MUSTERILER!$B$7:$B$156,C204)=0,"TANIMSIZ MÜŞTERİ","UYGUN")))</f>
        <v>UYGUN</v>
      </c>
      <c r="N204" s="22" t="str">
        <f>IF(D204="","",D204&amp;"|"&amp;TEXT(COUNTIF($D$7:D204,D204),"000"))</f>
        <v>KRİSTAL LTD.ŞTİ.|012</v>
      </c>
      <c r="O204" s="22" t="str">
        <f>IF(G204="","",G204&amp;"|"&amp;TEXT(COUNTIF($G$7:G204,G204),"000"))</f>
        <v>MERKEZ KASA|148</v>
      </c>
    </row>
    <row r="205" spans="1:15" ht="17">
      <c r="A205" s="6"/>
      <c r="B205" s="95" t="s">
        <v>834</v>
      </c>
      <c r="C205" s="95" t="s">
        <v>544</v>
      </c>
      <c r="D205" s="96" t="s">
        <v>545</v>
      </c>
      <c r="E205" s="97">
        <v>46109</v>
      </c>
      <c r="F205" s="99">
        <v>4000</v>
      </c>
      <c r="G205" s="95" t="s">
        <v>618</v>
      </c>
      <c r="H205" s="95" t="s">
        <v>462</v>
      </c>
      <c r="I205" s="95"/>
      <c r="J205" s="96" t="s">
        <v>619</v>
      </c>
      <c r="K205" s="95"/>
      <c r="L205" s="43">
        <f t="shared" si="3"/>
        <v>46082</v>
      </c>
      <c r="M205" s="42" t="str">
        <f>IF(AND(C205="",D205="",E205="",F205=""),"",IF(OR(C205="",D205="",E205="",F205="",G205=""),"EKSİK",IF(COUNTIF(MUSTERILER!$B$7:$B$156,C205)=0,"TANIMSIZ MÜŞTERİ","UYGUN")))</f>
        <v>UYGUN</v>
      </c>
      <c r="N205" s="22" t="str">
        <f>IF(D205="","",D205&amp;"|"&amp;TEXT(COUNTIF($D$7:D205,D205),"000"))</f>
        <v>PALAOĞULLARI LTD.ŞTİ.|005</v>
      </c>
      <c r="O205" s="22" t="str">
        <f>IF(G205="","",G205&amp;"|"&amp;TEXT(COUNTIF($G$7:G205,G205),"000"))</f>
        <v>MERKEZ KASA|149</v>
      </c>
    </row>
    <row r="206" spans="1:15" ht="17">
      <c r="A206" s="6"/>
      <c r="B206" s="95" t="s">
        <v>835</v>
      </c>
      <c r="C206" s="95" t="s">
        <v>548</v>
      </c>
      <c r="D206" s="96" t="s">
        <v>728</v>
      </c>
      <c r="E206" s="97">
        <v>46110</v>
      </c>
      <c r="F206" s="99">
        <v>3000</v>
      </c>
      <c r="G206" s="95" t="s">
        <v>618</v>
      </c>
      <c r="H206" s="95" t="s">
        <v>462</v>
      </c>
      <c r="I206" s="95"/>
      <c r="J206" s="96" t="s">
        <v>619</v>
      </c>
      <c r="K206" s="95"/>
      <c r="L206" s="43">
        <f t="shared" si="3"/>
        <v>46082</v>
      </c>
      <c r="M206" s="42" t="str">
        <f>IF(AND(C206="",D206="",E206="",F206=""),"",IF(OR(C206="",D206="",E206="",F206="",G206=""),"EKSİK",IF(COUNTIF(MUSTERILER!$B$7:$B$156,C206)=0,"TANIMSIZ MÜŞTERİ","UYGUN")))</f>
        <v>UYGUN</v>
      </c>
      <c r="N206" s="22" t="str">
        <f>IF(D206="","",D206&amp;"|"&amp;TEXT(COUNTIF($D$7:D206,D206),"000"))</f>
        <v>Rix Şow Ltd.Şti.|013</v>
      </c>
      <c r="O206" s="22" t="str">
        <f>IF(G206="","",G206&amp;"|"&amp;TEXT(COUNTIF($G$7:G206,G206),"000"))</f>
        <v>MERKEZ KASA|150</v>
      </c>
    </row>
    <row r="207" spans="1:15" ht="17">
      <c r="A207" s="6"/>
      <c r="B207" s="95" t="s">
        <v>836</v>
      </c>
      <c r="C207" s="95" t="s">
        <v>515</v>
      </c>
      <c r="D207" s="96" t="s">
        <v>516</v>
      </c>
      <c r="E207" s="97">
        <v>46111</v>
      </c>
      <c r="F207" s="99">
        <v>2000</v>
      </c>
      <c r="G207" s="95" t="s">
        <v>618</v>
      </c>
      <c r="H207" s="95" t="s">
        <v>462</v>
      </c>
      <c r="I207" s="95"/>
      <c r="J207" s="96" t="s">
        <v>619</v>
      </c>
      <c r="K207" s="95"/>
      <c r="L207" s="43">
        <f t="shared" si="3"/>
        <v>46082</v>
      </c>
      <c r="M207" s="42" t="str">
        <f>IF(AND(C207="",D207="",E207="",F207=""),"",IF(OR(C207="",D207="",E207="",F207="",G207=""),"EKSİK",IF(COUNTIF(MUSTERILER!$B$7:$B$156,C207)=0,"TANIMSIZ MÜŞTERİ","UYGUN")))</f>
        <v>UYGUN</v>
      </c>
      <c r="N207" s="22" t="str">
        <f>IF(D207="","",D207&amp;"|"&amp;TEXT(COUNTIF($D$7:D207,D207),"000"))</f>
        <v>MEHMET EVREN KILINÇ|002</v>
      </c>
      <c r="O207" s="22" t="str">
        <f>IF(G207="","",G207&amp;"|"&amp;TEXT(COUNTIF($G$7:G207,G207),"000"))</f>
        <v>MERKEZ KASA|151</v>
      </c>
    </row>
    <row r="208" spans="1:15" ht="17">
      <c r="A208" s="6"/>
      <c r="B208" s="95" t="s">
        <v>837</v>
      </c>
      <c r="C208" s="95" t="s">
        <v>465</v>
      </c>
      <c r="D208" s="96" t="s">
        <v>466</v>
      </c>
      <c r="E208" s="97">
        <v>46112</v>
      </c>
      <c r="F208" s="99">
        <v>12000</v>
      </c>
      <c r="G208" s="95" t="s">
        <v>628</v>
      </c>
      <c r="H208" s="95" t="s">
        <v>462</v>
      </c>
      <c r="I208" s="95"/>
      <c r="J208" s="96" t="s">
        <v>684</v>
      </c>
      <c r="K208" s="95"/>
      <c r="L208" s="43">
        <f t="shared" si="3"/>
        <v>46082</v>
      </c>
      <c r="M208" s="42" t="str">
        <f>IF(AND(C208="",D208="",E208="",F208=""),"",IF(OR(C208="",D208="",E208="",F208="",G208=""),"EKSİK",IF(COUNTIF(MUSTERILER!$B$7:$B$156,C208)=0,"TANIMSIZ MÜŞTERİ","UYGUN")))</f>
        <v>UYGUN</v>
      </c>
      <c r="N208" s="22" t="str">
        <f>IF(D208="","",D208&amp;"|"&amp;TEXT(COUNTIF($D$7:D208,D208),"000"))</f>
        <v>ALTINEL LTD.ŞTİ.|003</v>
      </c>
      <c r="O208" s="22" t="str">
        <f>IF(G208="","",G208&amp;"|"&amp;TEXT(COUNTIF($G$7:G208,G208),"000"))</f>
        <v>ÖMER KARTAL|049</v>
      </c>
    </row>
    <row r="209" spans="1:15" ht="17">
      <c r="A209" s="6"/>
      <c r="B209" s="95" t="s">
        <v>838</v>
      </c>
      <c r="C209" s="95" t="s">
        <v>525</v>
      </c>
      <c r="D209" s="96" t="s">
        <v>721</v>
      </c>
      <c r="E209" s="97">
        <v>46112</v>
      </c>
      <c r="F209" s="99">
        <v>7000</v>
      </c>
      <c r="G209" s="95" t="s">
        <v>628</v>
      </c>
      <c r="H209" s="95" t="s">
        <v>462</v>
      </c>
      <c r="I209" s="95"/>
      <c r="J209" s="96" t="s">
        <v>629</v>
      </c>
      <c r="K209" s="95"/>
      <c r="L209" s="43">
        <f t="shared" si="3"/>
        <v>46082</v>
      </c>
      <c r="M209" s="42" t="str">
        <f>IF(AND(C209="",D209="",E209="",F209=""),"",IF(OR(C209="",D209="",E209="",F209="",G209=""),"EKSİK",IF(COUNTIF(MUSTERILER!$B$7:$B$156,C209)=0,"TANIMSIZ MÜŞTERİ","UYGUN")))</f>
        <v>UYGUN</v>
      </c>
      <c r="N209" s="22" t="str">
        <f>IF(D209="","",D209&amp;"|"&amp;TEXT(COUNTIF($D$7:D209,D209),"000"))</f>
        <v>Monamour Ltd.Şti.|010</v>
      </c>
      <c r="O209" s="22" t="str">
        <f>IF(G209="","",G209&amp;"|"&amp;TEXT(COUNTIF($G$7:G209,G209),"000"))</f>
        <v>ÖMER KARTAL|050</v>
      </c>
    </row>
    <row r="210" spans="1:15" ht="17">
      <c r="A210" s="6"/>
      <c r="B210" s="95" t="s">
        <v>839</v>
      </c>
      <c r="C210" s="95" t="s">
        <v>481</v>
      </c>
      <c r="D210" s="96" t="s">
        <v>482</v>
      </c>
      <c r="E210" s="97">
        <v>46113</v>
      </c>
      <c r="F210" s="99">
        <v>2500</v>
      </c>
      <c r="G210" s="95" t="s">
        <v>612</v>
      </c>
      <c r="H210" s="95" t="s">
        <v>613</v>
      </c>
      <c r="I210" s="95"/>
      <c r="J210" s="96" t="s">
        <v>840</v>
      </c>
      <c r="K210" s="95"/>
      <c r="L210" s="43">
        <f t="shared" si="3"/>
        <v>46113</v>
      </c>
      <c r="M210" s="42" t="str">
        <f>IF(AND(C210="",D210="",E210="",F210=""),"",IF(OR(C210="",D210="",E210="",F210="",G210=""),"EKSİK",IF(COUNTIF(MUSTERILER!$B$7:$B$156,C210)=0,"TANIMSIZ MÜŞTERİ","UYGUN")))</f>
        <v>UYGUN</v>
      </c>
      <c r="N210" s="22" t="str">
        <f>IF(D210="","",D210&amp;"|"&amp;TEXT(COUNTIF($D$7:D210,D210),"000"))</f>
        <v>CEREN DEMİRCİ|001</v>
      </c>
      <c r="O210" s="22" t="str">
        <f>IF(G210="","",G210&amp;"|"&amp;TEXT(COUNTIF($G$7:G210,G210),"000"))</f>
        <v>CARİ MAHSUP|003</v>
      </c>
    </row>
    <row r="211" spans="1:15" ht="17">
      <c r="A211" s="6"/>
      <c r="B211" s="95" t="s">
        <v>841</v>
      </c>
      <c r="C211" s="95" t="s">
        <v>475</v>
      </c>
      <c r="D211" s="96" t="s">
        <v>476</v>
      </c>
      <c r="E211" s="97">
        <v>46116</v>
      </c>
      <c r="F211" s="99">
        <v>2500</v>
      </c>
      <c r="G211" s="95" t="s">
        <v>618</v>
      </c>
      <c r="H211" s="95" t="s">
        <v>462</v>
      </c>
      <c r="I211" s="95"/>
      <c r="J211" s="96" t="s">
        <v>619</v>
      </c>
      <c r="K211" s="95"/>
      <c r="L211" s="43">
        <f t="shared" si="3"/>
        <v>46113</v>
      </c>
      <c r="M211" s="42" t="str">
        <f>IF(AND(C211="",D211="",E211="",F211=""),"",IF(OR(C211="",D211="",E211="",F211="",G211=""),"EKSİK",IF(COUNTIF(MUSTERILER!$B$7:$B$156,C211)=0,"TANIMSIZ MÜŞTERİ","UYGUN")))</f>
        <v>UYGUN</v>
      </c>
      <c r="N211" s="22" t="str">
        <f>IF(D211="","",D211&amp;"|"&amp;TEXT(COUNTIF($D$7:D211,D211),"000"))</f>
        <v>ASM EĞLENCE LTD.ŞTİ.|012</v>
      </c>
      <c r="O211" s="22" t="str">
        <f>IF(G211="","",G211&amp;"|"&amp;TEXT(COUNTIF($G$7:G211,G211),"000"))</f>
        <v>MERKEZ KASA|152</v>
      </c>
    </row>
    <row r="212" spans="1:15" ht="17">
      <c r="A212" s="6"/>
      <c r="B212" s="95" t="s">
        <v>842</v>
      </c>
      <c r="C212" s="95" t="s">
        <v>479</v>
      </c>
      <c r="D212" s="96" t="s">
        <v>617</v>
      </c>
      <c r="E212" s="97">
        <v>46116</v>
      </c>
      <c r="F212" s="99">
        <v>3000</v>
      </c>
      <c r="G212" s="95" t="s">
        <v>618</v>
      </c>
      <c r="H212" s="95" t="s">
        <v>462</v>
      </c>
      <c r="I212" s="95"/>
      <c r="J212" s="96" t="s">
        <v>619</v>
      </c>
      <c r="K212" s="95"/>
      <c r="L212" s="43">
        <f t="shared" si="3"/>
        <v>46113</v>
      </c>
      <c r="M212" s="42" t="str">
        <f>IF(AND(C212="",D212="",E212="",F212=""),"",IF(OR(C212="",D212="",E212="",F212="",G212=""),"EKSİK",IF(COUNTIF(MUSTERILER!$B$7:$B$156,C212)=0,"TANIMSIZ MÜŞTERİ","UYGUN")))</f>
        <v>UYGUN</v>
      </c>
      <c r="N212" s="22" t="str">
        <f>IF(D212="","",D212&amp;"|"&amp;TEXT(COUNTIF($D$7:D212,D212),"000"))</f>
        <v>Çayıralan Ltd.Şti.|011</v>
      </c>
      <c r="O212" s="22" t="str">
        <f>IF(G212="","",G212&amp;"|"&amp;TEXT(COUNTIF($G$7:G212,G212),"000"))</f>
        <v>MERKEZ KASA|153</v>
      </c>
    </row>
    <row r="213" spans="1:15" ht="17">
      <c r="A213" s="6"/>
      <c r="B213" s="95" t="s">
        <v>843</v>
      </c>
      <c r="C213" s="95" t="s">
        <v>487</v>
      </c>
      <c r="D213" s="96" t="s">
        <v>714</v>
      </c>
      <c r="E213" s="97">
        <v>46116</v>
      </c>
      <c r="F213" s="99">
        <v>4000</v>
      </c>
      <c r="G213" s="95" t="s">
        <v>618</v>
      </c>
      <c r="H213" s="95" t="s">
        <v>462</v>
      </c>
      <c r="I213" s="95"/>
      <c r="J213" s="96" t="s">
        <v>619</v>
      </c>
      <c r="K213" s="95"/>
      <c r="L213" s="43">
        <f t="shared" si="3"/>
        <v>46113</v>
      </c>
      <c r="M213" s="42" t="str">
        <f>IF(AND(C213="",D213="",E213="",F213=""),"",IF(OR(C213="",D213="",E213="",F213="",G213=""),"EKSİK",IF(COUNTIF(MUSTERILER!$B$7:$B$156,C213)=0,"TANIMSIZ MÜŞTERİ","UYGUN")))</f>
        <v>UYGUN</v>
      </c>
      <c r="N213" s="22" t="str">
        <f>IF(D213="","",D213&amp;"|"&amp;TEXT(COUNTIF($D$7:D213,D213),"000"))</f>
        <v>Eğlengör Ltd.Şti.|013</v>
      </c>
      <c r="O213" s="22" t="str">
        <f>IF(G213="","",G213&amp;"|"&amp;TEXT(COUNTIF($G$7:G213,G213),"000"))</f>
        <v>MERKEZ KASA|154</v>
      </c>
    </row>
    <row r="214" spans="1:15" ht="17">
      <c r="A214" s="6"/>
      <c r="B214" s="95" t="s">
        <v>844</v>
      </c>
      <c r="C214" s="95" t="s">
        <v>495</v>
      </c>
      <c r="D214" s="96" t="s">
        <v>716</v>
      </c>
      <c r="E214" s="97">
        <v>46116</v>
      </c>
      <c r="F214" s="99">
        <v>4000</v>
      </c>
      <c r="G214" s="95" t="s">
        <v>618</v>
      </c>
      <c r="H214" s="95" t="s">
        <v>462</v>
      </c>
      <c r="I214" s="95"/>
      <c r="J214" s="96" t="s">
        <v>619</v>
      </c>
      <c r="K214" s="95"/>
      <c r="L214" s="43">
        <f t="shared" si="3"/>
        <v>46113</v>
      </c>
      <c r="M214" s="42" t="str">
        <f>IF(AND(C214="",D214="",E214="",F214=""),"",IF(OR(C214="",D214="",E214="",F214="",G214=""),"EKSİK",IF(COUNTIF(MUSTERILER!$B$7:$B$156,C214)=0,"TANIMSIZ MÜŞTERİ","UYGUN")))</f>
        <v>UYGUN</v>
      </c>
      <c r="N214" s="22" t="str">
        <f>IF(D214="","",D214&amp;"|"&amp;TEXT(COUNTIF($D$7:D214,D214),"000"))</f>
        <v>Final Siyah Beyaz Ltd.Şti.|012</v>
      </c>
      <c r="O214" s="22" t="str">
        <f>IF(G214="","",G214&amp;"|"&amp;TEXT(COUNTIF($G$7:G214,G214),"000"))</f>
        <v>MERKEZ KASA|155</v>
      </c>
    </row>
    <row r="215" spans="1:15" ht="17">
      <c r="A215" s="6"/>
      <c r="B215" s="95" t="s">
        <v>845</v>
      </c>
      <c r="C215" s="95" t="s">
        <v>501</v>
      </c>
      <c r="D215" s="96" t="s">
        <v>718</v>
      </c>
      <c r="E215" s="97">
        <v>46116</v>
      </c>
      <c r="F215" s="99">
        <v>4000</v>
      </c>
      <c r="G215" s="95" t="s">
        <v>618</v>
      </c>
      <c r="H215" s="95" t="s">
        <v>462</v>
      </c>
      <c r="I215" s="95"/>
      <c r="J215" s="96" t="s">
        <v>619</v>
      </c>
      <c r="K215" s="95"/>
      <c r="L215" s="43">
        <f t="shared" si="3"/>
        <v>46113</v>
      </c>
      <c r="M215" s="42" t="str">
        <f>IF(AND(C215="",D215="",E215="",F215=""),"",IF(OR(C215="",D215="",E215="",F215="",G215=""),"EKSİK",IF(COUNTIF(MUSTERILER!$B$7:$B$156,C215)=0,"TANIMSIZ MÜŞTERİ","UYGUN")))</f>
        <v>UYGUN</v>
      </c>
      <c r="N215" s="22" t="str">
        <f>IF(D215="","",D215&amp;"|"&amp;TEXT(COUNTIF($D$7:D215,D215),"000"))</f>
        <v>İbrahim Maldan|009</v>
      </c>
      <c r="O215" s="22" t="str">
        <f>IF(G215="","",G215&amp;"|"&amp;TEXT(COUNTIF($G$7:G215,G215),"000"))</f>
        <v>MERKEZ KASA|156</v>
      </c>
    </row>
    <row r="216" spans="1:15" ht="17">
      <c r="A216" s="6"/>
      <c r="B216" s="95" t="s">
        <v>846</v>
      </c>
      <c r="C216" s="95" t="s">
        <v>503</v>
      </c>
      <c r="D216" s="96" t="s">
        <v>504</v>
      </c>
      <c r="E216" s="97">
        <v>46116</v>
      </c>
      <c r="F216" s="99">
        <v>4000</v>
      </c>
      <c r="G216" s="95" t="s">
        <v>618</v>
      </c>
      <c r="H216" s="95" t="s">
        <v>462</v>
      </c>
      <c r="I216" s="95"/>
      <c r="J216" s="96" t="s">
        <v>619</v>
      </c>
      <c r="K216" s="95"/>
      <c r="L216" s="43">
        <f t="shared" si="3"/>
        <v>46113</v>
      </c>
      <c r="M216" s="42" t="str">
        <f>IF(AND(C216="",D216="",E216="",F216=""),"",IF(OR(C216="",D216="",E216="",F216="",G216=""),"EKSİK",IF(COUNTIF(MUSTERILER!$B$7:$B$156,C216)=0,"TANIMSIZ MÜŞTERİ","UYGUN")))</f>
        <v>UYGUN</v>
      </c>
      <c r="N216" s="22" t="str">
        <f>IF(D216="","",D216&amp;"|"&amp;TEXT(COUNTIF($D$7:D216,D216),"000"))</f>
        <v>İLDEŞ LTD.ŞTİ.|012</v>
      </c>
      <c r="O216" s="22" t="str">
        <f>IF(G216="","",G216&amp;"|"&amp;TEXT(COUNTIF($G$7:G216,G216),"000"))</f>
        <v>MERKEZ KASA|157</v>
      </c>
    </row>
    <row r="217" spans="1:15" ht="17">
      <c r="A217" s="6"/>
      <c r="B217" s="95" t="s">
        <v>847</v>
      </c>
      <c r="C217" s="95" t="s">
        <v>525</v>
      </c>
      <c r="D217" s="96" t="s">
        <v>721</v>
      </c>
      <c r="E217" s="97">
        <v>46116</v>
      </c>
      <c r="F217" s="99">
        <v>3500</v>
      </c>
      <c r="G217" s="95" t="s">
        <v>618</v>
      </c>
      <c r="H217" s="95" t="s">
        <v>462</v>
      </c>
      <c r="I217" s="95"/>
      <c r="J217" s="96" t="s">
        <v>619</v>
      </c>
      <c r="K217" s="95"/>
      <c r="L217" s="43">
        <f t="shared" si="3"/>
        <v>46113</v>
      </c>
      <c r="M217" s="42" t="str">
        <f>IF(AND(C217="",D217="",E217="",F217=""),"",IF(OR(C217="",D217="",E217="",F217="",G217=""),"EKSİK",IF(COUNTIF(MUSTERILER!$B$7:$B$156,C217)=0,"TANIMSIZ MÜŞTERİ","UYGUN")))</f>
        <v>UYGUN</v>
      </c>
      <c r="N217" s="22" t="str">
        <f>IF(D217="","",D217&amp;"|"&amp;TEXT(COUNTIF($D$7:D217,D217),"000"))</f>
        <v>Monamour Ltd.Şti.|011</v>
      </c>
      <c r="O217" s="22" t="str">
        <f>IF(G217="","",G217&amp;"|"&amp;TEXT(COUNTIF($G$7:G217,G217),"000"))</f>
        <v>MERKEZ KASA|158</v>
      </c>
    </row>
    <row r="218" spans="1:15" ht="17">
      <c r="A218" s="6"/>
      <c r="B218" s="95" t="s">
        <v>848</v>
      </c>
      <c r="C218" s="95" t="s">
        <v>542</v>
      </c>
      <c r="D218" s="96" t="s">
        <v>726</v>
      </c>
      <c r="E218" s="97">
        <v>46116</v>
      </c>
      <c r="F218" s="99">
        <v>4000</v>
      </c>
      <c r="G218" s="95" t="s">
        <v>618</v>
      </c>
      <c r="H218" s="95" t="s">
        <v>462</v>
      </c>
      <c r="I218" s="95"/>
      <c r="J218" s="96" t="s">
        <v>619</v>
      </c>
      <c r="K218" s="95"/>
      <c r="L218" s="43">
        <f t="shared" si="3"/>
        <v>46113</v>
      </c>
      <c r="M218" s="42" t="str">
        <f>IF(AND(C218="",D218="",E218="",F218=""),"",IF(OR(C218="",D218="",E218="",F218="",G218=""),"EKSİK",IF(COUNTIF(MUSTERILER!$B$7:$B$156,C218)=0,"TANIMSIZ MÜŞTERİ","UYGUN")))</f>
        <v>UYGUN</v>
      </c>
      <c r="N218" s="22" t="str">
        <f>IF(D218="","",D218&amp;"|"&amp;TEXT(COUNTIF($D$7:D218,D218),"000"))</f>
        <v>Pakyıldız Ltd.Şti.|008</v>
      </c>
      <c r="O218" s="22" t="str">
        <f>IF(G218="","",G218&amp;"|"&amp;TEXT(COUNTIF($G$7:G218,G218),"000"))</f>
        <v>MERKEZ KASA|159</v>
      </c>
    </row>
    <row r="219" spans="1:15" ht="17">
      <c r="A219" s="6"/>
      <c r="B219" s="95" t="s">
        <v>849</v>
      </c>
      <c r="C219" s="95" t="s">
        <v>556</v>
      </c>
      <c r="D219" s="96" t="s">
        <v>557</v>
      </c>
      <c r="E219" s="97">
        <v>46116</v>
      </c>
      <c r="F219" s="99">
        <v>6000</v>
      </c>
      <c r="G219" s="95" t="s">
        <v>618</v>
      </c>
      <c r="H219" s="95" t="s">
        <v>462</v>
      </c>
      <c r="I219" s="95"/>
      <c r="J219" s="96" t="s">
        <v>619</v>
      </c>
      <c r="K219" s="95"/>
      <c r="L219" s="43">
        <f t="shared" si="3"/>
        <v>46113</v>
      </c>
      <c r="M219" s="42" t="str">
        <f>IF(AND(C219="",D219="",E219="",F219=""),"",IF(OR(C219="",D219="",E219="",F219="",G219=""),"EKSİK",IF(COUNTIF(MUSTERILER!$B$7:$B$156,C219)=0,"TANIMSIZ MÜŞTERİ","UYGUN")))</f>
        <v>UYGUN</v>
      </c>
      <c r="N219" s="22" t="str">
        <f>IF(D219="","",D219&amp;"|"&amp;TEXT(COUNTIF($D$7:D219,D219),"000"))</f>
        <v>TYANA LTD.ŞTİ.|005</v>
      </c>
      <c r="O219" s="22" t="str">
        <f>IF(G219="","",G219&amp;"|"&amp;TEXT(COUNTIF($G$7:G219,G219),"000"))</f>
        <v>MERKEZ KASA|160</v>
      </c>
    </row>
    <row r="220" spans="1:15" ht="17">
      <c r="A220" s="6"/>
      <c r="B220" s="95" t="s">
        <v>850</v>
      </c>
      <c r="C220" s="95" t="s">
        <v>568</v>
      </c>
      <c r="D220" s="96" t="s">
        <v>768</v>
      </c>
      <c r="E220" s="97">
        <v>46116</v>
      </c>
      <c r="F220" s="99">
        <v>3000</v>
      </c>
      <c r="G220" s="95" t="s">
        <v>618</v>
      </c>
      <c r="H220" s="95" t="s">
        <v>462</v>
      </c>
      <c r="I220" s="95"/>
      <c r="J220" s="96" t="s">
        <v>619</v>
      </c>
      <c r="K220" s="95"/>
      <c r="L220" s="43">
        <f t="shared" si="3"/>
        <v>46113</v>
      </c>
      <c r="M220" s="42" t="str">
        <f>IF(AND(C220="",D220="",E220="",F220=""),"",IF(OR(C220="",D220="",E220="",F220="",G220=""),"EKSİK",IF(COUNTIF(MUSTERILER!$B$7:$B$156,C220)=0,"TANIMSIZ MÜŞTERİ","UYGUN")))</f>
        <v>UYGUN</v>
      </c>
      <c r="N220" s="22" t="str">
        <f>IF(D220="","",D220&amp;"|"&amp;TEXT(COUNTIF($D$7:D220,D220),"000"))</f>
        <v>Zümrüt Eğlence Ltd.Şti.|008</v>
      </c>
      <c r="O220" s="22" t="str">
        <f>IF(G220="","",G220&amp;"|"&amp;TEXT(COUNTIF($G$7:G220,G220),"000"))</f>
        <v>MERKEZ KASA|161</v>
      </c>
    </row>
    <row r="221" spans="1:15" ht="17">
      <c r="A221" s="6"/>
      <c r="B221" s="95" t="s">
        <v>851</v>
      </c>
      <c r="C221" s="95" t="s">
        <v>570</v>
      </c>
      <c r="D221" s="96" t="s">
        <v>626</v>
      </c>
      <c r="E221" s="97">
        <v>46116</v>
      </c>
      <c r="F221" s="99">
        <v>1750</v>
      </c>
      <c r="G221" s="95" t="s">
        <v>618</v>
      </c>
      <c r="H221" s="95" t="s">
        <v>462</v>
      </c>
      <c r="I221" s="95"/>
      <c r="J221" s="96" t="s">
        <v>619</v>
      </c>
      <c r="K221" s="95"/>
      <c r="L221" s="43">
        <f t="shared" si="3"/>
        <v>46113</v>
      </c>
      <c r="M221" s="42" t="str">
        <f>IF(AND(C221="",D221="",E221="",F221=""),"",IF(OR(C221="",D221="",E221="",F221="",G221=""),"EKSİK",IF(COUNTIF(MUSTERILER!$B$7:$B$156,C221)=0,"TANIMSIZ MÜŞTERİ","UYGUN")))</f>
        <v>UYGUN</v>
      </c>
      <c r="N221" s="22" t="str">
        <f>IF(D221="","",D221&amp;"|"&amp;TEXT(COUNTIF($D$7:D221,D221),"000"))</f>
        <v>Zümrüt Grup Ltd.Şti.|012</v>
      </c>
      <c r="O221" s="22" t="str">
        <f>IF(G221="","",G221&amp;"|"&amp;TEXT(COUNTIF($G$7:G221,G221),"000"))</f>
        <v>MERKEZ KASA|162</v>
      </c>
    </row>
    <row r="222" spans="1:15" ht="17">
      <c r="A222" s="6"/>
      <c r="B222" s="95" t="s">
        <v>852</v>
      </c>
      <c r="C222" s="95" t="s">
        <v>491</v>
      </c>
      <c r="D222" s="96" t="s">
        <v>492</v>
      </c>
      <c r="E222" s="97">
        <v>46116</v>
      </c>
      <c r="F222" s="99">
        <v>3500</v>
      </c>
      <c r="G222" s="95" t="s">
        <v>618</v>
      </c>
      <c r="H222" s="95" t="s">
        <v>462</v>
      </c>
      <c r="I222" s="95"/>
      <c r="J222" s="96" t="s">
        <v>619</v>
      </c>
      <c r="K222" s="95"/>
      <c r="L222" s="43">
        <f t="shared" si="3"/>
        <v>46113</v>
      </c>
      <c r="M222" s="42" t="str">
        <f>IF(AND(C222="",D222="",E222="",F222=""),"",IF(OR(C222="",D222="",E222="",F222="",G222=""),"EKSİK",IF(COUNTIF(MUSTERILER!$B$7:$B$156,C222)=0,"TANIMSIZ MÜŞTERİ","UYGUN")))</f>
        <v>UYGUN</v>
      </c>
      <c r="N222" s="22" t="str">
        <f>IF(D222="","",D222&amp;"|"&amp;TEXT(COUNTIF($D$7:D222,D222),"000"))</f>
        <v>ESERLİ LTD.ŞTİ.|003</v>
      </c>
      <c r="O222" s="22" t="str">
        <f>IF(G222="","",G222&amp;"|"&amp;TEXT(COUNTIF($G$7:G222,G222),"000"))</f>
        <v>MERKEZ KASA|163</v>
      </c>
    </row>
    <row r="223" spans="1:15" ht="17">
      <c r="A223" s="6"/>
      <c r="B223" s="95" t="s">
        <v>853</v>
      </c>
      <c r="C223" s="95" t="s">
        <v>513</v>
      </c>
      <c r="D223" s="96" t="s">
        <v>514</v>
      </c>
      <c r="E223" s="97">
        <v>46116</v>
      </c>
      <c r="F223" s="99">
        <v>3000</v>
      </c>
      <c r="G223" s="95" t="s">
        <v>618</v>
      </c>
      <c r="H223" s="95" t="s">
        <v>462</v>
      </c>
      <c r="I223" s="95"/>
      <c r="J223" s="96" t="s">
        <v>619</v>
      </c>
      <c r="K223" s="95"/>
      <c r="L223" s="43">
        <f t="shared" si="3"/>
        <v>46113</v>
      </c>
      <c r="M223" s="42" t="str">
        <f>IF(AND(C223="",D223="",E223="",F223=""),"",IF(OR(C223="",D223="",E223="",F223="",G223=""),"EKSİK",IF(COUNTIF(MUSTERILER!$B$7:$B$156,C223)=0,"TANIMSIZ MÜŞTERİ","UYGUN")))</f>
        <v>UYGUN</v>
      </c>
      <c r="N223" s="22" t="str">
        <f>IF(D223="","",D223&amp;"|"&amp;TEXT(COUNTIF($D$7:D223,D223),"000"))</f>
        <v>KRİSTAL LTD.ŞTİ.|013</v>
      </c>
      <c r="O223" s="22" t="str">
        <f>IF(G223="","",G223&amp;"|"&amp;TEXT(COUNTIF($G$7:G223,G223),"000"))</f>
        <v>MERKEZ KASA|164</v>
      </c>
    </row>
    <row r="224" spans="1:15" ht="17">
      <c r="A224" s="6"/>
      <c r="B224" s="95" t="s">
        <v>854</v>
      </c>
      <c r="C224" s="95" t="s">
        <v>544</v>
      </c>
      <c r="D224" s="96" t="s">
        <v>545</v>
      </c>
      <c r="E224" s="97">
        <v>46116</v>
      </c>
      <c r="F224" s="99">
        <v>4000</v>
      </c>
      <c r="G224" s="95" t="s">
        <v>618</v>
      </c>
      <c r="H224" s="95" t="s">
        <v>462</v>
      </c>
      <c r="I224" s="95"/>
      <c r="J224" s="96" t="s">
        <v>619</v>
      </c>
      <c r="K224" s="95"/>
      <c r="L224" s="43">
        <f t="shared" si="3"/>
        <v>46113</v>
      </c>
      <c r="M224" s="42" t="str">
        <f>IF(AND(C224="",D224="",E224="",F224=""),"",IF(OR(C224="",D224="",E224="",F224="",G224=""),"EKSİK",IF(COUNTIF(MUSTERILER!$B$7:$B$156,C224)=0,"TANIMSIZ MÜŞTERİ","UYGUN")))</f>
        <v>UYGUN</v>
      </c>
      <c r="N224" s="22" t="str">
        <f>IF(D224="","",D224&amp;"|"&amp;TEXT(COUNTIF($D$7:D224,D224),"000"))</f>
        <v>PALAOĞULLARI LTD.ŞTİ.|006</v>
      </c>
      <c r="O224" s="22" t="str">
        <f>IF(G224="","",G224&amp;"|"&amp;TEXT(COUNTIF($G$7:G224,G224),"000"))</f>
        <v>MERKEZ KASA|165</v>
      </c>
    </row>
    <row r="225" spans="1:15" ht="17">
      <c r="A225" s="6"/>
      <c r="B225" s="95" t="s">
        <v>855</v>
      </c>
      <c r="C225" s="95" t="s">
        <v>503</v>
      </c>
      <c r="D225" s="96" t="s">
        <v>621</v>
      </c>
      <c r="E225" s="97">
        <v>46117</v>
      </c>
      <c r="F225" s="99">
        <v>4000</v>
      </c>
      <c r="G225" s="95" t="s">
        <v>618</v>
      </c>
      <c r="H225" s="95" t="s">
        <v>462</v>
      </c>
      <c r="I225" s="95"/>
      <c r="J225" s="96" t="s">
        <v>619</v>
      </c>
      <c r="K225" s="95"/>
      <c r="L225" s="43">
        <f t="shared" si="3"/>
        <v>46113</v>
      </c>
      <c r="M225" s="42" t="str">
        <f>IF(AND(C225="",D225="",E225="",F225=""),"",IF(OR(C225="",D225="",E225="",F225="",G225=""),"EKSİK",IF(COUNTIF(MUSTERILER!$B$7:$B$156,C225)=0,"TANIMSIZ MÜŞTERİ","UYGUN")))</f>
        <v>UYGUN</v>
      </c>
      <c r="N225" s="22" t="str">
        <f>IF(D225="","",D225&amp;"|"&amp;TEXT(COUNTIF($D$7:D225,D225),"000"))</f>
        <v>İldeş Ltd.Şti.|013</v>
      </c>
      <c r="O225" s="22" t="str">
        <f>IF(G225="","",G225&amp;"|"&amp;TEXT(COUNTIF($G$7:G225,G225),"000"))</f>
        <v>MERKEZ KASA|166</v>
      </c>
    </row>
    <row r="226" spans="1:15" ht="17">
      <c r="A226" s="6"/>
      <c r="B226" s="95" t="s">
        <v>856</v>
      </c>
      <c r="C226" s="95" t="s">
        <v>546</v>
      </c>
      <c r="D226" s="96" t="s">
        <v>547</v>
      </c>
      <c r="E226" s="97">
        <v>46122</v>
      </c>
      <c r="F226" s="99">
        <v>10000</v>
      </c>
      <c r="G226" s="95" t="s">
        <v>628</v>
      </c>
      <c r="H226" s="95" t="s">
        <v>462</v>
      </c>
      <c r="I226" s="95"/>
      <c r="J226" s="96" t="s">
        <v>619</v>
      </c>
      <c r="K226" s="95"/>
      <c r="L226" s="43">
        <f t="shared" si="3"/>
        <v>46113</v>
      </c>
      <c r="M226" s="42" t="str">
        <f>IF(AND(C226="",D226="",E226="",F226=""),"",IF(OR(C226="",D226="",E226="",F226="",G226=""),"EKSİK",IF(COUNTIF(MUSTERILER!$B$7:$B$156,C226)=0,"TANIMSIZ MÜŞTERİ","UYGUN")))</f>
        <v>UYGUN</v>
      </c>
      <c r="N226" s="22" t="str">
        <f>IF(D226="","",D226&amp;"|"&amp;TEXT(COUNTIF($D$7:D226,D226),"000"))</f>
        <v>RASİM DEMİRCİ|001</v>
      </c>
      <c r="O226" s="22" t="str">
        <f>IF(G226="","",G226&amp;"|"&amp;TEXT(COUNTIF($G$7:G226,G226),"000"))</f>
        <v>ÖMER KARTAL|051</v>
      </c>
    </row>
    <row r="227" spans="1:15" ht="17">
      <c r="A227" s="6"/>
      <c r="B227" s="95" t="s">
        <v>857</v>
      </c>
      <c r="C227" s="95" t="s">
        <v>473</v>
      </c>
      <c r="D227" s="96" t="s">
        <v>474</v>
      </c>
      <c r="E227" s="97">
        <v>46123</v>
      </c>
      <c r="F227" s="99">
        <v>2000</v>
      </c>
      <c r="G227" s="95" t="s">
        <v>628</v>
      </c>
      <c r="H227" s="95" t="s">
        <v>462</v>
      </c>
      <c r="I227" s="95"/>
      <c r="J227" s="96" t="s">
        <v>619</v>
      </c>
      <c r="K227" s="95"/>
      <c r="L227" s="43">
        <f t="shared" si="3"/>
        <v>46113</v>
      </c>
      <c r="M227" s="42" t="str">
        <f>IF(AND(C227="",D227="",E227="",F227=""),"",IF(OR(C227="",D227="",E227="",F227="",G227=""),"EKSİK",IF(COUNTIF(MUSTERILER!$B$7:$B$156,C227)=0,"TANIMSIZ MÜŞTERİ","UYGUN")))</f>
        <v>UYGUN</v>
      </c>
      <c r="N227" s="22" t="str">
        <f>IF(D227="","",D227&amp;"|"&amp;TEXT(COUNTIF($D$7:D227,D227),"000"))</f>
        <v>ASIM AÇIKGÖZ|011</v>
      </c>
      <c r="O227" s="22" t="str">
        <f>IF(G227="","",G227&amp;"|"&amp;TEXT(COUNTIF($G$7:G227,G227),"000"))</f>
        <v>ÖMER KARTAL|052</v>
      </c>
    </row>
    <row r="228" spans="1:15" ht="17">
      <c r="A228" s="6"/>
      <c r="B228" s="95" t="s">
        <v>858</v>
      </c>
      <c r="C228" s="95" t="s">
        <v>475</v>
      </c>
      <c r="D228" s="96" t="s">
        <v>476</v>
      </c>
      <c r="E228" s="97">
        <v>46123</v>
      </c>
      <c r="F228" s="99">
        <v>2500</v>
      </c>
      <c r="G228" s="95" t="s">
        <v>628</v>
      </c>
      <c r="H228" s="95" t="s">
        <v>462</v>
      </c>
      <c r="I228" s="95"/>
      <c r="J228" s="96" t="s">
        <v>619</v>
      </c>
      <c r="K228" s="95"/>
      <c r="L228" s="43">
        <f t="shared" si="3"/>
        <v>46113</v>
      </c>
      <c r="M228" s="42" t="str">
        <f>IF(AND(C228="",D228="",E228="",F228=""),"",IF(OR(C228="",D228="",E228="",F228="",G228=""),"EKSİK",IF(COUNTIF(MUSTERILER!$B$7:$B$156,C228)=0,"TANIMSIZ MÜŞTERİ","UYGUN")))</f>
        <v>UYGUN</v>
      </c>
      <c r="N228" s="22" t="str">
        <f>IF(D228="","",D228&amp;"|"&amp;TEXT(COUNTIF($D$7:D228,D228),"000"))</f>
        <v>ASM EĞLENCE LTD.ŞTİ.|013</v>
      </c>
      <c r="O228" s="22" t="str">
        <f>IF(G228="","",G228&amp;"|"&amp;TEXT(COUNTIF($G$7:G228,G228),"000"))</f>
        <v>ÖMER KARTAL|053</v>
      </c>
    </row>
    <row r="229" spans="1:15" ht="17">
      <c r="A229" s="6"/>
      <c r="B229" s="95" t="s">
        <v>859</v>
      </c>
      <c r="C229" s="95" t="s">
        <v>479</v>
      </c>
      <c r="D229" s="96" t="s">
        <v>617</v>
      </c>
      <c r="E229" s="97">
        <v>46123</v>
      </c>
      <c r="F229" s="99">
        <v>3000</v>
      </c>
      <c r="G229" s="95" t="s">
        <v>628</v>
      </c>
      <c r="H229" s="95" t="s">
        <v>462</v>
      </c>
      <c r="I229" s="95"/>
      <c r="J229" s="96" t="s">
        <v>629</v>
      </c>
      <c r="K229" s="95"/>
      <c r="L229" s="43">
        <f t="shared" si="3"/>
        <v>46113</v>
      </c>
      <c r="M229" s="42" t="str">
        <f>IF(AND(C229="",D229="",E229="",F229=""),"",IF(OR(C229="",D229="",E229="",F229="",G229=""),"EKSİK",IF(COUNTIF(MUSTERILER!$B$7:$B$156,C229)=0,"TANIMSIZ MÜŞTERİ","UYGUN")))</f>
        <v>UYGUN</v>
      </c>
      <c r="N229" s="22" t="str">
        <f>IF(D229="","",D229&amp;"|"&amp;TEXT(COUNTIF($D$7:D229,D229),"000"))</f>
        <v>Çayıralan Ltd.Şti.|012</v>
      </c>
      <c r="O229" s="22" t="str">
        <f>IF(G229="","",G229&amp;"|"&amp;TEXT(COUNTIF($G$7:G229,G229),"000"))</f>
        <v>ÖMER KARTAL|054</v>
      </c>
    </row>
    <row r="230" spans="1:15" ht="17">
      <c r="A230" s="6"/>
      <c r="B230" s="95" t="s">
        <v>860</v>
      </c>
      <c r="C230" s="95" t="s">
        <v>501</v>
      </c>
      <c r="D230" s="96" t="s">
        <v>718</v>
      </c>
      <c r="E230" s="97">
        <v>46123</v>
      </c>
      <c r="F230" s="99">
        <v>4000</v>
      </c>
      <c r="G230" s="95" t="s">
        <v>628</v>
      </c>
      <c r="H230" s="95" t="s">
        <v>462</v>
      </c>
      <c r="I230" s="95"/>
      <c r="J230" s="96" t="s">
        <v>629</v>
      </c>
      <c r="K230" s="95"/>
      <c r="L230" s="43">
        <f t="shared" si="3"/>
        <v>46113</v>
      </c>
      <c r="M230" s="42" t="str">
        <f>IF(AND(C230="",D230="",E230="",F230=""),"",IF(OR(C230="",D230="",E230="",F230="",G230=""),"EKSİK",IF(COUNTIF(MUSTERILER!$B$7:$B$156,C230)=0,"TANIMSIZ MÜŞTERİ","UYGUN")))</f>
        <v>UYGUN</v>
      </c>
      <c r="N230" s="22" t="str">
        <f>IF(D230="","",D230&amp;"|"&amp;TEXT(COUNTIF($D$7:D230,D230),"000"))</f>
        <v>İbrahim Maldan|010</v>
      </c>
      <c r="O230" s="22" t="str">
        <f>IF(G230="","",G230&amp;"|"&amp;TEXT(COUNTIF($G$7:G230,G230),"000"))</f>
        <v>ÖMER KARTAL|055</v>
      </c>
    </row>
    <row r="231" spans="1:15" ht="17">
      <c r="A231" s="6"/>
      <c r="B231" s="95" t="s">
        <v>861</v>
      </c>
      <c r="C231" s="95" t="s">
        <v>542</v>
      </c>
      <c r="D231" s="96" t="s">
        <v>726</v>
      </c>
      <c r="E231" s="97">
        <v>46123</v>
      </c>
      <c r="F231" s="99">
        <v>4000</v>
      </c>
      <c r="G231" s="95" t="s">
        <v>628</v>
      </c>
      <c r="H231" s="95" t="s">
        <v>462</v>
      </c>
      <c r="I231" s="95"/>
      <c r="J231" s="96" t="s">
        <v>629</v>
      </c>
      <c r="K231" s="95"/>
      <c r="L231" s="43">
        <f t="shared" si="3"/>
        <v>46113</v>
      </c>
      <c r="M231" s="42" t="str">
        <f>IF(AND(C231="",D231="",E231="",F231=""),"",IF(OR(C231="",D231="",E231="",F231="",G231=""),"EKSİK",IF(COUNTIF(MUSTERILER!$B$7:$B$156,C231)=0,"TANIMSIZ MÜŞTERİ","UYGUN")))</f>
        <v>UYGUN</v>
      </c>
      <c r="N231" s="22" t="str">
        <f>IF(D231="","",D231&amp;"|"&amp;TEXT(COUNTIF($D$7:D231,D231),"000"))</f>
        <v>Pakyıldız Ltd.Şti.|009</v>
      </c>
      <c r="O231" s="22" t="str">
        <f>IF(G231="","",G231&amp;"|"&amp;TEXT(COUNTIF($G$7:G231,G231),"000"))</f>
        <v>ÖMER KARTAL|056</v>
      </c>
    </row>
    <row r="232" spans="1:15" ht="17">
      <c r="A232" s="6"/>
      <c r="B232" s="95" t="s">
        <v>862</v>
      </c>
      <c r="C232" s="95" t="s">
        <v>548</v>
      </c>
      <c r="D232" s="96" t="s">
        <v>728</v>
      </c>
      <c r="E232" s="97">
        <v>46123</v>
      </c>
      <c r="F232" s="99">
        <v>3000</v>
      </c>
      <c r="G232" s="95" t="s">
        <v>628</v>
      </c>
      <c r="H232" s="95" t="s">
        <v>462</v>
      </c>
      <c r="I232" s="95"/>
      <c r="J232" s="96" t="s">
        <v>629</v>
      </c>
      <c r="K232" s="95"/>
      <c r="L232" s="43">
        <f t="shared" si="3"/>
        <v>46113</v>
      </c>
      <c r="M232" s="42" t="str">
        <f>IF(AND(C232="",D232="",E232="",F232=""),"",IF(OR(C232="",D232="",E232="",F232="",G232=""),"EKSİK",IF(COUNTIF(MUSTERILER!$B$7:$B$156,C232)=0,"TANIMSIZ MÜŞTERİ","UYGUN")))</f>
        <v>UYGUN</v>
      </c>
      <c r="N232" s="22" t="str">
        <f>IF(D232="","",D232&amp;"|"&amp;TEXT(COUNTIF($D$7:D232,D232),"000"))</f>
        <v>Rix Şow Ltd.Şti.|014</v>
      </c>
      <c r="O232" s="22" t="str">
        <f>IF(G232="","",G232&amp;"|"&amp;TEXT(COUNTIF($G$7:G232,G232),"000"))</f>
        <v>ÖMER KARTAL|057</v>
      </c>
    </row>
    <row r="233" spans="1:15" ht="17">
      <c r="A233" s="6"/>
      <c r="B233" s="95" t="s">
        <v>863</v>
      </c>
      <c r="C233" s="95" t="s">
        <v>483</v>
      </c>
      <c r="D233" s="96" t="s">
        <v>484</v>
      </c>
      <c r="E233" s="97">
        <v>46123</v>
      </c>
      <c r="F233" s="99">
        <v>2500</v>
      </c>
      <c r="G233" s="95" t="s">
        <v>628</v>
      </c>
      <c r="H233" s="95" t="s">
        <v>462</v>
      </c>
      <c r="I233" s="95"/>
      <c r="J233" s="96" t="s">
        <v>619</v>
      </c>
      <c r="K233" s="95"/>
      <c r="L233" s="43">
        <f t="shared" si="3"/>
        <v>46113</v>
      </c>
      <c r="M233" s="42" t="str">
        <f>IF(AND(C233="",D233="",E233="",F233=""),"",IF(OR(C233="",D233="",E233="",F233="",G233=""),"EKSİK",IF(COUNTIF(MUSTERILER!$B$7:$B$156,C233)=0,"TANIMSIZ MÜŞTERİ","UYGUN")))</f>
        <v>UYGUN</v>
      </c>
      <c r="N233" s="22" t="str">
        <f>IF(D233="","",D233&amp;"|"&amp;TEXT(COUNTIF($D$7:D233,D233),"000"))</f>
        <v>ÇINARHAN LTD.ŞTİ.|008</v>
      </c>
      <c r="O233" s="22" t="str">
        <f>IF(G233="","",G233&amp;"|"&amp;TEXT(COUNTIF($G$7:G233,G233),"000"))</f>
        <v>ÖMER KARTAL|058</v>
      </c>
    </row>
    <row r="234" spans="1:15" ht="17">
      <c r="A234" s="6"/>
      <c r="B234" s="95" t="s">
        <v>864</v>
      </c>
      <c r="C234" s="95" t="s">
        <v>513</v>
      </c>
      <c r="D234" s="96" t="s">
        <v>514</v>
      </c>
      <c r="E234" s="97">
        <v>46123</v>
      </c>
      <c r="F234" s="99">
        <v>3000</v>
      </c>
      <c r="G234" s="95" t="s">
        <v>628</v>
      </c>
      <c r="H234" s="95" t="s">
        <v>462</v>
      </c>
      <c r="I234" s="95"/>
      <c r="J234" s="96" t="s">
        <v>619</v>
      </c>
      <c r="K234" s="95"/>
      <c r="L234" s="43">
        <f t="shared" si="3"/>
        <v>46113</v>
      </c>
      <c r="M234" s="42" t="str">
        <f>IF(AND(C234="",D234="",E234="",F234=""),"",IF(OR(C234="",D234="",E234="",F234="",G234=""),"EKSİK",IF(COUNTIF(MUSTERILER!$B$7:$B$156,C234)=0,"TANIMSIZ MÜŞTERİ","UYGUN")))</f>
        <v>UYGUN</v>
      </c>
      <c r="N234" s="22" t="str">
        <f>IF(D234="","",D234&amp;"|"&amp;TEXT(COUNTIF($D$7:D234,D234),"000"))</f>
        <v>KRİSTAL LTD.ŞTİ.|014</v>
      </c>
      <c r="O234" s="22" t="str">
        <f>IF(G234="","",G234&amp;"|"&amp;TEXT(COUNTIF($G$7:G234,G234),"000"))</f>
        <v>ÖMER KARTAL|059</v>
      </c>
    </row>
    <row r="235" spans="1:15" ht="17">
      <c r="A235" s="6"/>
      <c r="B235" s="95" t="s">
        <v>865</v>
      </c>
      <c r="C235" s="95" t="s">
        <v>544</v>
      </c>
      <c r="D235" s="96" t="s">
        <v>545</v>
      </c>
      <c r="E235" s="97">
        <v>46123</v>
      </c>
      <c r="F235" s="99">
        <v>4000</v>
      </c>
      <c r="G235" s="95" t="s">
        <v>628</v>
      </c>
      <c r="H235" s="95" t="s">
        <v>462</v>
      </c>
      <c r="I235" s="95"/>
      <c r="J235" s="96" t="s">
        <v>619</v>
      </c>
      <c r="K235" s="95"/>
      <c r="L235" s="43">
        <f t="shared" si="3"/>
        <v>46113</v>
      </c>
      <c r="M235" s="42" t="str">
        <f>IF(AND(C235="",D235="",E235="",F235=""),"",IF(OR(C235="",D235="",E235="",F235="",G235=""),"EKSİK",IF(COUNTIF(MUSTERILER!$B$7:$B$156,C235)=0,"TANIMSIZ MÜŞTERİ","UYGUN")))</f>
        <v>UYGUN</v>
      </c>
      <c r="N235" s="22" t="str">
        <f>IF(D235="","",D235&amp;"|"&amp;TEXT(COUNTIF($D$7:D235,D235),"000"))</f>
        <v>PALAOĞULLARI LTD.ŞTİ.|007</v>
      </c>
      <c r="O235" s="22" t="str">
        <f>IF(G235="","",G235&amp;"|"&amp;TEXT(COUNTIF($G$7:G235,G235),"000"))</f>
        <v>ÖMER KARTAL|060</v>
      </c>
    </row>
    <row r="236" spans="1:15" ht="17">
      <c r="A236" s="6"/>
      <c r="B236" s="95" t="s">
        <v>866</v>
      </c>
      <c r="C236" s="95" t="s">
        <v>495</v>
      </c>
      <c r="D236" s="96" t="s">
        <v>716</v>
      </c>
      <c r="E236" s="97">
        <v>46123</v>
      </c>
      <c r="F236" s="99">
        <v>4000</v>
      </c>
      <c r="G236" s="95" t="s">
        <v>618</v>
      </c>
      <c r="H236" s="95" t="s">
        <v>462</v>
      </c>
      <c r="I236" s="95"/>
      <c r="J236" s="96" t="s">
        <v>619</v>
      </c>
      <c r="K236" s="95"/>
      <c r="L236" s="43">
        <f t="shared" si="3"/>
        <v>46113</v>
      </c>
      <c r="M236" s="42" t="str">
        <f>IF(AND(C236="",D236="",E236="",F236=""),"",IF(OR(C236="",D236="",E236="",F236="",G236=""),"EKSİK",IF(COUNTIF(MUSTERILER!$B$7:$B$156,C236)=0,"TANIMSIZ MÜŞTERİ","UYGUN")))</f>
        <v>UYGUN</v>
      </c>
      <c r="N236" s="22" t="str">
        <f>IF(D236="","",D236&amp;"|"&amp;TEXT(COUNTIF($D$7:D236,D236),"000"))</f>
        <v>Final Siyah Beyaz Ltd.Şti.|013</v>
      </c>
      <c r="O236" s="22" t="str">
        <f>IF(G236="","",G236&amp;"|"&amp;TEXT(COUNTIF($G$7:G236,G236),"000"))</f>
        <v>MERKEZ KASA|167</v>
      </c>
    </row>
    <row r="237" spans="1:15" ht="17">
      <c r="A237" s="6"/>
      <c r="B237" s="95" t="s">
        <v>867</v>
      </c>
      <c r="C237" s="95" t="s">
        <v>503</v>
      </c>
      <c r="D237" s="96" t="s">
        <v>621</v>
      </c>
      <c r="E237" s="97">
        <v>46123</v>
      </c>
      <c r="F237" s="99">
        <v>4000</v>
      </c>
      <c r="G237" s="95" t="s">
        <v>618</v>
      </c>
      <c r="H237" s="95" t="s">
        <v>462</v>
      </c>
      <c r="I237" s="95"/>
      <c r="J237" s="96" t="s">
        <v>619</v>
      </c>
      <c r="K237" s="95"/>
      <c r="L237" s="43">
        <f t="shared" si="3"/>
        <v>46113</v>
      </c>
      <c r="M237" s="42" t="str">
        <f>IF(AND(C237="",D237="",E237="",F237=""),"",IF(OR(C237="",D237="",E237="",F237="",G237=""),"EKSİK",IF(COUNTIF(MUSTERILER!$B$7:$B$156,C237)=0,"TANIMSIZ MÜŞTERİ","UYGUN")))</f>
        <v>UYGUN</v>
      </c>
      <c r="N237" s="22" t="str">
        <f>IF(D237="","",D237&amp;"|"&amp;TEXT(COUNTIF($D$7:D237,D237),"000"))</f>
        <v>İldeş Ltd.Şti.|014</v>
      </c>
      <c r="O237" s="22" t="str">
        <f>IF(G237="","",G237&amp;"|"&amp;TEXT(COUNTIF($G$7:G237,G237),"000"))</f>
        <v>MERKEZ KASA|168</v>
      </c>
    </row>
    <row r="238" spans="1:15" ht="17">
      <c r="A238" s="6"/>
      <c r="B238" s="95" t="s">
        <v>868</v>
      </c>
      <c r="C238" s="95" t="s">
        <v>534</v>
      </c>
      <c r="D238" s="96" t="s">
        <v>724</v>
      </c>
      <c r="E238" s="97">
        <v>46123</v>
      </c>
      <c r="F238" s="99">
        <v>4200</v>
      </c>
      <c r="G238" s="95" t="s">
        <v>618</v>
      </c>
      <c r="H238" s="95" t="s">
        <v>462</v>
      </c>
      <c r="I238" s="95"/>
      <c r="J238" s="96" t="s">
        <v>619</v>
      </c>
      <c r="K238" s="95"/>
      <c r="L238" s="43">
        <f t="shared" si="3"/>
        <v>46113</v>
      </c>
      <c r="M238" s="42" t="str">
        <f>IF(AND(C238="",D238="",E238="",F238=""),"",IF(OR(C238="",D238="",E238="",F238="",G238=""),"EKSİK",IF(COUNTIF(MUSTERILER!$B$7:$B$156,C238)=0,"TANIMSIZ MÜŞTERİ","UYGUN")))</f>
        <v>UYGUN</v>
      </c>
      <c r="N238" s="22" t="str">
        <f>IF(D238="","",D238&amp;"|"&amp;TEXT(COUNTIF($D$7:D238,D238),"000"))</f>
        <v>Naz 1 Gıda Ltd.Şti.|009</v>
      </c>
      <c r="O238" s="22" t="str">
        <f>IF(G238="","",G238&amp;"|"&amp;TEXT(COUNTIF($G$7:G238,G238),"000"))</f>
        <v>MERKEZ KASA|169</v>
      </c>
    </row>
    <row r="239" spans="1:15" ht="17">
      <c r="A239" s="6"/>
      <c r="B239" s="95" t="s">
        <v>869</v>
      </c>
      <c r="C239" s="95" t="s">
        <v>564</v>
      </c>
      <c r="D239" s="96" t="s">
        <v>565</v>
      </c>
      <c r="E239" s="97">
        <v>46123</v>
      </c>
      <c r="F239" s="99">
        <v>4000</v>
      </c>
      <c r="G239" s="95" t="s">
        <v>618</v>
      </c>
      <c r="H239" s="95" t="s">
        <v>462</v>
      </c>
      <c r="I239" s="95"/>
      <c r="J239" s="96" t="s">
        <v>619</v>
      </c>
      <c r="K239" s="95"/>
      <c r="L239" s="43">
        <f t="shared" si="3"/>
        <v>46113</v>
      </c>
      <c r="M239" s="42" t="str">
        <f>IF(AND(C239="",D239="",E239="",F239=""),"",IF(OR(C239="",D239="",E239="",F239="",G239=""),"EKSİK",IF(COUNTIF(MUSTERILER!$B$7:$B$156,C239)=0,"TANIMSIZ MÜŞTERİ","UYGUN")))</f>
        <v>UYGUN</v>
      </c>
      <c r="N239" s="22" t="str">
        <f>IF(D239="","",D239&amp;"|"&amp;TEXT(COUNTIF($D$7:D239,D239),"000"))</f>
        <v>YALIKENT LTD.ŞTİ.|003</v>
      </c>
      <c r="O239" s="22" t="str">
        <f>IF(G239="","",G239&amp;"|"&amp;TEXT(COUNTIF($G$7:G239,G239),"000"))</f>
        <v>MERKEZ KASA|170</v>
      </c>
    </row>
    <row r="240" spans="1:15" ht="17">
      <c r="A240" s="6"/>
      <c r="B240" s="95" t="s">
        <v>870</v>
      </c>
      <c r="C240" s="95" t="s">
        <v>525</v>
      </c>
      <c r="D240" s="96" t="s">
        <v>721</v>
      </c>
      <c r="E240" s="97">
        <v>46124</v>
      </c>
      <c r="F240" s="99">
        <v>3500</v>
      </c>
      <c r="G240" s="95" t="s">
        <v>628</v>
      </c>
      <c r="H240" s="95" t="s">
        <v>462</v>
      </c>
      <c r="I240" s="95"/>
      <c r="J240" s="96" t="s">
        <v>629</v>
      </c>
      <c r="K240" s="95"/>
      <c r="L240" s="43">
        <f t="shared" si="3"/>
        <v>46113</v>
      </c>
      <c r="M240" s="42" t="str">
        <f>IF(AND(C240="",D240="",E240="",F240=""),"",IF(OR(C240="",D240="",E240="",F240="",G240=""),"EKSİK",IF(COUNTIF(MUSTERILER!$B$7:$B$156,C240)=0,"TANIMSIZ MÜŞTERİ","UYGUN")))</f>
        <v>UYGUN</v>
      </c>
      <c r="N240" s="22" t="str">
        <f>IF(D240="","",D240&amp;"|"&amp;TEXT(COUNTIF($D$7:D240,D240),"000"))</f>
        <v>Monamour Ltd.Şti.|012</v>
      </c>
      <c r="O240" s="22" t="str">
        <f>IF(G240="","",G240&amp;"|"&amp;TEXT(COUNTIF($G$7:G240,G240),"000"))</f>
        <v>ÖMER KARTAL|061</v>
      </c>
    </row>
    <row r="241" spans="1:15" ht="17">
      <c r="A241" s="6"/>
      <c r="B241" s="95" t="s">
        <v>871</v>
      </c>
      <c r="C241" s="95" t="s">
        <v>562</v>
      </c>
      <c r="D241" s="96" t="s">
        <v>563</v>
      </c>
      <c r="E241" s="97">
        <v>46125</v>
      </c>
      <c r="F241" s="99">
        <v>3000</v>
      </c>
      <c r="G241" s="95" t="s">
        <v>618</v>
      </c>
      <c r="H241" s="95" t="s">
        <v>462</v>
      </c>
      <c r="I241" s="95"/>
      <c r="J241" s="96" t="s">
        <v>619</v>
      </c>
      <c r="K241" s="95"/>
      <c r="L241" s="43">
        <f t="shared" si="3"/>
        <v>46113</v>
      </c>
      <c r="M241" s="42" t="str">
        <f>IF(AND(C241="",D241="",E241="",F241=""),"",IF(OR(C241="",D241="",E241="",F241="",G241=""),"EKSİK",IF(COUNTIF(MUSTERILER!$B$7:$B$156,C241)=0,"TANIMSIZ MÜŞTERİ","UYGUN")))</f>
        <v>UYGUN</v>
      </c>
      <c r="N241" s="22" t="str">
        <f>IF(D241="","",D241&amp;"|"&amp;TEXT(COUNTIF($D$7:D241,D241),"000"))</f>
        <v>VOLKAN AÇIK|002</v>
      </c>
      <c r="O241" s="22" t="str">
        <f>IF(G241="","",G241&amp;"|"&amp;TEXT(COUNTIF($G$7:G241,G241),"000"))</f>
        <v>MERKEZ KASA|171</v>
      </c>
    </row>
    <row r="242" spans="1:15" ht="17">
      <c r="A242" s="6"/>
      <c r="B242" s="95" t="s">
        <v>872</v>
      </c>
      <c r="C242" s="95" t="s">
        <v>558</v>
      </c>
      <c r="D242" s="96" t="s">
        <v>559</v>
      </c>
      <c r="E242" s="97">
        <v>46126</v>
      </c>
      <c r="F242" s="99">
        <v>3000</v>
      </c>
      <c r="G242" s="95" t="s">
        <v>628</v>
      </c>
      <c r="H242" s="95" t="s">
        <v>462</v>
      </c>
      <c r="I242" s="95"/>
      <c r="J242" s="96" t="s">
        <v>619</v>
      </c>
      <c r="K242" s="95"/>
      <c r="L242" s="43">
        <f t="shared" si="3"/>
        <v>46113</v>
      </c>
      <c r="M242" s="42" t="str">
        <f>IF(AND(C242="",D242="",E242="",F242=""),"",IF(OR(C242="",D242="",E242="",F242="",G242=""),"EKSİK",IF(COUNTIF(MUSTERILER!$B$7:$B$156,C242)=0,"TANIMSIZ MÜŞTERİ","UYGUN")))</f>
        <v>UYGUN</v>
      </c>
      <c r="N242" s="22" t="str">
        <f>IF(D242="","",D242&amp;"|"&amp;TEXT(COUNTIF($D$7:D242,D242),"000"))</f>
        <v>UFUK YILMAZ|004</v>
      </c>
      <c r="O242" s="22" t="str">
        <f>IF(G242="","",G242&amp;"|"&amp;TEXT(COUNTIF($G$7:G242,G242),"000"))</f>
        <v>ÖMER KARTAL|062</v>
      </c>
    </row>
    <row r="243" spans="1:15" ht="17">
      <c r="A243" s="6"/>
      <c r="B243" s="95" t="s">
        <v>873</v>
      </c>
      <c r="C243" s="95" t="s">
        <v>481</v>
      </c>
      <c r="D243" s="96" t="s">
        <v>482</v>
      </c>
      <c r="E243" s="97">
        <v>46127</v>
      </c>
      <c r="F243" s="99">
        <v>7500</v>
      </c>
      <c r="G243" s="95" t="s">
        <v>618</v>
      </c>
      <c r="H243" s="95" t="s">
        <v>462</v>
      </c>
      <c r="I243" s="95"/>
      <c r="J243" s="96" t="s">
        <v>874</v>
      </c>
      <c r="K243" s="95"/>
      <c r="L243" s="43">
        <f t="shared" si="3"/>
        <v>46113</v>
      </c>
      <c r="M243" s="42" t="str">
        <f>IF(AND(C243="",D243="",E243="",F243=""),"",IF(OR(C243="",D243="",E243="",F243="",G243=""),"EKSİK",IF(COUNTIF(MUSTERILER!$B$7:$B$156,C243)=0,"TANIMSIZ MÜŞTERİ","UYGUN")))</f>
        <v>UYGUN</v>
      </c>
      <c r="N243" s="22" t="str">
        <f>IF(D243="","",D243&amp;"|"&amp;TEXT(COUNTIF($D$7:D243,D243),"000"))</f>
        <v>CEREN DEMİRCİ|002</v>
      </c>
      <c r="O243" s="22" t="str">
        <f>IF(G243="","",G243&amp;"|"&amp;TEXT(COUNTIF($G$7:G243,G243),"000"))</f>
        <v>MERKEZ KASA|172</v>
      </c>
    </row>
    <row r="244" spans="1:15" ht="17">
      <c r="A244" s="6"/>
      <c r="B244" s="95" t="s">
        <v>875</v>
      </c>
      <c r="C244" s="95" t="s">
        <v>479</v>
      </c>
      <c r="D244" s="96" t="s">
        <v>617</v>
      </c>
      <c r="E244" s="97">
        <v>46130</v>
      </c>
      <c r="F244" s="99">
        <v>3000</v>
      </c>
      <c r="G244" s="95" t="s">
        <v>618</v>
      </c>
      <c r="H244" s="95" t="s">
        <v>462</v>
      </c>
      <c r="I244" s="95"/>
      <c r="J244" s="96" t="s">
        <v>619</v>
      </c>
      <c r="K244" s="95"/>
      <c r="L244" s="43">
        <f t="shared" si="3"/>
        <v>46113</v>
      </c>
      <c r="M244" s="42" t="str">
        <f>IF(AND(C244="",D244="",E244="",F244=""),"",IF(OR(C244="",D244="",E244="",F244="",G244=""),"EKSİK",IF(COUNTIF(MUSTERILER!$B$7:$B$156,C244)=0,"TANIMSIZ MÜŞTERİ","UYGUN")))</f>
        <v>UYGUN</v>
      </c>
      <c r="N244" s="22" t="str">
        <f>IF(D244="","",D244&amp;"|"&amp;TEXT(COUNTIF($D$7:D244,D244),"000"))</f>
        <v>Çayıralan Ltd.Şti.|013</v>
      </c>
      <c r="O244" s="22" t="str">
        <f>IF(G244="","",G244&amp;"|"&amp;TEXT(COUNTIF($G$7:G244,G244),"000"))</f>
        <v>MERKEZ KASA|173</v>
      </c>
    </row>
    <row r="245" spans="1:15" ht="17">
      <c r="A245" s="6"/>
      <c r="B245" s="95" t="s">
        <v>876</v>
      </c>
      <c r="C245" s="95" t="s">
        <v>487</v>
      </c>
      <c r="D245" s="96" t="s">
        <v>714</v>
      </c>
      <c r="E245" s="97">
        <v>46130</v>
      </c>
      <c r="F245" s="99">
        <v>4000</v>
      </c>
      <c r="G245" s="95" t="s">
        <v>618</v>
      </c>
      <c r="H245" s="95" t="s">
        <v>462</v>
      </c>
      <c r="I245" s="95"/>
      <c r="J245" s="96" t="s">
        <v>619</v>
      </c>
      <c r="K245" s="95"/>
      <c r="L245" s="43">
        <f t="shared" si="3"/>
        <v>46113</v>
      </c>
      <c r="M245" s="42" t="str">
        <f>IF(AND(C245="",D245="",E245="",F245=""),"",IF(OR(C245="",D245="",E245="",F245="",G245=""),"EKSİK",IF(COUNTIF(MUSTERILER!$B$7:$B$156,C245)=0,"TANIMSIZ MÜŞTERİ","UYGUN")))</f>
        <v>UYGUN</v>
      </c>
      <c r="N245" s="22" t="str">
        <f>IF(D245="","",D245&amp;"|"&amp;TEXT(COUNTIF($D$7:D245,D245),"000"))</f>
        <v>Eğlengör Ltd.Şti.|014</v>
      </c>
      <c r="O245" s="22" t="str">
        <f>IF(G245="","",G245&amp;"|"&amp;TEXT(COUNTIF($G$7:G245,G245),"000"))</f>
        <v>MERKEZ KASA|174</v>
      </c>
    </row>
    <row r="246" spans="1:15" ht="17">
      <c r="A246" s="6"/>
      <c r="B246" s="95" t="s">
        <v>877</v>
      </c>
      <c r="C246" s="95" t="s">
        <v>495</v>
      </c>
      <c r="D246" s="96" t="s">
        <v>716</v>
      </c>
      <c r="E246" s="97">
        <v>46130</v>
      </c>
      <c r="F246" s="99">
        <v>4000</v>
      </c>
      <c r="G246" s="95" t="s">
        <v>618</v>
      </c>
      <c r="H246" s="95" t="s">
        <v>462</v>
      </c>
      <c r="I246" s="95"/>
      <c r="J246" s="96" t="s">
        <v>619</v>
      </c>
      <c r="K246" s="95"/>
      <c r="L246" s="43">
        <f t="shared" si="3"/>
        <v>46113</v>
      </c>
      <c r="M246" s="42" t="str">
        <f>IF(AND(C246="",D246="",E246="",F246=""),"",IF(OR(C246="",D246="",E246="",F246="",G246=""),"EKSİK",IF(COUNTIF(MUSTERILER!$B$7:$B$156,C246)=0,"TANIMSIZ MÜŞTERİ","UYGUN")))</f>
        <v>UYGUN</v>
      </c>
      <c r="N246" s="22" t="str">
        <f>IF(D246="","",D246&amp;"|"&amp;TEXT(COUNTIF($D$7:D246,D246),"000"))</f>
        <v>Final Siyah Beyaz Ltd.Şti.|014</v>
      </c>
      <c r="O246" s="22" t="str">
        <f>IF(G246="","",G246&amp;"|"&amp;TEXT(COUNTIF($G$7:G246,G246),"000"))</f>
        <v>MERKEZ KASA|175</v>
      </c>
    </row>
    <row r="247" spans="1:15" ht="17">
      <c r="A247" s="6"/>
      <c r="B247" s="95" t="s">
        <v>878</v>
      </c>
      <c r="C247" s="95" t="s">
        <v>501</v>
      </c>
      <c r="D247" s="96" t="s">
        <v>718</v>
      </c>
      <c r="E247" s="97">
        <v>46130</v>
      </c>
      <c r="F247" s="99">
        <v>4000</v>
      </c>
      <c r="G247" s="95" t="s">
        <v>618</v>
      </c>
      <c r="H247" s="95" t="s">
        <v>462</v>
      </c>
      <c r="I247" s="95"/>
      <c r="J247" s="96" t="s">
        <v>619</v>
      </c>
      <c r="K247" s="95"/>
      <c r="L247" s="43">
        <f t="shared" si="3"/>
        <v>46113</v>
      </c>
      <c r="M247" s="42" t="str">
        <f>IF(AND(C247="",D247="",E247="",F247=""),"",IF(OR(C247="",D247="",E247="",F247="",G247=""),"EKSİK",IF(COUNTIF(MUSTERILER!$B$7:$B$156,C247)=0,"TANIMSIZ MÜŞTERİ","UYGUN")))</f>
        <v>UYGUN</v>
      </c>
      <c r="N247" s="22" t="str">
        <f>IF(D247="","",D247&amp;"|"&amp;TEXT(COUNTIF($D$7:D247,D247),"000"))</f>
        <v>İbrahim Maldan|011</v>
      </c>
      <c r="O247" s="22" t="str">
        <f>IF(G247="","",G247&amp;"|"&amp;TEXT(COUNTIF($G$7:G247,G247),"000"))</f>
        <v>MERKEZ KASA|176</v>
      </c>
    </row>
    <row r="248" spans="1:15" ht="17">
      <c r="A248" s="6"/>
      <c r="B248" s="95" t="s">
        <v>879</v>
      </c>
      <c r="C248" s="95" t="s">
        <v>503</v>
      </c>
      <c r="D248" s="96" t="s">
        <v>621</v>
      </c>
      <c r="E248" s="97">
        <v>46130</v>
      </c>
      <c r="F248" s="99">
        <v>4000</v>
      </c>
      <c r="G248" s="95" t="s">
        <v>618</v>
      </c>
      <c r="H248" s="95" t="s">
        <v>462</v>
      </c>
      <c r="I248" s="95"/>
      <c r="J248" s="96" t="s">
        <v>619</v>
      </c>
      <c r="K248" s="95"/>
      <c r="L248" s="43">
        <f t="shared" si="3"/>
        <v>46113</v>
      </c>
      <c r="M248" s="42" t="str">
        <f>IF(AND(C248="",D248="",E248="",F248=""),"",IF(OR(C248="",D248="",E248="",F248="",G248=""),"EKSİK",IF(COUNTIF(MUSTERILER!$B$7:$B$156,C248)=0,"TANIMSIZ MÜŞTERİ","UYGUN")))</f>
        <v>UYGUN</v>
      </c>
      <c r="N248" s="22" t="str">
        <f>IF(D248="","",D248&amp;"|"&amp;TEXT(COUNTIF($D$7:D248,D248),"000"))</f>
        <v>İldeş Ltd.Şti.|015</v>
      </c>
      <c r="O248" s="22" t="str">
        <f>IF(G248="","",G248&amp;"|"&amp;TEXT(COUNTIF($G$7:G248,G248),"000"))</f>
        <v>MERKEZ KASA|177</v>
      </c>
    </row>
    <row r="249" spans="1:15" ht="17">
      <c r="A249" s="6"/>
      <c r="B249" s="95" t="s">
        <v>880</v>
      </c>
      <c r="C249" s="95" t="s">
        <v>525</v>
      </c>
      <c r="D249" s="96" t="s">
        <v>721</v>
      </c>
      <c r="E249" s="97">
        <v>46130</v>
      </c>
      <c r="F249" s="99">
        <v>3500</v>
      </c>
      <c r="G249" s="95" t="s">
        <v>618</v>
      </c>
      <c r="H249" s="95" t="s">
        <v>462</v>
      </c>
      <c r="I249" s="95"/>
      <c r="J249" s="96" t="s">
        <v>619</v>
      </c>
      <c r="K249" s="95"/>
      <c r="L249" s="43">
        <f t="shared" si="3"/>
        <v>46113</v>
      </c>
      <c r="M249" s="42" t="str">
        <f>IF(AND(C249="",D249="",E249="",F249=""),"",IF(OR(C249="",D249="",E249="",F249="",G249=""),"EKSİK",IF(COUNTIF(MUSTERILER!$B$7:$B$156,C249)=0,"TANIMSIZ MÜŞTERİ","UYGUN")))</f>
        <v>UYGUN</v>
      </c>
      <c r="N249" s="22" t="str">
        <f>IF(D249="","",D249&amp;"|"&amp;TEXT(COUNTIF($D$7:D249,D249),"000"))</f>
        <v>Monamour Ltd.Şti.|013</v>
      </c>
      <c r="O249" s="22" t="str">
        <f>IF(G249="","",G249&amp;"|"&amp;TEXT(COUNTIF($G$7:G249,G249),"000"))</f>
        <v>MERKEZ KASA|178</v>
      </c>
    </row>
    <row r="250" spans="1:15" ht="17">
      <c r="A250" s="6"/>
      <c r="B250" s="95" t="s">
        <v>881</v>
      </c>
      <c r="C250" s="95" t="s">
        <v>534</v>
      </c>
      <c r="D250" s="96" t="s">
        <v>724</v>
      </c>
      <c r="E250" s="97">
        <v>46130</v>
      </c>
      <c r="F250" s="99">
        <v>4000</v>
      </c>
      <c r="G250" s="95" t="s">
        <v>618</v>
      </c>
      <c r="H250" s="95" t="s">
        <v>462</v>
      </c>
      <c r="I250" s="95"/>
      <c r="J250" s="96" t="s">
        <v>619</v>
      </c>
      <c r="K250" s="95"/>
      <c r="L250" s="43">
        <f t="shared" si="3"/>
        <v>46113</v>
      </c>
      <c r="M250" s="42" t="str">
        <f>IF(AND(C250="",D250="",E250="",F250=""),"",IF(OR(C250="",D250="",E250="",F250="",G250=""),"EKSİK",IF(COUNTIF(MUSTERILER!$B$7:$B$156,C250)=0,"TANIMSIZ MÜŞTERİ","UYGUN")))</f>
        <v>UYGUN</v>
      </c>
      <c r="N250" s="22" t="str">
        <f>IF(D250="","",D250&amp;"|"&amp;TEXT(COUNTIF($D$7:D250,D250),"000"))</f>
        <v>Naz 1 Gıda Ltd.Şti.|010</v>
      </c>
      <c r="O250" s="22" t="str">
        <f>IF(G250="","",G250&amp;"|"&amp;TEXT(COUNTIF($G$7:G250,G250),"000"))</f>
        <v>MERKEZ KASA|179</v>
      </c>
    </row>
    <row r="251" spans="1:15" ht="17">
      <c r="A251" s="6"/>
      <c r="B251" s="95" t="s">
        <v>882</v>
      </c>
      <c r="C251" s="95" t="s">
        <v>542</v>
      </c>
      <c r="D251" s="96" t="s">
        <v>726</v>
      </c>
      <c r="E251" s="97">
        <v>46130</v>
      </c>
      <c r="F251" s="99">
        <v>4000</v>
      </c>
      <c r="G251" s="95" t="s">
        <v>618</v>
      </c>
      <c r="H251" s="95" t="s">
        <v>462</v>
      </c>
      <c r="I251" s="95"/>
      <c r="J251" s="96" t="s">
        <v>619</v>
      </c>
      <c r="K251" s="95"/>
      <c r="L251" s="43">
        <f t="shared" si="3"/>
        <v>46113</v>
      </c>
      <c r="M251" s="42" t="str">
        <f>IF(AND(C251="",D251="",E251="",F251=""),"",IF(OR(C251="",D251="",E251="",F251="",G251=""),"EKSİK",IF(COUNTIF(MUSTERILER!$B$7:$B$156,C251)=0,"TANIMSIZ MÜŞTERİ","UYGUN")))</f>
        <v>UYGUN</v>
      </c>
      <c r="N251" s="22" t="str">
        <f>IF(D251="","",D251&amp;"|"&amp;TEXT(COUNTIF($D$7:D251,D251),"000"))</f>
        <v>Pakyıldız Ltd.Şti.|010</v>
      </c>
      <c r="O251" s="22" t="str">
        <f>IF(G251="","",G251&amp;"|"&amp;TEXT(COUNTIF($G$7:G251,G251),"000"))</f>
        <v>MERKEZ KASA|180</v>
      </c>
    </row>
    <row r="252" spans="1:15" ht="17">
      <c r="A252" s="6"/>
      <c r="B252" s="95" t="s">
        <v>883</v>
      </c>
      <c r="C252" s="95" t="s">
        <v>548</v>
      </c>
      <c r="D252" s="96" t="s">
        <v>728</v>
      </c>
      <c r="E252" s="97">
        <v>46130</v>
      </c>
      <c r="F252" s="99">
        <v>3000</v>
      </c>
      <c r="G252" s="95" t="s">
        <v>618</v>
      </c>
      <c r="H252" s="95" t="s">
        <v>462</v>
      </c>
      <c r="I252" s="95"/>
      <c r="J252" s="96" t="s">
        <v>619</v>
      </c>
      <c r="K252" s="95"/>
      <c r="L252" s="43">
        <f t="shared" si="3"/>
        <v>46113</v>
      </c>
      <c r="M252" s="42" t="str">
        <f>IF(AND(C252="",D252="",E252="",F252=""),"",IF(OR(C252="",D252="",E252="",F252="",G252=""),"EKSİK",IF(COUNTIF(MUSTERILER!$B$7:$B$156,C252)=0,"TANIMSIZ MÜŞTERİ","UYGUN")))</f>
        <v>UYGUN</v>
      </c>
      <c r="N252" s="22" t="str">
        <f>IF(D252="","",D252&amp;"|"&amp;TEXT(COUNTIF($D$7:D252,D252),"000"))</f>
        <v>Rix Şow Ltd.Şti.|015</v>
      </c>
      <c r="O252" s="22" t="str">
        <f>IF(G252="","",G252&amp;"|"&amp;TEXT(COUNTIF($G$7:G252,G252),"000"))</f>
        <v>MERKEZ KASA|181</v>
      </c>
    </row>
    <row r="253" spans="1:15" ht="17">
      <c r="A253" s="6"/>
      <c r="B253" s="95" t="s">
        <v>884</v>
      </c>
      <c r="C253" s="95" t="s">
        <v>568</v>
      </c>
      <c r="D253" s="96" t="s">
        <v>768</v>
      </c>
      <c r="E253" s="97">
        <v>46130</v>
      </c>
      <c r="F253" s="99">
        <v>3000</v>
      </c>
      <c r="G253" s="95" t="s">
        <v>618</v>
      </c>
      <c r="H253" s="95" t="s">
        <v>462</v>
      </c>
      <c r="I253" s="95"/>
      <c r="J253" s="96" t="s">
        <v>619</v>
      </c>
      <c r="K253" s="95"/>
      <c r="L253" s="43">
        <f t="shared" si="3"/>
        <v>46113</v>
      </c>
      <c r="M253" s="42" t="str">
        <f>IF(AND(C253="",D253="",E253="",F253=""),"",IF(OR(C253="",D253="",E253="",F253="",G253=""),"EKSİK",IF(COUNTIF(MUSTERILER!$B$7:$B$156,C253)=0,"TANIMSIZ MÜŞTERİ","UYGUN")))</f>
        <v>UYGUN</v>
      </c>
      <c r="N253" s="22" t="str">
        <f>IF(D253="","",D253&amp;"|"&amp;TEXT(COUNTIF($D$7:D253,D253),"000"))</f>
        <v>Zümrüt Eğlence Ltd.Şti.|009</v>
      </c>
      <c r="O253" s="22" t="str">
        <f>IF(G253="","",G253&amp;"|"&amp;TEXT(COUNTIF($G$7:G253,G253),"000"))</f>
        <v>MERKEZ KASA|182</v>
      </c>
    </row>
    <row r="254" spans="1:15" ht="17">
      <c r="A254" s="6"/>
      <c r="B254" s="95" t="s">
        <v>885</v>
      </c>
      <c r="C254" s="95" t="s">
        <v>570</v>
      </c>
      <c r="D254" s="96" t="s">
        <v>626</v>
      </c>
      <c r="E254" s="97">
        <v>46130</v>
      </c>
      <c r="F254" s="99">
        <v>1750</v>
      </c>
      <c r="G254" s="95" t="s">
        <v>618</v>
      </c>
      <c r="H254" s="95" t="s">
        <v>462</v>
      </c>
      <c r="I254" s="95"/>
      <c r="J254" s="96" t="s">
        <v>619</v>
      </c>
      <c r="K254" s="95"/>
      <c r="L254" s="43">
        <f t="shared" si="3"/>
        <v>46113</v>
      </c>
      <c r="M254" s="42" t="str">
        <f>IF(AND(C254="",D254="",E254="",F254=""),"",IF(OR(C254="",D254="",E254="",F254="",G254=""),"EKSİK",IF(COUNTIF(MUSTERILER!$B$7:$B$156,C254)=0,"TANIMSIZ MÜŞTERİ","UYGUN")))</f>
        <v>UYGUN</v>
      </c>
      <c r="N254" s="22" t="str">
        <f>IF(D254="","",D254&amp;"|"&amp;TEXT(COUNTIF($D$7:D254,D254),"000"))</f>
        <v>Zümrüt Grup Ltd.Şti.|013</v>
      </c>
      <c r="O254" s="22" t="str">
        <f>IF(G254="","",G254&amp;"|"&amp;TEXT(COUNTIF($G$7:G254,G254),"000"))</f>
        <v>MERKEZ KASA|183</v>
      </c>
    </row>
    <row r="255" spans="1:15" ht="17">
      <c r="A255" s="6"/>
      <c r="B255" s="95" t="s">
        <v>886</v>
      </c>
      <c r="C255" s="95" t="s">
        <v>483</v>
      </c>
      <c r="D255" s="96" t="s">
        <v>484</v>
      </c>
      <c r="E255" s="97">
        <v>46130</v>
      </c>
      <c r="F255" s="99">
        <v>2500</v>
      </c>
      <c r="G255" s="95" t="s">
        <v>618</v>
      </c>
      <c r="H255" s="95" t="s">
        <v>462</v>
      </c>
      <c r="I255" s="95"/>
      <c r="J255" s="96" t="s">
        <v>619</v>
      </c>
      <c r="K255" s="95"/>
      <c r="L255" s="43">
        <f t="shared" si="3"/>
        <v>46113</v>
      </c>
      <c r="M255" s="42" t="str">
        <f>IF(AND(C255="",D255="",E255="",F255=""),"",IF(OR(C255="",D255="",E255="",F255="",G255=""),"EKSİK",IF(COUNTIF(MUSTERILER!$B$7:$B$156,C255)=0,"TANIMSIZ MÜŞTERİ","UYGUN")))</f>
        <v>UYGUN</v>
      </c>
      <c r="N255" s="22" t="str">
        <f>IF(D255="","",D255&amp;"|"&amp;TEXT(COUNTIF($D$7:D255,D255),"000"))</f>
        <v>ÇINARHAN LTD.ŞTİ.|009</v>
      </c>
      <c r="O255" s="22" t="str">
        <f>IF(G255="","",G255&amp;"|"&amp;TEXT(COUNTIF($G$7:G255,G255),"000"))</f>
        <v>MERKEZ KASA|184</v>
      </c>
    </row>
    <row r="256" spans="1:15" ht="17">
      <c r="A256" s="6"/>
      <c r="B256" s="95" t="s">
        <v>887</v>
      </c>
      <c r="C256" s="95" t="s">
        <v>505</v>
      </c>
      <c r="D256" s="96" t="s">
        <v>506</v>
      </c>
      <c r="E256" s="97">
        <v>46130</v>
      </c>
      <c r="F256" s="99">
        <v>3500</v>
      </c>
      <c r="G256" s="95" t="s">
        <v>618</v>
      </c>
      <c r="H256" s="95" t="s">
        <v>462</v>
      </c>
      <c r="I256" s="95"/>
      <c r="J256" s="96" t="s">
        <v>619</v>
      </c>
      <c r="K256" s="95"/>
      <c r="L256" s="43">
        <f t="shared" si="3"/>
        <v>46113</v>
      </c>
      <c r="M256" s="42" t="str">
        <f>IF(AND(C256="",D256="",E256="",F256=""),"",IF(OR(C256="",D256="",E256="",F256="",G256=""),"EKSİK",IF(COUNTIF(MUSTERILER!$B$7:$B$156,C256)=0,"TANIMSIZ MÜŞTERİ","UYGUN")))</f>
        <v>UYGUN</v>
      </c>
      <c r="N256" s="22" t="str">
        <f>IF(D256="","",D256&amp;"|"&amp;TEXT(COUNTIF($D$7:D256,D256),"000"))</f>
        <v>İSA DEMİRCİ|003</v>
      </c>
      <c r="O256" s="22" t="str">
        <f>IF(G256="","",G256&amp;"|"&amp;TEXT(COUNTIF($G$7:G256,G256),"000"))</f>
        <v>MERKEZ KASA|185</v>
      </c>
    </row>
    <row r="257" spans="1:15" ht="17">
      <c r="A257" s="6"/>
      <c r="B257" s="95" t="s">
        <v>888</v>
      </c>
      <c r="C257" s="95" t="s">
        <v>513</v>
      </c>
      <c r="D257" s="96" t="s">
        <v>514</v>
      </c>
      <c r="E257" s="97">
        <v>46130</v>
      </c>
      <c r="F257" s="99">
        <v>3000</v>
      </c>
      <c r="G257" s="95" t="s">
        <v>618</v>
      </c>
      <c r="H257" s="95" t="s">
        <v>462</v>
      </c>
      <c r="I257" s="95"/>
      <c r="J257" s="96" t="s">
        <v>619</v>
      </c>
      <c r="K257" s="95"/>
      <c r="L257" s="43">
        <f t="shared" si="3"/>
        <v>46113</v>
      </c>
      <c r="M257" s="42" t="str">
        <f>IF(AND(C257="",D257="",E257="",F257=""),"",IF(OR(C257="",D257="",E257="",F257="",G257=""),"EKSİK",IF(COUNTIF(MUSTERILER!$B$7:$B$156,C257)=0,"TANIMSIZ MÜŞTERİ","UYGUN")))</f>
        <v>UYGUN</v>
      </c>
      <c r="N257" s="22" t="str">
        <f>IF(D257="","",D257&amp;"|"&amp;TEXT(COUNTIF($D$7:D257,D257),"000"))</f>
        <v>KRİSTAL LTD.ŞTİ.|015</v>
      </c>
      <c r="O257" s="22" t="str">
        <f>IF(G257="","",G257&amp;"|"&amp;TEXT(COUNTIF($G$7:G257,G257),"000"))</f>
        <v>MERKEZ KASA|186</v>
      </c>
    </row>
    <row r="258" spans="1:15" ht="17">
      <c r="A258" s="6"/>
      <c r="B258" s="95" t="s">
        <v>889</v>
      </c>
      <c r="C258" s="95" t="s">
        <v>564</v>
      </c>
      <c r="D258" s="96" t="s">
        <v>565</v>
      </c>
      <c r="E258" s="97">
        <v>46130</v>
      </c>
      <c r="F258" s="99">
        <v>4000</v>
      </c>
      <c r="G258" s="95" t="s">
        <v>618</v>
      </c>
      <c r="H258" s="95" t="s">
        <v>462</v>
      </c>
      <c r="I258" s="95"/>
      <c r="J258" s="96" t="s">
        <v>619</v>
      </c>
      <c r="K258" s="95"/>
      <c r="L258" s="43">
        <f t="shared" si="3"/>
        <v>46113</v>
      </c>
      <c r="M258" s="42" t="str">
        <f>IF(AND(C258="",D258="",E258="",F258=""),"",IF(OR(C258="",D258="",E258="",F258="",G258=""),"EKSİK",IF(COUNTIF(MUSTERILER!$B$7:$B$156,C258)=0,"TANIMSIZ MÜŞTERİ","UYGUN")))</f>
        <v>UYGUN</v>
      </c>
      <c r="N258" s="22" t="str">
        <f>IF(D258="","",D258&amp;"|"&amp;TEXT(COUNTIF($D$7:D258,D258),"000"))</f>
        <v>YALIKENT LTD.ŞTİ.|004</v>
      </c>
      <c r="O258" s="22" t="str">
        <f>IF(G258="","",G258&amp;"|"&amp;TEXT(COUNTIF($G$7:G258,G258),"000"))</f>
        <v>MERKEZ KASA|187</v>
      </c>
    </row>
    <row r="259" spans="1:15" ht="17">
      <c r="A259" s="6"/>
      <c r="B259" s="95" t="s">
        <v>890</v>
      </c>
      <c r="C259" s="95" t="s">
        <v>471</v>
      </c>
      <c r="D259" s="96" t="s">
        <v>472</v>
      </c>
      <c r="E259" s="97">
        <v>46136</v>
      </c>
      <c r="F259" s="99">
        <v>20000</v>
      </c>
      <c r="G259" s="95" t="s">
        <v>618</v>
      </c>
      <c r="H259" s="95" t="s">
        <v>462</v>
      </c>
      <c r="I259" s="95"/>
      <c r="J259" s="96" t="s">
        <v>619</v>
      </c>
      <c r="K259" s="95"/>
      <c r="L259" s="43">
        <f t="shared" si="3"/>
        <v>46113</v>
      </c>
      <c r="M259" s="42" t="str">
        <f>IF(AND(C259="",D259="",E259="",F259=""),"",IF(OR(C259="",D259="",E259="",F259="",G259=""),"EKSİK",IF(COUNTIF(MUSTERILER!$B$7:$B$156,C259)=0,"TANIMSIZ MÜŞTERİ","UYGUN")))</f>
        <v>UYGUN</v>
      </c>
      <c r="N259" s="22" t="str">
        <f>IF(D259="","",D259&amp;"|"&amp;TEXT(COUNTIF($D$7:D259,D259),"000"))</f>
        <v>ARON TOPTAN LTD.ŞTİ.|003</v>
      </c>
      <c r="O259" s="22" t="str">
        <f>IF(G259="","",G259&amp;"|"&amp;TEXT(COUNTIF($G$7:G259,G259),"000"))</f>
        <v>MERKEZ KASA|188</v>
      </c>
    </row>
    <row r="260" spans="1:15" ht="17">
      <c r="A260" s="6"/>
      <c r="B260" s="95" t="s">
        <v>891</v>
      </c>
      <c r="C260" s="95" t="s">
        <v>467</v>
      </c>
      <c r="D260" s="96" t="s">
        <v>709</v>
      </c>
      <c r="E260" s="97">
        <v>46137</v>
      </c>
      <c r="F260" s="99">
        <v>4000</v>
      </c>
      <c r="G260" s="95" t="s">
        <v>618</v>
      </c>
      <c r="H260" s="95" t="s">
        <v>462</v>
      </c>
      <c r="I260" s="95"/>
      <c r="J260" s="96" t="s">
        <v>619</v>
      </c>
      <c r="K260" s="95"/>
      <c r="L260" s="43">
        <f t="shared" si="3"/>
        <v>46113</v>
      </c>
      <c r="M260" s="42" t="str">
        <f>IF(AND(C260="",D260="",E260="",F260=""),"",IF(OR(C260="",D260="",E260="",F260="",G260=""),"EKSİK",IF(COUNTIF(MUSTERILER!$B$7:$B$156,C260)=0,"TANIMSIZ MÜŞTERİ","UYGUN")))</f>
        <v>UYGUN</v>
      </c>
      <c r="N260" s="22" t="str">
        <f>IF(D260="","",D260&amp;"|"&amp;TEXT(COUNTIF($D$7:D260,D260),"000"))</f>
        <v>Ankara Havana Ltd.Şti.|006</v>
      </c>
      <c r="O260" s="22" t="str">
        <f>IF(G260="","",G260&amp;"|"&amp;TEXT(COUNTIF($G$7:G260,G260),"000"))</f>
        <v>MERKEZ KASA|189</v>
      </c>
    </row>
    <row r="261" spans="1:15" ht="17">
      <c r="A261" s="6"/>
      <c r="B261" s="95" t="s">
        <v>892</v>
      </c>
      <c r="C261" s="95" t="s">
        <v>473</v>
      </c>
      <c r="D261" s="96" t="s">
        <v>474</v>
      </c>
      <c r="E261" s="97">
        <v>46137</v>
      </c>
      <c r="F261" s="99">
        <v>2000</v>
      </c>
      <c r="G261" s="95" t="s">
        <v>618</v>
      </c>
      <c r="H261" s="95" t="s">
        <v>462</v>
      </c>
      <c r="I261" s="95"/>
      <c r="J261" s="96" t="s">
        <v>619</v>
      </c>
      <c r="K261" s="95"/>
      <c r="L261" s="43">
        <f t="shared" si="3"/>
        <v>46113</v>
      </c>
      <c r="M261" s="42" t="str">
        <f>IF(AND(C261="",D261="",E261="",F261=""),"",IF(OR(C261="",D261="",E261="",F261="",G261=""),"EKSİK",IF(COUNTIF(MUSTERILER!$B$7:$B$156,C261)=0,"TANIMSIZ MÜŞTERİ","UYGUN")))</f>
        <v>UYGUN</v>
      </c>
      <c r="N261" s="22" t="str">
        <f>IF(D261="","",D261&amp;"|"&amp;TEXT(COUNTIF($D$7:D261,D261),"000"))</f>
        <v>ASIM AÇIKGÖZ|012</v>
      </c>
      <c r="O261" s="22" t="str">
        <f>IF(G261="","",G261&amp;"|"&amp;TEXT(COUNTIF($G$7:G261,G261),"000"))</f>
        <v>MERKEZ KASA|190</v>
      </c>
    </row>
    <row r="262" spans="1:15" ht="17">
      <c r="A262" s="6"/>
      <c r="B262" s="95" t="s">
        <v>893</v>
      </c>
      <c r="C262" s="95" t="s">
        <v>475</v>
      </c>
      <c r="D262" s="96" t="s">
        <v>476</v>
      </c>
      <c r="E262" s="97">
        <v>46137</v>
      </c>
      <c r="F262" s="99">
        <v>2500</v>
      </c>
      <c r="G262" s="95" t="s">
        <v>618</v>
      </c>
      <c r="H262" s="95" t="s">
        <v>462</v>
      </c>
      <c r="I262" s="95"/>
      <c r="J262" s="96" t="s">
        <v>619</v>
      </c>
      <c r="K262" s="95"/>
      <c r="L262" s="43">
        <f t="shared" si="3"/>
        <v>46113</v>
      </c>
      <c r="M262" s="42" t="str">
        <f>IF(AND(C262="",D262="",E262="",F262=""),"",IF(OR(C262="",D262="",E262="",F262="",G262=""),"EKSİK",IF(COUNTIF(MUSTERILER!$B$7:$B$156,C262)=0,"TANIMSIZ MÜŞTERİ","UYGUN")))</f>
        <v>UYGUN</v>
      </c>
      <c r="N262" s="22" t="str">
        <f>IF(D262="","",D262&amp;"|"&amp;TEXT(COUNTIF($D$7:D262,D262),"000"))</f>
        <v>ASM EĞLENCE LTD.ŞTİ.|014</v>
      </c>
      <c r="O262" s="22" t="str">
        <f>IF(G262="","",G262&amp;"|"&amp;TEXT(COUNTIF($G$7:G262,G262),"000"))</f>
        <v>MERKEZ KASA|191</v>
      </c>
    </row>
    <row r="263" spans="1:15" ht="17">
      <c r="A263" s="6"/>
      <c r="B263" s="95" t="s">
        <v>894</v>
      </c>
      <c r="C263" s="95" t="s">
        <v>479</v>
      </c>
      <c r="D263" s="96" t="s">
        <v>617</v>
      </c>
      <c r="E263" s="97">
        <v>46137</v>
      </c>
      <c r="F263" s="99">
        <v>3000</v>
      </c>
      <c r="G263" s="95" t="s">
        <v>618</v>
      </c>
      <c r="H263" s="95" t="s">
        <v>462</v>
      </c>
      <c r="I263" s="95"/>
      <c r="J263" s="96" t="s">
        <v>619</v>
      </c>
      <c r="K263" s="95"/>
      <c r="L263" s="43">
        <f t="shared" ref="L263:L326" si="4">IF(E263="","",DATE(YEAR(E263),MONTH(E263),1))</f>
        <v>46113</v>
      </c>
      <c r="M263" s="42" t="str">
        <f>IF(AND(C263="",D263="",E263="",F263=""),"",IF(OR(C263="",D263="",E263="",F263="",G263=""),"EKSİK",IF(COUNTIF(MUSTERILER!$B$7:$B$156,C263)=0,"TANIMSIZ MÜŞTERİ","UYGUN")))</f>
        <v>UYGUN</v>
      </c>
      <c r="N263" s="22" t="str">
        <f>IF(D263="","",D263&amp;"|"&amp;TEXT(COUNTIF($D$7:D263,D263),"000"))</f>
        <v>Çayıralan Ltd.Şti.|014</v>
      </c>
      <c r="O263" s="22" t="str">
        <f>IF(G263="","",G263&amp;"|"&amp;TEXT(COUNTIF($G$7:G263,G263),"000"))</f>
        <v>MERKEZ KASA|192</v>
      </c>
    </row>
    <row r="264" spans="1:15" ht="17">
      <c r="A264" s="6"/>
      <c r="B264" s="95" t="s">
        <v>895</v>
      </c>
      <c r="C264" s="95" t="s">
        <v>487</v>
      </c>
      <c r="D264" s="96" t="s">
        <v>714</v>
      </c>
      <c r="E264" s="97">
        <v>46137</v>
      </c>
      <c r="F264" s="99">
        <v>4000</v>
      </c>
      <c r="G264" s="95" t="s">
        <v>618</v>
      </c>
      <c r="H264" s="95" t="s">
        <v>462</v>
      </c>
      <c r="I264" s="95"/>
      <c r="J264" s="96" t="s">
        <v>619</v>
      </c>
      <c r="K264" s="95"/>
      <c r="L264" s="43">
        <f t="shared" si="4"/>
        <v>46113</v>
      </c>
      <c r="M264" s="42" t="str">
        <f>IF(AND(C264="",D264="",E264="",F264=""),"",IF(OR(C264="",D264="",E264="",F264="",G264=""),"EKSİK",IF(COUNTIF(MUSTERILER!$B$7:$B$156,C264)=0,"TANIMSIZ MÜŞTERİ","UYGUN")))</f>
        <v>UYGUN</v>
      </c>
      <c r="N264" s="22" t="str">
        <f>IF(D264="","",D264&amp;"|"&amp;TEXT(COUNTIF($D$7:D264,D264),"000"))</f>
        <v>Eğlengör Ltd.Şti.|015</v>
      </c>
      <c r="O264" s="22" t="str">
        <f>IF(G264="","",G264&amp;"|"&amp;TEXT(COUNTIF($G$7:G264,G264),"000"))</f>
        <v>MERKEZ KASA|193</v>
      </c>
    </row>
    <row r="265" spans="1:15" ht="17">
      <c r="A265" s="6"/>
      <c r="B265" s="95" t="s">
        <v>896</v>
      </c>
      <c r="C265" s="95" t="s">
        <v>495</v>
      </c>
      <c r="D265" s="96" t="s">
        <v>716</v>
      </c>
      <c r="E265" s="97">
        <v>46137</v>
      </c>
      <c r="F265" s="99">
        <v>4000</v>
      </c>
      <c r="G265" s="95" t="s">
        <v>618</v>
      </c>
      <c r="H265" s="95" t="s">
        <v>462</v>
      </c>
      <c r="I265" s="95"/>
      <c r="J265" s="96" t="s">
        <v>619</v>
      </c>
      <c r="K265" s="95"/>
      <c r="L265" s="43">
        <f t="shared" si="4"/>
        <v>46113</v>
      </c>
      <c r="M265" s="42" t="str">
        <f>IF(AND(C265="",D265="",E265="",F265=""),"",IF(OR(C265="",D265="",E265="",F265="",G265=""),"EKSİK",IF(COUNTIF(MUSTERILER!$B$7:$B$156,C265)=0,"TANIMSIZ MÜŞTERİ","UYGUN")))</f>
        <v>UYGUN</v>
      </c>
      <c r="N265" s="22" t="str">
        <f>IF(D265="","",D265&amp;"|"&amp;TEXT(COUNTIF($D$7:D265,D265),"000"))</f>
        <v>Final Siyah Beyaz Ltd.Şti.|015</v>
      </c>
      <c r="O265" s="22" t="str">
        <f>IF(G265="","",G265&amp;"|"&amp;TEXT(COUNTIF($G$7:G265,G265),"000"))</f>
        <v>MERKEZ KASA|194</v>
      </c>
    </row>
    <row r="266" spans="1:15" ht="17">
      <c r="A266" s="6"/>
      <c r="B266" s="95" t="s">
        <v>897</v>
      </c>
      <c r="C266" s="95" t="s">
        <v>501</v>
      </c>
      <c r="D266" s="96" t="s">
        <v>718</v>
      </c>
      <c r="E266" s="97">
        <v>46137</v>
      </c>
      <c r="F266" s="99">
        <v>4000</v>
      </c>
      <c r="G266" s="95" t="s">
        <v>618</v>
      </c>
      <c r="H266" s="95" t="s">
        <v>462</v>
      </c>
      <c r="I266" s="95"/>
      <c r="J266" s="96" t="s">
        <v>619</v>
      </c>
      <c r="K266" s="95"/>
      <c r="L266" s="43">
        <f t="shared" si="4"/>
        <v>46113</v>
      </c>
      <c r="M266" s="42" t="str">
        <f>IF(AND(C266="",D266="",E266="",F266=""),"",IF(OR(C266="",D266="",E266="",F266="",G266=""),"EKSİK",IF(COUNTIF(MUSTERILER!$B$7:$B$156,C266)=0,"TANIMSIZ MÜŞTERİ","UYGUN")))</f>
        <v>UYGUN</v>
      </c>
      <c r="N266" s="22" t="str">
        <f>IF(D266="","",D266&amp;"|"&amp;TEXT(COUNTIF($D$7:D266,D266),"000"))</f>
        <v>İbrahim Maldan|012</v>
      </c>
      <c r="O266" s="22" t="str">
        <f>IF(G266="","",G266&amp;"|"&amp;TEXT(COUNTIF($G$7:G266,G266),"000"))</f>
        <v>MERKEZ KASA|195</v>
      </c>
    </row>
    <row r="267" spans="1:15" ht="17">
      <c r="A267" s="6"/>
      <c r="B267" s="95" t="s">
        <v>898</v>
      </c>
      <c r="C267" s="95" t="s">
        <v>503</v>
      </c>
      <c r="D267" s="96" t="s">
        <v>621</v>
      </c>
      <c r="E267" s="97">
        <v>46137</v>
      </c>
      <c r="F267" s="99">
        <v>4000</v>
      </c>
      <c r="G267" s="95" t="s">
        <v>618</v>
      </c>
      <c r="H267" s="95" t="s">
        <v>462</v>
      </c>
      <c r="I267" s="95"/>
      <c r="J267" s="96" t="s">
        <v>619</v>
      </c>
      <c r="K267" s="95"/>
      <c r="L267" s="43">
        <f t="shared" si="4"/>
        <v>46113</v>
      </c>
      <c r="M267" s="42" t="str">
        <f>IF(AND(C267="",D267="",E267="",F267=""),"",IF(OR(C267="",D267="",E267="",F267="",G267=""),"EKSİK",IF(COUNTIF(MUSTERILER!$B$7:$B$156,C267)=0,"TANIMSIZ MÜŞTERİ","UYGUN")))</f>
        <v>UYGUN</v>
      </c>
      <c r="N267" s="22" t="str">
        <f>IF(D267="","",D267&amp;"|"&amp;TEXT(COUNTIF($D$7:D267,D267),"000"))</f>
        <v>İldeş Ltd.Şti.|016</v>
      </c>
      <c r="O267" s="22" t="str">
        <f>IF(G267="","",G267&amp;"|"&amp;TEXT(COUNTIF($G$7:G267,G267),"000"))</f>
        <v>MERKEZ KASA|196</v>
      </c>
    </row>
    <row r="268" spans="1:15" ht="17">
      <c r="A268" s="6"/>
      <c r="B268" s="95" t="s">
        <v>899</v>
      </c>
      <c r="C268" s="95" t="s">
        <v>525</v>
      </c>
      <c r="D268" s="96" t="s">
        <v>721</v>
      </c>
      <c r="E268" s="97">
        <v>46137</v>
      </c>
      <c r="F268" s="99">
        <v>3500</v>
      </c>
      <c r="G268" s="95" t="s">
        <v>618</v>
      </c>
      <c r="H268" s="95" t="s">
        <v>462</v>
      </c>
      <c r="I268" s="95"/>
      <c r="J268" s="96" t="s">
        <v>619</v>
      </c>
      <c r="K268" s="95"/>
      <c r="L268" s="43">
        <f t="shared" si="4"/>
        <v>46113</v>
      </c>
      <c r="M268" s="42" t="str">
        <f>IF(AND(C268="",D268="",E268="",F268=""),"",IF(OR(C268="",D268="",E268="",F268="",G268=""),"EKSİK",IF(COUNTIF(MUSTERILER!$B$7:$B$156,C268)=0,"TANIMSIZ MÜŞTERİ","UYGUN")))</f>
        <v>UYGUN</v>
      </c>
      <c r="N268" s="22" t="str">
        <f>IF(D268="","",D268&amp;"|"&amp;TEXT(COUNTIF($D$7:D268,D268),"000"))</f>
        <v>Monamour Ltd.Şti.|014</v>
      </c>
      <c r="O268" s="22" t="str">
        <f>IF(G268="","",G268&amp;"|"&amp;TEXT(COUNTIF($G$7:G268,G268),"000"))</f>
        <v>MERKEZ KASA|197</v>
      </c>
    </row>
    <row r="269" spans="1:15" ht="17">
      <c r="A269" s="6"/>
      <c r="B269" s="95" t="s">
        <v>900</v>
      </c>
      <c r="C269" s="95" t="s">
        <v>534</v>
      </c>
      <c r="D269" s="96" t="s">
        <v>724</v>
      </c>
      <c r="E269" s="97">
        <v>46137</v>
      </c>
      <c r="F269" s="99">
        <v>4000</v>
      </c>
      <c r="G269" s="95" t="s">
        <v>618</v>
      </c>
      <c r="H269" s="95" t="s">
        <v>462</v>
      </c>
      <c r="I269" s="95"/>
      <c r="J269" s="96" t="s">
        <v>619</v>
      </c>
      <c r="K269" s="95"/>
      <c r="L269" s="43">
        <f t="shared" si="4"/>
        <v>46113</v>
      </c>
      <c r="M269" s="42" t="str">
        <f>IF(AND(C269="",D269="",E269="",F269=""),"",IF(OR(C269="",D269="",E269="",F269="",G269=""),"EKSİK",IF(COUNTIF(MUSTERILER!$B$7:$B$156,C269)=0,"TANIMSIZ MÜŞTERİ","UYGUN")))</f>
        <v>UYGUN</v>
      </c>
      <c r="N269" s="22" t="str">
        <f>IF(D269="","",D269&amp;"|"&amp;TEXT(COUNTIF($D$7:D269,D269),"000"))</f>
        <v>Naz 1 Gıda Ltd.Şti.|011</v>
      </c>
      <c r="O269" s="22" t="str">
        <f>IF(G269="","",G269&amp;"|"&amp;TEXT(COUNTIF($G$7:G269,G269),"000"))</f>
        <v>MERKEZ KASA|198</v>
      </c>
    </row>
    <row r="270" spans="1:15" ht="17">
      <c r="A270" s="6"/>
      <c r="B270" s="95" t="s">
        <v>901</v>
      </c>
      <c r="C270" s="95" t="s">
        <v>542</v>
      </c>
      <c r="D270" s="96" t="s">
        <v>726</v>
      </c>
      <c r="E270" s="97">
        <v>46137</v>
      </c>
      <c r="F270" s="99">
        <v>4000</v>
      </c>
      <c r="G270" s="95" t="s">
        <v>618</v>
      </c>
      <c r="H270" s="95" t="s">
        <v>462</v>
      </c>
      <c r="I270" s="95"/>
      <c r="J270" s="96" t="s">
        <v>619</v>
      </c>
      <c r="K270" s="95"/>
      <c r="L270" s="43">
        <f t="shared" si="4"/>
        <v>46113</v>
      </c>
      <c r="M270" s="42" t="str">
        <f>IF(AND(C270="",D270="",E270="",F270=""),"",IF(OR(C270="",D270="",E270="",F270="",G270=""),"EKSİK",IF(COUNTIF(MUSTERILER!$B$7:$B$156,C270)=0,"TANIMSIZ MÜŞTERİ","UYGUN")))</f>
        <v>UYGUN</v>
      </c>
      <c r="N270" s="22" t="str">
        <f>IF(D270="","",D270&amp;"|"&amp;TEXT(COUNTIF($D$7:D270,D270),"000"))</f>
        <v>Pakyıldız Ltd.Şti.|011</v>
      </c>
      <c r="O270" s="22" t="str">
        <f>IF(G270="","",G270&amp;"|"&amp;TEXT(COUNTIF($G$7:G270,G270),"000"))</f>
        <v>MERKEZ KASA|199</v>
      </c>
    </row>
    <row r="271" spans="1:15" ht="17">
      <c r="A271" s="6"/>
      <c r="B271" s="95" t="s">
        <v>902</v>
      </c>
      <c r="C271" s="95" t="s">
        <v>548</v>
      </c>
      <c r="D271" s="96" t="s">
        <v>728</v>
      </c>
      <c r="E271" s="97">
        <v>46137</v>
      </c>
      <c r="F271" s="99">
        <v>3000</v>
      </c>
      <c r="G271" s="95" t="s">
        <v>618</v>
      </c>
      <c r="H271" s="95" t="s">
        <v>462</v>
      </c>
      <c r="I271" s="95"/>
      <c r="J271" s="96" t="s">
        <v>619</v>
      </c>
      <c r="K271" s="95"/>
      <c r="L271" s="43">
        <f t="shared" si="4"/>
        <v>46113</v>
      </c>
      <c r="M271" s="42" t="str">
        <f>IF(AND(C271="",D271="",E271="",F271=""),"",IF(OR(C271="",D271="",E271="",F271="",G271=""),"EKSİK",IF(COUNTIF(MUSTERILER!$B$7:$B$156,C271)=0,"TANIMSIZ MÜŞTERİ","UYGUN")))</f>
        <v>UYGUN</v>
      </c>
      <c r="N271" s="22" t="str">
        <f>IF(D271="","",D271&amp;"|"&amp;TEXT(COUNTIF($D$7:D271,D271),"000"))</f>
        <v>Rix Şow Ltd.Şti.|016</v>
      </c>
      <c r="O271" s="22" t="str">
        <f>IF(G271="","",G271&amp;"|"&amp;TEXT(COUNTIF($G$7:G271,G271),"000"))</f>
        <v>MERKEZ KASA|200</v>
      </c>
    </row>
    <row r="272" spans="1:15" ht="17">
      <c r="A272" s="6"/>
      <c r="B272" s="95" t="s">
        <v>903</v>
      </c>
      <c r="C272" s="95" t="s">
        <v>568</v>
      </c>
      <c r="D272" s="96" t="s">
        <v>768</v>
      </c>
      <c r="E272" s="97">
        <v>46137</v>
      </c>
      <c r="F272" s="99">
        <v>3000</v>
      </c>
      <c r="G272" s="95" t="s">
        <v>618</v>
      </c>
      <c r="H272" s="95" t="s">
        <v>462</v>
      </c>
      <c r="I272" s="95"/>
      <c r="J272" s="96" t="s">
        <v>619</v>
      </c>
      <c r="K272" s="95"/>
      <c r="L272" s="43">
        <f t="shared" si="4"/>
        <v>46113</v>
      </c>
      <c r="M272" s="42" t="str">
        <f>IF(AND(C272="",D272="",E272="",F272=""),"",IF(OR(C272="",D272="",E272="",F272="",G272=""),"EKSİK",IF(COUNTIF(MUSTERILER!$B$7:$B$156,C272)=0,"TANIMSIZ MÜŞTERİ","UYGUN")))</f>
        <v>UYGUN</v>
      </c>
      <c r="N272" s="22" t="str">
        <f>IF(D272="","",D272&amp;"|"&amp;TEXT(COUNTIF($D$7:D272,D272),"000"))</f>
        <v>Zümrüt Eğlence Ltd.Şti.|010</v>
      </c>
      <c r="O272" s="22" t="str">
        <f>IF(G272="","",G272&amp;"|"&amp;TEXT(COUNTIF($G$7:G272,G272),"000"))</f>
        <v>MERKEZ KASA|201</v>
      </c>
    </row>
    <row r="273" spans="1:15" ht="17">
      <c r="A273" s="6"/>
      <c r="B273" s="95" t="s">
        <v>904</v>
      </c>
      <c r="C273" s="95" t="s">
        <v>483</v>
      </c>
      <c r="D273" s="96" t="s">
        <v>484</v>
      </c>
      <c r="E273" s="97">
        <v>46137</v>
      </c>
      <c r="F273" s="99">
        <v>2500</v>
      </c>
      <c r="G273" s="95" t="s">
        <v>618</v>
      </c>
      <c r="H273" s="95" t="s">
        <v>462</v>
      </c>
      <c r="I273" s="95"/>
      <c r="J273" s="96" t="s">
        <v>619</v>
      </c>
      <c r="K273" s="95"/>
      <c r="L273" s="43">
        <f t="shared" si="4"/>
        <v>46113</v>
      </c>
      <c r="M273" s="42" t="str">
        <f>IF(AND(C273="",D273="",E273="",F273=""),"",IF(OR(C273="",D273="",E273="",F273="",G273=""),"EKSİK",IF(COUNTIF(MUSTERILER!$B$7:$B$156,C273)=0,"TANIMSIZ MÜŞTERİ","UYGUN")))</f>
        <v>UYGUN</v>
      </c>
      <c r="N273" s="22" t="str">
        <f>IF(D273="","",D273&amp;"|"&amp;TEXT(COUNTIF($D$7:D273,D273),"000"))</f>
        <v>ÇINARHAN LTD.ŞTİ.|010</v>
      </c>
      <c r="O273" s="22" t="str">
        <f>IF(G273="","",G273&amp;"|"&amp;TEXT(COUNTIF($G$7:G273,G273),"000"))</f>
        <v>MERKEZ KASA|202</v>
      </c>
    </row>
    <row r="274" spans="1:15" ht="17">
      <c r="A274" s="6"/>
      <c r="B274" s="95" t="s">
        <v>905</v>
      </c>
      <c r="C274" s="95" t="s">
        <v>513</v>
      </c>
      <c r="D274" s="96" t="s">
        <v>514</v>
      </c>
      <c r="E274" s="97">
        <v>46137</v>
      </c>
      <c r="F274" s="99">
        <v>3000</v>
      </c>
      <c r="G274" s="95" t="s">
        <v>618</v>
      </c>
      <c r="H274" s="95" t="s">
        <v>462</v>
      </c>
      <c r="I274" s="95"/>
      <c r="J274" s="96" t="s">
        <v>619</v>
      </c>
      <c r="K274" s="95"/>
      <c r="L274" s="43">
        <f t="shared" si="4"/>
        <v>46113</v>
      </c>
      <c r="M274" s="42" t="str">
        <f>IF(AND(C274="",D274="",E274="",F274=""),"",IF(OR(C274="",D274="",E274="",F274="",G274=""),"EKSİK",IF(COUNTIF(MUSTERILER!$B$7:$B$156,C274)=0,"TANIMSIZ MÜŞTERİ","UYGUN")))</f>
        <v>UYGUN</v>
      </c>
      <c r="N274" s="22" t="str">
        <f>IF(D274="","",D274&amp;"|"&amp;TEXT(COUNTIF($D$7:D274,D274),"000"))</f>
        <v>KRİSTAL LTD.ŞTİ.|016</v>
      </c>
      <c r="O274" s="22" t="str">
        <f>IF(G274="","",G274&amp;"|"&amp;TEXT(COUNTIF($G$7:G274,G274),"000"))</f>
        <v>MERKEZ KASA|203</v>
      </c>
    </row>
    <row r="275" spans="1:15" ht="17">
      <c r="A275" s="6"/>
      <c r="B275" s="95" t="s">
        <v>906</v>
      </c>
      <c r="C275" s="95" t="s">
        <v>544</v>
      </c>
      <c r="D275" s="96" t="s">
        <v>545</v>
      </c>
      <c r="E275" s="97">
        <v>46137</v>
      </c>
      <c r="F275" s="99">
        <v>4000</v>
      </c>
      <c r="G275" s="95" t="s">
        <v>618</v>
      </c>
      <c r="H275" s="95" t="s">
        <v>462</v>
      </c>
      <c r="I275" s="95"/>
      <c r="J275" s="96" t="s">
        <v>619</v>
      </c>
      <c r="K275" s="95"/>
      <c r="L275" s="43">
        <f t="shared" si="4"/>
        <v>46113</v>
      </c>
      <c r="M275" s="42" t="str">
        <f>IF(AND(C275="",D275="",E275="",F275=""),"",IF(OR(C275="",D275="",E275="",F275="",G275=""),"EKSİK",IF(COUNTIF(MUSTERILER!$B$7:$B$156,C275)=0,"TANIMSIZ MÜŞTERİ","UYGUN")))</f>
        <v>UYGUN</v>
      </c>
      <c r="N275" s="22" t="str">
        <f>IF(D275="","",D275&amp;"|"&amp;TEXT(COUNTIF($D$7:D275,D275),"000"))</f>
        <v>PALAOĞULLARI LTD.ŞTİ.|008</v>
      </c>
      <c r="O275" s="22" t="str">
        <f>IF(G275="","",G275&amp;"|"&amp;TEXT(COUNTIF($G$7:G275,G275),"000"))</f>
        <v>MERKEZ KASA|204</v>
      </c>
    </row>
    <row r="276" spans="1:15" ht="17">
      <c r="A276" s="6"/>
      <c r="B276" s="95" t="s">
        <v>907</v>
      </c>
      <c r="C276" s="95" t="s">
        <v>564</v>
      </c>
      <c r="D276" s="96" t="s">
        <v>565</v>
      </c>
      <c r="E276" s="97">
        <v>46137</v>
      </c>
      <c r="F276" s="99">
        <v>4000</v>
      </c>
      <c r="G276" s="95" t="s">
        <v>618</v>
      </c>
      <c r="H276" s="95" t="s">
        <v>462</v>
      </c>
      <c r="I276" s="95"/>
      <c r="J276" s="96" t="s">
        <v>619</v>
      </c>
      <c r="K276" s="95"/>
      <c r="L276" s="43">
        <f t="shared" si="4"/>
        <v>46113</v>
      </c>
      <c r="M276" s="42" t="str">
        <f>IF(AND(C276="",D276="",E276="",F276=""),"",IF(OR(C276="",D276="",E276="",F276="",G276=""),"EKSİK",IF(COUNTIF(MUSTERILER!$B$7:$B$156,C276)=0,"TANIMSIZ MÜŞTERİ","UYGUN")))</f>
        <v>UYGUN</v>
      </c>
      <c r="N276" s="22" t="str">
        <f>IF(D276="","",D276&amp;"|"&amp;TEXT(COUNTIF($D$7:D276,D276),"000"))</f>
        <v>YALIKENT LTD.ŞTİ.|005</v>
      </c>
      <c r="O276" s="22" t="str">
        <f>IF(G276="","",G276&amp;"|"&amp;TEXT(COUNTIF($G$7:G276,G276),"000"))</f>
        <v>MERKEZ KASA|205</v>
      </c>
    </row>
    <row r="277" spans="1:15" ht="17">
      <c r="A277" s="6"/>
      <c r="B277" s="95" t="s">
        <v>908</v>
      </c>
      <c r="C277" s="95" t="s">
        <v>515</v>
      </c>
      <c r="D277" s="96" t="s">
        <v>516</v>
      </c>
      <c r="E277" s="97">
        <v>46140</v>
      </c>
      <c r="F277" s="99">
        <v>2000</v>
      </c>
      <c r="G277" s="95" t="s">
        <v>618</v>
      </c>
      <c r="H277" s="95" t="s">
        <v>462</v>
      </c>
      <c r="I277" s="95"/>
      <c r="J277" s="96" t="s">
        <v>619</v>
      </c>
      <c r="K277" s="95"/>
      <c r="L277" s="43">
        <f t="shared" si="4"/>
        <v>46113</v>
      </c>
      <c r="M277" s="42" t="str">
        <f>IF(AND(C277="",D277="",E277="",F277=""),"",IF(OR(C277="",D277="",E277="",F277="",G277=""),"EKSİK",IF(COUNTIF(MUSTERILER!$B$7:$B$156,C277)=0,"TANIMSIZ MÜŞTERİ","UYGUN")))</f>
        <v>UYGUN</v>
      </c>
      <c r="N277" s="22" t="str">
        <f>IF(D277="","",D277&amp;"|"&amp;TEXT(COUNTIF($D$7:D277,D277),"000"))</f>
        <v>MEHMET EVREN KILINÇ|003</v>
      </c>
      <c r="O277" s="22" t="str">
        <f>IF(G277="","",G277&amp;"|"&amp;TEXT(COUNTIF($G$7:G277,G277),"000"))</f>
        <v>MERKEZ KASA|206</v>
      </c>
    </row>
    <row r="278" spans="1:15" ht="17">
      <c r="A278" s="6"/>
      <c r="B278" s="95" t="s">
        <v>909</v>
      </c>
      <c r="C278" s="95" t="s">
        <v>517</v>
      </c>
      <c r="D278" s="96" t="s">
        <v>518</v>
      </c>
      <c r="E278" s="97">
        <v>46140</v>
      </c>
      <c r="F278" s="99">
        <v>6000</v>
      </c>
      <c r="G278" s="95" t="s">
        <v>618</v>
      </c>
      <c r="H278" s="95" t="s">
        <v>462</v>
      </c>
      <c r="I278" s="95"/>
      <c r="J278" s="96" t="s">
        <v>619</v>
      </c>
      <c r="K278" s="95"/>
      <c r="L278" s="43">
        <f t="shared" si="4"/>
        <v>46113</v>
      </c>
      <c r="M278" s="42" t="str">
        <f>IF(AND(C278="",D278="",E278="",F278=""),"",IF(OR(C278="",D278="",E278="",F278="",G278=""),"EKSİK",IF(COUNTIF(MUSTERILER!$B$7:$B$156,C278)=0,"TANIMSIZ MÜŞTERİ","UYGUN")))</f>
        <v>UYGUN</v>
      </c>
      <c r="N278" s="22" t="str">
        <f>IF(D278="","",D278&amp;"|"&amp;TEXT(COUNTIF($D$7:D278,D278),"000"))</f>
        <v>MELEK GÜLER|001</v>
      </c>
      <c r="O278" s="22" t="str">
        <f>IF(G278="","",G278&amp;"|"&amp;TEXT(COUNTIF($G$7:G278,G278),"000"))</f>
        <v>MERKEZ KASA|207</v>
      </c>
    </row>
    <row r="279" spans="1:15" ht="17">
      <c r="A279" s="6"/>
      <c r="B279" s="95" t="s">
        <v>910</v>
      </c>
      <c r="C279" s="95" t="s">
        <v>532</v>
      </c>
      <c r="D279" s="96" t="s">
        <v>533</v>
      </c>
      <c r="E279" s="97">
        <v>46141</v>
      </c>
      <c r="F279" s="99">
        <v>6000</v>
      </c>
      <c r="G279" s="95" t="s">
        <v>618</v>
      </c>
      <c r="H279" s="95" t="s">
        <v>462</v>
      </c>
      <c r="I279" s="95"/>
      <c r="J279" s="96" t="s">
        <v>619</v>
      </c>
      <c r="K279" s="95"/>
      <c r="L279" s="43">
        <f t="shared" si="4"/>
        <v>46113</v>
      </c>
      <c r="M279" s="42" t="str">
        <f>IF(AND(C279="",D279="",E279="",F279=""),"",IF(OR(C279="",D279="",E279="",F279="",G279=""),"EKSİK",IF(COUNTIF(MUSTERILER!$B$7:$B$156,C279)=0,"TANIMSIZ MÜŞTERİ","UYGUN")))</f>
        <v>UYGUN</v>
      </c>
      <c r="N279" s="22" t="str">
        <f>IF(D279="","",D279&amp;"|"&amp;TEXT(COUNTIF($D$7:D279,D279),"000"))</f>
        <v>MUSTAFA UMUT KOYUN|001</v>
      </c>
      <c r="O279" s="22" t="str">
        <f>IF(G279="","",G279&amp;"|"&amp;TEXT(COUNTIF($G$7:G279,G279),"000"))</f>
        <v>MERKEZ KASA|208</v>
      </c>
    </row>
    <row r="280" spans="1:15" ht="17">
      <c r="A280" s="6"/>
      <c r="B280" s="95" t="s">
        <v>911</v>
      </c>
      <c r="C280" s="95" t="s">
        <v>465</v>
      </c>
      <c r="D280" s="96" t="s">
        <v>466</v>
      </c>
      <c r="E280" s="97">
        <v>46142</v>
      </c>
      <c r="F280" s="99">
        <v>12000</v>
      </c>
      <c r="G280" s="95" t="s">
        <v>628</v>
      </c>
      <c r="H280" s="95" t="s">
        <v>462</v>
      </c>
      <c r="I280" s="95"/>
      <c r="J280" s="96" t="s">
        <v>684</v>
      </c>
      <c r="K280" s="95"/>
      <c r="L280" s="43">
        <f t="shared" si="4"/>
        <v>46113</v>
      </c>
      <c r="M280" s="42" t="str">
        <f>IF(AND(C280="",D280="",E280="",F280=""),"",IF(OR(C280="",D280="",E280="",F280="",G280=""),"EKSİK",IF(COUNTIF(MUSTERILER!$B$7:$B$156,C280)=0,"TANIMSIZ MÜŞTERİ","UYGUN")))</f>
        <v>UYGUN</v>
      </c>
      <c r="N280" s="22" t="str">
        <f>IF(D280="","",D280&amp;"|"&amp;TEXT(COUNTIF($D$7:D280,D280),"000"))</f>
        <v>ALTINEL LTD.ŞTİ.|004</v>
      </c>
      <c r="O280" s="22" t="str">
        <f>IF(G280="","",G280&amp;"|"&amp;TEXT(COUNTIF($G$7:G280,G280),"000"))</f>
        <v>ÖMER KARTAL|063</v>
      </c>
    </row>
    <row r="281" spans="1:15" ht="17">
      <c r="A281" s="6"/>
      <c r="B281" s="95" t="s">
        <v>912</v>
      </c>
      <c r="C281" s="95" t="s">
        <v>542</v>
      </c>
      <c r="D281" s="96" t="s">
        <v>543</v>
      </c>
      <c r="E281" s="97">
        <v>46143</v>
      </c>
      <c r="F281" s="99">
        <v>31000</v>
      </c>
      <c r="G281" s="95" t="s">
        <v>618</v>
      </c>
      <c r="H281" s="95" t="s">
        <v>462</v>
      </c>
      <c r="I281" s="95"/>
      <c r="J281" s="96" t="s">
        <v>619</v>
      </c>
      <c r="K281" s="95"/>
      <c r="L281" s="43">
        <f t="shared" si="4"/>
        <v>46143</v>
      </c>
      <c r="M281" s="42" t="str">
        <f>IF(AND(C281="",D281="",E281="",F281=""),"",IF(OR(C281="",D281="",E281="",F281="",G281=""),"EKSİK",IF(COUNTIF(MUSTERILER!$B$7:$B$156,C281)=0,"TANIMSIZ MÜŞTERİ","UYGUN")))</f>
        <v>UYGUN</v>
      </c>
      <c r="N281" s="22" t="str">
        <f>IF(D281="","",D281&amp;"|"&amp;TEXT(COUNTIF($D$7:D281,D281),"000"))</f>
        <v>PAKYILDIZ LTD.ŞTİ.|012</v>
      </c>
      <c r="O281" s="22" t="str">
        <f>IF(G281="","",G281&amp;"|"&amp;TEXT(COUNTIF($G$7:G281,G281),"000"))</f>
        <v>MERKEZ KASA|209</v>
      </c>
    </row>
    <row r="282" spans="1:15" ht="17">
      <c r="A282" s="6"/>
      <c r="B282" s="95" t="s">
        <v>913</v>
      </c>
      <c r="C282" s="95" t="s">
        <v>481</v>
      </c>
      <c r="D282" s="96" t="s">
        <v>482</v>
      </c>
      <c r="E282" s="97">
        <v>46143</v>
      </c>
      <c r="F282" s="99">
        <v>2500</v>
      </c>
      <c r="G282" s="95" t="s">
        <v>612</v>
      </c>
      <c r="H282" s="95" t="s">
        <v>613</v>
      </c>
      <c r="I282" s="95"/>
      <c r="J282" s="96" t="s">
        <v>840</v>
      </c>
      <c r="K282" s="95"/>
      <c r="L282" s="43">
        <f t="shared" si="4"/>
        <v>46143</v>
      </c>
      <c r="M282" s="42" t="str">
        <f>IF(AND(C282="",D282="",E282="",F282=""),"",IF(OR(C282="",D282="",E282="",F282="",G282=""),"EKSİK",IF(COUNTIF(MUSTERILER!$B$7:$B$156,C282)=0,"TANIMSIZ MÜŞTERİ","UYGUN")))</f>
        <v>UYGUN</v>
      </c>
      <c r="N282" s="22" t="str">
        <f>IF(D282="","",D282&amp;"|"&amp;TEXT(COUNTIF($D$7:D282,D282),"000"))</f>
        <v>CEREN DEMİRCİ|003</v>
      </c>
      <c r="O282" s="22" t="str">
        <f>IF(G282="","",G282&amp;"|"&amp;TEXT(COUNTIF($G$7:G282,G282),"000"))</f>
        <v>CARİ MAHSUP|004</v>
      </c>
    </row>
    <row r="283" spans="1:15" ht="17">
      <c r="A283" s="6"/>
      <c r="B283" s="95" t="s">
        <v>914</v>
      </c>
      <c r="C283" s="95" t="s">
        <v>467</v>
      </c>
      <c r="D283" s="96" t="s">
        <v>709</v>
      </c>
      <c r="E283" s="97">
        <v>46144</v>
      </c>
      <c r="F283" s="99">
        <v>14000</v>
      </c>
      <c r="G283" s="95" t="s">
        <v>618</v>
      </c>
      <c r="H283" s="95" t="s">
        <v>462</v>
      </c>
      <c r="I283" s="95"/>
      <c r="J283" s="96" t="s">
        <v>619</v>
      </c>
      <c r="K283" s="95"/>
      <c r="L283" s="43">
        <f t="shared" si="4"/>
        <v>46143</v>
      </c>
      <c r="M283" s="42" t="str">
        <f>IF(AND(C283="",D283="",E283="",F283=""),"",IF(OR(C283="",D283="",E283="",F283="",G283=""),"EKSİK",IF(COUNTIF(MUSTERILER!$B$7:$B$156,C283)=0,"TANIMSIZ MÜŞTERİ","UYGUN")))</f>
        <v>UYGUN</v>
      </c>
      <c r="N283" s="22" t="str">
        <f>IF(D283="","",D283&amp;"|"&amp;TEXT(COUNTIF($D$7:D283,D283),"000"))</f>
        <v>Ankara Havana Ltd.Şti.|007</v>
      </c>
      <c r="O283" s="22" t="str">
        <f>IF(G283="","",G283&amp;"|"&amp;TEXT(COUNTIF($G$7:G283,G283),"000"))</f>
        <v>MERKEZ KASA|210</v>
      </c>
    </row>
    <row r="284" spans="1:15" ht="17">
      <c r="A284" s="6"/>
      <c r="B284" s="95" t="s">
        <v>915</v>
      </c>
      <c r="C284" s="95" t="s">
        <v>473</v>
      </c>
      <c r="D284" s="96" t="s">
        <v>474</v>
      </c>
      <c r="E284" s="97">
        <v>46144</v>
      </c>
      <c r="F284" s="99">
        <v>2000</v>
      </c>
      <c r="G284" s="95" t="s">
        <v>618</v>
      </c>
      <c r="H284" s="95" t="s">
        <v>462</v>
      </c>
      <c r="I284" s="95"/>
      <c r="J284" s="96" t="s">
        <v>619</v>
      </c>
      <c r="K284" s="95"/>
      <c r="L284" s="43">
        <f t="shared" si="4"/>
        <v>46143</v>
      </c>
      <c r="M284" s="42" t="str">
        <f>IF(AND(C284="",D284="",E284="",F284=""),"",IF(OR(C284="",D284="",E284="",F284="",G284=""),"EKSİK",IF(COUNTIF(MUSTERILER!$B$7:$B$156,C284)=0,"TANIMSIZ MÜŞTERİ","UYGUN")))</f>
        <v>UYGUN</v>
      </c>
      <c r="N284" s="22" t="str">
        <f>IF(D284="","",D284&amp;"|"&amp;TEXT(COUNTIF($D$7:D284,D284),"000"))</f>
        <v>ASIM AÇIKGÖZ|013</v>
      </c>
      <c r="O284" s="22" t="str">
        <f>IF(G284="","",G284&amp;"|"&amp;TEXT(COUNTIF($G$7:G284,G284),"000"))</f>
        <v>MERKEZ KASA|211</v>
      </c>
    </row>
    <row r="285" spans="1:15" ht="17">
      <c r="A285" s="6"/>
      <c r="B285" s="95" t="s">
        <v>916</v>
      </c>
      <c r="C285" s="95" t="s">
        <v>475</v>
      </c>
      <c r="D285" s="96" t="s">
        <v>476</v>
      </c>
      <c r="E285" s="97">
        <v>46144</v>
      </c>
      <c r="F285" s="99">
        <v>2500</v>
      </c>
      <c r="G285" s="95" t="s">
        <v>618</v>
      </c>
      <c r="H285" s="95" t="s">
        <v>462</v>
      </c>
      <c r="I285" s="95"/>
      <c r="J285" s="96" t="s">
        <v>619</v>
      </c>
      <c r="K285" s="95"/>
      <c r="L285" s="43">
        <f t="shared" si="4"/>
        <v>46143</v>
      </c>
      <c r="M285" s="42" t="str">
        <f>IF(AND(C285="",D285="",E285="",F285=""),"",IF(OR(C285="",D285="",E285="",F285="",G285=""),"EKSİK",IF(COUNTIF(MUSTERILER!$B$7:$B$156,C285)=0,"TANIMSIZ MÜŞTERİ","UYGUN")))</f>
        <v>UYGUN</v>
      </c>
      <c r="N285" s="22" t="str">
        <f>IF(D285="","",D285&amp;"|"&amp;TEXT(COUNTIF($D$7:D285,D285),"000"))</f>
        <v>ASM EĞLENCE LTD.ŞTİ.|015</v>
      </c>
      <c r="O285" s="22" t="str">
        <f>IF(G285="","",G285&amp;"|"&amp;TEXT(COUNTIF($G$7:G285,G285),"000"))</f>
        <v>MERKEZ KASA|212</v>
      </c>
    </row>
    <row r="286" spans="1:15" ht="17">
      <c r="A286" s="6"/>
      <c r="B286" s="95" t="s">
        <v>917</v>
      </c>
      <c r="C286" s="95" t="s">
        <v>479</v>
      </c>
      <c r="D286" s="96" t="s">
        <v>617</v>
      </c>
      <c r="E286" s="97">
        <v>46144</v>
      </c>
      <c r="F286" s="99">
        <v>3000</v>
      </c>
      <c r="G286" s="95" t="s">
        <v>618</v>
      </c>
      <c r="H286" s="95" t="s">
        <v>462</v>
      </c>
      <c r="I286" s="95"/>
      <c r="J286" s="96" t="s">
        <v>619</v>
      </c>
      <c r="K286" s="95"/>
      <c r="L286" s="43">
        <f t="shared" si="4"/>
        <v>46143</v>
      </c>
      <c r="M286" s="42" t="str">
        <f>IF(AND(C286="",D286="",E286="",F286=""),"",IF(OR(C286="",D286="",E286="",F286="",G286=""),"EKSİK",IF(COUNTIF(MUSTERILER!$B$7:$B$156,C286)=0,"TANIMSIZ MÜŞTERİ","UYGUN")))</f>
        <v>UYGUN</v>
      </c>
      <c r="N286" s="22" t="str">
        <f>IF(D286="","",D286&amp;"|"&amp;TEXT(COUNTIF($D$7:D286,D286),"000"))</f>
        <v>Çayıralan Ltd.Şti.|015</v>
      </c>
      <c r="O286" s="22" t="str">
        <f>IF(G286="","",G286&amp;"|"&amp;TEXT(COUNTIF($G$7:G286,G286),"000"))</f>
        <v>MERKEZ KASA|213</v>
      </c>
    </row>
    <row r="287" spans="1:15" ht="17">
      <c r="A287" s="6"/>
      <c r="B287" s="95" t="s">
        <v>918</v>
      </c>
      <c r="C287" s="95" t="s">
        <v>487</v>
      </c>
      <c r="D287" s="96" t="s">
        <v>714</v>
      </c>
      <c r="E287" s="97">
        <v>46144</v>
      </c>
      <c r="F287" s="99">
        <v>4000</v>
      </c>
      <c r="G287" s="95" t="s">
        <v>618</v>
      </c>
      <c r="H287" s="95" t="s">
        <v>462</v>
      </c>
      <c r="I287" s="95"/>
      <c r="J287" s="96" t="s">
        <v>619</v>
      </c>
      <c r="K287" s="95"/>
      <c r="L287" s="43">
        <f t="shared" si="4"/>
        <v>46143</v>
      </c>
      <c r="M287" s="42" t="str">
        <f>IF(AND(C287="",D287="",E287="",F287=""),"",IF(OR(C287="",D287="",E287="",F287="",G287=""),"EKSİK",IF(COUNTIF(MUSTERILER!$B$7:$B$156,C287)=0,"TANIMSIZ MÜŞTERİ","UYGUN")))</f>
        <v>UYGUN</v>
      </c>
      <c r="N287" s="22" t="str">
        <f>IF(D287="","",D287&amp;"|"&amp;TEXT(COUNTIF($D$7:D287,D287),"000"))</f>
        <v>Eğlengör Ltd.Şti.|016</v>
      </c>
      <c r="O287" s="22" t="str">
        <f>IF(G287="","",G287&amp;"|"&amp;TEXT(COUNTIF($G$7:G287,G287),"000"))</f>
        <v>MERKEZ KASA|214</v>
      </c>
    </row>
    <row r="288" spans="1:15" ht="17">
      <c r="A288" s="6"/>
      <c r="B288" s="95" t="s">
        <v>919</v>
      </c>
      <c r="C288" s="95" t="s">
        <v>501</v>
      </c>
      <c r="D288" s="96" t="s">
        <v>718</v>
      </c>
      <c r="E288" s="97">
        <v>46144</v>
      </c>
      <c r="F288" s="99">
        <v>4000</v>
      </c>
      <c r="G288" s="95" t="s">
        <v>618</v>
      </c>
      <c r="H288" s="95" t="s">
        <v>462</v>
      </c>
      <c r="I288" s="95"/>
      <c r="J288" s="96" t="s">
        <v>619</v>
      </c>
      <c r="K288" s="95"/>
      <c r="L288" s="43">
        <f t="shared" si="4"/>
        <v>46143</v>
      </c>
      <c r="M288" s="42" t="str">
        <f>IF(AND(C288="",D288="",E288="",F288=""),"",IF(OR(C288="",D288="",E288="",F288="",G288=""),"EKSİK",IF(COUNTIF(MUSTERILER!$B$7:$B$156,C288)=0,"TANIMSIZ MÜŞTERİ","UYGUN")))</f>
        <v>UYGUN</v>
      </c>
      <c r="N288" s="22" t="str">
        <f>IF(D288="","",D288&amp;"|"&amp;TEXT(COUNTIF($D$7:D288,D288),"000"))</f>
        <v>İbrahim Maldan|013</v>
      </c>
      <c r="O288" s="22" t="str">
        <f>IF(G288="","",G288&amp;"|"&amp;TEXT(COUNTIF($G$7:G288,G288),"000"))</f>
        <v>MERKEZ KASA|215</v>
      </c>
    </row>
    <row r="289" spans="1:15" ht="17">
      <c r="A289" s="6"/>
      <c r="B289" s="95" t="s">
        <v>920</v>
      </c>
      <c r="C289" s="95" t="s">
        <v>503</v>
      </c>
      <c r="D289" s="96" t="s">
        <v>621</v>
      </c>
      <c r="E289" s="97">
        <v>46144</v>
      </c>
      <c r="F289" s="99">
        <v>4000</v>
      </c>
      <c r="G289" s="95" t="s">
        <v>618</v>
      </c>
      <c r="H289" s="95" t="s">
        <v>462</v>
      </c>
      <c r="I289" s="95"/>
      <c r="J289" s="96" t="s">
        <v>619</v>
      </c>
      <c r="K289" s="95"/>
      <c r="L289" s="43">
        <f t="shared" si="4"/>
        <v>46143</v>
      </c>
      <c r="M289" s="42" t="str">
        <f>IF(AND(C289="",D289="",E289="",F289=""),"",IF(OR(C289="",D289="",E289="",F289="",G289=""),"EKSİK",IF(COUNTIF(MUSTERILER!$B$7:$B$156,C289)=0,"TANIMSIZ MÜŞTERİ","UYGUN")))</f>
        <v>UYGUN</v>
      </c>
      <c r="N289" s="22" t="str">
        <f>IF(D289="","",D289&amp;"|"&amp;TEXT(COUNTIF($D$7:D289,D289),"000"))</f>
        <v>İldeş Ltd.Şti.|017</v>
      </c>
      <c r="O289" s="22" t="str">
        <f>IF(G289="","",G289&amp;"|"&amp;TEXT(COUNTIF($G$7:G289,G289),"000"))</f>
        <v>MERKEZ KASA|216</v>
      </c>
    </row>
    <row r="290" spans="1:15" ht="17">
      <c r="A290" s="6"/>
      <c r="B290" s="95" t="s">
        <v>921</v>
      </c>
      <c r="C290" s="95" t="s">
        <v>542</v>
      </c>
      <c r="D290" s="96" t="s">
        <v>726</v>
      </c>
      <c r="E290" s="97">
        <v>46144</v>
      </c>
      <c r="F290" s="99">
        <v>4000</v>
      </c>
      <c r="G290" s="95" t="s">
        <v>618</v>
      </c>
      <c r="H290" s="95" t="s">
        <v>462</v>
      </c>
      <c r="I290" s="95"/>
      <c r="J290" s="96" t="s">
        <v>619</v>
      </c>
      <c r="K290" s="95"/>
      <c r="L290" s="43">
        <f t="shared" si="4"/>
        <v>46143</v>
      </c>
      <c r="M290" s="42" t="str">
        <f>IF(AND(C290="",D290="",E290="",F290=""),"",IF(OR(C290="",D290="",E290="",F290="",G290=""),"EKSİK",IF(COUNTIF(MUSTERILER!$B$7:$B$156,C290)=0,"TANIMSIZ MÜŞTERİ","UYGUN")))</f>
        <v>UYGUN</v>
      </c>
      <c r="N290" s="22" t="str">
        <f>IF(D290="","",D290&amp;"|"&amp;TEXT(COUNTIF($D$7:D290,D290),"000"))</f>
        <v>Pakyıldız Ltd.Şti.|013</v>
      </c>
      <c r="O290" s="22" t="str">
        <f>IF(G290="","",G290&amp;"|"&amp;TEXT(COUNTIF($G$7:G290,G290),"000"))</f>
        <v>MERKEZ KASA|217</v>
      </c>
    </row>
    <row r="291" spans="1:15" ht="17">
      <c r="A291" s="6"/>
      <c r="B291" s="95" t="s">
        <v>922</v>
      </c>
      <c r="C291" s="95" t="s">
        <v>548</v>
      </c>
      <c r="D291" s="96" t="s">
        <v>728</v>
      </c>
      <c r="E291" s="97">
        <v>46144</v>
      </c>
      <c r="F291" s="99">
        <v>3000</v>
      </c>
      <c r="G291" s="95" t="s">
        <v>618</v>
      </c>
      <c r="H291" s="95" t="s">
        <v>462</v>
      </c>
      <c r="I291" s="95"/>
      <c r="J291" s="96" t="s">
        <v>619</v>
      </c>
      <c r="K291" s="95"/>
      <c r="L291" s="43">
        <f t="shared" si="4"/>
        <v>46143</v>
      </c>
      <c r="M291" s="42" t="str">
        <f>IF(AND(C291="",D291="",E291="",F291=""),"",IF(OR(C291="",D291="",E291="",F291="",G291=""),"EKSİK",IF(COUNTIF(MUSTERILER!$B$7:$B$156,C291)=0,"TANIMSIZ MÜŞTERİ","UYGUN")))</f>
        <v>UYGUN</v>
      </c>
      <c r="N291" s="22" t="str">
        <f>IF(D291="","",D291&amp;"|"&amp;TEXT(COUNTIF($D$7:D291,D291),"000"))</f>
        <v>Rix Şow Ltd.Şti.|017</v>
      </c>
      <c r="O291" s="22" t="str">
        <f>IF(G291="","",G291&amp;"|"&amp;TEXT(COUNTIF($G$7:G291,G291),"000"))</f>
        <v>MERKEZ KASA|218</v>
      </c>
    </row>
    <row r="292" spans="1:15" ht="17">
      <c r="A292" s="6"/>
      <c r="B292" s="95" t="s">
        <v>923</v>
      </c>
      <c r="C292" s="95" t="s">
        <v>570</v>
      </c>
      <c r="D292" s="96" t="s">
        <v>626</v>
      </c>
      <c r="E292" s="97">
        <v>46144</v>
      </c>
      <c r="F292" s="99">
        <v>1750</v>
      </c>
      <c r="G292" s="95" t="s">
        <v>618</v>
      </c>
      <c r="H292" s="95" t="s">
        <v>462</v>
      </c>
      <c r="I292" s="95"/>
      <c r="J292" s="96" t="s">
        <v>619</v>
      </c>
      <c r="K292" s="95"/>
      <c r="L292" s="43">
        <f t="shared" si="4"/>
        <v>46143</v>
      </c>
      <c r="M292" s="42" t="str">
        <f>IF(AND(C292="",D292="",E292="",F292=""),"",IF(OR(C292="",D292="",E292="",F292="",G292=""),"EKSİK",IF(COUNTIF(MUSTERILER!$B$7:$B$156,C292)=0,"TANIMSIZ MÜŞTERİ","UYGUN")))</f>
        <v>UYGUN</v>
      </c>
      <c r="N292" s="22" t="str">
        <f>IF(D292="","",D292&amp;"|"&amp;TEXT(COUNTIF($D$7:D292,D292),"000"))</f>
        <v>Zümrüt Grup Ltd.Şti.|014</v>
      </c>
      <c r="O292" s="22" t="str">
        <f>IF(G292="","",G292&amp;"|"&amp;TEXT(COUNTIF($G$7:G292,G292),"000"))</f>
        <v>MERKEZ KASA|219</v>
      </c>
    </row>
    <row r="293" spans="1:15" ht="17">
      <c r="A293" s="6"/>
      <c r="B293" s="95" t="s">
        <v>924</v>
      </c>
      <c r="C293" s="95" t="s">
        <v>483</v>
      </c>
      <c r="D293" s="96" t="s">
        <v>484</v>
      </c>
      <c r="E293" s="97">
        <v>46144</v>
      </c>
      <c r="F293" s="99">
        <v>2500</v>
      </c>
      <c r="G293" s="95" t="s">
        <v>618</v>
      </c>
      <c r="H293" s="95" t="s">
        <v>462</v>
      </c>
      <c r="I293" s="95"/>
      <c r="J293" s="96" t="s">
        <v>619</v>
      </c>
      <c r="K293" s="95"/>
      <c r="L293" s="43">
        <f t="shared" si="4"/>
        <v>46143</v>
      </c>
      <c r="M293" s="42" t="str">
        <f>IF(AND(C293="",D293="",E293="",F293=""),"",IF(OR(C293="",D293="",E293="",F293="",G293=""),"EKSİK",IF(COUNTIF(MUSTERILER!$B$7:$B$156,C293)=0,"TANIMSIZ MÜŞTERİ","UYGUN")))</f>
        <v>UYGUN</v>
      </c>
      <c r="N293" s="22" t="str">
        <f>IF(D293="","",D293&amp;"|"&amp;TEXT(COUNTIF($D$7:D293,D293),"000"))</f>
        <v>ÇINARHAN LTD.ŞTİ.|011</v>
      </c>
      <c r="O293" s="22" t="str">
        <f>IF(G293="","",G293&amp;"|"&amp;TEXT(COUNTIF($G$7:G293,G293),"000"))</f>
        <v>MERKEZ KASA|220</v>
      </c>
    </row>
    <row r="294" spans="1:15" ht="17">
      <c r="A294" s="6"/>
      <c r="B294" s="95" t="s">
        <v>925</v>
      </c>
      <c r="C294" s="95" t="s">
        <v>505</v>
      </c>
      <c r="D294" s="96" t="s">
        <v>506</v>
      </c>
      <c r="E294" s="97">
        <v>46144</v>
      </c>
      <c r="F294" s="99">
        <v>3500</v>
      </c>
      <c r="G294" s="95" t="s">
        <v>618</v>
      </c>
      <c r="H294" s="95" t="s">
        <v>462</v>
      </c>
      <c r="I294" s="95"/>
      <c r="J294" s="96" t="s">
        <v>619</v>
      </c>
      <c r="K294" s="95"/>
      <c r="L294" s="43">
        <f t="shared" si="4"/>
        <v>46143</v>
      </c>
      <c r="M294" s="42" t="str">
        <f>IF(AND(C294="",D294="",E294="",F294=""),"",IF(OR(C294="",D294="",E294="",F294="",G294=""),"EKSİK",IF(COUNTIF(MUSTERILER!$B$7:$B$156,C294)=0,"TANIMSIZ MÜŞTERİ","UYGUN")))</f>
        <v>UYGUN</v>
      </c>
      <c r="N294" s="22" t="str">
        <f>IF(D294="","",D294&amp;"|"&amp;TEXT(COUNTIF($D$7:D294,D294),"000"))</f>
        <v>İSA DEMİRCİ|004</v>
      </c>
      <c r="O294" s="22" t="str">
        <f>IF(G294="","",G294&amp;"|"&amp;TEXT(COUNTIF($G$7:G294,G294),"000"))</f>
        <v>MERKEZ KASA|221</v>
      </c>
    </row>
    <row r="295" spans="1:15" ht="17">
      <c r="A295" s="6"/>
      <c r="B295" s="95" t="s">
        <v>926</v>
      </c>
      <c r="C295" s="95" t="s">
        <v>513</v>
      </c>
      <c r="D295" s="96" t="s">
        <v>514</v>
      </c>
      <c r="E295" s="97">
        <v>46144</v>
      </c>
      <c r="F295" s="99">
        <v>3000</v>
      </c>
      <c r="G295" s="95" t="s">
        <v>618</v>
      </c>
      <c r="H295" s="95" t="s">
        <v>462</v>
      </c>
      <c r="I295" s="95"/>
      <c r="J295" s="96" t="s">
        <v>619</v>
      </c>
      <c r="K295" s="95"/>
      <c r="L295" s="43">
        <f t="shared" si="4"/>
        <v>46143</v>
      </c>
      <c r="M295" s="42" t="str">
        <f>IF(AND(C295="",D295="",E295="",F295=""),"",IF(OR(C295="",D295="",E295="",F295="",G295=""),"EKSİK",IF(COUNTIF(MUSTERILER!$B$7:$B$156,C295)=0,"TANIMSIZ MÜŞTERİ","UYGUN")))</f>
        <v>UYGUN</v>
      </c>
      <c r="N295" s="22" t="str">
        <f>IF(D295="","",D295&amp;"|"&amp;TEXT(COUNTIF($D$7:D295,D295),"000"))</f>
        <v>KRİSTAL LTD.ŞTİ.|017</v>
      </c>
      <c r="O295" s="22" t="str">
        <f>IF(G295="","",G295&amp;"|"&amp;TEXT(COUNTIF($G$7:G295,G295),"000"))</f>
        <v>MERKEZ KASA|222</v>
      </c>
    </row>
    <row r="296" spans="1:15" ht="17">
      <c r="A296" s="6"/>
      <c r="B296" s="95" t="s">
        <v>927</v>
      </c>
      <c r="C296" s="95" t="s">
        <v>544</v>
      </c>
      <c r="D296" s="96" t="s">
        <v>545</v>
      </c>
      <c r="E296" s="97">
        <v>46144</v>
      </c>
      <c r="F296" s="99">
        <v>4000</v>
      </c>
      <c r="G296" s="95" t="s">
        <v>618</v>
      </c>
      <c r="H296" s="95" t="s">
        <v>462</v>
      </c>
      <c r="I296" s="95"/>
      <c r="J296" s="96" t="s">
        <v>619</v>
      </c>
      <c r="K296" s="95"/>
      <c r="L296" s="43">
        <f t="shared" si="4"/>
        <v>46143</v>
      </c>
      <c r="M296" s="42" t="str">
        <f>IF(AND(C296="",D296="",E296="",F296=""),"",IF(OR(C296="",D296="",E296="",F296="",G296=""),"EKSİK",IF(COUNTIF(MUSTERILER!$B$7:$B$156,C296)=0,"TANIMSIZ MÜŞTERİ","UYGUN")))</f>
        <v>UYGUN</v>
      </c>
      <c r="N296" s="22" t="str">
        <f>IF(D296="","",D296&amp;"|"&amp;TEXT(COUNTIF($D$7:D296,D296),"000"))</f>
        <v>PALAOĞULLARI LTD.ŞTİ.|009</v>
      </c>
      <c r="O296" s="22" t="str">
        <f>IF(G296="","",G296&amp;"|"&amp;TEXT(COUNTIF($G$7:G296,G296),"000"))</f>
        <v>MERKEZ KASA|223</v>
      </c>
    </row>
    <row r="297" spans="1:15" ht="17">
      <c r="A297" s="6"/>
      <c r="B297" s="95" t="s">
        <v>928</v>
      </c>
      <c r="C297" s="95" t="s">
        <v>564</v>
      </c>
      <c r="D297" s="96" t="s">
        <v>565</v>
      </c>
      <c r="E297" s="97">
        <v>46144</v>
      </c>
      <c r="F297" s="99">
        <v>4000</v>
      </c>
      <c r="G297" s="95" t="s">
        <v>618</v>
      </c>
      <c r="H297" s="95" t="s">
        <v>462</v>
      </c>
      <c r="I297" s="95"/>
      <c r="J297" s="96" t="s">
        <v>619</v>
      </c>
      <c r="K297" s="95"/>
      <c r="L297" s="43">
        <f t="shared" si="4"/>
        <v>46143</v>
      </c>
      <c r="M297" s="42" t="str">
        <f>IF(AND(C297="",D297="",E297="",F297=""),"",IF(OR(C297="",D297="",E297="",F297="",G297=""),"EKSİK",IF(COUNTIF(MUSTERILER!$B$7:$B$156,C297)=0,"TANIMSIZ MÜŞTERİ","UYGUN")))</f>
        <v>UYGUN</v>
      </c>
      <c r="N297" s="22" t="str">
        <f>IF(D297="","",D297&amp;"|"&amp;TEXT(COUNTIF($D$7:D297,D297),"000"))</f>
        <v>YALIKENT LTD.ŞTİ.|006</v>
      </c>
      <c r="O297" s="22" t="str">
        <f>IF(G297="","",G297&amp;"|"&amp;TEXT(COUNTIF($G$7:G297,G297),"000"))</f>
        <v>MERKEZ KASA|224</v>
      </c>
    </row>
    <row r="298" spans="1:15" ht="17">
      <c r="A298" s="6"/>
      <c r="B298" s="95" t="s">
        <v>929</v>
      </c>
      <c r="C298" s="95" t="s">
        <v>562</v>
      </c>
      <c r="D298" s="96" t="s">
        <v>563</v>
      </c>
      <c r="E298" s="97">
        <v>46146</v>
      </c>
      <c r="F298" s="99">
        <v>5000</v>
      </c>
      <c r="G298" s="95" t="s">
        <v>618</v>
      </c>
      <c r="H298" s="95" t="s">
        <v>462</v>
      </c>
      <c r="I298" s="95"/>
      <c r="J298" s="96" t="s">
        <v>930</v>
      </c>
      <c r="K298" s="95"/>
      <c r="L298" s="43">
        <f t="shared" si="4"/>
        <v>46143</v>
      </c>
      <c r="M298" s="42" t="str">
        <f>IF(AND(C298="",D298="",E298="",F298=""),"",IF(OR(C298="",D298="",E298="",F298="",G298=""),"EKSİK",IF(COUNTIF(MUSTERILER!$B$7:$B$156,C298)=0,"TANIMSIZ MÜŞTERİ","UYGUN")))</f>
        <v>UYGUN</v>
      </c>
      <c r="N298" s="22" t="str">
        <f>IF(D298="","",D298&amp;"|"&amp;TEXT(COUNTIF($D$7:D298,D298),"000"))</f>
        <v>VOLKAN AÇIK|003</v>
      </c>
      <c r="O298" s="22" t="str">
        <f>IF(G298="","",G298&amp;"|"&amp;TEXT(COUNTIF($G$7:G298,G298),"000"))</f>
        <v>MERKEZ KASA|225</v>
      </c>
    </row>
    <row r="299" spans="1:15" ht="17">
      <c r="A299" s="6"/>
      <c r="B299" s="95" t="s">
        <v>931</v>
      </c>
      <c r="C299" s="95" t="s">
        <v>487</v>
      </c>
      <c r="D299" s="96" t="s">
        <v>714</v>
      </c>
      <c r="E299" s="97">
        <v>46151</v>
      </c>
      <c r="F299" s="99">
        <v>4000</v>
      </c>
      <c r="G299" s="95" t="s">
        <v>628</v>
      </c>
      <c r="H299" s="95" t="s">
        <v>462</v>
      </c>
      <c r="I299" s="95"/>
      <c r="J299" s="96" t="s">
        <v>629</v>
      </c>
      <c r="K299" s="95"/>
      <c r="L299" s="43">
        <f t="shared" si="4"/>
        <v>46143</v>
      </c>
      <c r="M299" s="42" t="str">
        <f>IF(AND(C299="",D299="",E299="",F299=""),"",IF(OR(C299="",D299="",E299="",F299="",G299=""),"EKSİK",IF(COUNTIF(MUSTERILER!$B$7:$B$156,C299)=0,"TANIMSIZ MÜŞTERİ","UYGUN")))</f>
        <v>UYGUN</v>
      </c>
      <c r="N299" s="22" t="str">
        <f>IF(D299="","",D299&amp;"|"&amp;TEXT(COUNTIF($D$7:D299,D299),"000"))</f>
        <v>Eğlengör Ltd.Şti.|017</v>
      </c>
      <c r="O299" s="22" t="str">
        <f>IF(G299="","",G299&amp;"|"&amp;TEXT(COUNTIF($G$7:G299,G299),"000"))</f>
        <v>ÖMER KARTAL|064</v>
      </c>
    </row>
    <row r="300" spans="1:15" ht="17">
      <c r="A300" s="6"/>
      <c r="B300" s="95" t="s">
        <v>932</v>
      </c>
      <c r="C300" s="95" t="s">
        <v>503</v>
      </c>
      <c r="D300" s="96" t="s">
        <v>621</v>
      </c>
      <c r="E300" s="97">
        <v>46151</v>
      </c>
      <c r="F300" s="99">
        <v>4000</v>
      </c>
      <c r="G300" s="95" t="s">
        <v>628</v>
      </c>
      <c r="H300" s="95" t="s">
        <v>462</v>
      </c>
      <c r="I300" s="95"/>
      <c r="J300" s="96" t="s">
        <v>629</v>
      </c>
      <c r="K300" s="95"/>
      <c r="L300" s="43">
        <f t="shared" si="4"/>
        <v>46143</v>
      </c>
      <c r="M300" s="42" t="str">
        <f>IF(AND(C300="",D300="",E300="",F300=""),"",IF(OR(C300="",D300="",E300="",F300="",G300=""),"EKSİK",IF(COUNTIF(MUSTERILER!$B$7:$B$156,C300)=0,"TANIMSIZ MÜŞTERİ","UYGUN")))</f>
        <v>UYGUN</v>
      </c>
      <c r="N300" s="22" t="str">
        <f>IF(D300="","",D300&amp;"|"&amp;TEXT(COUNTIF($D$7:D300,D300),"000"))</f>
        <v>İldeş Ltd.Şti.|018</v>
      </c>
      <c r="O300" s="22" t="str">
        <f>IF(G300="","",G300&amp;"|"&amp;TEXT(COUNTIF($G$7:G300,G300),"000"))</f>
        <v>ÖMER KARTAL|065</v>
      </c>
    </row>
    <row r="301" spans="1:15" ht="17">
      <c r="A301" s="6"/>
      <c r="B301" s="95" t="s">
        <v>933</v>
      </c>
      <c r="C301" s="95" t="s">
        <v>467</v>
      </c>
      <c r="D301" s="96" t="s">
        <v>709</v>
      </c>
      <c r="E301" s="97">
        <v>46151</v>
      </c>
      <c r="F301" s="99">
        <v>14000</v>
      </c>
      <c r="G301" s="95" t="s">
        <v>618</v>
      </c>
      <c r="H301" s="95" t="s">
        <v>462</v>
      </c>
      <c r="I301" s="95"/>
      <c r="J301" s="96" t="s">
        <v>619</v>
      </c>
      <c r="K301" s="95"/>
      <c r="L301" s="43">
        <f t="shared" si="4"/>
        <v>46143</v>
      </c>
      <c r="M301" s="42" t="str">
        <f>IF(AND(C301="",D301="",E301="",F301=""),"",IF(OR(C301="",D301="",E301="",F301="",G301=""),"EKSİK",IF(COUNTIF(MUSTERILER!$B$7:$B$156,C301)=0,"TANIMSIZ MÜŞTERİ","UYGUN")))</f>
        <v>UYGUN</v>
      </c>
      <c r="N301" s="22" t="str">
        <f>IF(D301="","",D301&amp;"|"&amp;TEXT(COUNTIF($D$7:D301,D301),"000"))</f>
        <v>Ankara Havana Ltd.Şti.|008</v>
      </c>
      <c r="O301" s="22" t="str">
        <f>IF(G301="","",G301&amp;"|"&amp;TEXT(COUNTIF($G$7:G301,G301),"000"))</f>
        <v>MERKEZ KASA|226</v>
      </c>
    </row>
    <row r="302" spans="1:15" ht="17">
      <c r="A302" s="6"/>
      <c r="B302" s="95" t="s">
        <v>934</v>
      </c>
      <c r="C302" s="95" t="s">
        <v>542</v>
      </c>
      <c r="D302" s="96" t="s">
        <v>726</v>
      </c>
      <c r="E302" s="97">
        <v>46151</v>
      </c>
      <c r="F302" s="99">
        <v>4000</v>
      </c>
      <c r="G302" s="95" t="s">
        <v>628</v>
      </c>
      <c r="H302" s="95" t="s">
        <v>462</v>
      </c>
      <c r="I302" s="95"/>
      <c r="J302" s="96" t="s">
        <v>629</v>
      </c>
      <c r="K302" s="95"/>
      <c r="L302" s="43">
        <f t="shared" si="4"/>
        <v>46143</v>
      </c>
      <c r="M302" s="42" t="str">
        <f>IF(AND(C302="",D302="",E302="",F302=""),"",IF(OR(C302="",D302="",E302="",F302="",G302=""),"EKSİK",IF(COUNTIF(MUSTERILER!$B$7:$B$156,C302)=0,"TANIMSIZ MÜŞTERİ","UYGUN")))</f>
        <v>UYGUN</v>
      </c>
      <c r="N302" s="22" t="str">
        <f>IF(D302="","",D302&amp;"|"&amp;TEXT(COUNTIF($D$7:D302,D302),"000"))</f>
        <v>Pakyıldız Ltd.Şti.|014</v>
      </c>
      <c r="O302" s="22" t="str">
        <f>IF(G302="","",G302&amp;"|"&amp;TEXT(COUNTIF($G$7:G302,G302),"000"))</f>
        <v>ÖMER KARTAL|066</v>
      </c>
    </row>
    <row r="303" spans="1:15" ht="17">
      <c r="A303" s="6"/>
      <c r="B303" s="95" t="s">
        <v>935</v>
      </c>
      <c r="C303" s="95" t="s">
        <v>473</v>
      </c>
      <c r="D303" s="96" t="s">
        <v>474</v>
      </c>
      <c r="E303" s="97">
        <v>46151</v>
      </c>
      <c r="F303" s="99">
        <v>2000</v>
      </c>
      <c r="G303" s="95" t="s">
        <v>618</v>
      </c>
      <c r="H303" s="95" t="s">
        <v>462</v>
      </c>
      <c r="I303" s="95"/>
      <c r="J303" s="96" t="s">
        <v>619</v>
      </c>
      <c r="K303" s="95"/>
      <c r="L303" s="43">
        <f t="shared" si="4"/>
        <v>46143</v>
      </c>
      <c r="M303" s="42" t="str">
        <f>IF(AND(C303="",D303="",E303="",F303=""),"",IF(OR(C303="",D303="",E303="",F303="",G303=""),"EKSİK",IF(COUNTIF(MUSTERILER!$B$7:$B$156,C303)=0,"TANIMSIZ MÜŞTERİ","UYGUN")))</f>
        <v>UYGUN</v>
      </c>
      <c r="N303" s="22" t="str">
        <f>IF(D303="","",D303&amp;"|"&amp;TEXT(COUNTIF($D$7:D303,D303),"000"))</f>
        <v>ASIM AÇIKGÖZ|014</v>
      </c>
      <c r="O303" s="22" t="str">
        <f>IF(G303="","",G303&amp;"|"&amp;TEXT(COUNTIF($G$7:G303,G303),"000"))</f>
        <v>MERKEZ KASA|227</v>
      </c>
    </row>
    <row r="304" spans="1:15" ht="17">
      <c r="A304" s="6"/>
      <c r="B304" s="95" t="s">
        <v>936</v>
      </c>
      <c r="C304" s="95" t="s">
        <v>479</v>
      </c>
      <c r="D304" s="96" t="s">
        <v>617</v>
      </c>
      <c r="E304" s="97">
        <v>46151</v>
      </c>
      <c r="F304" s="99">
        <v>3000</v>
      </c>
      <c r="G304" s="95" t="s">
        <v>618</v>
      </c>
      <c r="H304" s="95" t="s">
        <v>462</v>
      </c>
      <c r="I304" s="95"/>
      <c r="J304" s="96" t="s">
        <v>619</v>
      </c>
      <c r="K304" s="95"/>
      <c r="L304" s="43">
        <f t="shared" si="4"/>
        <v>46143</v>
      </c>
      <c r="M304" s="42" t="str">
        <f>IF(AND(C304="",D304="",E304="",F304=""),"",IF(OR(C304="",D304="",E304="",F304="",G304=""),"EKSİK",IF(COUNTIF(MUSTERILER!$B$7:$B$156,C304)=0,"TANIMSIZ MÜŞTERİ","UYGUN")))</f>
        <v>UYGUN</v>
      </c>
      <c r="N304" s="22" t="str">
        <f>IF(D304="","",D304&amp;"|"&amp;TEXT(COUNTIF($D$7:D304,D304),"000"))</f>
        <v>Çayıralan Ltd.Şti.|016</v>
      </c>
      <c r="O304" s="22" t="str">
        <f>IF(G304="","",G304&amp;"|"&amp;TEXT(COUNTIF($G$7:G304,G304),"000"))</f>
        <v>MERKEZ KASA|228</v>
      </c>
    </row>
    <row r="305" spans="1:15" ht="17">
      <c r="A305" s="6"/>
      <c r="B305" s="95" t="s">
        <v>937</v>
      </c>
      <c r="C305" s="95" t="s">
        <v>483</v>
      </c>
      <c r="D305" s="96" t="s">
        <v>484</v>
      </c>
      <c r="E305" s="97">
        <v>46151</v>
      </c>
      <c r="F305" s="99">
        <v>2500</v>
      </c>
      <c r="G305" s="95" t="s">
        <v>628</v>
      </c>
      <c r="H305" s="95" t="s">
        <v>462</v>
      </c>
      <c r="I305" s="95"/>
      <c r="J305" s="96" t="s">
        <v>619</v>
      </c>
      <c r="K305" s="95"/>
      <c r="L305" s="43">
        <f t="shared" si="4"/>
        <v>46143</v>
      </c>
      <c r="M305" s="42" t="str">
        <f>IF(AND(C305="",D305="",E305="",F305=""),"",IF(OR(C305="",D305="",E305="",F305="",G305=""),"EKSİK",IF(COUNTIF(MUSTERILER!$B$7:$B$156,C305)=0,"TANIMSIZ MÜŞTERİ","UYGUN")))</f>
        <v>UYGUN</v>
      </c>
      <c r="N305" s="22" t="str">
        <f>IF(D305="","",D305&amp;"|"&amp;TEXT(COUNTIF($D$7:D305,D305),"000"))</f>
        <v>ÇINARHAN LTD.ŞTİ.|012</v>
      </c>
      <c r="O305" s="22" t="str">
        <f>IF(G305="","",G305&amp;"|"&amp;TEXT(COUNTIF($G$7:G305,G305),"000"))</f>
        <v>ÖMER KARTAL|067</v>
      </c>
    </row>
    <row r="306" spans="1:15" ht="17">
      <c r="A306" s="6"/>
      <c r="B306" s="95" t="s">
        <v>938</v>
      </c>
      <c r="C306" s="95" t="s">
        <v>483</v>
      </c>
      <c r="D306" s="96" t="s">
        <v>484</v>
      </c>
      <c r="E306" s="97">
        <v>46151</v>
      </c>
      <c r="F306" s="99">
        <v>17500</v>
      </c>
      <c r="G306" s="95" t="s">
        <v>628</v>
      </c>
      <c r="H306" s="95" t="s">
        <v>462</v>
      </c>
      <c r="I306" s="95"/>
      <c r="J306" s="96" t="s">
        <v>619</v>
      </c>
      <c r="K306" s="95"/>
      <c r="L306" s="43">
        <f t="shared" si="4"/>
        <v>46143</v>
      </c>
      <c r="M306" s="42" t="str">
        <f>IF(AND(C306="",D306="",E306="",F306=""),"",IF(OR(C306="",D306="",E306="",F306="",G306=""),"EKSİK",IF(COUNTIF(MUSTERILER!$B$7:$B$156,C306)=0,"TANIMSIZ MÜŞTERİ","UYGUN")))</f>
        <v>UYGUN</v>
      </c>
      <c r="N306" s="22" t="str">
        <f>IF(D306="","",D306&amp;"|"&amp;TEXT(COUNTIF($D$7:D306,D306),"000"))</f>
        <v>ÇINARHAN LTD.ŞTİ.|013</v>
      </c>
      <c r="O306" s="22" t="str">
        <f>IF(G306="","",G306&amp;"|"&amp;TEXT(COUNTIF($G$7:G306,G306),"000"))</f>
        <v>ÖMER KARTAL|068</v>
      </c>
    </row>
    <row r="307" spans="1:15" ht="17">
      <c r="A307" s="6"/>
      <c r="B307" s="95" t="s">
        <v>939</v>
      </c>
      <c r="C307" s="95" t="s">
        <v>495</v>
      </c>
      <c r="D307" s="96" t="s">
        <v>716</v>
      </c>
      <c r="E307" s="97">
        <v>46151</v>
      </c>
      <c r="F307" s="99">
        <v>4000</v>
      </c>
      <c r="G307" s="95" t="s">
        <v>618</v>
      </c>
      <c r="H307" s="95" t="s">
        <v>462</v>
      </c>
      <c r="I307" s="95"/>
      <c r="J307" s="96" t="s">
        <v>619</v>
      </c>
      <c r="K307" s="95"/>
      <c r="L307" s="43">
        <f t="shared" si="4"/>
        <v>46143</v>
      </c>
      <c r="M307" s="42" t="str">
        <f>IF(AND(C307="",D307="",E307="",F307=""),"",IF(OR(C307="",D307="",E307="",F307="",G307=""),"EKSİK",IF(COUNTIF(MUSTERILER!$B$7:$B$156,C307)=0,"TANIMSIZ MÜŞTERİ","UYGUN")))</f>
        <v>UYGUN</v>
      </c>
      <c r="N307" s="22" t="str">
        <f>IF(D307="","",D307&amp;"|"&amp;TEXT(COUNTIF($D$7:D307,D307),"000"))</f>
        <v>Final Siyah Beyaz Ltd.Şti.|016</v>
      </c>
      <c r="O307" s="22" t="str">
        <f>IF(G307="","",G307&amp;"|"&amp;TEXT(COUNTIF($G$7:G307,G307),"000"))</f>
        <v>MERKEZ KASA|229</v>
      </c>
    </row>
    <row r="308" spans="1:15" ht="17">
      <c r="A308" s="6"/>
      <c r="B308" s="95" t="s">
        <v>940</v>
      </c>
      <c r="C308" s="95" t="s">
        <v>544</v>
      </c>
      <c r="D308" s="96" t="s">
        <v>545</v>
      </c>
      <c r="E308" s="97">
        <v>46151</v>
      </c>
      <c r="F308" s="99">
        <v>4000</v>
      </c>
      <c r="G308" s="95" t="s">
        <v>628</v>
      </c>
      <c r="H308" s="95" t="s">
        <v>462</v>
      </c>
      <c r="I308" s="95"/>
      <c r="J308" s="96" t="s">
        <v>619</v>
      </c>
      <c r="K308" s="95"/>
      <c r="L308" s="43">
        <f t="shared" si="4"/>
        <v>46143</v>
      </c>
      <c r="M308" s="42" t="str">
        <f>IF(AND(C308="",D308="",E308="",F308=""),"",IF(OR(C308="",D308="",E308="",F308="",G308=""),"EKSİK",IF(COUNTIF(MUSTERILER!$B$7:$B$156,C308)=0,"TANIMSIZ MÜŞTERİ","UYGUN")))</f>
        <v>UYGUN</v>
      </c>
      <c r="N308" s="22" t="str">
        <f>IF(D308="","",D308&amp;"|"&amp;TEXT(COUNTIF($D$7:D308,D308),"000"))</f>
        <v>PALAOĞULLARI LTD.ŞTİ.|010</v>
      </c>
      <c r="O308" s="22" t="str">
        <f>IF(G308="","",G308&amp;"|"&amp;TEXT(COUNTIF($G$7:G308,G308),"000"))</f>
        <v>ÖMER KARTAL|069</v>
      </c>
    </row>
    <row r="309" spans="1:15" ht="17">
      <c r="A309" s="6"/>
      <c r="B309" s="95" t="s">
        <v>941</v>
      </c>
      <c r="C309" s="95" t="s">
        <v>501</v>
      </c>
      <c r="D309" s="96" t="s">
        <v>718</v>
      </c>
      <c r="E309" s="97">
        <v>46151</v>
      </c>
      <c r="F309" s="99">
        <v>4000</v>
      </c>
      <c r="G309" s="95" t="s">
        <v>618</v>
      </c>
      <c r="H309" s="95" t="s">
        <v>462</v>
      </c>
      <c r="I309" s="95"/>
      <c r="J309" s="96" t="s">
        <v>619</v>
      </c>
      <c r="K309" s="95"/>
      <c r="L309" s="43">
        <f t="shared" si="4"/>
        <v>46143</v>
      </c>
      <c r="M309" s="42" t="str">
        <f>IF(AND(C309="",D309="",E309="",F309=""),"",IF(OR(C309="",D309="",E309="",F309="",G309=""),"EKSİK",IF(COUNTIF(MUSTERILER!$B$7:$B$156,C309)=0,"TANIMSIZ MÜŞTERİ","UYGUN")))</f>
        <v>UYGUN</v>
      </c>
      <c r="N309" s="22" t="str">
        <f>IF(D309="","",D309&amp;"|"&amp;TEXT(COUNTIF($D$7:D309,D309),"000"))</f>
        <v>İbrahim Maldan|014</v>
      </c>
      <c r="O309" s="22" t="str">
        <f>IF(G309="","",G309&amp;"|"&amp;TEXT(COUNTIF($G$7:G309,G309),"000"))</f>
        <v>MERKEZ KASA|230</v>
      </c>
    </row>
    <row r="310" spans="1:15" ht="17">
      <c r="A310" s="6"/>
      <c r="B310" s="95" t="s">
        <v>942</v>
      </c>
      <c r="C310" s="95" t="s">
        <v>534</v>
      </c>
      <c r="D310" s="96" t="s">
        <v>724</v>
      </c>
      <c r="E310" s="97">
        <v>46151</v>
      </c>
      <c r="F310" s="99">
        <v>650</v>
      </c>
      <c r="G310" s="95" t="s">
        <v>618</v>
      </c>
      <c r="H310" s="95" t="s">
        <v>462</v>
      </c>
      <c r="I310" s="95"/>
      <c r="J310" s="96" t="s">
        <v>619</v>
      </c>
      <c r="K310" s="95"/>
      <c r="L310" s="43">
        <f t="shared" si="4"/>
        <v>46143</v>
      </c>
      <c r="M310" s="42" t="str">
        <f>IF(AND(C310="",D310="",E310="",F310=""),"",IF(OR(C310="",D310="",E310="",F310="",G310=""),"EKSİK",IF(COUNTIF(MUSTERILER!$B$7:$B$156,C310)=0,"TANIMSIZ MÜŞTERİ","UYGUN")))</f>
        <v>UYGUN</v>
      </c>
      <c r="N310" s="22" t="str">
        <f>IF(D310="","",D310&amp;"|"&amp;TEXT(COUNTIF($D$7:D310,D310),"000"))</f>
        <v>Naz 1 Gıda Ltd.Şti.|012</v>
      </c>
      <c r="O310" s="22" t="str">
        <f>IF(G310="","",G310&amp;"|"&amp;TEXT(COUNTIF($G$7:G310,G310),"000"))</f>
        <v>MERKEZ KASA|231</v>
      </c>
    </row>
    <row r="311" spans="1:15" ht="17">
      <c r="A311" s="6"/>
      <c r="B311" s="95" t="s">
        <v>943</v>
      </c>
      <c r="C311" s="95" t="s">
        <v>548</v>
      </c>
      <c r="D311" s="96" t="s">
        <v>728</v>
      </c>
      <c r="E311" s="97">
        <v>46151</v>
      </c>
      <c r="F311" s="99">
        <v>3000</v>
      </c>
      <c r="G311" s="95" t="s">
        <v>618</v>
      </c>
      <c r="H311" s="95" t="s">
        <v>462</v>
      </c>
      <c r="I311" s="95"/>
      <c r="J311" s="96" t="s">
        <v>619</v>
      </c>
      <c r="K311" s="95"/>
      <c r="L311" s="43">
        <f t="shared" si="4"/>
        <v>46143</v>
      </c>
      <c r="M311" s="42" t="str">
        <f>IF(AND(C311="",D311="",E311="",F311=""),"",IF(OR(C311="",D311="",E311="",F311="",G311=""),"EKSİK",IF(COUNTIF(MUSTERILER!$B$7:$B$156,C311)=0,"TANIMSIZ MÜŞTERİ","UYGUN")))</f>
        <v>UYGUN</v>
      </c>
      <c r="N311" s="22" t="str">
        <f>IF(D311="","",D311&amp;"|"&amp;TEXT(COUNTIF($D$7:D311,D311),"000"))</f>
        <v>Rix Şow Ltd.Şti.|018</v>
      </c>
      <c r="O311" s="22" t="str">
        <f>IF(G311="","",G311&amp;"|"&amp;TEXT(COUNTIF($G$7:G311,G311),"000"))</f>
        <v>MERKEZ KASA|232</v>
      </c>
    </row>
    <row r="312" spans="1:15" ht="17">
      <c r="A312" s="6"/>
      <c r="B312" s="95" t="s">
        <v>944</v>
      </c>
      <c r="C312" s="95" t="s">
        <v>570</v>
      </c>
      <c r="D312" s="96" t="s">
        <v>626</v>
      </c>
      <c r="E312" s="97">
        <v>46151</v>
      </c>
      <c r="F312" s="99">
        <v>1750</v>
      </c>
      <c r="G312" s="95" t="s">
        <v>618</v>
      </c>
      <c r="H312" s="95" t="s">
        <v>462</v>
      </c>
      <c r="I312" s="95"/>
      <c r="J312" s="96" t="s">
        <v>619</v>
      </c>
      <c r="K312" s="95"/>
      <c r="L312" s="43">
        <f t="shared" si="4"/>
        <v>46143</v>
      </c>
      <c r="M312" s="42" t="str">
        <f>IF(AND(C312="",D312="",E312="",F312=""),"",IF(OR(C312="",D312="",E312="",F312="",G312=""),"EKSİK",IF(COUNTIF(MUSTERILER!$B$7:$B$156,C312)=0,"TANIMSIZ MÜŞTERİ","UYGUN")))</f>
        <v>UYGUN</v>
      </c>
      <c r="N312" s="22" t="str">
        <f>IF(D312="","",D312&amp;"|"&amp;TEXT(COUNTIF($D$7:D312,D312),"000"))</f>
        <v>Zümrüt Grup Ltd.Şti.|015</v>
      </c>
      <c r="O312" s="22" t="str">
        <f>IF(G312="","",G312&amp;"|"&amp;TEXT(COUNTIF($G$7:G312,G312),"000"))</f>
        <v>MERKEZ KASA|233</v>
      </c>
    </row>
    <row r="313" spans="1:15" ht="17">
      <c r="A313" s="6"/>
      <c r="B313" s="95" t="s">
        <v>945</v>
      </c>
      <c r="C313" s="95" t="s">
        <v>513</v>
      </c>
      <c r="D313" s="96" t="s">
        <v>514</v>
      </c>
      <c r="E313" s="97">
        <v>46151</v>
      </c>
      <c r="F313" s="99">
        <v>3000</v>
      </c>
      <c r="G313" s="95" t="s">
        <v>618</v>
      </c>
      <c r="H313" s="95" t="s">
        <v>462</v>
      </c>
      <c r="I313" s="95"/>
      <c r="J313" s="96" t="s">
        <v>619</v>
      </c>
      <c r="K313" s="95"/>
      <c r="L313" s="43">
        <f t="shared" si="4"/>
        <v>46143</v>
      </c>
      <c r="M313" s="42" t="str">
        <f>IF(AND(C313="",D313="",E313="",F313=""),"",IF(OR(C313="",D313="",E313="",F313="",G313=""),"EKSİK",IF(COUNTIF(MUSTERILER!$B$7:$B$156,C313)=0,"TANIMSIZ MÜŞTERİ","UYGUN")))</f>
        <v>UYGUN</v>
      </c>
      <c r="N313" s="22" t="str">
        <f>IF(D313="","",D313&amp;"|"&amp;TEXT(COUNTIF($D$7:D313,D313),"000"))</f>
        <v>KRİSTAL LTD.ŞTİ.|018</v>
      </c>
      <c r="O313" s="22" t="str">
        <f>IF(G313="","",G313&amp;"|"&amp;TEXT(COUNTIF($G$7:G313,G313),"000"))</f>
        <v>MERKEZ KASA|234</v>
      </c>
    </row>
    <row r="314" spans="1:15" ht="17">
      <c r="A314" s="6"/>
      <c r="B314" s="95" t="s">
        <v>946</v>
      </c>
      <c r="C314" s="95" t="s">
        <v>564</v>
      </c>
      <c r="D314" s="96" t="s">
        <v>565</v>
      </c>
      <c r="E314" s="97">
        <v>46151</v>
      </c>
      <c r="F314" s="99">
        <v>4000</v>
      </c>
      <c r="G314" s="95" t="s">
        <v>618</v>
      </c>
      <c r="H314" s="95" t="s">
        <v>462</v>
      </c>
      <c r="I314" s="95"/>
      <c r="J314" s="96" t="s">
        <v>619</v>
      </c>
      <c r="K314" s="95"/>
      <c r="L314" s="43">
        <f t="shared" si="4"/>
        <v>46143</v>
      </c>
      <c r="M314" s="42" t="str">
        <f>IF(AND(C314="",D314="",E314="",F314=""),"",IF(OR(C314="",D314="",E314="",F314="",G314=""),"EKSİK",IF(COUNTIF(MUSTERILER!$B$7:$B$156,C314)=0,"TANIMSIZ MÜŞTERİ","UYGUN")))</f>
        <v>UYGUN</v>
      </c>
      <c r="N314" s="22" t="str">
        <f>IF(D314="","",D314&amp;"|"&amp;TEXT(COUNTIF($D$7:D314,D314),"000"))</f>
        <v>YALIKENT LTD.ŞTİ.|007</v>
      </c>
      <c r="O314" s="22" t="str">
        <f>IF(G314="","",G314&amp;"|"&amp;TEXT(COUNTIF($G$7:G314,G314),"000"))</f>
        <v>MERKEZ KASA|235</v>
      </c>
    </row>
    <row r="315" spans="1:15" ht="17">
      <c r="A315" s="6"/>
      <c r="B315" s="95" t="s">
        <v>947</v>
      </c>
      <c r="C315" s="95" t="s">
        <v>558</v>
      </c>
      <c r="D315" s="96" t="s">
        <v>559</v>
      </c>
      <c r="E315" s="97">
        <v>46157</v>
      </c>
      <c r="F315" s="99">
        <v>3000</v>
      </c>
      <c r="G315" s="95" t="s">
        <v>628</v>
      </c>
      <c r="H315" s="95" t="s">
        <v>462</v>
      </c>
      <c r="I315" s="95"/>
      <c r="J315" s="96" t="s">
        <v>619</v>
      </c>
      <c r="K315" s="95"/>
      <c r="L315" s="43">
        <f t="shared" si="4"/>
        <v>46143</v>
      </c>
      <c r="M315" s="42" t="str">
        <f>IF(AND(C315="",D315="",E315="",F315=""),"",IF(OR(C315="",D315="",E315="",F315="",G315=""),"EKSİK",IF(COUNTIF(MUSTERILER!$B$7:$B$156,C315)=0,"TANIMSIZ MÜŞTERİ","UYGUN")))</f>
        <v>UYGUN</v>
      </c>
      <c r="N315" s="22" t="str">
        <f>IF(D315="","",D315&amp;"|"&amp;TEXT(COUNTIF($D$7:D315,D315),"000"))</f>
        <v>UFUK YILMAZ|005</v>
      </c>
      <c r="O315" s="22" t="str">
        <f>IF(G315="","",G315&amp;"|"&amp;TEXT(COUNTIF($G$7:G315,G315),"000"))</f>
        <v>ÖMER KARTAL|070</v>
      </c>
    </row>
    <row r="316" spans="1:15" ht="17">
      <c r="A316" s="6"/>
      <c r="B316" s="95" t="s">
        <v>948</v>
      </c>
      <c r="C316" s="95" t="s">
        <v>475</v>
      </c>
      <c r="D316" s="96" t="s">
        <v>476</v>
      </c>
      <c r="E316" s="97">
        <v>46158</v>
      </c>
      <c r="F316" s="99">
        <v>2500</v>
      </c>
      <c r="G316" s="95" t="s">
        <v>628</v>
      </c>
      <c r="H316" s="95" t="s">
        <v>462</v>
      </c>
      <c r="I316" s="95"/>
      <c r="J316" s="96" t="s">
        <v>619</v>
      </c>
      <c r="K316" s="95"/>
      <c r="L316" s="43">
        <f t="shared" si="4"/>
        <v>46143</v>
      </c>
      <c r="M316" s="42" t="str">
        <f>IF(AND(C316="",D316="",E316="",F316=""),"",IF(OR(C316="",D316="",E316="",F316="",G316=""),"EKSİK",IF(COUNTIF(MUSTERILER!$B$7:$B$156,C316)=0,"TANIMSIZ MÜŞTERİ","UYGUN")))</f>
        <v>UYGUN</v>
      </c>
      <c r="N316" s="22" t="str">
        <f>IF(D316="","",D316&amp;"|"&amp;TEXT(COUNTIF($D$7:D316,D316),"000"))</f>
        <v>ASM EĞLENCE LTD.ŞTİ.|016</v>
      </c>
      <c r="O316" s="22" t="str">
        <f>IF(G316="","",G316&amp;"|"&amp;TEXT(COUNTIF($G$7:G316,G316),"000"))</f>
        <v>ÖMER KARTAL|071</v>
      </c>
    </row>
    <row r="317" spans="1:15" ht="17">
      <c r="A317" s="6"/>
      <c r="B317" s="95" t="s">
        <v>949</v>
      </c>
      <c r="C317" s="95" t="s">
        <v>467</v>
      </c>
      <c r="D317" s="96" t="s">
        <v>709</v>
      </c>
      <c r="E317" s="97">
        <v>46158</v>
      </c>
      <c r="F317" s="99">
        <v>14000</v>
      </c>
      <c r="G317" s="95" t="s">
        <v>618</v>
      </c>
      <c r="H317" s="95" t="s">
        <v>462</v>
      </c>
      <c r="I317" s="95"/>
      <c r="J317" s="96" t="s">
        <v>619</v>
      </c>
      <c r="K317" s="95"/>
      <c r="L317" s="43">
        <f t="shared" si="4"/>
        <v>46143</v>
      </c>
      <c r="M317" s="42" t="str">
        <f>IF(AND(C317="",D317="",E317="",F317=""),"",IF(OR(C317="",D317="",E317="",F317="",G317=""),"EKSİK",IF(COUNTIF(MUSTERILER!$B$7:$B$156,C317)=0,"TANIMSIZ MÜŞTERİ","UYGUN")))</f>
        <v>UYGUN</v>
      </c>
      <c r="N317" s="22" t="str">
        <f>IF(D317="","",D317&amp;"|"&amp;TEXT(COUNTIF($D$7:D317,D317),"000"))</f>
        <v>Ankara Havana Ltd.Şti.|009</v>
      </c>
      <c r="O317" s="22" t="str">
        <f>IF(G317="","",G317&amp;"|"&amp;TEXT(COUNTIF($G$7:G317,G317),"000"))</f>
        <v>MERKEZ KASA|236</v>
      </c>
    </row>
    <row r="318" spans="1:15" ht="17">
      <c r="A318" s="6"/>
      <c r="B318" s="95" t="s">
        <v>950</v>
      </c>
      <c r="C318" s="95" t="s">
        <v>473</v>
      </c>
      <c r="D318" s="96" t="s">
        <v>474</v>
      </c>
      <c r="E318" s="97">
        <v>46158</v>
      </c>
      <c r="F318" s="99">
        <v>2000</v>
      </c>
      <c r="G318" s="95" t="s">
        <v>618</v>
      </c>
      <c r="H318" s="95" t="s">
        <v>462</v>
      </c>
      <c r="I318" s="95"/>
      <c r="J318" s="96" t="s">
        <v>619</v>
      </c>
      <c r="K318" s="95"/>
      <c r="L318" s="43">
        <f t="shared" si="4"/>
        <v>46143</v>
      </c>
      <c r="M318" s="42" t="str">
        <f>IF(AND(C318="",D318="",E318="",F318=""),"",IF(OR(C318="",D318="",E318="",F318="",G318=""),"EKSİK",IF(COUNTIF(MUSTERILER!$B$7:$B$156,C318)=0,"TANIMSIZ MÜŞTERİ","UYGUN")))</f>
        <v>UYGUN</v>
      </c>
      <c r="N318" s="22" t="str">
        <f>IF(D318="","",D318&amp;"|"&amp;TEXT(COUNTIF($D$7:D318,D318),"000"))</f>
        <v>ASIM AÇIKGÖZ|015</v>
      </c>
      <c r="O318" s="22" t="str">
        <f>IF(G318="","",G318&amp;"|"&amp;TEXT(COUNTIF($G$7:G318,G318),"000"))</f>
        <v>MERKEZ KASA|237</v>
      </c>
    </row>
    <row r="319" spans="1:15" ht="17">
      <c r="A319" s="6"/>
      <c r="B319" s="95" t="s">
        <v>951</v>
      </c>
      <c r="C319" s="95" t="s">
        <v>479</v>
      </c>
      <c r="D319" s="96" t="s">
        <v>617</v>
      </c>
      <c r="E319" s="97">
        <v>46158</v>
      </c>
      <c r="F319" s="99">
        <v>4000</v>
      </c>
      <c r="G319" s="95" t="s">
        <v>618</v>
      </c>
      <c r="H319" s="95" t="s">
        <v>462</v>
      </c>
      <c r="I319" s="95"/>
      <c r="J319" s="96" t="s">
        <v>619</v>
      </c>
      <c r="K319" s="95"/>
      <c r="L319" s="43">
        <f t="shared" si="4"/>
        <v>46143</v>
      </c>
      <c r="M319" s="42" t="str">
        <f>IF(AND(C319="",D319="",E319="",F319=""),"",IF(OR(C319="",D319="",E319="",F319="",G319=""),"EKSİK",IF(COUNTIF(MUSTERILER!$B$7:$B$156,C319)=0,"TANIMSIZ MÜŞTERİ","UYGUN")))</f>
        <v>UYGUN</v>
      </c>
      <c r="N319" s="22" t="str">
        <f>IF(D319="","",D319&amp;"|"&amp;TEXT(COUNTIF($D$7:D319,D319),"000"))</f>
        <v>Çayıralan Ltd.Şti.|017</v>
      </c>
      <c r="O319" s="22" t="str">
        <f>IF(G319="","",G319&amp;"|"&amp;TEXT(COUNTIF($G$7:G319,G319),"000"))</f>
        <v>MERKEZ KASA|238</v>
      </c>
    </row>
    <row r="320" spans="1:15" ht="17">
      <c r="A320" s="6"/>
      <c r="B320" s="95" t="s">
        <v>952</v>
      </c>
      <c r="C320" s="95" t="s">
        <v>487</v>
      </c>
      <c r="D320" s="96" t="s">
        <v>714</v>
      </c>
      <c r="E320" s="97">
        <v>46158</v>
      </c>
      <c r="F320" s="99">
        <v>4000</v>
      </c>
      <c r="G320" s="95" t="s">
        <v>618</v>
      </c>
      <c r="H320" s="95" t="s">
        <v>462</v>
      </c>
      <c r="I320" s="95"/>
      <c r="J320" s="96" t="s">
        <v>619</v>
      </c>
      <c r="K320" s="95"/>
      <c r="L320" s="43">
        <f t="shared" si="4"/>
        <v>46143</v>
      </c>
      <c r="M320" s="42" t="str">
        <f>IF(AND(C320="",D320="",E320="",F320=""),"",IF(OR(C320="",D320="",E320="",F320="",G320=""),"EKSİK",IF(COUNTIF(MUSTERILER!$B$7:$B$156,C320)=0,"TANIMSIZ MÜŞTERİ","UYGUN")))</f>
        <v>UYGUN</v>
      </c>
      <c r="N320" s="22" t="str">
        <f>IF(D320="","",D320&amp;"|"&amp;TEXT(COUNTIF($D$7:D320,D320),"000"))</f>
        <v>Eğlengör Ltd.Şti.|018</v>
      </c>
      <c r="O320" s="22" t="str">
        <f>IF(G320="","",G320&amp;"|"&amp;TEXT(COUNTIF($G$7:G320,G320),"000"))</f>
        <v>MERKEZ KASA|239</v>
      </c>
    </row>
    <row r="321" spans="1:15" ht="17">
      <c r="A321" s="6"/>
      <c r="B321" s="95" t="s">
        <v>953</v>
      </c>
      <c r="C321" s="95" t="s">
        <v>495</v>
      </c>
      <c r="D321" s="96" t="s">
        <v>716</v>
      </c>
      <c r="E321" s="97">
        <v>46158</v>
      </c>
      <c r="F321" s="99">
        <v>4000</v>
      </c>
      <c r="G321" s="95" t="s">
        <v>618</v>
      </c>
      <c r="H321" s="95" t="s">
        <v>462</v>
      </c>
      <c r="I321" s="95"/>
      <c r="J321" s="96" t="s">
        <v>619</v>
      </c>
      <c r="K321" s="95"/>
      <c r="L321" s="43">
        <f t="shared" si="4"/>
        <v>46143</v>
      </c>
      <c r="M321" s="42" t="str">
        <f>IF(AND(C321="",D321="",E321="",F321=""),"",IF(OR(C321="",D321="",E321="",F321="",G321=""),"EKSİK",IF(COUNTIF(MUSTERILER!$B$7:$B$156,C321)=0,"TANIMSIZ MÜŞTERİ","UYGUN")))</f>
        <v>UYGUN</v>
      </c>
      <c r="N321" s="22" t="str">
        <f>IF(D321="","",D321&amp;"|"&amp;TEXT(COUNTIF($D$7:D321,D321),"000"))</f>
        <v>Final Siyah Beyaz Ltd.Şti.|017</v>
      </c>
      <c r="O321" s="22" t="str">
        <f>IF(G321="","",G321&amp;"|"&amp;TEXT(COUNTIF($G$7:G321,G321),"000"))</f>
        <v>MERKEZ KASA|240</v>
      </c>
    </row>
    <row r="322" spans="1:15" ht="17">
      <c r="A322" s="6"/>
      <c r="B322" s="95" t="s">
        <v>954</v>
      </c>
      <c r="C322" s="95" t="s">
        <v>501</v>
      </c>
      <c r="D322" s="96" t="s">
        <v>718</v>
      </c>
      <c r="E322" s="97">
        <v>46158</v>
      </c>
      <c r="F322" s="99">
        <v>4000</v>
      </c>
      <c r="G322" s="95" t="s">
        <v>618</v>
      </c>
      <c r="H322" s="95" t="s">
        <v>462</v>
      </c>
      <c r="I322" s="95"/>
      <c r="J322" s="96" t="s">
        <v>619</v>
      </c>
      <c r="K322" s="95"/>
      <c r="L322" s="43">
        <f t="shared" si="4"/>
        <v>46143</v>
      </c>
      <c r="M322" s="42" t="str">
        <f>IF(AND(C322="",D322="",E322="",F322=""),"",IF(OR(C322="",D322="",E322="",F322="",G322=""),"EKSİK",IF(COUNTIF(MUSTERILER!$B$7:$B$156,C322)=0,"TANIMSIZ MÜŞTERİ","UYGUN")))</f>
        <v>UYGUN</v>
      </c>
      <c r="N322" s="22" t="str">
        <f>IF(D322="","",D322&amp;"|"&amp;TEXT(COUNTIF($D$7:D322,D322),"000"))</f>
        <v>İbrahim Maldan|015</v>
      </c>
      <c r="O322" s="22" t="str">
        <f>IF(G322="","",G322&amp;"|"&amp;TEXT(COUNTIF($G$7:G322,G322),"000"))</f>
        <v>MERKEZ KASA|241</v>
      </c>
    </row>
    <row r="323" spans="1:15" ht="17">
      <c r="A323" s="6"/>
      <c r="B323" s="95" t="s">
        <v>955</v>
      </c>
      <c r="C323" s="95" t="s">
        <v>503</v>
      </c>
      <c r="D323" s="96" t="s">
        <v>621</v>
      </c>
      <c r="E323" s="97">
        <v>46158</v>
      </c>
      <c r="F323" s="99">
        <v>4000</v>
      </c>
      <c r="G323" s="95" t="s">
        <v>618</v>
      </c>
      <c r="H323" s="95" t="s">
        <v>462</v>
      </c>
      <c r="I323" s="95"/>
      <c r="J323" s="96" t="s">
        <v>619</v>
      </c>
      <c r="K323" s="95"/>
      <c r="L323" s="43">
        <f t="shared" si="4"/>
        <v>46143</v>
      </c>
      <c r="M323" s="42" t="str">
        <f>IF(AND(C323="",D323="",E323="",F323=""),"",IF(OR(C323="",D323="",E323="",F323="",G323=""),"EKSİK",IF(COUNTIF(MUSTERILER!$B$7:$B$156,C323)=0,"TANIMSIZ MÜŞTERİ","UYGUN")))</f>
        <v>UYGUN</v>
      </c>
      <c r="N323" s="22" t="str">
        <f>IF(D323="","",D323&amp;"|"&amp;TEXT(COUNTIF($D$7:D323,D323),"000"))</f>
        <v>İldeş Ltd.Şti.|019</v>
      </c>
      <c r="O323" s="22" t="str">
        <f>IF(G323="","",G323&amp;"|"&amp;TEXT(COUNTIF($G$7:G323,G323),"000"))</f>
        <v>MERKEZ KASA|242</v>
      </c>
    </row>
    <row r="324" spans="1:15" ht="17">
      <c r="A324" s="6"/>
      <c r="B324" s="95" t="s">
        <v>956</v>
      </c>
      <c r="C324" s="95" t="s">
        <v>525</v>
      </c>
      <c r="D324" s="96" t="s">
        <v>721</v>
      </c>
      <c r="E324" s="97">
        <v>46158</v>
      </c>
      <c r="F324" s="99">
        <v>3500</v>
      </c>
      <c r="G324" s="95" t="s">
        <v>618</v>
      </c>
      <c r="H324" s="95" t="s">
        <v>462</v>
      </c>
      <c r="I324" s="95"/>
      <c r="J324" s="96" t="s">
        <v>619</v>
      </c>
      <c r="K324" s="95"/>
      <c r="L324" s="43">
        <f t="shared" si="4"/>
        <v>46143</v>
      </c>
      <c r="M324" s="42" t="str">
        <f>IF(AND(C324="",D324="",E324="",F324=""),"",IF(OR(C324="",D324="",E324="",F324="",G324=""),"EKSİK",IF(COUNTIF(MUSTERILER!$B$7:$B$156,C324)=0,"TANIMSIZ MÜŞTERİ","UYGUN")))</f>
        <v>UYGUN</v>
      </c>
      <c r="N324" s="22" t="str">
        <f>IF(D324="","",D324&amp;"|"&amp;TEXT(COUNTIF($D$7:D324,D324),"000"))</f>
        <v>Monamour Ltd.Şti.|015</v>
      </c>
      <c r="O324" s="22" t="str">
        <f>IF(G324="","",G324&amp;"|"&amp;TEXT(COUNTIF($G$7:G324,G324),"000"))</f>
        <v>MERKEZ KASA|243</v>
      </c>
    </row>
    <row r="325" spans="1:15" ht="17">
      <c r="A325" s="6"/>
      <c r="B325" s="95" t="s">
        <v>957</v>
      </c>
      <c r="C325" s="95" t="s">
        <v>534</v>
      </c>
      <c r="D325" s="96" t="s">
        <v>724</v>
      </c>
      <c r="E325" s="97">
        <v>46158</v>
      </c>
      <c r="F325" s="99">
        <v>2000</v>
      </c>
      <c r="G325" s="95" t="s">
        <v>618</v>
      </c>
      <c r="H325" s="95" t="s">
        <v>462</v>
      </c>
      <c r="I325" s="95"/>
      <c r="J325" s="96" t="s">
        <v>619</v>
      </c>
      <c r="K325" s="95"/>
      <c r="L325" s="43">
        <f t="shared" si="4"/>
        <v>46143</v>
      </c>
      <c r="M325" s="42" t="str">
        <f>IF(AND(C325="",D325="",E325="",F325=""),"",IF(OR(C325="",D325="",E325="",F325="",G325=""),"EKSİK",IF(COUNTIF(MUSTERILER!$B$7:$B$156,C325)=0,"TANIMSIZ MÜŞTERİ","UYGUN")))</f>
        <v>UYGUN</v>
      </c>
      <c r="N325" s="22" t="str">
        <f>IF(D325="","",D325&amp;"|"&amp;TEXT(COUNTIF($D$7:D325,D325),"000"))</f>
        <v>Naz 1 Gıda Ltd.Şti.|013</v>
      </c>
      <c r="O325" s="22" t="str">
        <f>IF(G325="","",G325&amp;"|"&amp;TEXT(COUNTIF($G$7:G325,G325),"000"))</f>
        <v>MERKEZ KASA|244</v>
      </c>
    </row>
    <row r="326" spans="1:15" ht="17">
      <c r="A326" s="6"/>
      <c r="B326" s="95" t="s">
        <v>958</v>
      </c>
      <c r="C326" s="95" t="s">
        <v>542</v>
      </c>
      <c r="D326" s="96" t="s">
        <v>726</v>
      </c>
      <c r="E326" s="97">
        <v>46158</v>
      </c>
      <c r="F326" s="99">
        <v>4000</v>
      </c>
      <c r="G326" s="95" t="s">
        <v>618</v>
      </c>
      <c r="H326" s="95" t="s">
        <v>462</v>
      </c>
      <c r="I326" s="95"/>
      <c r="J326" s="96" t="s">
        <v>619</v>
      </c>
      <c r="K326" s="95"/>
      <c r="L326" s="43">
        <f t="shared" si="4"/>
        <v>46143</v>
      </c>
      <c r="M326" s="42" t="str">
        <f>IF(AND(C326="",D326="",E326="",F326=""),"",IF(OR(C326="",D326="",E326="",F326="",G326=""),"EKSİK",IF(COUNTIF(MUSTERILER!$B$7:$B$156,C326)=0,"TANIMSIZ MÜŞTERİ","UYGUN")))</f>
        <v>UYGUN</v>
      </c>
      <c r="N326" s="22" t="str">
        <f>IF(D326="","",D326&amp;"|"&amp;TEXT(COUNTIF($D$7:D326,D326),"000"))</f>
        <v>Pakyıldız Ltd.Şti.|015</v>
      </c>
      <c r="O326" s="22" t="str">
        <f>IF(G326="","",G326&amp;"|"&amp;TEXT(COUNTIF($G$7:G326,G326),"000"))</f>
        <v>MERKEZ KASA|245</v>
      </c>
    </row>
    <row r="327" spans="1:15" ht="17">
      <c r="A327" s="6"/>
      <c r="B327" s="95" t="s">
        <v>959</v>
      </c>
      <c r="C327" s="95" t="s">
        <v>570</v>
      </c>
      <c r="D327" s="96" t="s">
        <v>626</v>
      </c>
      <c r="E327" s="97">
        <v>46158</v>
      </c>
      <c r="F327" s="99">
        <v>1750</v>
      </c>
      <c r="G327" s="95" t="s">
        <v>618</v>
      </c>
      <c r="H327" s="95" t="s">
        <v>462</v>
      </c>
      <c r="I327" s="95"/>
      <c r="J327" s="96" t="s">
        <v>619</v>
      </c>
      <c r="K327" s="95"/>
      <c r="L327" s="43">
        <f t="shared" ref="L327:L390" si="5">IF(E327="","",DATE(YEAR(E327),MONTH(E327),1))</f>
        <v>46143</v>
      </c>
      <c r="M327" s="42" t="str">
        <f>IF(AND(C327="",D327="",E327="",F327=""),"",IF(OR(C327="",D327="",E327="",F327="",G327=""),"EKSİK",IF(COUNTIF(MUSTERILER!$B$7:$B$156,C327)=0,"TANIMSIZ MÜŞTERİ","UYGUN")))</f>
        <v>UYGUN</v>
      </c>
      <c r="N327" s="22" t="str">
        <f>IF(D327="","",D327&amp;"|"&amp;TEXT(COUNTIF($D$7:D327,D327),"000"))</f>
        <v>Zümrüt Grup Ltd.Şti.|016</v>
      </c>
      <c r="O327" s="22" t="str">
        <f>IF(G327="","",G327&amp;"|"&amp;TEXT(COUNTIF($G$7:G327,G327),"000"))</f>
        <v>MERKEZ KASA|246</v>
      </c>
    </row>
    <row r="328" spans="1:15" ht="17">
      <c r="A328" s="6"/>
      <c r="B328" s="95" t="s">
        <v>960</v>
      </c>
      <c r="C328" s="95" t="s">
        <v>483</v>
      </c>
      <c r="D328" s="96" t="s">
        <v>484</v>
      </c>
      <c r="E328" s="97">
        <v>46158</v>
      </c>
      <c r="F328" s="99">
        <v>2500</v>
      </c>
      <c r="G328" s="95" t="s">
        <v>618</v>
      </c>
      <c r="H328" s="95" t="s">
        <v>462</v>
      </c>
      <c r="I328" s="95"/>
      <c r="J328" s="96" t="s">
        <v>619</v>
      </c>
      <c r="K328" s="95"/>
      <c r="L328" s="43">
        <f t="shared" si="5"/>
        <v>46143</v>
      </c>
      <c r="M328" s="42" t="str">
        <f>IF(AND(C328="",D328="",E328="",F328=""),"",IF(OR(C328="",D328="",E328="",F328="",G328=""),"EKSİK",IF(COUNTIF(MUSTERILER!$B$7:$B$156,C328)=0,"TANIMSIZ MÜŞTERİ","UYGUN")))</f>
        <v>UYGUN</v>
      </c>
      <c r="N328" s="22" t="str">
        <f>IF(D328="","",D328&amp;"|"&amp;TEXT(COUNTIF($D$7:D328,D328),"000"))</f>
        <v>ÇINARHAN LTD.ŞTİ.|014</v>
      </c>
      <c r="O328" s="22" t="str">
        <f>IF(G328="","",G328&amp;"|"&amp;TEXT(COUNTIF($G$7:G328,G328),"000"))</f>
        <v>MERKEZ KASA|247</v>
      </c>
    </row>
    <row r="329" spans="1:15" ht="17">
      <c r="A329" s="6"/>
      <c r="B329" s="95" t="s">
        <v>961</v>
      </c>
      <c r="C329" s="95" t="s">
        <v>513</v>
      </c>
      <c r="D329" s="96" t="s">
        <v>514</v>
      </c>
      <c r="E329" s="97">
        <v>46158</v>
      </c>
      <c r="F329" s="99">
        <v>3000</v>
      </c>
      <c r="G329" s="95" t="s">
        <v>618</v>
      </c>
      <c r="H329" s="95" t="s">
        <v>462</v>
      </c>
      <c r="I329" s="95"/>
      <c r="J329" s="96" t="s">
        <v>619</v>
      </c>
      <c r="K329" s="95"/>
      <c r="L329" s="43">
        <f t="shared" si="5"/>
        <v>46143</v>
      </c>
      <c r="M329" s="42" t="str">
        <f>IF(AND(C329="",D329="",E329="",F329=""),"",IF(OR(C329="",D329="",E329="",F329="",G329=""),"EKSİK",IF(COUNTIF(MUSTERILER!$B$7:$B$156,C329)=0,"TANIMSIZ MÜŞTERİ","UYGUN")))</f>
        <v>UYGUN</v>
      </c>
      <c r="N329" s="22" t="str">
        <f>IF(D329="","",D329&amp;"|"&amp;TEXT(COUNTIF($D$7:D329,D329),"000"))</f>
        <v>KRİSTAL LTD.ŞTİ.|019</v>
      </c>
      <c r="O329" s="22" t="str">
        <f>IF(G329="","",G329&amp;"|"&amp;TEXT(COUNTIF($G$7:G329,G329),"000"))</f>
        <v>MERKEZ KASA|248</v>
      </c>
    </row>
    <row r="330" spans="1:15" ht="17">
      <c r="A330" s="6"/>
      <c r="B330" s="95" t="s">
        <v>962</v>
      </c>
      <c r="C330" s="95" t="s">
        <v>544</v>
      </c>
      <c r="D330" s="96" t="s">
        <v>545</v>
      </c>
      <c r="E330" s="97">
        <v>46158</v>
      </c>
      <c r="F330" s="99">
        <v>4000</v>
      </c>
      <c r="G330" s="95" t="s">
        <v>618</v>
      </c>
      <c r="H330" s="95" t="s">
        <v>462</v>
      </c>
      <c r="I330" s="95"/>
      <c r="J330" s="96" t="s">
        <v>619</v>
      </c>
      <c r="K330" s="95"/>
      <c r="L330" s="43">
        <f t="shared" si="5"/>
        <v>46143</v>
      </c>
      <c r="M330" s="42" t="str">
        <f>IF(AND(C330="",D330="",E330="",F330=""),"",IF(OR(C330="",D330="",E330="",F330="",G330=""),"EKSİK",IF(COUNTIF(MUSTERILER!$B$7:$B$156,C330)=0,"TANIMSIZ MÜŞTERİ","UYGUN")))</f>
        <v>UYGUN</v>
      </c>
      <c r="N330" s="22" t="str">
        <f>IF(D330="","",D330&amp;"|"&amp;TEXT(COUNTIF($D$7:D330,D330),"000"))</f>
        <v>PALAOĞULLARI LTD.ŞTİ.|011</v>
      </c>
      <c r="O330" s="22" t="str">
        <f>IF(G330="","",G330&amp;"|"&amp;TEXT(COUNTIF($G$7:G330,G330),"000"))</f>
        <v>MERKEZ KASA|249</v>
      </c>
    </row>
    <row r="331" spans="1:15" ht="17">
      <c r="A331" s="6"/>
      <c r="B331" s="95" t="s">
        <v>963</v>
      </c>
      <c r="C331" s="95" t="s">
        <v>564</v>
      </c>
      <c r="D331" s="96" t="s">
        <v>565</v>
      </c>
      <c r="E331" s="97">
        <v>46158</v>
      </c>
      <c r="F331" s="99">
        <v>4000</v>
      </c>
      <c r="G331" s="95" t="s">
        <v>618</v>
      </c>
      <c r="H331" s="95" t="s">
        <v>462</v>
      </c>
      <c r="I331" s="95"/>
      <c r="J331" s="96" t="s">
        <v>619</v>
      </c>
      <c r="K331" s="95"/>
      <c r="L331" s="43">
        <f t="shared" si="5"/>
        <v>46143</v>
      </c>
      <c r="M331" s="42" t="str">
        <f>IF(AND(C331="",D331="",E331="",F331=""),"",IF(OR(C331="",D331="",E331="",F331="",G331=""),"EKSİK",IF(COUNTIF(MUSTERILER!$B$7:$B$156,C331)=0,"TANIMSIZ MÜŞTERİ","UYGUN")))</f>
        <v>UYGUN</v>
      </c>
      <c r="N331" s="22" t="str">
        <f>IF(D331="","",D331&amp;"|"&amp;TEXT(COUNTIF($D$7:D331,D331),"000"))</f>
        <v>YALIKENT LTD.ŞTİ.|008</v>
      </c>
      <c r="O331" s="22" t="str">
        <f>IF(G331="","",G331&amp;"|"&amp;TEXT(COUNTIF($G$7:G331,G331),"000"))</f>
        <v>MERKEZ KASA|250</v>
      </c>
    </row>
    <row r="332" spans="1:15" ht="17">
      <c r="A332" s="6"/>
      <c r="B332" s="95" t="s">
        <v>964</v>
      </c>
      <c r="C332" s="95" t="s">
        <v>497</v>
      </c>
      <c r="D332" s="96" t="s">
        <v>498</v>
      </c>
      <c r="E332" s="97">
        <v>46164</v>
      </c>
      <c r="F332" s="99">
        <v>6000</v>
      </c>
      <c r="G332" s="95" t="s">
        <v>618</v>
      </c>
      <c r="H332" s="95" t="s">
        <v>462</v>
      </c>
      <c r="I332" s="95"/>
      <c r="J332" s="96" t="s">
        <v>619</v>
      </c>
      <c r="K332" s="95"/>
      <c r="L332" s="43">
        <f t="shared" si="5"/>
        <v>46143</v>
      </c>
      <c r="M332" s="42" t="str">
        <f>IF(AND(C332="",D332="",E332="",F332=""),"",IF(OR(C332="",D332="",E332="",F332="",G332=""),"EKSİK",IF(COUNTIF(MUSTERILER!$B$7:$B$156,C332)=0,"TANIMSIZ MÜŞTERİ","UYGUN")))</f>
        <v>UYGUN</v>
      </c>
      <c r="N332" s="22" t="str">
        <f>IF(D332="","",D332&amp;"|"&amp;TEXT(COUNTIF($D$7:D332,D332),"000"))</f>
        <v>HALİL AVŞAR|002</v>
      </c>
      <c r="O332" s="22" t="str">
        <f>IF(G332="","",G332&amp;"|"&amp;TEXT(COUNTIF($G$7:G332,G332),"000"))</f>
        <v>MERKEZ KASA|251</v>
      </c>
    </row>
    <row r="333" spans="1:15" ht="17">
      <c r="A333" s="6"/>
      <c r="B333" s="95" t="s">
        <v>965</v>
      </c>
      <c r="C333" s="95" t="s">
        <v>473</v>
      </c>
      <c r="D333" s="96" t="s">
        <v>474</v>
      </c>
      <c r="E333" s="97">
        <v>46165</v>
      </c>
      <c r="F333" s="99">
        <v>2000</v>
      </c>
      <c r="G333" s="95" t="s">
        <v>618</v>
      </c>
      <c r="H333" s="95" t="s">
        <v>462</v>
      </c>
      <c r="I333" s="95"/>
      <c r="J333" s="96" t="s">
        <v>619</v>
      </c>
      <c r="K333" s="95"/>
      <c r="L333" s="43">
        <f t="shared" si="5"/>
        <v>46143</v>
      </c>
      <c r="M333" s="42" t="str">
        <f>IF(AND(C333="",D333="",E333="",F333=""),"",IF(OR(C333="",D333="",E333="",F333="",G333=""),"EKSİK",IF(COUNTIF(MUSTERILER!$B$7:$B$156,C333)=0,"TANIMSIZ MÜŞTERİ","UYGUN")))</f>
        <v>UYGUN</v>
      </c>
      <c r="N333" s="22" t="str">
        <f>IF(D333="","",D333&amp;"|"&amp;TEXT(COUNTIF($D$7:D333,D333),"000"))</f>
        <v>ASIM AÇIKGÖZ|016</v>
      </c>
      <c r="O333" s="22" t="str">
        <f>IF(G333="","",G333&amp;"|"&amp;TEXT(COUNTIF($G$7:G333,G333),"000"))</f>
        <v>MERKEZ KASA|252</v>
      </c>
    </row>
    <row r="334" spans="1:15" ht="17">
      <c r="A334" s="6"/>
      <c r="B334" s="95" t="s">
        <v>966</v>
      </c>
      <c r="C334" s="95" t="s">
        <v>475</v>
      </c>
      <c r="D334" s="96" t="s">
        <v>476</v>
      </c>
      <c r="E334" s="97">
        <v>46165</v>
      </c>
      <c r="F334" s="99">
        <v>2500</v>
      </c>
      <c r="G334" s="95" t="s">
        <v>618</v>
      </c>
      <c r="H334" s="95" t="s">
        <v>462</v>
      </c>
      <c r="I334" s="95"/>
      <c r="J334" s="96" t="s">
        <v>619</v>
      </c>
      <c r="K334" s="95"/>
      <c r="L334" s="43">
        <f t="shared" si="5"/>
        <v>46143</v>
      </c>
      <c r="M334" s="42" t="str">
        <f>IF(AND(C334="",D334="",E334="",F334=""),"",IF(OR(C334="",D334="",E334="",F334="",G334=""),"EKSİK",IF(COUNTIF(MUSTERILER!$B$7:$B$156,C334)=0,"TANIMSIZ MÜŞTERİ","UYGUN")))</f>
        <v>UYGUN</v>
      </c>
      <c r="N334" s="22" t="str">
        <f>IF(D334="","",D334&amp;"|"&amp;TEXT(COUNTIF($D$7:D334,D334),"000"))</f>
        <v>ASM EĞLENCE LTD.ŞTİ.|017</v>
      </c>
      <c r="O334" s="22" t="str">
        <f>IF(G334="","",G334&amp;"|"&amp;TEXT(COUNTIF($G$7:G334,G334),"000"))</f>
        <v>MERKEZ KASA|253</v>
      </c>
    </row>
    <row r="335" spans="1:15" ht="17">
      <c r="A335" s="6"/>
      <c r="B335" s="95" t="s">
        <v>967</v>
      </c>
      <c r="C335" s="95" t="s">
        <v>479</v>
      </c>
      <c r="D335" s="96" t="s">
        <v>617</v>
      </c>
      <c r="E335" s="97">
        <v>46165</v>
      </c>
      <c r="F335" s="99">
        <v>3000</v>
      </c>
      <c r="G335" s="95" t="s">
        <v>618</v>
      </c>
      <c r="H335" s="95" t="s">
        <v>462</v>
      </c>
      <c r="I335" s="95"/>
      <c r="J335" s="96" t="s">
        <v>619</v>
      </c>
      <c r="K335" s="95"/>
      <c r="L335" s="43">
        <f t="shared" si="5"/>
        <v>46143</v>
      </c>
      <c r="M335" s="42" t="str">
        <f>IF(AND(C335="",D335="",E335="",F335=""),"",IF(OR(C335="",D335="",E335="",F335="",G335=""),"EKSİK",IF(COUNTIF(MUSTERILER!$B$7:$B$156,C335)=0,"TANIMSIZ MÜŞTERİ","UYGUN")))</f>
        <v>UYGUN</v>
      </c>
      <c r="N335" s="22" t="str">
        <f>IF(D335="","",D335&amp;"|"&amp;TEXT(COUNTIF($D$7:D335,D335),"000"))</f>
        <v>Çayıralan Ltd.Şti.|018</v>
      </c>
      <c r="O335" s="22" t="str">
        <f>IF(G335="","",G335&amp;"|"&amp;TEXT(COUNTIF($G$7:G335,G335),"000"))</f>
        <v>MERKEZ KASA|254</v>
      </c>
    </row>
    <row r="336" spans="1:15" ht="17">
      <c r="A336" s="6"/>
      <c r="B336" s="95" t="s">
        <v>968</v>
      </c>
      <c r="C336" s="95" t="s">
        <v>487</v>
      </c>
      <c r="D336" s="96" t="s">
        <v>714</v>
      </c>
      <c r="E336" s="97">
        <v>46165</v>
      </c>
      <c r="F336" s="99">
        <v>4000</v>
      </c>
      <c r="G336" s="95" t="s">
        <v>618</v>
      </c>
      <c r="H336" s="95" t="s">
        <v>462</v>
      </c>
      <c r="I336" s="95"/>
      <c r="J336" s="96" t="s">
        <v>619</v>
      </c>
      <c r="K336" s="95"/>
      <c r="L336" s="43">
        <f t="shared" si="5"/>
        <v>46143</v>
      </c>
      <c r="M336" s="42" t="str">
        <f>IF(AND(C336="",D336="",E336="",F336=""),"",IF(OR(C336="",D336="",E336="",F336="",G336=""),"EKSİK",IF(COUNTIF(MUSTERILER!$B$7:$B$156,C336)=0,"TANIMSIZ MÜŞTERİ","UYGUN")))</f>
        <v>UYGUN</v>
      </c>
      <c r="N336" s="22" t="str">
        <f>IF(D336="","",D336&amp;"|"&amp;TEXT(COUNTIF($D$7:D336,D336),"000"))</f>
        <v>Eğlengör Ltd.Şti.|019</v>
      </c>
      <c r="O336" s="22" t="str">
        <f>IF(G336="","",G336&amp;"|"&amp;TEXT(COUNTIF($G$7:G336,G336),"000"))</f>
        <v>MERKEZ KASA|255</v>
      </c>
    </row>
    <row r="337" spans="1:15" ht="17">
      <c r="A337" s="6"/>
      <c r="B337" s="95" t="s">
        <v>969</v>
      </c>
      <c r="C337" s="95" t="s">
        <v>495</v>
      </c>
      <c r="D337" s="96" t="s">
        <v>716</v>
      </c>
      <c r="E337" s="97">
        <v>46165</v>
      </c>
      <c r="F337" s="99">
        <v>4000</v>
      </c>
      <c r="G337" s="95" t="s">
        <v>618</v>
      </c>
      <c r="H337" s="95" t="s">
        <v>462</v>
      </c>
      <c r="I337" s="95"/>
      <c r="J337" s="96" t="s">
        <v>619</v>
      </c>
      <c r="K337" s="95"/>
      <c r="L337" s="43">
        <f t="shared" si="5"/>
        <v>46143</v>
      </c>
      <c r="M337" s="42" t="str">
        <f>IF(AND(C337="",D337="",E337="",F337=""),"",IF(OR(C337="",D337="",E337="",F337="",G337=""),"EKSİK",IF(COUNTIF(MUSTERILER!$B$7:$B$156,C337)=0,"TANIMSIZ MÜŞTERİ","UYGUN")))</f>
        <v>UYGUN</v>
      </c>
      <c r="N337" s="22" t="str">
        <f>IF(D337="","",D337&amp;"|"&amp;TEXT(COUNTIF($D$7:D337,D337),"000"))</f>
        <v>Final Siyah Beyaz Ltd.Şti.|018</v>
      </c>
      <c r="O337" s="22" t="str">
        <f>IF(G337="","",G337&amp;"|"&amp;TEXT(COUNTIF($G$7:G337,G337),"000"))</f>
        <v>MERKEZ KASA|256</v>
      </c>
    </row>
    <row r="338" spans="1:15" ht="17">
      <c r="A338" s="6"/>
      <c r="B338" s="95" t="s">
        <v>970</v>
      </c>
      <c r="C338" s="95" t="s">
        <v>503</v>
      </c>
      <c r="D338" s="96" t="s">
        <v>621</v>
      </c>
      <c r="E338" s="97">
        <v>46165</v>
      </c>
      <c r="F338" s="99">
        <v>4000</v>
      </c>
      <c r="G338" s="95" t="s">
        <v>618</v>
      </c>
      <c r="H338" s="95" t="s">
        <v>462</v>
      </c>
      <c r="I338" s="95"/>
      <c r="J338" s="96" t="s">
        <v>619</v>
      </c>
      <c r="K338" s="95"/>
      <c r="L338" s="43">
        <f t="shared" si="5"/>
        <v>46143</v>
      </c>
      <c r="M338" s="42" t="str">
        <f>IF(AND(C338="",D338="",E338="",F338=""),"",IF(OR(C338="",D338="",E338="",F338="",G338=""),"EKSİK",IF(COUNTIF(MUSTERILER!$B$7:$B$156,C338)=0,"TANIMSIZ MÜŞTERİ","UYGUN")))</f>
        <v>UYGUN</v>
      </c>
      <c r="N338" s="22" t="str">
        <f>IF(D338="","",D338&amp;"|"&amp;TEXT(COUNTIF($D$7:D338,D338),"000"))</f>
        <v>İldeş Ltd.Şti.|020</v>
      </c>
      <c r="O338" s="22" t="str">
        <f>IF(G338="","",G338&amp;"|"&amp;TEXT(COUNTIF($G$7:G338,G338),"000"))</f>
        <v>MERKEZ KASA|257</v>
      </c>
    </row>
    <row r="339" spans="1:15" ht="17">
      <c r="A339" s="6"/>
      <c r="B339" s="95" t="s">
        <v>971</v>
      </c>
      <c r="C339" s="95" t="s">
        <v>525</v>
      </c>
      <c r="D339" s="96" t="s">
        <v>721</v>
      </c>
      <c r="E339" s="97">
        <v>46165</v>
      </c>
      <c r="F339" s="99">
        <v>3500</v>
      </c>
      <c r="G339" s="95" t="s">
        <v>618</v>
      </c>
      <c r="H339" s="95" t="s">
        <v>462</v>
      </c>
      <c r="I339" s="95"/>
      <c r="J339" s="96" t="s">
        <v>619</v>
      </c>
      <c r="K339" s="95"/>
      <c r="L339" s="43">
        <f t="shared" si="5"/>
        <v>46143</v>
      </c>
      <c r="M339" s="42" t="str">
        <f>IF(AND(C339="",D339="",E339="",F339=""),"",IF(OR(C339="",D339="",E339="",F339="",G339=""),"EKSİK",IF(COUNTIF(MUSTERILER!$B$7:$B$156,C339)=0,"TANIMSIZ MÜŞTERİ","UYGUN")))</f>
        <v>UYGUN</v>
      </c>
      <c r="N339" s="22" t="str">
        <f>IF(D339="","",D339&amp;"|"&amp;TEXT(COUNTIF($D$7:D339,D339),"000"))</f>
        <v>Monamour Ltd.Şti.|016</v>
      </c>
      <c r="O339" s="22" t="str">
        <f>IF(G339="","",G339&amp;"|"&amp;TEXT(COUNTIF($G$7:G339,G339),"000"))</f>
        <v>MERKEZ KASA|258</v>
      </c>
    </row>
    <row r="340" spans="1:15" ht="17">
      <c r="A340" s="6"/>
      <c r="B340" s="95" t="s">
        <v>972</v>
      </c>
      <c r="C340" s="95" t="s">
        <v>542</v>
      </c>
      <c r="D340" s="96" t="s">
        <v>726</v>
      </c>
      <c r="E340" s="97">
        <v>46165</v>
      </c>
      <c r="F340" s="99">
        <v>4000</v>
      </c>
      <c r="G340" s="95" t="s">
        <v>618</v>
      </c>
      <c r="H340" s="95" t="s">
        <v>462</v>
      </c>
      <c r="I340" s="95"/>
      <c r="J340" s="96" t="s">
        <v>619</v>
      </c>
      <c r="K340" s="95"/>
      <c r="L340" s="43">
        <f t="shared" si="5"/>
        <v>46143</v>
      </c>
      <c r="M340" s="42" t="str">
        <f>IF(AND(C340="",D340="",E340="",F340=""),"",IF(OR(C340="",D340="",E340="",F340="",G340=""),"EKSİK",IF(COUNTIF(MUSTERILER!$B$7:$B$156,C340)=0,"TANIMSIZ MÜŞTERİ","UYGUN")))</f>
        <v>UYGUN</v>
      </c>
      <c r="N340" s="22" t="str">
        <f>IF(D340="","",D340&amp;"|"&amp;TEXT(COUNTIF($D$7:D340,D340),"000"))</f>
        <v>Pakyıldız Ltd.Şti.|016</v>
      </c>
      <c r="O340" s="22" t="str">
        <f>IF(G340="","",G340&amp;"|"&amp;TEXT(COUNTIF($G$7:G340,G340),"000"))</f>
        <v>MERKEZ KASA|259</v>
      </c>
    </row>
    <row r="341" spans="1:15" ht="17">
      <c r="A341" s="6"/>
      <c r="B341" s="95" t="s">
        <v>973</v>
      </c>
      <c r="C341" s="95" t="s">
        <v>548</v>
      </c>
      <c r="D341" s="96" t="s">
        <v>728</v>
      </c>
      <c r="E341" s="97">
        <v>46165</v>
      </c>
      <c r="F341" s="99">
        <v>3000</v>
      </c>
      <c r="G341" s="95" t="s">
        <v>618</v>
      </c>
      <c r="H341" s="95" t="s">
        <v>462</v>
      </c>
      <c r="I341" s="95"/>
      <c r="J341" s="96" t="s">
        <v>619</v>
      </c>
      <c r="K341" s="95"/>
      <c r="L341" s="43">
        <f t="shared" si="5"/>
        <v>46143</v>
      </c>
      <c r="M341" s="42" t="str">
        <f>IF(AND(C341="",D341="",E341="",F341=""),"",IF(OR(C341="",D341="",E341="",F341="",G341=""),"EKSİK",IF(COUNTIF(MUSTERILER!$B$7:$B$156,C341)=0,"TANIMSIZ MÜŞTERİ","UYGUN")))</f>
        <v>UYGUN</v>
      </c>
      <c r="N341" s="22" t="str">
        <f>IF(D341="","",D341&amp;"|"&amp;TEXT(COUNTIF($D$7:D341,D341),"000"))</f>
        <v>Rix Şow Ltd.Şti.|019</v>
      </c>
      <c r="O341" s="22" t="str">
        <f>IF(G341="","",G341&amp;"|"&amp;TEXT(COUNTIF($G$7:G341,G341),"000"))</f>
        <v>MERKEZ KASA|260</v>
      </c>
    </row>
    <row r="342" spans="1:15" ht="17">
      <c r="A342" s="6"/>
      <c r="B342" s="95" t="s">
        <v>974</v>
      </c>
      <c r="C342" s="95" t="s">
        <v>483</v>
      </c>
      <c r="D342" s="96" t="s">
        <v>484</v>
      </c>
      <c r="E342" s="97">
        <v>46165</v>
      </c>
      <c r="F342" s="99">
        <v>2500</v>
      </c>
      <c r="G342" s="95" t="s">
        <v>618</v>
      </c>
      <c r="H342" s="95" t="s">
        <v>462</v>
      </c>
      <c r="I342" s="95"/>
      <c r="J342" s="96" t="s">
        <v>619</v>
      </c>
      <c r="K342" s="95"/>
      <c r="L342" s="43">
        <f t="shared" si="5"/>
        <v>46143</v>
      </c>
      <c r="M342" s="42" t="str">
        <f>IF(AND(C342="",D342="",E342="",F342=""),"",IF(OR(C342="",D342="",E342="",F342="",G342=""),"EKSİK",IF(COUNTIF(MUSTERILER!$B$7:$B$156,C342)=0,"TANIMSIZ MÜŞTERİ","UYGUN")))</f>
        <v>UYGUN</v>
      </c>
      <c r="N342" s="22" t="str">
        <f>IF(D342="","",D342&amp;"|"&amp;TEXT(COUNTIF($D$7:D342,D342),"000"))</f>
        <v>ÇINARHAN LTD.ŞTİ.|015</v>
      </c>
      <c r="O342" s="22" t="str">
        <f>IF(G342="","",G342&amp;"|"&amp;TEXT(COUNTIF($G$7:G342,G342),"000"))</f>
        <v>MERKEZ KASA|261</v>
      </c>
    </row>
    <row r="343" spans="1:15" ht="17">
      <c r="A343" s="6"/>
      <c r="B343" s="95" t="s">
        <v>975</v>
      </c>
      <c r="C343" s="95" t="s">
        <v>564</v>
      </c>
      <c r="D343" s="96" t="s">
        <v>565</v>
      </c>
      <c r="E343" s="97">
        <v>46165</v>
      </c>
      <c r="F343" s="99">
        <v>4000</v>
      </c>
      <c r="G343" s="95" t="s">
        <v>618</v>
      </c>
      <c r="H343" s="95" t="s">
        <v>462</v>
      </c>
      <c r="I343" s="95"/>
      <c r="J343" s="96" t="s">
        <v>619</v>
      </c>
      <c r="K343" s="95"/>
      <c r="L343" s="43">
        <f t="shared" si="5"/>
        <v>46143</v>
      </c>
      <c r="M343" s="42" t="str">
        <f>IF(AND(C343="",D343="",E343="",F343=""),"",IF(OR(C343="",D343="",E343="",F343="",G343=""),"EKSİK",IF(COUNTIF(MUSTERILER!$B$7:$B$156,C343)=0,"TANIMSIZ MÜŞTERİ","UYGUN")))</f>
        <v>UYGUN</v>
      </c>
      <c r="N343" s="22" t="str">
        <f>IF(D343="","",D343&amp;"|"&amp;TEXT(COUNTIF($D$7:D343,D343),"000"))</f>
        <v>YALIKENT LTD.ŞTİ.|009</v>
      </c>
      <c r="O343" s="22" t="str">
        <f>IF(G343="","",G343&amp;"|"&amp;TEXT(COUNTIF($G$7:G343,G343),"000"))</f>
        <v>MERKEZ KASA|262</v>
      </c>
    </row>
    <row r="344" spans="1:15" ht="17">
      <c r="A344" s="6"/>
      <c r="B344" s="95" t="s">
        <v>976</v>
      </c>
      <c r="C344" s="95" t="s">
        <v>493</v>
      </c>
      <c r="D344" s="96" t="s">
        <v>494</v>
      </c>
      <c r="E344" s="97">
        <v>46168</v>
      </c>
      <c r="F344" s="99">
        <v>2000</v>
      </c>
      <c r="G344" s="95" t="s">
        <v>618</v>
      </c>
      <c r="H344" s="95" t="s">
        <v>462</v>
      </c>
      <c r="I344" s="95"/>
      <c r="J344" s="96" t="s">
        <v>619</v>
      </c>
      <c r="K344" s="95"/>
      <c r="L344" s="43">
        <f t="shared" si="5"/>
        <v>46143</v>
      </c>
      <c r="M344" s="42" t="str">
        <f>IF(AND(C344="",D344="",E344="",F344=""),"",IF(OR(C344="",D344="",E344="",F344="",G344=""),"EKSİK",IF(COUNTIF(MUSTERILER!$B$7:$B$156,C344)=0,"TANIMSIZ MÜŞTERİ","UYGUN")))</f>
        <v>UYGUN</v>
      </c>
      <c r="N344" s="22" t="str">
        <f>IF(D344="","",D344&amp;"|"&amp;TEXT(COUNTIF($D$7:D344,D344),"000"))</f>
        <v>FARUK DEMİRCİ|002</v>
      </c>
      <c r="O344" s="22" t="str">
        <f>IF(G344="","",G344&amp;"|"&amp;TEXT(COUNTIF($G$7:G344,G344),"000"))</f>
        <v>MERKEZ KASA|263</v>
      </c>
    </row>
    <row r="345" spans="1:15" ht="17">
      <c r="A345" s="6"/>
      <c r="B345" s="95" t="s">
        <v>977</v>
      </c>
      <c r="C345" s="95" t="s">
        <v>570</v>
      </c>
      <c r="D345" s="96" t="s">
        <v>626</v>
      </c>
      <c r="E345" s="97">
        <v>46168</v>
      </c>
      <c r="F345" s="99">
        <v>1500</v>
      </c>
      <c r="G345" s="95" t="s">
        <v>618</v>
      </c>
      <c r="H345" s="95" t="s">
        <v>462</v>
      </c>
      <c r="I345" s="95"/>
      <c r="J345" s="96" t="s">
        <v>619</v>
      </c>
      <c r="K345" s="95"/>
      <c r="L345" s="43">
        <f t="shared" si="5"/>
        <v>46143</v>
      </c>
      <c r="M345" s="42" t="str">
        <f>IF(AND(C345="",D345="",E345="",F345=""),"",IF(OR(C345="",D345="",E345="",F345="",G345=""),"EKSİK",IF(COUNTIF(MUSTERILER!$B$7:$B$156,C345)=0,"TANIMSIZ MÜŞTERİ","UYGUN")))</f>
        <v>UYGUN</v>
      </c>
      <c r="N345" s="22" t="str">
        <f>IF(D345="","",D345&amp;"|"&amp;TEXT(COUNTIF($D$7:D345,D345),"000"))</f>
        <v>Zümrüt Grup Ltd.Şti.|017</v>
      </c>
      <c r="O345" s="22" t="str">
        <f>IF(G345="","",G345&amp;"|"&amp;TEXT(COUNTIF($G$7:G345,G345),"000"))</f>
        <v>MERKEZ KASA|264</v>
      </c>
    </row>
    <row r="346" spans="1:15" ht="17">
      <c r="A346" s="6"/>
      <c r="B346" s="95" t="s">
        <v>978</v>
      </c>
      <c r="C346" s="95" t="s">
        <v>515</v>
      </c>
      <c r="D346" s="96" t="s">
        <v>516</v>
      </c>
      <c r="E346" s="97">
        <v>46169</v>
      </c>
      <c r="F346" s="99">
        <v>2000</v>
      </c>
      <c r="G346" s="95" t="s">
        <v>618</v>
      </c>
      <c r="H346" s="95" t="s">
        <v>462</v>
      </c>
      <c r="I346" s="95"/>
      <c r="J346" s="96" t="s">
        <v>619</v>
      </c>
      <c r="K346" s="95"/>
      <c r="L346" s="43">
        <f t="shared" si="5"/>
        <v>46143</v>
      </c>
      <c r="M346" s="42" t="str">
        <f>IF(AND(C346="",D346="",E346="",F346=""),"",IF(OR(C346="",D346="",E346="",F346="",G346=""),"EKSİK",IF(COUNTIF(MUSTERILER!$B$7:$B$156,C346)=0,"TANIMSIZ MÜŞTERİ","UYGUN")))</f>
        <v>UYGUN</v>
      </c>
      <c r="N346" s="22" t="str">
        <f>IF(D346="","",D346&amp;"|"&amp;TEXT(COUNTIF($D$7:D346,D346),"000"))</f>
        <v>MEHMET EVREN KILINÇ|004</v>
      </c>
      <c r="O346" s="22" t="str">
        <f>IF(G346="","",G346&amp;"|"&amp;TEXT(COUNTIF($G$7:G346,G346),"000"))</f>
        <v>MERKEZ KASA|265</v>
      </c>
    </row>
    <row r="347" spans="1:15" ht="17">
      <c r="A347" s="6"/>
      <c r="B347" s="95" t="s">
        <v>979</v>
      </c>
      <c r="C347" s="95" t="s">
        <v>467</v>
      </c>
      <c r="D347" s="96" t="s">
        <v>709</v>
      </c>
      <c r="E347" s="97">
        <v>46172</v>
      </c>
      <c r="F347" s="99">
        <v>4000</v>
      </c>
      <c r="G347" s="95" t="s">
        <v>618</v>
      </c>
      <c r="H347" s="95" t="s">
        <v>462</v>
      </c>
      <c r="I347" s="95"/>
      <c r="J347" s="96" t="s">
        <v>619</v>
      </c>
      <c r="K347" s="95"/>
      <c r="L347" s="43">
        <f t="shared" si="5"/>
        <v>46143</v>
      </c>
      <c r="M347" s="42" t="str">
        <f>IF(AND(C347="",D347="",E347="",F347=""),"",IF(OR(C347="",D347="",E347="",F347="",G347=""),"EKSİK",IF(COUNTIF(MUSTERILER!$B$7:$B$156,C347)=0,"TANIMSIZ MÜŞTERİ","UYGUN")))</f>
        <v>UYGUN</v>
      </c>
      <c r="N347" s="22" t="str">
        <f>IF(D347="","",D347&amp;"|"&amp;TEXT(COUNTIF($D$7:D347,D347),"000"))</f>
        <v>Ankara Havana Ltd.Şti.|010</v>
      </c>
      <c r="O347" s="22" t="str">
        <f>IF(G347="","",G347&amp;"|"&amp;TEXT(COUNTIF($G$7:G347,G347),"000"))</f>
        <v>MERKEZ KASA|266</v>
      </c>
    </row>
    <row r="348" spans="1:15" ht="17">
      <c r="A348" s="6"/>
      <c r="B348" s="95" t="s">
        <v>980</v>
      </c>
      <c r="C348" s="95" t="s">
        <v>473</v>
      </c>
      <c r="D348" s="96" t="s">
        <v>474</v>
      </c>
      <c r="E348" s="97">
        <v>46172</v>
      </c>
      <c r="F348" s="99">
        <v>2000</v>
      </c>
      <c r="G348" s="95" t="s">
        <v>618</v>
      </c>
      <c r="H348" s="95" t="s">
        <v>462</v>
      </c>
      <c r="I348" s="95"/>
      <c r="J348" s="96" t="s">
        <v>619</v>
      </c>
      <c r="K348" s="95"/>
      <c r="L348" s="43">
        <f t="shared" si="5"/>
        <v>46143</v>
      </c>
      <c r="M348" s="42" t="str">
        <f>IF(AND(C348="",D348="",E348="",F348=""),"",IF(OR(C348="",D348="",E348="",F348="",G348=""),"EKSİK",IF(COUNTIF(MUSTERILER!$B$7:$B$156,C348)=0,"TANIMSIZ MÜŞTERİ","UYGUN")))</f>
        <v>UYGUN</v>
      </c>
      <c r="N348" s="22" t="str">
        <f>IF(D348="","",D348&amp;"|"&amp;TEXT(COUNTIF($D$7:D348,D348),"000"))</f>
        <v>ASIM AÇIKGÖZ|017</v>
      </c>
      <c r="O348" s="22" t="str">
        <f>IF(G348="","",G348&amp;"|"&amp;TEXT(COUNTIF($G$7:G348,G348),"000"))</f>
        <v>MERKEZ KASA|267</v>
      </c>
    </row>
    <row r="349" spans="1:15" ht="17">
      <c r="A349" s="6"/>
      <c r="B349" s="95" t="s">
        <v>981</v>
      </c>
      <c r="C349" s="95" t="s">
        <v>475</v>
      </c>
      <c r="D349" s="96" t="s">
        <v>476</v>
      </c>
      <c r="E349" s="97">
        <v>46172</v>
      </c>
      <c r="F349" s="99">
        <v>2500</v>
      </c>
      <c r="G349" s="95" t="s">
        <v>618</v>
      </c>
      <c r="H349" s="95" t="s">
        <v>462</v>
      </c>
      <c r="I349" s="95"/>
      <c r="J349" s="96" t="s">
        <v>619</v>
      </c>
      <c r="K349" s="95"/>
      <c r="L349" s="43">
        <f t="shared" si="5"/>
        <v>46143</v>
      </c>
      <c r="M349" s="42" t="str">
        <f>IF(AND(C349="",D349="",E349="",F349=""),"",IF(OR(C349="",D349="",E349="",F349="",G349=""),"EKSİK",IF(COUNTIF(MUSTERILER!$B$7:$B$156,C349)=0,"TANIMSIZ MÜŞTERİ","UYGUN")))</f>
        <v>UYGUN</v>
      </c>
      <c r="N349" s="22" t="str">
        <f>IF(D349="","",D349&amp;"|"&amp;TEXT(COUNTIF($D$7:D349,D349),"000"))</f>
        <v>ASM EĞLENCE LTD.ŞTİ.|018</v>
      </c>
      <c r="O349" s="22" t="str">
        <f>IF(G349="","",G349&amp;"|"&amp;TEXT(COUNTIF($G$7:G349,G349),"000"))</f>
        <v>MERKEZ KASA|268</v>
      </c>
    </row>
    <row r="350" spans="1:15" ht="17">
      <c r="A350" s="6"/>
      <c r="B350" s="95" t="s">
        <v>982</v>
      </c>
      <c r="C350" s="95" t="s">
        <v>479</v>
      </c>
      <c r="D350" s="96" t="s">
        <v>617</v>
      </c>
      <c r="E350" s="97">
        <v>46172</v>
      </c>
      <c r="F350" s="99">
        <v>3000</v>
      </c>
      <c r="G350" s="95" t="s">
        <v>618</v>
      </c>
      <c r="H350" s="95" t="s">
        <v>462</v>
      </c>
      <c r="I350" s="95"/>
      <c r="J350" s="96" t="s">
        <v>619</v>
      </c>
      <c r="K350" s="95"/>
      <c r="L350" s="43">
        <f t="shared" si="5"/>
        <v>46143</v>
      </c>
      <c r="M350" s="42" t="str">
        <f>IF(AND(C350="",D350="",E350="",F350=""),"",IF(OR(C350="",D350="",E350="",F350="",G350=""),"EKSİK",IF(COUNTIF(MUSTERILER!$B$7:$B$156,C350)=0,"TANIMSIZ MÜŞTERİ","UYGUN")))</f>
        <v>UYGUN</v>
      </c>
      <c r="N350" s="22" t="str">
        <f>IF(D350="","",D350&amp;"|"&amp;TEXT(COUNTIF($D$7:D350,D350),"000"))</f>
        <v>Çayıralan Ltd.Şti.|019</v>
      </c>
      <c r="O350" s="22" t="str">
        <f>IF(G350="","",G350&amp;"|"&amp;TEXT(COUNTIF($G$7:G350,G350),"000"))</f>
        <v>MERKEZ KASA|269</v>
      </c>
    </row>
    <row r="351" spans="1:15" ht="17">
      <c r="A351" s="6"/>
      <c r="B351" s="95" t="s">
        <v>983</v>
      </c>
      <c r="C351" s="95" t="s">
        <v>487</v>
      </c>
      <c r="D351" s="96" t="s">
        <v>714</v>
      </c>
      <c r="E351" s="97">
        <v>46172</v>
      </c>
      <c r="F351" s="99">
        <v>4000</v>
      </c>
      <c r="G351" s="95" t="s">
        <v>618</v>
      </c>
      <c r="H351" s="95" t="s">
        <v>462</v>
      </c>
      <c r="I351" s="95"/>
      <c r="J351" s="96" t="s">
        <v>619</v>
      </c>
      <c r="K351" s="95"/>
      <c r="L351" s="43">
        <f t="shared" si="5"/>
        <v>46143</v>
      </c>
      <c r="M351" s="42" t="str">
        <f>IF(AND(C351="",D351="",E351="",F351=""),"",IF(OR(C351="",D351="",E351="",F351="",G351=""),"EKSİK",IF(COUNTIF(MUSTERILER!$B$7:$B$156,C351)=0,"TANIMSIZ MÜŞTERİ","UYGUN")))</f>
        <v>UYGUN</v>
      </c>
      <c r="N351" s="22" t="str">
        <f>IF(D351="","",D351&amp;"|"&amp;TEXT(COUNTIF($D$7:D351,D351),"000"))</f>
        <v>Eğlengör Ltd.Şti.|020</v>
      </c>
      <c r="O351" s="22" t="str">
        <f>IF(G351="","",G351&amp;"|"&amp;TEXT(COUNTIF($G$7:G351,G351),"000"))</f>
        <v>MERKEZ KASA|270</v>
      </c>
    </row>
    <row r="352" spans="1:15" ht="17">
      <c r="A352" s="6"/>
      <c r="B352" s="95" t="s">
        <v>984</v>
      </c>
      <c r="C352" s="95" t="s">
        <v>495</v>
      </c>
      <c r="D352" s="96" t="s">
        <v>716</v>
      </c>
      <c r="E352" s="97">
        <v>46172</v>
      </c>
      <c r="F352" s="99">
        <v>4000</v>
      </c>
      <c r="G352" s="95" t="s">
        <v>618</v>
      </c>
      <c r="H352" s="95" t="s">
        <v>462</v>
      </c>
      <c r="I352" s="95"/>
      <c r="J352" s="96" t="s">
        <v>619</v>
      </c>
      <c r="K352" s="95"/>
      <c r="L352" s="43">
        <f t="shared" si="5"/>
        <v>46143</v>
      </c>
      <c r="M352" s="42" t="str">
        <f>IF(AND(C352="",D352="",E352="",F352=""),"",IF(OR(C352="",D352="",E352="",F352="",G352=""),"EKSİK",IF(COUNTIF(MUSTERILER!$B$7:$B$156,C352)=0,"TANIMSIZ MÜŞTERİ","UYGUN")))</f>
        <v>UYGUN</v>
      </c>
      <c r="N352" s="22" t="str">
        <f>IF(D352="","",D352&amp;"|"&amp;TEXT(COUNTIF($D$7:D352,D352),"000"))</f>
        <v>Final Siyah Beyaz Ltd.Şti.|019</v>
      </c>
      <c r="O352" s="22" t="str">
        <f>IF(G352="","",G352&amp;"|"&amp;TEXT(COUNTIF($G$7:G352,G352),"000"))</f>
        <v>MERKEZ KASA|271</v>
      </c>
    </row>
    <row r="353" spans="1:15" ht="17">
      <c r="A353" s="6"/>
      <c r="B353" s="95" t="s">
        <v>985</v>
      </c>
      <c r="C353" s="95" t="s">
        <v>513</v>
      </c>
      <c r="D353" s="96" t="s">
        <v>514</v>
      </c>
      <c r="E353" s="97">
        <v>46172</v>
      </c>
      <c r="F353" s="99">
        <v>6000</v>
      </c>
      <c r="G353" s="95" t="s">
        <v>628</v>
      </c>
      <c r="H353" s="95" t="s">
        <v>462</v>
      </c>
      <c r="I353" s="95"/>
      <c r="J353" s="96" t="s">
        <v>619</v>
      </c>
      <c r="K353" s="95"/>
      <c r="L353" s="43">
        <f t="shared" si="5"/>
        <v>46143</v>
      </c>
      <c r="M353" s="42" t="str">
        <f>IF(AND(C353="",D353="",E353="",F353=""),"",IF(OR(C353="",D353="",E353="",F353="",G353=""),"EKSİK",IF(COUNTIF(MUSTERILER!$B$7:$B$156,C353)=0,"TANIMSIZ MÜŞTERİ","UYGUN")))</f>
        <v>UYGUN</v>
      </c>
      <c r="N353" s="22" t="str">
        <f>IF(D353="","",D353&amp;"|"&amp;TEXT(COUNTIF($D$7:D353,D353),"000"))</f>
        <v>KRİSTAL LTD.ŞTİ.|020</v>
      </c>
      <c r="O353" s="22" t="str">
        <f>IF(G353="","",G353&amp;"|"&amp;TEXT(COUNTIF($G$7:G353,G353),"000"))</f>
        <v>ÖMER KARTAL|072</v>
      </c>
    </row>
    <row r="354" spans="1:15" ht="17">
      <c r="A354" s="6"/>
      <c r="B354" s="95" t="s">
        <v>986</v>
      </c>
      <c r="C354" s="95" t="s">
        <v>503</v>
      </c>
      <c r="D354" s="96" t="s">
        <v>621</v>
      </c>
      <c r="E354" s="97">
        <v>46172</v>
      </c>
      <c r="F354" s="99">
        <v>4000</v>
      </c>
      <c r="G354" s="95" t="s">
        <v>618</v>
      </c>
      <c r="H354" s="95" t="s">
        <v>462</v>
      </c>
      <c r="I354" s="95"/>
      <c r="J354" s="96" t="s">
        <v>619</v>
      </c>
      <c r="K354" s="95"/>
      <c r="L354" s="43">
        <f t="shared" si="5"/>
        <v>46143</v>
      </c>
      <c r="M354" s="42" t="str">
        <f>IF(AND(C354="",D354="",E354="",F354=""),"",IF(OR(C354="",D354="",E354="",F354="",G354=""),"EKSİK",IF(COUNTIF(MUSTERILER!$B$7:$B$156,C354)=0,"TANIMSIZ MÜŞTERİ","UYGUN")))</f>
        <v>UYGUN</v>
      </c>
      <c r="N354" s="22" t="str">
        <f>IF(D354="","",D354&amp;"|"&amp;TEXT(COUNTIF($D$7:D354,D354),"000"))</f>
        <v>İldeş Ltd.Şti.|021</v>
      </c>
      <c r="O354" s="22" t="str">
        <f>IF(G354="","",G354&amp;"|"&amp;TEXT(COUNTIF($G$7:G354,G354),"000"))</f>
        <v>MERKEZ KASA|272</v>
      </c>
    </row>
    <row r="355" spans="1:15" ht="17">
      <c r="A355" s="6"/>
      <c r="B355" s="95" t="s">
        <v>987</v>
      </c>
      <c r="C355" s="95" t="s">
        <v>542</v>
      </c>
      <c r="D355" s="96" t="s">
        <v>726</v>
      </c>
      <c r="E355" s="97">
        <v>46172</v>
      </c>
      <c r="F355" s="99">
        <v>4000</v>
      </c>
      <c r="G355" s="95" t="s">
        <v>618</v>
      </c>
      <c r="H355" s="95" t="s">
        <v>462</v>
      </c>
      <c r="I355" s="95"/>
      <c r="J355" s="96" t="s">
        <v>619</v>
      </c>
      <c r="K355" s="95"/>
      <c r="L355" s="43">
        <f t="shared" si="5"/>
        <v>46143</v>
      </c>
      <c r="M355" s="42" t="str">
        <f>IF(AND(C355="",D355="",E355="",F355=""),"",IF(OR(C355="",D355="",E355="",F355="",G355=""),"EKSİK",IF(COUNTIF(MUSTERILER!$B$7:$B$156,C355)=0,"TANIMSIZ MÜŞTERİ","UYGUN")))</f>
        <v>UYGUN</v>
      </c>
      <c r="N355" s="22" t="str">
        <f>IF(D355="","",D355&amp;"|"&amp;TEXT(COUNTIF($D$7:D355,D355),"000"))</f>
        <v>Pakyıldız Ltd.Şti.|017</v>
      </c>
      <c r="O355" s="22" t="str">
        <f>IF(G355="","",G355&amp;"|"&amp;TEXT(COUNTIF($G$7:G355,G355),"000"))</f>
        <v>MERKEZ KASA|273</v>
      </c>
    </row>
    <row r="356" spans="1:15" ht="17">
      <c r="A356" s="6"/>
      <c r="B356" s="95" t="s">
        <v>988</v>
      </c>
      <c r="C356" s="95" t="s">
        <v>548</v>
      </c>
      <c r="D356" s="96" t="s">
        <v>728</v>
      </c>
      <c r="E356" s="97">
        <v>46172</v>
      </c>
      <c r="F356" s="99">
        <v>3000</v>
      </c>
      <c r="G356" s="95" t="s">
        <v>618</v>
      </c>
      <c r="H356" s="95" t="s">
        <v>462</v>
      </c>
      <c r="I356" s="95"/>
      <c r="J356" s="96" t="s">
        <v>619</v>
      </c>
      <c r="K356" s="95"/>
      <c r="L356" s="43">
        <f t="shared" si="5"/>
        <v>46143</v>
      </c>
      <c r="M356" s="42" t="str">
        <f>IF(AND(C356="",D356="",E356="",F356=""),"",IF(OR(C356="",D356="",E356="",F356="",G356=""),"EKSİK",IF(COUNTIF(MUSTERILER!$B$7:$B$156,C356)=0,"TANIMSIZ MÜŞTERİ","UYGUN")))</f>
        <v>UYGUN</v>
      </c>
      <c r="N356" s="22" t="str">
        <f>IF(D356="","",D356&amp;"|"&amp;TEXT(COUNTIF($D$7:D356,D356),"000"))</f>
        <v>Rix Şow Ltd.Şti.|020</v>
      </c>
      <c r="O356" s="22" t="str">
        <f>IF(G356="","",G356&amp;"|"&amp;TEXT(COUNTIF($G$7:G356,G356),"000"))</f>
        <v>MERKEZ KASA|274</v>
      </c>
    </row>
    <row r="357" spans="1:15" ht="17">
      <c r="A357" s="6"/>
      <c r="B357" s="95" t="s">
        <v>989</v>
      </c>
      <c r="C357" s="95" t="s">
        <v>570</v>
      </c>
      <c r="D357" s="96" t="s">
        <v>626</v>
      </c>
      <c r="E357" s="97">
        <v>46172</v>
      </c>
      <c r="F357" s="99">
        <v>1750</v>
      </c>
      <c r="G357" s="95" t="s">
        <v>618</v>
      </c>
      <c r="H357" s="95" t="s">
        <v>462</v>
      </c>
      <c r="I357" s="95"/>
      <c r="J357" s="96" t="s">
        <v>619</v>
      </c>
      <c r="K357" s="95"/>
      <c r="L357" s="43">
        <f t="shared" si="5"/>
        <v>46143</v>
      </c>
      <c r="M357" s="42" t="str">
        <f>IF(AND(C357="",D357="",E357="",F357=""),"",IF(OR(C357="",D357="",E357="",F357="",G357=""),"EKSİK",IF(COUNTIF(MUSTERILER!$B$7:$B$156,C357)=0,"TANIMSIZ MÜŞTERİ","UYGUN")))</f>
        <v>UYGUN</v>
      </c>
      <c r="N357" s="22" t="str">
        <f>IF(D357="","",D357&amp;"|"&amp;TEXT(COUNTIF($D$7:D357,D357),"000"))</f>
        <v>Zümrüt Grup Ltd.Şti.|018</v>
      </c>
      <c r="O357" s="22" t="str">
        <f>IF(G357="","",G357&amp;"|"&amp;TEXT(COUNTIF($G$7:G357,G357),"000"))</f>
        <v>MERKEZ KASA|275</v>
      </c>
    </row>
    <row r="358" spans="1:15" ht="17">
      <c r="A358" s="6"/>
      <c r="B358" s="95" t="s">
        <v>990</v>
      </c>
      <c r="C358" s="95" t="s">
        <v>483</v>
      </c>
      <c r="D358" s="96" t="s">
        <v>484</v>
      </c>
      <c r="E358" s="97">
        <v>46172</v>
      </c>
      <c r="F358" s="99">
        <v>2500</v>
      </c>
      <c r="G358" s="95" t="s">
        <v>618</v>
      </c>
      <c r="H358" s="95" t="s">
        <v>462</v>
      </c>
      <c r="I358" s="95"/>
      <c r="J358" s="96" t="s">
        <v>619</v>
      </c>
      <c r="K358" s="95"/>
      <c r="L358" s="43">
        <f t="shared" si="5"/>
        <v>46143</v>
      </c>
      <c r="M358" s="42" t="str">
        <f>IF(AND(C358="",D358="",E358="",F358=""),"",IF(OR(C358="",D358="",E358="",F358="",G358=""),"EKSİK",IF(COUNTIF(MUSTERILER!$B$7:$B$156,C358)=0,"TANIMSIZ MÜŞTERİ","UYGUN")))</f>
        <v>UYGUN</v>
      </c>
      <c r="N358" s="22" t="str">
        <f>IF(D358="","",D358&amp;"|"&amp;TEXT(COUNTIF($D$7:D358,D358),"000"))</f>
        <v>ÇINARHAN LTD.ŞTİ.|016</v>
      </c>
      <c r="O358" s="22" t="str">
        <f>IF(G358="","",G358&amp;"|"&amp;TEXT(COUNTIF($G$7:G358,G358),"000"))</f>
        <v>MERKEZ KASA|276</v>
      </c>
    </row>
    <row r="359" spans="1:15" ht="17">
      <c r="A359" s="6"/>
      <c r="B359" s="95" t="s">
        <v>991</v>
      </c>
      <c r="C359" s="95" t="s">
        <v>544</v>
      </c>
      <c r="D359" s="96" t="s">
        <v>545</v>
      </c>
      <c r="E359" s="97">
        <v>46172</v>
      </c>
      <c r="F359" s="99">
        <v>4000</v>
      </c>
      <c r="G359" s="95" t="s">
        <v>618</v>
      </c>
      <c r="H359" s="95" t="s">
        <v>462</v>
      </c>
      <c r="I359" s="95"/>
      <c r="J359" s="96" t="s">
        <v>619</v>
      </c>
      <c r="K359" s="95"/>
      <c r="L359" s="43">
        <f t="shared" si="5"/>
        <v>46143</v>
      </c>
      <c r="M359" s="42" t="str">
        <f>IF(AND(C359="",D359="",E359="",F359=""),"",IF(OR(C359="",D359="",E359="",F359="",G359=""),"EKSİK",IF(COUNTIF(MUSTERILER!$B$7:$B$156,C359)=0,"TANIMSIZ MÜŞTERİ","UYGUN")))</f>
        <v>UYGUN</v>
      </c>
      <c r="N359" s="22" t="str">
        <f>IF(D359="","",D359&amp;"|"&amp;TEXT(COUNTIF($D$7:D359,D359),"000"))</f>
        <v>PALAOĞULLARI LTD.ŞTİ.|012</v>
      </c>
      <c r="O359" s="22" t="str">
        <f>IF(G359="","",G359&amp;"|"&amp;TEXT(COUNTIF($G$7:G359,G359),"000"))</f>
        <v>MERKEZ KASA|277</v>
      </c>
    </row>
    <row r="360" spans="1:15" ht="17">
      <c r="A360" s="6"/>
      <c r="B360" s="95" t="s">
        <v>992</v>
      </c>
      <c r="C360" s="95" t="s">
        <v>564</v>
      </c>
      <c r="D360" s="96" t="s">
        <v>565</v>
      </c>
      <c r="E360" s="97">
        <v>46172</v>
      </c>
      <c r="F360" s="99">
        <v>4000</v>
      </c>
      <c r="G360" s="95" t="s">
        <v>618</v>
      </c>
      <c r="H360" s="95" t="s">
        <v>462</v>
      </c>
      <c r="I360" s="95"/>
      <c r="J360" s="96" t="s">
        <v>619</v>
      </c>
      <c r="K360" s="95"/>
      <c r="L360" s="43">
        <f t="shared" si="5"/>
        <v>46143</v>
      </c>
      <c r="M360" s="42" t="str">
        <f>IF(AND(C360="",D360="",E360="",F360=""),"",IF(OR(C360="",D360="",E360="",F360="",G360=""),"EKSİK",IF(COUNTIF(MUSTERILER!$B$7:$B$156,C360)=0,"TANIMSIZ MÜŞTERİ","UYGUN")))</f>
        <v>UYGUN</v>
      </c>
      <c r="N360" s="22" t="str">
        <f>IF(D360="","",D360&amp;"|"&amp;TEXT(COUNTIF($D$7:D360,D360),"000"))</f>
        <v>YALIKENT LTD.ŞTİ.|010</v>
      </c>
      <c r="O360" s="22" t="str">
        <f>IF(G360="","",G360&amp;"|"&amp;TEXT(COUNTIF($G$7:G360,G360),"000"))</f>
        <v>MERKEZ KASA|278</v>
      </c>
    </row>
    <row r="361" spans="1:15" ht="17">
      <c r="A361" s="6"/>
      <c r="B361" s="95" t="s">
        <v>993</v>
      </c>
      <c r="C361" s="95" t="s">
        <v>465</v>
      </c>
      <c r="D361" s="96" t="s">
        <v>466</v>
      </c>
      <c r="E361" s="97">
        <v>46173</v>
      </c>
      <c r="F361" s="99">
        <v>12000</v>
      </c>
      <c r="G361" s="95" t="s">
        <v>628</v>
      </c>
      <c r="H361" s="95" t="s">
        <v>462</v>
      </c>
      <c r="I361" s="95"/>
      <c r="J361" s="96" t="s">
        <v>684</v>
      </c>
      <c r="K361" s="95"/>
      <c r="L361" s="43">
        <f t="shared" si="5"/>
        <v>46143</v>
      </c>
      <c r="M361" s="42" t="str">
        <f>IF(AND(C361="",D361="",E361="",F361=""),"",IF(OR(C361="",D361="",E361="",F361="",G361=""),"EKSİK",IF(COUNTIF(MUSTERILER!$B$7:$B$156,C361)=0,"TANIMSIZ MÜŞTERİ","UYGUN")))</f>
        <v>UYGUN</v>
      </c>
      <c r="N361" s="22" t="str">
        <f>IF(D361="","",D361&amp;"|"&amp;TEXT(COUNTIF($D$7:D361,D361),"000"))</f>
        <v>ALTINEL LTD.ŞTİ.|005</v>
      </c>
      <c r="O361" s="22" t="str">
        <f>IF(G361="","",G361&amp;"|"&amp;TEXT(COUNTIF($G$7:G361,G361),"000"))</f>
        <v>ÖMER KARTAL|073</v>
      </c>
    </row>
    <row r="362" spans="1:15" ht="17">
      <c r="A362" s="6"/>
      <c r="B362" s="95" t="s">
        <v>994</v>
      </c>
      <c r="C362" s="95" t="s">
        <v>550</v>
      </c>
      <c r="D362" s="96" t="s">
        <v>551</v>
      </c>
      <c r="E362" s="97">
        <v>46173</v>
      </c>
      <c r="F362" s="99">
        <v>2000</v>
      </c>
      <c r="G362" s="95" t="s">
        <v>618</v>
      </c>
      <c r="H362" s="95" t="s">
        <v>462</v>
      </c>
      <c r="I362" s="95"/>
      <c r="J362" s="96" t="s">
        <v>619</v>
      </c>
      <c r="K362" s="95"/>
      <c r="L362" s="43">
        <f t="shared" si="5"/>
        <v>46143</v>
      </c>
      <c r="M362" s="42" t="str">
        <f>IF(AND(C362="",D362="",E362="",F362=""),"",IF(OR(C362="",D362="",E362="",F362="",G362=""),"EKSİK",IF(COUNTIF(MUSTERILER!$B$7:$B$156,C362)=0,"TANIMSIZ MÜŞTERİ","UYGUN")))</f>
        <v>UYGUN</v>
      </c>
      <c r="N362" s="22" t="str">
        <f>IF(D362="","",D362&amp;"|"&amp;TEXT(COUNTIF($D$7:D362,D362),"000"))</f>
        <v>SEMRA GÜMÜŞ|003</v>
      </c>
      <c r="O362" s="22" t="str">
        <f>IF(G362="","",G362&amp;"|"&amp;TEXT(COUNTIF($G$7:G362,G362),"000"))</f>
        <v>MERKEZ KASA|279</v>
      </c>
    </row>
    <row r="363" spans="1:15" ht="17">
      <c r="A363" s="6"/>
      <c r="B363" s="95" t="s">
        <v>995</v>
      </c>
      <c r="C363" s="95" t="s">
        <v>465</v>
      </c>
      <c r="D363" s="96" t="s">
        <v>466</v>
      </c>
      <c r="E363" s="97">
        <v>46174</v>
      </c>
      <c r="F363" s="99">
        <v>12000</v>
      </c>
      <c r="G363" s="95" t="s">
        <v>628</v>
      </c>
      <c r="H363" s="95" t="s">
        <v>462</v>
      </c>
      <c r="I363" s="95"/>
      <c r="J363" s="96" t="s">
        <v>684</v>
      </c>
      <c r="K363" s="95"/>
      <c r="L363" s="43">
        <f t="shared" si="5"/>
        <v>46174</v>
      </c>
      <c r="M363" s="42" t="str">
        <f>IF(AND(C363="",D363="",E363="",F363=""),"",IF(OR(C363="",D363="",E363="",F363="",G363=""),"EKSİK",IF(COUNTIF(MUSTERILER!$B$7:$B$156,C363)=0,"TANIMSIZ MÜŞTERİ","UYGUN")))</f>
        <v>UYGUN</v>
      </c>
      <c r="N363" s="22" t="str">
        <f>IF(D363="","",D363&amp;"|"&amp;TEXT(COUNTIF($D$7:D363,D363),"000"))</f>
        <v>ALTINEL LTD.ŞTİ.|006</v>
      </c>
      <c r="O363" s="22" t="str">
        <f>IF(G363="","",G363&amp;"|"&amp;TEXT(COUNTIF($G$7:G363,G363),"000"))</f>
        <v>ÖMER KARTAL|074</v>
      </c>
    </row>
    <row r="364" spans="1:15" ht="17">
      <c r="A364" s="6"/>
      <c r="B364" s="95" t="s">
        <v>996</v>
      </c>
      <c r="C364" s="95" t="s">
        <v>481</v>
      </c>
      <c r="D364" s="96" t="s">
        <v>482</v>
      </c>
      <c r="E364" s="97">
        <v>46174</v>
      </c>
      <c r="F364" s="99">
        <v>2500</v>
      </c>
      <c r="G364" s="95" t="s">
        <v>612</v>
      </c>
      <c r="H364" s="95" t="s">
        <v>613</v>
      </c>
      <c r="I364" s="95"/>
      <c r="J364" s="96" t="s">
        <v>840</v>
      </c>
      <c r="K364" s="95"/>
      <c r="L364" s="43">
        <f t="shared" si="5"/>
        <v>46174</v>
      </c>
      <c r="M364" s="42" t="str">
        <f>IF(AND(C364="",D364="",E364="",F364=""),"",IF(OR(C364="",D364="",E364="",F364="",G364=""),"EKSİK",IF(COUNTIF(MUSTERILER!$B$7:$B$156,C364)=0,"TANIMSIZ MÜŞTERİ","UYGUN")))</f>
        <v>UYGUN</v>
      </c>
      <c r="N364" s="22" t="str">
        <f>IF(D364="","",D364&amp;"|"&amp;TEXT(COUNTIF($D$7:D364,D364),"000"))</f>
        <v>CEREN DEMİRCİ|004</v>
      </c>
      <c r="O364" s="22" t="str">
        <f>IF(G364="","",G364&amp;"|"&amp;TEXT(COUNTIF($G$7:G364,G364),"000"))</f>
        <v>CARİ MAHSUP|005</v>
      </c>
    </row>
    <row r="365" spans="1:15" ht="17">
      <c r="A365" s="6"/>
      <c r="B365" s="95" t="s">
        <v>997</v>
      </c>
      <c r="C365" s="95" t="s">
        <v>467</v>
      </c>
      <c r="D365" s="96" t="s">
        <v>709</v>
      </c>
      <c r="E365" s="97">
        <v>46179</v>
      </c>
      <c r="F365" s="99">
        <v>4000</v>
      </c>
      <c r="G365" s="95" t="s">
        <v>618</v>
      </c>
      <c r="H365" s="95" t="s">
        <v>462</v>
      </c>
      <c r="I365" s="95"/>
      <c r="J365" s="96" t="s">
        <v>619</v>
      </c>
      <c r="K365" s="95"/>
      <c r="L365" s="43">
        <f t="shared" si="5"/>
        <v>46174</v>
      </c>
      <c r="M365" s="42" t="str">
        <f>IF(AND(C365="",D365="",E365="",F365=""),"",IF(OR(C365="",D365="",E365="",F365="",G365=""),"EKSİK",IF(COUNTIF(MUSTERILER!$B$7:$B$156,C365)=0,"TANIMSIZ MÜŞTERİ","UYGUN")))</f>
        <v>UYGUN</v>
      </c>
      <c r="N365" s="22" t="str">
        <f>IF(D365="","",D365&amp;"|"&amp;TEXT(COUNTIF($D$7:D365,D365),"000"))</f>
        <v>Ankara Havana Ltd.Şti.|011</v>
      </c>
      <c r="O365" s="22" t="str">
        <f>IF(G365="","",G365&amp;"|"&amp;TEXT(COUNTIF($G$7:G365,G365),"000"))</f>
        <v>MERKEZ KASA|280</v>
      </c>
    </row>
    <row r="366" spans="1:15" ht="17">
      <c r="A366" s="6"/>
      <c r="B366" s="95" t="s">
        <v>998</v>
      </c>
      <c r="C366" s="95" t="s">
        <v>473</v>
      </c>
      <c r="D366" s="96" t="s">
        <v>474</v>
      </c>
      <c r="E366" s="97">
        <v>46179</v>
      </c>
      <c r="F366" s="99">
        <v>2000</v>
      </c>
      <c r="G366" s="95" t="s">
        <v>618</v>
      </c>
      <c r="H366" s="95" t="s">
        <v>462</v>
      </c>
      <c r="I366" s="95"/>
      <c r="J366" s="96" t="s">
        <v>619</v>
      </c>
      <c r="K366" s="95"/>
      <c r="L366" s="43">
        <f t="shared" si="5"/>
        <v>46174</v>
      </c>
      <c r="M366" s="42" t="str">
        <f>IF(AND(C366="",D366="",E366="",F366=""),"",IF(OR(C366="",D366="",E366="",F366="",G366=""),"EKSİK",IF(COUNTIF(MUSTERILER!$B$7:$B$156,C366)=0,"TANIMSIZ MÜŞTERİ","UYGUN")))</f>
        <v>UYGUN</v>
      </c>
      <c r="N366" s="22" t="str">
        <f>IF(D366="","",D366&amp;"|"&amp;TEXT(COUNTIF($D$7:D366,D366),"000"))</f>
        <v>ASIM AÇIKGÖZ|018</v>
      </c>
      <c r="O366" s="22" t="str">
        <f>IF(G366="","",G366&amp;"|"&amp;TEXT(COUNTIF($G$7:G366,G366),"000"))</f>
        <v>MERKEZ KASA|281</v>
      </c>
    </row>
    <row r="367" spans="1:15" ht="17">
      <c r="A367" s="6"/>
      <c r="B367" s="95" t="s">
        <v>999</v>
      </c>
      <c r="C367" s="95" t="s">
        <v>475</v>
      </c>
      <c r="D367" s="96" t="s">
        <v>476</v>
      </c>
      <c r="E367" s="97">
        <v>46179</v>
      </c>
      <c r="F367" s="99">
        <v>2500</v>
      </c>
      <c r="G367" s="95" t="s">
        <v>618</v>
      </c>
      <c r="H367" s="95" t="s">
        <v>462</v>
      </c>
      <c r="I367" s="95"/>
      <c r="J367" s="96" t="s">
        <v>619</v>
      </c>
      <c r="K367" s="95"/>
      <c r="L367" s="43">
        <f t="shared" si="5"/>
        <v>46174</v>
      </c>
      <c r="M367" s="42" t="str">
        <f>IF(AND(C367="",D367="",E367="",F367=""),"",IF(OR(C367="",D367="",E367="",F367="",G367=""),"EKSİK",IF(COUNTIF(MUSTERILER!$B$7:$B$156,C367)=0,"TANIMSIZ MÜŞTERİ","UYGUN")))</f>
        <v>UYGUN</v>
      </c>
      <c r="N367" s="22" t="str">
        <f>IF(D367="","",D367&amp;"|"&amp;TEXT(COUNTIF($D$7:D367,D367),"000"))</f>
        <v>ASM EĞLENCE LTD.ŞTİ.|019</v>
      </c>
      <c r="O367" s="22" t="str">
        <f>IF(G367="","",G367&amp;"|"&amp;TEXT(COUNTIF($G$7:G367,G367),"000"))</f>
        <v>MERKEZ KASA|282</v>
      </c>
    </row>
    <row r="368" spans="1:15" ht="17">
      <c r="A368" s="6"/>
      <c r="B368" s="95" t="s">
        <v>1000</v>
      </c>
      <c r="C368" s="95" t="s">
        <v>479</v>
      </c>
      <c r="D368" s="96" t="s">
        <v>617</v>
      </c>
      <c r="E368" s="97">
        <v>46179</v>
      </c>
      <c r="F368" s="99">
        <v>3000</v>
      </c>
      <c r="G368" s="95" t="s">
        <v>618</v>
      </c>
      <c r="H368" s="95" t="s">
        <v>462</v>
      </c>
      <c r="I368" s="95"/>
      <c r="J368" s="96" t="s">
        <v>619</v>
      </c>
      <c r="K368" s="95"/>
      <c r="L368" s="43">
        <f t="shared" si="5"/>
        <v>46174</v>
      </c>
      <c r="M368" s="42" t="str">
        <f>IF(AND(C368="",D368="",E368="",F368=""),"",IF(OR(C368="",D368="",E368="",F368="",G368=""),"EKSİK",IF(COUNTIF(MUSTERILER!$B$7:$B$156,C368)=0,"TANIMSIZ MÜŞTERİ","UYGUN")))</f>
        <v>UYGUN</v>
      </c>
      <c r="N368" s="22" t="str">
        <f>IF(D368="","",D368&amp;"|"&amp;TEXT(COUNTIF($D$7:D368,D368),"000"))</f>
        <v>Çayıralan Ltd.Şti.|020</v>
      </c>
      <c r="O368" s="22" t="str">
        <f>IF(G368="","",G368&amp;"|"&amp;TEXT(COUNTIF($G$7:G368,G368),"000"))</f>
        <v>MERKEZ KASA|283</v>
      </c>
    </row>
    <row r="369" spans="1:15" ht="17">
      <c r="A369" s="6"/>
      <c r="B369" s="95" t="s">
        <v>1001</v>
      </c>
      <c r="C369" s="95" t="s">
        <v>487</v>
      </c>
      <c r="D369" s="96" t="s">
        <v>714</v>
      </c>
      <c r="E369" s="97">
        <v>46179</v>
      </c>
      <c r="F369" s="99">
        <v>4000</v>
      </c>
      <c r="G369" s="95" t="s">
        <v>618</v>
      </c>
      <c r="H369" s="95" t="s">
        <v>462</v>
      </c>
      <c r="I369" s="95"/>
      <c r="J369" s="96" t="s">
        <v>619</v>
      </c>
      <c r="K369" s="95"/>
      <c r="L369" s="43">
        <f t="shared" si="5"/>
        <v>46174</v>
      </c>
      <c r="M369" s="42" t="str">
        <f>IF(AND(C369="",D369="",E369="",F369=""),"",IF(OR(C369="",D369="",E369="",F369="",G369=""),"EKSİK",IF(COUNTIF(MUSTERILER!$B$7:$B$156,C369)=0,"TANIMSIZ MÜŞTERİ","UYGUN")))</f>
        <v>UYGUN</v>
      </c>
      <c r="N369" s="22" t="str">
        <f>IF(D369="","",D369&amp;"|"&amp;TEXT(COUNTIF($D$7:D369,D369),"000"))</f>
        <v>Eğlengör Ltd.Şti.|021</v>
      </c>
      <c r="O369" s="22" t="str">
        <f>IF(G369="","",G369&amp;"|"&amp;TEXT(COUNTIF($G$7:G369,G369),"000"))</f>
        <v>MERKEZ KASA|284</v>
      </c>
    </row>
    <row r="370" spans="1:15" ht="17">
      <c r="A370" s="6"/>
      <c r="B370" s="95" t="s">
        <v>1002</v>
      </c>
      <c r="C370" s="95" t="s">
        <v>495</v>
      </c>
      <c r="D370" s="96" t="s">
        <v>716</v>
      </c>
      <c r="E370" s="97">
        <v>46179</v>
      </c>
      <c r="F370" s="99">
        <v>4000</v>
      </c>
      <c r="G370" s="95" t="s">
        <v>618</v>
      </c>
      <c r="H370" s="95" t="s">
        <v>462</v>
      </c>
      <c r="I370" s="95"/>
      <c r="J370" s="96" t="s">
        <v>619</v>
      </c>
      <c r="K370" s="95"/>
      <c r="L370" s="43">
        <f t="shared" si="5"/>
        <v>46174</v>
      </c>
      <c r="M370" s="42" t="str">
        <f>IF(AND(C370="",D370="",E370="",F370=""),"",IF(OR(C370="",D370="",E370="",F370="",G370=""),"EKSİK",IF(COUNTIF(MUSTERILER!$B$7:$B$156,C370)=0,"TANIMSIZ MÜŞTERİ","UYGUN")))</f>
        <v>UYGUN</v>
      </c>
      <c r="N370" s="22" t="str">
        <f>IF(D370="","",D370&amp;"|"&amp;TEXT(COUNTIF($D$7:D370,D370),"000"))</f>
        <v>Final Siyah Beyaz Ltd.Şti.|020</v>
      </c>
      <c r="O370" s="22" t="str">
        <f>IF(G370="","",G370&amp;"|"&amp;TEXT(COUNTIF($G$7:G370,G370),"000"))</f>
        <v>MERKEZ KASA|285</v>
      </c>
    </row>
    <row r="371" spans="1:15" ht="17">
      <c r="A371" s="6"/>
      <c r="B371" s="95" t="s">
        <v>1003</v>
      </c>
      <c r="C371" s="95" t="s">
        <v>503</v>
      </c>
      <c r="D371" s="96" t="s">
        <v>621</v>
      </c>
      <c r="E371" s="97">
        <v>46179</v>
      </c>
      <c r="F371" s="99">
        <v>5000</v>
      </c>
      <c r="G371" s="95" t="s">
        <v>618</v>
      </c>
      <c r="H371" s="95" t="s">
        <v>462</v>
      </c>
      <c r="I371" s="95"/>
      <c r="J371" s="96" t="s">
        <v>619</v>
      </c>
      <c r="K371" s="95"/>
      <c r="L371" s="43">
        <f t="shared" si="5"/>
        <v>46174</v>
      </c>
      <c r="M371" s="42" t="str">
        <f>IF(AND(C371="",D371="",E371="",F371=""),"",IF(OR(C371="",D371="",E371="",F371="",G371=""),"EKSİK",IF(COUNTIF(MUSTERILER!$B$7:$B$156,C371)=0,"TANIMSIZ MÜŞTERİ","UYGUN")))</f>
        <v>UYGUN</v>
      </c>
      <c r="N371" s="22" t="str">
        <f>IF(D371="","",D371&amp;"|"&amp;TEXT(COUNTIF($D$7:D371,D371),"000"))</f>
        <v>İldeş Ltd.Şti.|022</v>
      </c>
      <c r="O371" s="22" t="str">
        <f>IF(G371="","",G371&amp;"|"&amp;TEXT(COUNTIF($G$7:G371,G371),"000"))</f>
        <v>MERKEZ KASA|286</v>
      </c>
    </row>
    <row r="372" spans="1:15" ht="17">
      <c r="A372" s="6"/>
      <c r="B372" s="95" t="s">
        <v>1004</v>
      </c>
      <c r="C372" s="95" t="s">
        <v>513</v>
      </c>
      <c r="D372" s="96" t="s">
        <v>514</v>
      </c>
      <c r="E372" s="97">
        <v>46179</v>
      </c>
      <c r="F372" s="99">
        <v>3000</v>
      </c>
      <c r="G372" s="95" t="s">
        <v>628</v>
      </c>
      <c r="H372" s="95" t="s">
        <v>462</v>
      </c>
      <c r="I372" s="95"/>
      <c r="J372" s="96" t="s">
        <v>619</v>
      </c>
      <c r="K372" s="95"/>
      <c r="L372" s="43">
        <f t="shared" si="5"/>
        <v>46174</v>
      </c>
      <c r="M372" s="42" t="str">
        <f>IF(AND(C372="",D372="",E372="",F372=""),"",IF(OR(C372="",D372="",E372="",F372="",G372=""),"EKSİK",IF(COUNTIF(MUSTERILER!$B$7:$B$156,C372)=0,"TANIMSIZ MÜŞTERİ","UYGUN")))</f>
        <v>UYGUN</v>
      </c>
      <c r="N372" s="22" t="str">
        <f>IF(D372="","",D372&amp;"|"&amp;TEXT(COUNTIF($D$7:D372,D372),"000"))</f>
        <v>KRİSTAL LTD.ŞTİ.|021</v>
      </c>
      <c r="O372" s="22" t="str">
        <f>IF(G372="","",G372&amp;"|"&amp;TEXT(COUNTIF($G$7:G372,G372),"000"))</f>
        <v>ÖMER KARTAL|075</v>
      </c>
    </row>
    <row r="373" spans="1:15" ht="17">
      <c r="A373" s="6"/>
      <c r="B373" s="95" t="s">
        <v>1005</v>
      </c>
      <c r="C373" s="95" t="s">
        <v>534</v>
      </c>
      <c r="D373" s="96" t="s">
        <v>724</v>
      </c>
      <c r="E373" s="97">
        <v>46179</v>
      </c>
      <c r="F373" s="99">
        <v>2000</v>
      </c>
      <c r="G373" s="95" t="s">
        <v>618</v>
      </c>
      <c r="H373" s="95" t="s">
        <v>462</v>
      </c>
      <c r="I373" s="95"/>
      <c r="J373" s="96" t="s">
        <v>619</v>
      </c>
      <c r="K373" s="95"/>
      <c r="L373" s="43">
        <f t="shared" si="5"/>
        <v>46174</v>
      </c>
      <c r="M373" s="42" t="str">
        <f>IF(AND(C373="",D373="",E373="",F373=""),"",IF(OR(C373="",D373="",E373="",F373="",G373=""),"EKSİK",IF(COUNTIF(MUSTERILER!$B$7:$B$156,C373)=0,"TANIMSIZ MÜŞTERİ","UYGUN")))</f>
        <v>UYGUN</v>
      </c>
      <c r="N373" s="22" t="str">
        <f>IF(D373="","",D373&amp;"|"&amp;TEXT(COUNTIF($D$7:D373,D373),"000"))</f>
        <v>Naz 1 Gıda Ltd.Şti.|014</v>
      </c>
      <c r="O373" s="22" t="str">
        <f>IF(G373="","",G373&amp;"|"&amp;TEXT(COUNTIF($G$7:G373,G373),"000"))</f>
        <v>MERKEZ KASA|287</v>
      </c>
    </row>
    <row r="374" spans="1:15" ht="17">
      <c r="A374" s="6"/>
      <c r="B374" s="95" t="s">
        <v>1006</v>
      </c>
      <c r="C374" s="95" t="s">
        <v>542</v>
      </c>
      <c r="D374" s="96" t="s">
        <v>726</v>
      </c>
      <c r="E374" s="97">
        <v>46179</v>
      </c>
      <c r="F374" s="99">
        <v>4000</v>
      </c>
      <c r="G374" s="95" t="s">
        <v>618</v>
      </c>
      <c r="H374" s="95" t="s">
        <v>462</v>
      </c>
      <c r="I374" s="95"/>
      <c r="J374" s="96" t="s">
        <v>619</v>
      </c>
      <c r="K374" s="95"/>
      <c r="L374" s="43">
        <f t="shared" si="5"/>
        <v>46174</v>
      </c>
      <c r="M374" s="42" t="str">
        <f>IF(AND(C374="",D374="",E374="",F374=""),"",IF(OR(C374="",D374="",E374="",F374="",G374=""),"EKSİK",IF(COUNTIF(MUSTERILER!$B$7:$B$156,C374)=0,"TANIMSIZ MÜŞTERİ","UYGUN")))</f>
        <v>UYGUN</v>
      </c>
      <c r="N374" s="22" t="str">
        <f>IF(D374="","",D374&amp;"|"&amp;TEXT(COUNTIF($D$7:D374,D374),"000"))</f>
        <v>Pakyıldız Ltd.Şti.|018</v>
      </c>
      <c r="O374" s="22" t="str">
        <f>IF(G374="","",G374&amp;"|"&amp;TEXT(COUNTIF($G$7:G374,G374),"000"))</f>
        <v>MERKEZ KASA|288</v>
      </c>
    </row>
    <row r="375" spans="1:15" ht="17">
      <c r="A375" s="6"/>
      <c r="B375" s="95" t="s">
        <v>1007</v>
      </c>
      <c r="C375" s="95" t="s">
        <v>548</v>
      </c>
      <c r="D375" s="96" t="s">
        <v>728</v>
      </c>
      <c r="E375" s="97">
        <v>46179</v>
      </c>
      <c r="F375" s="99">
        <v>3000</v>
      </c>
      <c r="G375" s="95" t="s">
        <v>618</v>
      </c>
      <c r="H375" s="95" t="s">
        <v>462</v>
      </c>
      <c r="I375" s="95"/>
      <c r="J375" s="96" t="s">
        <v>619</v>
      </c>
      <c r="K375" s="95"/>
      <c r="L375" s="43">
        <f t="shared" si="5"/>
        <v>46174</v>
      </c>
      <c r="M375" s="42" t="str">
        <f>IF(AND(C375="",D375="",E375="",F375=""),"",IF(OR(C375="",D375="",E375="",F375="",G375=""),"EKSİK",IF(COUNTIF(MUSTERILER!$B$7:$B$156,C375)=0,"TANIMSIZ MÜŞTERİ","UYGUN")))</f>
        <v>UYGUN</v>
      </c>
      <c r="N375" s="22" t="str">
        <f>IF(D375="","",D375&amp;"|"&amp;TEXT(COUNTIF($D$7:D375,D375),"000"))</f>
        <v>Rix Şow Ltd.Şti.|021</v>
      </c>
      <c r="O375" s="22" t="str">
        <f>IF(G375="","",G375&amp;"|"&amp;TEXT(COUNTIF($G$7:G375,G375),"000"))</f>
        <v>MERKEZ KASA|289</v>
      </c>
    </row>
    <row r="376" spans="1:15" ht="17">
      <c r="A376" s="6"/>
      <c r="B376" s="95" t="s">
        <v>1008</v>
      </c>
      <c r="C376" s="95" t="s">
        <v>483</v>
      </c>
      <c r="D376" s="96" t="s">
        <v>484</v>
      </c>
      <c r="E376" s="97">
        <v>46179</v>
      </c>
      <c r="F376" s="99">
        <v>2500</v>
      </c>
      <c r="G376" s="95" t="s">
        <v>618</v>
      </c>
      <c r="H376" s="95" t="s">
        <v>462</v>
      </c>
      <c r="I376" s="95"/>
      <c r="J376" s="96" t="s">
        <v>619</v>
      </c>
      <c r="K376" s="95"/>
      <c r="L376" s="43">
        <f t="shared" si="5"/>
        <v>46174</v>
      </c>
      <c r="M376" s="42" t="str">
        <f>IF(AND(C376="",D376="",E376="",F376=""),"",IF(OR(C376="",D376="",E376="",F376="",G376=""),"EKSİK",IF(COUNTIF(MUSTERILER!$B$7:$B$156,C376)=0,"TANIMSIZ MÜŞTERİ","UYGUN")))</f>
        <v>UYGUN</v>
      </c>
      <c r="N376" s="22" t="str">
        <f>IF(D376="","",D376&amp;"|"&amp;TEXT(COUNTIF($D$7:D376,D376),"000"))</f>
        <v>ÇINARHAN LTD.ŞTİ.|017</v>
      </c>
      <c r="O376" s="22" t="str">
        <f>IF(G376="","",G376&amp;"|"&amp;TEXT(COUNTIF($G$7:G376,G376),"000"))</f>
        <v>MERKEZ KASA|290</v>
      </c>
    </row>
    <row r="377" spans="1:15" ht="17">
      <c r="A377" s="6"/>
      <c r="B377" s="95" t="s">
        <v>1009</v>
      </c>
      <c r="C377" s="95" t="s">
        <v>505</v>
      </c>
      <c r="D377" s="96" t="s">
        <v>506</v>
      </c>
      <c r="E377" s="97">
        <v>46179</v>
      </c>
      <c r="F377" s="99">
        <v>3500</v>
      </c>
      <c r="G377" s="95" t="s">
        <v>618</v>
      </c>
      <c r="H377" s="95" t="s">
        <v>462</v>
      </c>
      <c r="I377" s="95"/>
      <c r="J377" s="96" t="s">
        <v>619</v>
      </c>
      <c r="K377" s="95"/>
      <c r="L377" s="43">
        <f t="shared" si="5"/>
        <v>46174</v>
      </c>
      <c r="M377" s="42" t="str">
        <f>IF(AND(C377="",D377="",E377="",F377=""),"",IF(OR(C377="",D377="",E377="",F377="",G377=""),"EKSİK",IF(COUNTIF(MUSTERILER!$B$7:$B$156,C377)=0,"TANIMSIZ MÜŞTERİ","UYGUN")))</f>
        <v>UYGUN</v>
      </c>
      <c r="N377" s="22" t="str">
        <f>IF(D377="","",D377&amp;"|"&amp;TEXT(COUNTIF($D$7:D377,D377),"000"))</f>
        <v>İSA DEMİRCİ|005</v>
      </c>
      <c r="O377" s="22" t="str">
        <f>IF(G377="","",G377&amp;"|"&amp;TEXT(COUNTIF($G$7:G377,G377),"000"))</f>
        <v>MERKEZ KASA|291</v>
      </c>
    </row>
    <row r="378" spans="1:15" ht="17">
      <c r="A378" s="6"/>
      <c r="B378" s="95" t="s">
        <v>1010</v>
      </c>
      <c r="C378" s="95" t="s">
        <v>513</v>
      </c>
      <c r="D378" s="96" t="s">
        <v>514</v>
      </c>
      <c r="E378" s="97">
        <v>46179</v>
      </c>
      <c r="F378" s="99">
        <v>4000</v>
      </c>
      <c r="G378" s="95" t="s">
        <v>618</v>
      </c>
      <c r="H378" s="95" t="s">
        <v>462</v>
      </c>
      <c r="I378" s="95"/>
      <c r="J378" s="96" t="s">
        <v>619</v>
      </c>
      <c r="K378" s="95"/>
      <c r="L378" s="43">
        <f t="shared" si="5"/>
        <v>46174</v>
      </c>
      <c r="M378" s="42" t="str">
        <f>IF(AND(C378="",D378="",E378="",F378=""),"",IF(OR(C378="",D378="",E378="",F378="",G378=""),"EKSİK",IF(COUNTIF(MUSTERILER!$B$7:$B$156,C378)=0,"TANIMSIZ MÜŞTERİ","UYGUN")))</f>
        <v>UYGUN</v>
      </c>
      <c r="N378" s="22" t="str">
        <f>IF(D378="","",D378&amp;"|"&amp;TEXT(COUNTIF($D$7:D378,D378),"000"))</f>
        <v>KRİSTAL LTD.ŞTİ.|022</v>
      </c>
      <c r="O378" s="22" t="str">
        <f>IF(G378="","",G378&amp;"|"&amp;TEXT(COUNTIF($G$7:G378,G378),"000"))</f>
        <v>MERKEZ KASA|292</v>
      </c>
    </row>
    <row r="379" spans="1:15" ht="17">
      <c r="A379" s="6"/>
      <c r="B379" s="95" t="s">
        <v>1011</v>
      </c>
      <c r="C379" s="95" t="s">
        <v>544</v>
      </c>
      <c r="D379" s="96" t="s">
        <v>545</v>
      </c>
      <c r="E379" s="97">
        <v>46179</v>
      </c>
      <c r="F379" s="99">
        <v>4000</v>
      </c>
      <c r="G379" s="95" t="s">
        <v>618</v>
      </c>
      <c r="H379" s="95" t="s">
        <v>462</v>
      </c>
      <c r="I379" s="95"/>
      <c r="J379" s="96" t="s">
        <v>619</v>
      </c>
      <c r="K379" s="95"/>
      <c r="L379" s="43">
        <f t="shared" si="5"/>
        <v>46174</v>
      </c>
      <c r="M379" s="42" t="str">
        <f>IF(AND(C379="",D379="",E379="",F379=""),"",IF(OR(C379="",D379="",E379="",F379="",G379=""),"EKSİK",IF(COUNTIF(MUSTERILER!$B$7:$B$156,C379)=0,"TANIMSIZ MÜŞTERİ","UYGUN")))</f>
        <v>UYGUN</v>
      </c>
      <c r="N379" s="22" t="str">
        <f>IF(D379="","",D379&amp;"|"&amp;TEXT(COUNTIF($D$7:D379,D379),"000"))</f>
        <v>PALAOĞULLARI LTD.ŞTİ.|013</v>
      </c>
      <c r="O379" s="22" t="str">
        <f>IF(G379="","",G379&amp;"|"&amp;TEXT(COUNTIF($G$7:G379,G379),"000"))</f>
        <v>MERKEZ KASA|293</v>
      </c>
    </row>
    <row r="380" spans="1:15" ht="17">
      <c r="A380" s="6"/>
      <c r="B380" s="95" t="s">
        <v>1012</v>
      </c>
      <c r="C380" s="95" t="s">
        <v>564</v>
      </c>
      <c r="D380" s="96" t="s">
        <v>565</v>
      </c>
      <c r="E380" s="97">
        <v>46179</v>
      </c>
      <c r="F380" s="99">
        <v>4000</v>
      </c>
      <c r="G380" s="95" t="s">
        <v>618</v>
      </c>
      <c r="H380" s="95" t="s">
        <v>462</v>
      </c>
      <c r="I380" s="95"/>
      <c r="J380" s="96" t="s">
        <v>619</v>
      </c>
      <c r="K380" s="95"/>
      <c r="L380" s="43">
        <f t="shared" si="5"/>
        <v>46174</v>
      </c>
      <c r="M380" s="42" t="str">
        <f>IF(AND(C380="",D380="",E380="",F380=""),"",IF(OR(C380="",D380="",E380="",F380="",G380=""),"EKSİK",IF(COUNTIF(MUSTERILER!$B$7:$B$156,C380)=0,"TANIMSIZ MÜŞTERİ","UYGUN")))</f>
        <v>UYGUN</v>
      </c>
      <c r="N380" s="22" t="str">
        <f>IF(D380="","",D380&amp;"|"&amp;TEXT(COUNTIF($D$7:D380,D380),"000"))</f>
        <v>YALIKENT LTD.ŞTİ.|011</v>
      </c>
      <c r="O380" s="22" t="str">
        <f>IF(G380="","",G380&amp;"|"&amp;TEXT(COUNTIF($G$7:G380,G380),"000"))</f>
        <v>MERKEZ KASA|294</v>
      </c>
    </row>
    <row r="381" spans="1:15" ht="17">
      <c r="A381" s="6"/>
      <c r="B381" s="95" t="s">
        <v>1013</v>
      </c>
      <c r="C381" s="95" t="s">
        <v>459</v>
      </c>
      <c r="D381" s="96" t="s">
        <v>460</v>
      </c>
      <c r="E381" s="97">
        <v>46183</v>
      </c>
      <c r="F381" s="99">
        <v>5000</v>
      </c>
      <c r="G381" s="95" t="s">
        <v>618</v>
      </c>
      <c r="H381" s="95" t="s">
        <v>462</v>
      </c>
      <c r="I381" s="95"/>
      <c r="J381" s="96" t="s">
        <v>619</v>
      </c>
      <c r="K381" s="95"/>
      <c r="L381" s="43">
        <f t="shared" si="5"/>
        <v>46174</v>
      </c>
      <c r="M381" s="42" t="str">
        <f>IF(AND(C381="",D381="",E381="",F381=""),"",IF(OR(C381="",D381="",E381="",F381="",G381=""),"EKSİK",IF(COUNTIF(MUSTERILER!$B$7:$B$156,C381)=0,"TANIMSIZ MÜŞTERİ","UYGUN")))</f>
        <v>UYGUN</v>
      </c>
      <c r="N381" s="22" t="str">
        <f>IF(D381="","",D381&amp;"|"&amp;TEXT(COUNTIF($D$7:D381,D381),"000"))</f>
        <v>AC OTEL LTD.ŞTİ.|004</v>
      </c>
      <c r="O381" s="22" t="str">
        <f>IF(G381="","",G381&amp;"|"&amp;TEXT(COUNTIF($G$7:G381,G381),"000"))</f>
        <v>MERKEZ KASA|295</v>
      </c>
    </row>
    <row r="382" spans="1:15" ht="17">
      <c r="A382" s="6"/>
      <c r="B382" s="95" t="s">
        <v>1014</v>
      </c>
      <c r="C382" s="95" t="s">
        <v>473</v>
      </c>
      <c r="D382" s="96" t="s">
        <v>474</v>
      </c>
      <c r="E382" s="97">
        <v>46186</v>
      </c>
      <c r="F382" s="99">
        <v>2000</v>
      </c>
      <c r="G382" s="95" t="s">
        <v>618</v>
      </c>
      <c r="H382" s="95" t="s">
        <v>462</v>
      </c>
      <c r="I382" s="95"/>
      <c r="J382" s="96" t="s">
        <v>619</v>
      </c>
      <c r="K382" s="95"/>
      <c r="L382" s="43">
        <f t="shared" si="5"/>
        <v>46174</v>
      </c>
      <c r="M382" s="42" t="str">
        <f>IF(AND(C382="",D382="",E382="",F382=""),"",IF(OR(C382="",D382="",E382="",F382="",G382=""),"EKSİK",IF(COUNTIF(MUSTERILER!$B$7:$B$156,C382)=0,"TANIMSIZ MÜŞTERİ","UYGUN")))</f>
        <v>UYGUN</v>
      </c>
      <c r="N382" s="22" t="str">
        <f>IF(D382="","",D382&amp;"|"&amp;TEXT(COUNTIF($D$7:D382,D382),"000"))</f>
        <v>ASIM AÇIKGÖZ|019</v>
      </c>
      <c r="O382" s="22" t="str">
        <f>IF(G382="","",G382&amp;"|"&amp;TEXT(COUNTIF($G$7:G382,G382),"000"))</f>
        <v>MERKEZ KASA|296</v>
      </c>
    </row>
    <row r="383" spans="1:15" ht="17">
      <c r="A383" s="6"/>
      <c r="B383" s="95" t="s">
        <v>1015</v>
      </c>
      <c r="C383" s="95" t="s">
        <v>475</v>
      </c>
      <c r="D383" s="96" t="s">
        <v>476</v>
      </c>
      <c r="E383" s="97">
        <v>46186</v>
      </c>
      <c r="F383" s="99">
        <v>2500</v>
      </c>
      <c r="G383" s="95" t="s">
        <v>618</v>
      </c>
      <c r="H383" s="95" t="s">
        <v>462</v>
      </c>
      <c r="I383" s="95"/>
      <c r="J383" s="96" t="s">
        <v>619</v>
      </c>
      <c r="K383" s="95"/>
      <c r="L383" s="43">
        <f t="shared" si="5"/>
        <v>46174</v>
      </c>
      <c r="M383" s="42" t="str">
        <f>IF(AND(C383="",D383="",E383="",F383=""),"",IF(OR(C383="",D383="",E383="",F383="",G383=""),"EKSİK",IF(COUNTIF(MUSTERILER!$B$7:$B$156,C383)=0,"TANIMSIZ MÜŞTERİ","UYGUN")))</f>
        <v>UYGUN</v>
      </c>
      <c r="N383" s="22" t="str">
        <f>IF(D383="","",D383&amp;"|"&amp;TEXT(COUNTIF($D$7:D383,D383),"000"))</f>
        <v>ASM EĞLENCE LTD.ŞTİ.|020</v>
      </c>
      <c r="O383" s="22" t="str">
        <f>IF(G383="","",G383&amp;"|"&amp;TEXT(COUNTIF($G$7:G383,G383),"000"))</f>
        <v>MERKEZ KASA|297</v>
      </c>
    </row>
    <row r="384" spans="1:15" ht="17">
      <c r="A384" s="6"/>
      <c r="B384" s="95" t="s">
        <v>1016</v>
      </c>
      <c r="C384" s="95" t="s">
        <v>479</v>
      </c>
      <c r="D384" s="96" t="s">
        <v>617</v>
      </c>
      <c r="E384" s="97">
        <v>46186</v>
      </c>
      <c r="F384" s="99">
        <v>3000</v>
      </c>
      <c r="G384" s="95" t="s">
        <v>618</v>
      </c>
      <c r="H384" s="95" t="s">
        <v>462</v>
      </c>
      <c r="I384" s="95"/>
      <c r="J384" s="96" t="s">
        <v>619</v>
      </c>
      <c r="K384" s="95"/>
      <c r="L384" s="43">
        <f t="shared" si="5"/>
        <v>46174</v>
      </c>
      <c r="M384" s="42" t="str">
        <f>IF(AND(C384="",D384="",E384="",F384=""),"",IF(OR(C384="",D384="",E384="",F384="",G384=""),"EKSİK",IF(COUNTIF(MUSTERILER!$B$7:$B$156,C384)=0,"TANIMSIZ MÜŞTERİ","UYGUN")))</f>
        <v>UYGUN</v>
      </c>
      <c r="N384" s="22" t="str">
        <f>IF(D384="","",D384&amp;"|"&amp;TEXT(COUNTIF($D$7:D384,D384),"000"))</f>
        <v>Çayıralan Ltd.Şti.|021</v>
      </c>
      <c r="O384" s="22" t="str">
        <f>IF(G384="","",G384&amp;"|"&amp;TEXT(COUNTIF($G$7:G384,G384),"000"))</f>
        <v>MERKEZ KASA|298</v>
      </c>
    </row>
    <row r="385" spans="1:15" ht="17">
      <c r="A385" s="6"/>
      <c r="B385" s="95" t="s">
        <v>1017</v>
      </c>
      <c r="C385" s="95" t="s">
        <v>487</v>
      </c>
      <c r="D385" s="96" t="s">
        <v>714</v>
      </c>
      <c r="E385" s="97">
        <v>46186</v>
      </c>
      <c r="F385" s="99">
        <v>4000</v>
      </c>
      <c r="G385" s="95" t="s">
        <v>618</v>
      </c>
      <c r="H385" s="95" t="s">
        <v>462</v>
      </c>
      <c r="I385" s="95"/>
      <c r="J385" s="96" t="s">
        <v>619</v>
      </c>
      <c r="K385" s="95"/>
      <c r="L385" s="43">
        <f t="shared" si="5"/>
        <v>46174</v>
      </c>
      <c r="M385" s="42" t="str">
        <f>IF(AND(C385="",D385="",E385="",F385=""),"",IF(OR(C385="",D385="",E385="",F385="",G385=""),"EKSİK",IF(COUNTIF(MUSTERILER!$B$7:$B$156,C385)=0,"TANIMSIZ MÜŞTERİ","UYGUN")))</f>
        <v>UYGUN</v>
      </c>
      <c r="N385" s="22" t="str">
        <f>IF(D385="","",D385&amp;"|"&amp;TEXT(COUNTIF($D$7:D385,D385),"000"))</f>
        <v>Eğlengör Ltd.Şti.|022</v>
      </c>
      <c r="O385" s="22" t="str">
        <f>IF(G385="","",G385&amp;"|"&amp;TEXT(COUNTIF($G$7:G385,G385),"000"))</f>
        <v>MERKEZ KASA|299</v>
      </c>
    </row>
    <row r="386" spans="1:15" ht="17">
      <c r="A386" s="6"/>
      <c r="B386" s="95" t="s">
        <v>1018</v>
      </c>
      <c r="C386" s="95" t="s">
        <v>495</v>
      </c>
      <c r="D386" s="96" t="s">
        <v>716</v>
      </c>
      <c r="E386" s="97">
        <v>46186</v>
      </c>
      <c r="F386" s="99">
        <v>4000</v>
      </c>
      <c r="G386" s="95" t="s">
        <v>618</v>
      </c>
      <c r="H386" s="95" t="s">
        <v>462</v>
      </c>
      <c r="I386" s="95"/>
      <c r="J386" s="96" t="s">
        <v>619</v>
      </c>
      <c r="K386" s="95"/>
      <c r="L386" s="43">
        <f t="shared" si="5"/>
        <v>46174</v>
      </c>
      <c r="M386" s="42" t="str">
        <f>IF(AND(C386="",D386="",E386="",F386=""),"",IF(OR(C386="",D386="",E386="",F386="",G386=""),"EKSİK",IF(COUNTIF(MUSTERILER!$B$7:$B$156,C386)=0,"TANIMSIZ MÜŞTERİ","UYGUN")))</f>
        <v>UYGUN</v>
      </c>
      <c r="N386" s="22" t="str">
        <f>IF(D386="","",D386&amp;"|"&amp;TEXT(COUNTIF($D$7:D386,D386),"000"))</f>
        <v>Final Siyah Beyaz Ltd.Şti.|021</v>
      </c>
      <c r="O386" s="22" t="str">
        <f>IF(G386="","",G386&amp;"|"&amp;TEXT(COUNTIF($G$7:G386,G386),"000"))</f>
        <v>MERKEZ KASA|300</v>
      </c>
    </row>
    <row r="387" spans="1:15" ht="17">
      <c r="A387" s="6"/>
      <c r="B387" s="95" t="s">
        <v>1019</v>
      </c>
      <c r="C387" s="95" t="s">
        <v>503</v>
      </c>
      <c r="D387" s="96" t="s">
        <v>621</v>
      </c>
      <c r="E387" s="97">
        <v>46186</v>
      </c>
      <c r="F387" s="99">
        <v>4000</v>
      </c>
      <c r="G387" s="95" t="s">
        <v>618</v>
      </c>
      <c r="H387" s="95" t="s">
        <v>462</v>
      </c>
      <c r="I387" s="95"/>
      <c r="J387" s="96" t="s">
        <v>619</v>
      </c>
      <c r="K387" s="95"/>
      <c r="L387" s="43">
        <f t="shared" si="5"/>
        <v>46174</v>
      </c>
      <c r="M387" s="42" t="str">
        <f>IF(AND(C387="",D387="",E387="",F387=""),"",IF(OR(C387="",D387="",E387="",F387="",G387=""),"EKSİK",IF(COUNTIF(MUSTERILER!$B$7:$B$156,C387)=0,"TANIMSIZ MÜŞTERİ","UYGUN")))</f>
        <v>UYGUN</v>
      </c>
      <c r="N387" s="22" t="str">
        <f>IF(D387="","",D387&amp;"|"&amp;TEXT(COUNTIF($D$7:D387,D387),"000"))</f>
        <v>İldeş Ltd.Şti.|023</v>
      </c>
      <c r="O387" s="22" t="str">
        <f>IF(G387="","",G387&amp;"|"&amp;TEXT(COUNTIF($G$7:G387,G387),"000"))</f>
        <v>MERKEZ KASA|301</v>
      </c>
    </row>
    <row r="388" spans="1:15" ht="17">
      <c r="A388" s="6"/>
      <c r="B388" s="95" t="s">
        <v>1020</v>
      </c>
      <c r="C388" s="95" t="s">
        <v>525</v>
      </c>
      <c r="D388" s="96" t="s">
        <v>721</v>
      </c>
      <c r="E388" s="97">
        <v>46186</v>
      </c>
      <c r="F388" s="99">
        <v>3500</v>
      </c>
      <c r="G388" s="95" t="s">
        <v>618</v>
      </c>
      <c r="H388" s="95" t="s">
        <v>462</v>
      </c>
      <c r="I388" s="95"/>
      <c r="J388" s="96" t="s">
        <v>619</v>
      </c>
      <c r="K388" s="95"/>
      <c r="L388" s="43">
        <f t="shared" si="5"/>
        <v>46174</v>
      </c>
      <c r="M388" s="42" t="str">
        <f>IF(AND(C388="",D388="",E388="",F388=""),"",IF(OR(C388="",D388="",E388="",F388="",G388=""),"EKSİK",IF(COUNTIF(MUSTERILER!$B$7:$B$156,C388)=0,"TANIMSIZ MÜŞTERİ","UYGUN")))</f>
        <v>UYGUN</v>
      </c>
      <c r="N388" s="22" t="str">
        <f>IF(D388="","",D388&amp;"|"&amp;TEXT(COUNTIF($D$7:D388,D388),"000"))</f>
        <v>Monamour Ltd.Şti.|017</v>
      </c>
      <c r="O388" s="22" t="str">
        <f>IF(G388="","",G388&amp;"|"&amp;TEXT(COUNTIF($G$7:G388,G388),"000"))</f>
        <v>MERKEZ KASA|302</v>
      </c>
    </row>
    <row r="389" spans="1:15" ht="17">
      <c r="A389" s="6"/>
      <c r="B389" s="95" t="s">
        <v>1021</v>
      </c>
      <c r="C389" s="95" t="s">
        <v>534</v>
      </c>
      <c r="D389" s="96" t="s">
        <v>724</v>
      </c>
      <c r="E389" s="97">
        <v>46186</v>
      </c>
      <c r="F389" s="99">
        <v>2000</v>
      </c>
      <c r="G389" s="95" t="s">
        <v>618</v>
      </c>
      <c r="H389" s="95" t="s">
        <v>462</v>
      </c>
      <c r="I389" s="95"/>
      <c r="J389" s="96" t="s">
        <v>619</v>
      </c>
      <c r="K389" s="95"/>
      <c r="L389" s="43">
        <f t="shared" si="5"/>
        <v>46174</v>
      </c>
      <c r="M389" s="42" t="str">
        <f>IF(AND(C389="",D389="",E389="",F389=""),"",IF(OR(C389="",D389="",E389="",F389="",G389=""),"EKSİK",IF(COUNTIF(MUSTERILER!$B$7:$B$156,C389)=0,"TANIMSIZ MÜŞTERİ","UYGUN")))</f>
        <v>UYGUN</v>
      </c>
      <c r="N389" s="22" t="str">
        <f>IF(D389="","",D389&amp;"|"&amp;TEXT(COUNTIF($D$7:D389,D389),"000"))</f>
        <v>Naz 1 Gıda Ltd.Şti.|015</v>
      </c>
      <c r="O389" s="22" t="str">
        <f>IF(G389="","",G389&amp;"|"&amp;TEXT(COUNTIF($G$7:G389,G389),"000"))</f>
        <v>MERKEZ KASA|303</v>
      </c>
    </row>
    <row r="390" spans="1:15" ht="17">
      <c r="A390" s="6"/>
      <c r="B390" s="95" t="s">
        <v>1022</v>
      </c>
      <c r="C390" s="95" t="s">
        <v>542</v>
      </c>
      <c r="D390" s="96" t="s">
        <v>726</v>
      </c>
      <c r="E390" s="97">
        <v>46186</v>
      </c>
      <c r="F390" s="99">
        <v>4000</v>
      </c>
      <c r="G390" s="95" t="s">
        <v>618</v>
      </c>
      <c r="H390" s="95" t="s">
        <v>462</v>
      </c>
      <c r="I390" s="95"/>
      <c r="J390" s="96" t="s">
        <v>619</v>
      </c>
      <c r="K390" s="95"/>
      <c r="L390" s="43">
        <f t="shared" si="5"/>
        <v>46174</v>
      </c>
      <c r="M390" s="42" t="str">
        <f>IF(AND(C390="",D390="",E390="",F390=""),"",IF(OR(C390="",D390="",E390="",F390="",G390=""),"EKSİK",IF(COUNTIF(MUSTERILER!$B$7:$B$156,C390)=0,"TANIMSIZ MÜŞTERİ","UYGUN")))</f>
        <v>UYGUN</v>
      </c>
      <c r="N390" s="22" t="str">
        <f>IF(D390="","",D390&amp;"|"&amp;TEXT(COUNTIF($D$7:D390,D390),"000"))</f>
        <v>Pakyıldız Ltd.Şti.|019</v>
      </c>
      <c r="O390" s="22" t="str">
        <f>IF(G390="","",G390&amp;"|"&amp;TEXT(COUNTIF($G$7:G390,G390),"000"))</f>
        <v>MERKEZ KASA|304</v>
      </c>
    </row>
    <row r="391" spans="1:15" ht="17">
      <c r="A391" s="6"/>
      <c r="B391" s="95" t="s">
        <v>1023</v>
      </c>
      <c r="C391" s="95" t="s">
        <v>548</v>
      </c>
      <c r="D391" s="96" t="s">
        <v>728</v>
      </c>
      <c r="E391" s="97">
        <v>46186</v>
      </c>
      <c r="F391" s="99">
        <v>3000</v>
      </c>
      <c r="G391" s="95" t="s">
        <v>618</v>
      </c>
      <c r="H391" s="95" t="s">
        <v>462</v>
      </c>
      <c r="I391" s="95"/>
      <c r="J391" s="96" t="s">
        <v>619</v>
      </c>
      <c r="K391" s="95"/>
      <c r="L391" s="43">
        <f t="shared" ref="L391:L454" si="6">IF(E391="","",DATE(YEAR(E391),MONTH(E391),1))</f>
        <v>46174</v>
      </c>
      <c r="M391" s="42" t="str">
        <f>IF(AND(C391="",D391="",E391="",F391=""),"",IF(OR(C391="",D391="",E391="",F391="",G391=""),"EKSİK",IF(COUNTIF(MUSTERILER!$B$7:$B$156,C391)=0,"TANIMSIZ MÜŞTERİ","UYGUN")))</f>
        <v>UYGUN</v>
      </c>
      <c r="N391" s="22" t="str">
        <f>IF(D391="","",D391&amp;"|"&amp;TEXT(COUNTIF($D$7:D391,D391),"000"))</f>
        <v>Rix Şow Ltd.Şti.|022</v>
      </c>
      <c r="O391" s="22" t="str">
        <f>IF(G391="","",G391&amp;"|"&amp;TEXT(COUNTIF($G$7:G391,G391),"000"))</f>
        <v>MERKEZ KASA|305</v>
      </c>
    </row>
    <row r="392" spans="1:15" ht="17">
      <c r="A392" s="6"/>
      <c r="B392" s="95" t="s">
        <v>1024</v>
      </c>
      <c r="C392" s="95" t="s">
        <v>570</v>
      </c>
      <c r="D392" s="96" t="s">
        <v>626</v>
      </c>
      <c r="E392" s="97">
        <v>46186</v>
      </c>
      <c r="F392" s="99">
        <v>1750</v>
      </c>
      <c r="G392" s="95" t="s">
        <v>618</v>
      </c>
      <c r="H392" s="95" t="s">
        <v>462</v>
      </c>
      <c r="I392" s="95"/>
      <c r="J392" s="96" t="s">
        <v>619</v>
      </c>
      <c r="K392" s="95"/>
      <c r="L392" s="43">
        <f t="shared" si="6"/>
        <v>46174</v>
      </c>
      <c r="M392" s="42" t="str">
        <f>IF(AND(C392="",D392="",E392="",F392=""),"",IF(OR(C392="",D392="",E392="",F392="",G392=""),"EKSİK",IF(COUNTIF(MUSTERILER!$B$7:$B$156,C392)=0,"TANIMSIZ MÜŞTERİ","UYGUN")))</f>
        <v>UYGUN</v>
      </c>
      <c r="N392" s="22" t="str">
        <f>IF(D392="","",D392&amp;"|"&amp;TEXT(COUNTIF($D$7:D392,D392),"000"))</f>
        <v>Zümrüt Grup Ltd.Şti.|019</v>
      </c>
      <c r="O392" s="22" t="str">
        <f>IF(G392="","",G392&amp;"|"&amp;TEXT(COUNTIF($G$7:G392,G392),"000"))</f>
        <v>MERKEZ KASA|306</v>
      </c>
    </row>
    <row r="393" spans="1:15" ht="17">
      <c r="A393" s="6"/>
      <c r="B393" s="95" t="s">
        <v>1025</v>
      </c>
      <c r="C393" s="95" t="s">
        <v>483</v>
      </c>
      <c r="D393" s="96" t="s">
        <v>484</v>
      </c>
      <c r="E393" s="97">
        <v>46186</v>
      </c>
      <c r="F393" s="99">
        <v>2500</v>
      </c>
      <c r="G393" s="95" t="s">
        <v>618</v>
      </c>
      <c r="H393" s="95" t="s">
        <v>462</v>
      </c>
      <c r="I393" s="95"/>
      <c r="J393" s="96" t="s">
        <v>619</v>
      </c>
      <c r="K393" s="95"/>
      <c r="L393" s="43">
        <f t="shared" si="6"/>
        <v>46174</v>
      </c>
      <c r="M393" s="42" t="str">
        <f>IF(AND(C393="",D393="",E393="",F393=""),"",IF(OR(C393="",D393="",E393="",F393="",G393=""),"EKSİK",IF(COUNTIF(MUSTERILER!$B$7:$B$156,C393)=0,"TANIMSIZ MÜŞTERİ","UYGUN")))</f>
        <v>UYGUN</v>
      </c>
      <c r="N393" s="22" t="str">
        <f>IF(D393="","",D393&amp;"|"&amp;TEXT(COUNTIF($D$7:D393,D393),"000"))</f>
        <v>ÇINARHAN LTD.ŞTİ.|018</v>
      </c>
      <c r="O393" s="22" t="str">
        <f>IF(G393="","",G393&amp;"|"&amp;TEXT(COUNTIF($G$7:G393,G393),"000"))</f>
        <v>MERKEZ KASA|307</v>
      </c>
    </row>
    <row r="394" spans="1:15" ht="17">
      <c r="A394" s="6"/>
      <c r="B394" s="95" t="s">
        <v>1026</v>
      </c>
      <c r="C394" s="95" t="s">
        <v>513</v>
      </c>
      <c r="D394" s="96" t="s">
        <v>514</v>
      </c>
      <c r="E394" s="97">
        <v>46186</v>
      </c>
      <c r="F394" s="99">
        <v>3000</v>
      </c>
      <c r="G394" s="95" t="s">
        <v>618</v>
      </c>
      <c r="H394" s="95" t="s">
        <v>462</v>
      </c>
      <c r="I394" s="95"/>
      <c r="J394" s="96" t="s">
        <v>619</v>
      </c>
      <c r="K394" s="95"/>
      <c r="L394" s="43">
        <f t="shared" si="6"/>
        <v>46174</v>
      </c>
      <c r="M394" s="42" t="str">
        <f>IF(AND(C394="",D394="",E394="",F394=""),"",IF(OR(C394="",D394="",E394="",F394="",G394=""),"EKSİK",IF(COUNTIF(MUSTERILER!$B$7:$B$156,C394)=0,"TANIMSIZ MÜŞTERİ","UYGUN")))</f>
        <v>UYGUN</v>
      </c>
      <c r="N394" s="22" t="str">
        <f>IF(D394="","",D394&amp;"|"&amp;TEXT(COUNTIF($D$7:D394,D394),"000"))</f>
        <v>KRİSTAL LTD.ŞTİ.|023</v>
      </c>
      <c r="O394" s="22" t="str">
        <f>IF(G394="","",G394&amp;"|"&amp;TEXT(COUNTIF($G$7:G394,G394),"000"))</f>
        <v>MERKEZ KASA|308</v>
      </c>
    </row>
    <row r="395" spans="1:15" ht="17">
      <c r="A395" s="6"/>
      <c r="B395" s="95" t="s">
        <v>1027</v>
      </c>
      <c r="C395" s="95" t="s">
        <v>544</v>
      </c>
      <c r="D395" s="96" t="s">
        <v>545</v>
      </c>
      <c r="E395" s="97">
        <v>46186</v>
      </c>
      <c r="F395" s="99">
        <v>4000</v>
      </c>
      <c r="G395" s="95" t="s">
        <v>618</v>
      </c>
      <c r="H395" s="95" t="s">
        <v>462</v>
      </c>
      <c r="I395" s="95"/>
      <c r="J395" s="96" t="s">
        <v>619</v>
      </c>
      <c r="K395" s="95"/>
      <c r="L395" s="43">
        <f t="shared" si="6"/>
        <v>46174</v>
      </c>
      <c r="M395" s="42" t="str">
        <f>IF(AND(C395="",D395="",E395="",F395=""),"",IF(OR(C395="",D395="",E395="",F395="",G395=""),"EKSİK",IF(COUNTIF(MUSTERILER!$B$7:$B$156,C395)=0,"TANIMSIZ MÜŞTERİ","UYGUN")))</f>
        <v>UYGUN</v>
      </c>
      <c r="N395" s="22" t="str">
        <f>IF(D395="","",D395&amp;"|"&amp;TEXT(COUNTIF($D$7:D395,D395),"000"))</f>
        <v>PALAOĞULLARI LTD.ŞTİ.|014</v>
      </c>
      <c r="O395" s="22" t="str">
        <f>IF(G395="","",G395&amp;"|"&amp;TEXT(COUNTIF($G$7:G395,G395),"000"))</f>
        <v>MERKEZ KASA|309</v>
      </c>
    </row>
    <row r="396" spans="1:15" ht="17">
      <c r="A396" s="6"/>
      <c r="B396" s="95" t="s">
        <v>1028</v>
      </c>
      <c r="C396" s="95" t="s">
        <v>564</v>
      </c>
      <c r="D396" s="96" t="s">
        <v>565</v>
      </c>
      <c r="E396" s="97">
        <v>46186</v>
      </c>
      <c r="F396" s="99">
        <v>4000</v>
      </c>
      <c r="G396" s="95" t="s">
        <v>618</v>
      </c>
      <c r="H396" s="95" t="s">
        <v>462</v>
      </c>
      <c r="I396" s="95"/>
      <c r="J396" s="96" t="s">
        <v>619</v>
      </c>
      <c r="K396" s="95"/>
      <c r="L396" s="43">
        <f t="shared" si="6"/>
        <v>46174</v>
      </c>
      <c r="M396" s="42" t="str">
        <f>IF(AND(C396="",D396="",E396="",F396=""),"",IF(OR(C396="",D396="",E396="",F396="",G396=""),"EKSİK",IF(COUNTIF(MUSTERILER!$B$7:$B$156,C396)=0,"TANIMSIZ MÜŞTERİ","UYGUN")))</f>
        <v>UYGUN</v>
      </c>
      <c r="N396" s="22" t="str">
        <f>IF(D396="","",D396&amp;"|"&amp;TEXT(COUNTIF($D$7:D396,D396),"000"))</f>
        <v>YALIKENT LTD.ŞTİ.|012</v>
      </c>
      <c r="O396" s="22" t="str">
        <f>IF(G396="","",G396&amp;"|"&amp;TEXT(COUNTIF($G$7:G396,G396),"000"))</f>
        <v>MERKEZ KASA|310</v>
      </c>
    </row>
    <row r="397" spans="1:15" ht="17">
      <c r="A397" s="6"/>
      <c r="B397" s="95" t="s">
        <v>1029</v>
      </c>
      <c r="C397" s="95" t="s">
        <v>558</v>
      </c>
      <c r="D397" s="96" t="s">
        <v>559</v>
      </c>
      <c r="E397" s="97">
        <v>46188</v>
      </c>
      <c r="F397" s="99">
        <v>3000</v>
      </c>
      <c r="G397" s="95" t="s">
        <v>628</v>
      </c>
      <c r="H397" s="95" t="s">
        <v>462</v>
      </c>
      <c r="I397" s="95"/>
      <c r="J397" s="96" t="s">
        <v>619</v>
      </c>
      <c r="K397" s="95"/>
      <c r="L397" s="43">
        <f t="shared" si="6"/>
        <v>46174</v>
      </c>
      <c r="M397" s="42" t="str">
        <f>IF(AND(C397="",D397="",E397="",F397=""),"",IF(OR(C397="",D397="",E397="",F397="",G397=""),"EKSİK",IF(COUNTIF(MUSTERILER!$B$7:$B$156,C397)=0,"TANIMSIZ MÜŞTERİ","UYGUN")))</f>
        <v>UYGUN</v>
      </c>
      <c r="N397" s="22" t="str">
        <f>IF(D397="","",D397&amp;"|"&amp;TEXT(COUNTIF($D$7:D397,D397),"000"))</f>
        <v>UFUK YILMAZ|006</v>
      </c>
      <c r="O397" s="22" t="str">
        <f>IF(G397="","",G397&amp;"|"&amp;TEXT(COUNTIF($G$7:G397,G397),"000"))</f>
        <v>ÖMER KARTAL|076</v>
      </c>
    </row>
    <row r="398" spans="1:15" ht="17">
      <c r="A398" s="6"/>
      <c r="B398" s="95" t="s">
        <v>1030</v>
      </c>
      <c r="C398" s="95" t="s">
        <v>471</v>
      </c>
      <c r="D398" s="96" t="s">
        <v>472</v>
      </c>
      <c r="E398" s="97">
        <v>46193</v>
      </c>
      <c r="F398" s="99">
        <v>10000</v>
      </c>
      <c r="G398" s="95" t="s">
        <v>618</v>
      </c>
      <c r="H398" s="95" t="s">
        <v>462</v>
      </c>
      <c r="I398" s="95"/>
      <c r="J398" s="96" t="s">
        <v>619</v>
      </c>
      <c r="K398" s="95"/>
      <c r="L398" s="43">
        <f t="shared" si="6"/>
        <v>46174</v>
      </c>
      <c r="M398" s="42" t="str">
        <f>IF(AND(C398="",D398="",E398="",F398=""),"",IF(OR(C398="",D398="",E398="",F398="",G398=""),"EKSİK",IF(COUNTIF(MUSTERILER!$B$7:$B$156,C398)=0,"TANIMSIZ MÜŞTERİ","UYGUN")))</f>
        <v>UYGUN</v>
      </c>
      <c r="N398" s="22" t="str">
        <f>IF(D398="","",D398&amp;"|"&amp;TEXT(COUNTIF($D$7:D398,D398),"000"))</f>
        <v>ARON TOPTAN LTD.ŞTİ.|004</v>
      </c>
      <c r="O398" s="22" t="str">
        <f>IF(G398="","",G398&amp;"|"&amp;TEXT(COUNTIF($G$7:G398,G398),"000"))</f>
        <v>MERKEZ KASA|311</v>
      </c>
    </row>
    <row r="399" spans="1:15" ht="17">
      <c r="A399" s="6"/>
      <c r="B399" s="95" t="s">
        <v>1031</v>
      </c>
      <c r="C399" s="95" t="s">
        <v>473</v>
      </c>
      <c r="D399" s="96" t="s">
        <v>474</v>
      </c>
      <c r="E399" s="97">
        <v>46194</v>
      </c>
      <c r="F399" s="99">
        <v>2000</v>
      </c>
      <c r="G399" s="95" t="s">
        <v>628</v>
      </c>
      <c r="H399" s="95" t="s">
        <v>462</v>
      </c>
      <c r="I399" s="95"/>
      <c r="J399" s="96" t="s">
        <v>619</v>
      </c>
      <c r="K399" s="95"/>
      <c r="L399" s="43">
        <f t="shared" si="6"/>
        <v>46174</v>
      </c>
      <c r="M399" s="42" t="str">
        <f>IF(AND(C399="",D399="",E399="",F399=""),"",IF(OR(C399="",D399="",E399="",F399="",G399=""),"EKSİK",IF(COUNTIF(MUSTERILER!$B$7:$B$156,C399)=0,"TANIMSIZ MÜŞTERİ","UYGUN")))</f>
        <v>UYGUN</v>
      </c>
      <c r="N399" s="22" t="str">
        <f>IF(D399="","",D399&amp;"|"&amp;TEXT(COUNTIF($D$7:D399,D399),"000"))</f>
        <v>ASIM AÇIKGÖZ|020</v>
      </c>
      <c r="O399" s="22" t="str">
        <f>IF(G399="","",G399&amp;"|"&amp;TEXT(COUNTIF($G$7:G399,G399),"000"))</f>
        <v>ÖMER KARTAL|077</v>
      </c>
    </row>
    <row r="400" spans="1:15" ht="17">
      <c r="A400" s="6"/>
      <c r="B400" s="95" t="s">
        <v>1032</v>
      </c>
      <c r="C400" s="95" t="s">
        <v>475</v>
      </c>
      <c r="D400" s="96" t="s">
        <v>476</v>
      </c>
      <c r="E400" s="97">
        <v>46194</v>
      </c>
      <c r="F400" s="99">
        <v>2500</v>
      </c>
      <c r="G400" s="95" t="s">
        <v>628</v>
      </c>
      <c r="H400" s="95" t="s">
        <v>462</v>
      </c>
      <c r="I400" s="95"/>
      <c r="J400" s="96" t="s">
        <v>619</v>
      </c>
      <c r="K400" s="95"/>
      <c r="L400" s="43">
        <f t="shared" si="6"/>
        <v>46174</v>
      </c>
      <c r="M400" s="42" t="str">
        <f>IF(AND(C400="",D400="",E400="",F400=""),"",IF(OR(C400="",D400="",E400="",F400="",G400=""),"EKSİK",IF(COUNTIF(MUSTERILER!$B$7:$B$156,C400)=0,"TANIMSIZ MÜŞTERİ","UYGUN")))</f>
        <v>UYGUN</v>
      </c>
      <c r="N400" s="22" t="str">
        <f>IF(D400="","",D400&amp;"|"&amp;TEXT(COUNTIF($D$7:D400,D400),"000"))</f>
        <v>ASM EĞLENCE LTD.ŞTİ.|021</v>
      </c>
      <c r="O400" s="22" t="str">
        <f>IF(G400="","",G400&amp;"|"&amp;TEXT(COUNTIF($G$7:G400,G400),"000"))</f>
        <v>ÖMER KARTAL|078</v>
      </c>
    </row>
    <row r="401" spans="1:15" ht="17">
      <c r="A401" s="6"/>
      <c r="B401" s="95" t="s">
        <v>1033</v>
      </c>
      <c r="C401" s="95" t="s">
        <v>479</v>
      </c>
      <c r="D401" s="96" t="s">
        <v>617</v>
      </c>
      <c r="E401" s="97">
        <v>46194</v>
      </c>
      <c r="F401" s="99">
        <v>3000</v>
      </c>
      <c r="G401" s="95" t="s">
        <v>628</v>
      </c>
      <c r="H401" s="95" t="s">
        <v>462</v>
      </c>
      <c r="I401" s="95"/>
      <c r="J401" s="96" t="s">
        <v>629</v>
      </c>
      <c r="K401" s="95"/>
      <c r="L401" s="43">
        <f t="shared" si="6"/>
        <v>46174</v>
      </c>
      <c r="M401" s="42" t="str">
        <f>IF(AND(C401="",D401="",E401="",F401=""),"",IF(OR(C401="",D401="",E401="",F401="",G401=""),"EKSİK",IF(COUNTIF(MUSTERILER!$B$7:$B$156,C401)=0,"TANIMSIZ MÜŞTERİ","UYGUN")))</f>
        <v>UYGUN</v>
      </c>
      <c r="N401" s="22" t="str">
        <f>IF(D401="","",D401&amp;"|"&amp;TEXT(COUNTIF($D$7:D401,D401),"000"))</f>
        <v>Çayıralan Ltd.Şti.|022</v>
      </c>
      <c r="O401" s="22" t="str">
        <f>IF(G401="","",G401&amp;"|"&amp;TEXT(COUNTIF($G$7:G401,G401),"000"))</f>
        <v>ÖMER KARTAL|079</v>
      </c>
    </row>
    <row r="402" spans="1:15" ht="17">
      <c r="A402" s="6"/>
      <c r="B402" s="95" t="s">
        <v>1034</v>
      </c>
      <c r="C402" s="95" t="s">
        <v>525</v>
      </c>
      <c r="D402" s="96" t="s">
        <v>721</v>
      </c>
      <c r="E402" s="97">
        <v>46194</v>
      </c>
      <c r="F402" s="99">
        <v>3500</v>
      </c>
      <c r="G402" s="95" t="s">
        <v>628</v>
      </c>
      <c r="H402" s="95" t="s">
        <v>462</v>
      </c>
      <c r="I402" s="95"/>
      <c r="J402" s="96" t="s">
        <v>629</v>
      </c>
      <c r="K402" s="95"/>
      <c r="L402" s="43">
        <f t="shared" si="6"/>
        <v>46174</v>
      </c>
      <c r="M402" s="42" t="str">
        <f>IF(AND(C402="",D402="",E402="",F402=""),"",IF(OR(C402="",D402="",E402="",F402="",G402=""),"EKSİK",IF(COUNTIF(MUSTERILER!$B$7:$B$156,C402)=0,"TANIMSIZ MÜŞTERİ","UYGUN")))</f>
        <v>UYGUN</v>
      </c>
      <c r="N402" s="22" t="str">
        <f>IF(D402="","",D402&amp;"|"&amp;TEXT(COUNTIF($D$7:D402,D402),"000"))</f>
        <v>Monamour Ltd.Şti.|018</v>
      </c>
      <c r="O402" s="22" t="str">
        <f>IF(G402="","",G402&amp;"|"&amp;TEXT(COUNTIF($G$7:G402,G402),"000"))</f>
        <v>ÖMER KARTAL|080</v>
      </c>
    </row>
    <row r="403" spans="1:15" ht="17">
      <c r="A403" s="6"/>
      <c r="B403" s="95" t="s">
        <v>1035</v>
      </c>
      <c r="C403" s="95" t="s">
        <v>542</v>
      </c>
      <c r="D403" s="96" t="s">
        <v>726</v>
      </c>
      <c r="E403" s="97">
        <v>46194</v>
      </c>
      <c r="F403" s="99">
        <v>4000</v>
      </c>
      <c r="G403" s="95" t="s">
        <v>628</v>
      </c>
      <c r="H403" s="95" t="s">
        <v>462</v>
      </c>
      <c r="I403" s="95"/>
      <c r="J403" s="96" t="s">
        <v>629</v>
      </c>
      <c r="K403" s="95"/>
      <c r="L403" s="43">
        <f t="shared" si="6"/>
        <v>46174</v>
      </c>
      <c r="M403" s="42" t="str">
        <f>IF(AND(C403="",D403="",E403="",F403=""),"",IF(OR(C403="",D403="",E403="",F403="",G403=""),"EKSİK",IF(COUNTIF(MUSTERILER!$B$7:$B$156,C403)=0,"TANIMSIZ MÜŞTERİ","UYGUN")))</f>
        <v>UYGUN</v>
      </c>
      <c r="N403" s="22" t="str">
        <f>IF(D403="","",D403&amp;"|"&amp;TEXT(COUNTIF($D$7:D403,D403),"000"))</f>
        <v>Pakyıldız Ltd.Şti.|020</v>
      </c>
      <c r="O403" s="22" t="str">
        <f>IF(G403="","",G403&amp;"|"&amp;TEXT(COUNTIF($G$7:G403,G403),"000"))</f>
        <v>ÖMER KARTAL|081</v>
      </c>
    </row>
    <row r="404" spans="1:15" ht="17">
      <c r="A404" s="6"/>
      <c r="B404" s="95" t="s">
        <v>1036</v>
      </c>
      <c r="C404" s="95" t="s">
        <v>548</v>
      </c>
      <c r="D404" s="96" t="s">
        <v>728</v>
      </c>
      <c r="E404" s="97">
        <v>46194</v>
      </c>
      <c r="F404" s="99">
        <v>3000</v>
      </c>
      <c r="G404" s="95" t="s">
        <v>628</v>
      </c>
      <c r="H404" s="95" t="s">
        <v>462</v>
      </c>
      <c r="I404" s="95"/>
      <c r="J404" s="96" t="s">
        <v>629</v>
      </c>
      <c r="K404" s="95"/>
      <c r="L404" s="43">
        <f t="shared" si="6"/>
        <v>46174</v>
      </c>
      <c r="M404" s="42" t="str">
        <f>IF(AND(C404="",D404="",E404="",F404=""),"",IF(OR(C404="",D404="",E404="",F404="",G404=""),"EKSİK",IF(COUNTIF(MUSTERILER!$B$7:$B$156,C404)=0,"TANIMSIZ MÜŞTERİ","UYGUN")))</f>
        <v>UYGUN</v>
      </c>
      <c r="N404" s="22" t="str">
        <f>IF(D404="","",D404&amp;"|"&amp;TEXT(COUNTIF($D$7:D404,D404),"000"))</f>
        <v>Rix Şow Ltd.Şti.|023</v>
      </c>
      <c r="O404" s="22" t="str">
        <f>IF(G404="","",G404&amp;"|"&amp;TEXT(COUNTIF($G$7:G404,G404),"000"))</f>
        <v>ÖMER KARTAL|082</v>
      </c>
    </row>
    <row r="405" spans="1:15" ht="17">
      <c r="A405" s="6"/>
      <c r="B405" s="95" t="s">
        <v>1037</v>
      </c>
      <c r="C405" s="95" t="s">
        <v>487</v>
      </c>
      <c r="D405" s="96" t="s">
        <v>714</v>
      </c>
      <c r="E405" s="97">
        <v>46194</v>
      </c>
      <c r="F405" s="99">
        <v>4000</v>
      </c>
      <c r="G405" s="95" t="s">
        <v>618</v>
      </c>
      <c r="H405" s="95" t="s">
        <v>462</v>
      </c>
      <c r="I405" s="95"/>
      <c r="J405" s="96" t="s">
        <v>619</v>
      </c>
      <c r="K405" s="95"/>
      <c r="L405" s="43">
        <f t="shared" si="6"/>
        <v>46174</v>
      </c>
      <c r="M405" s="42" t="str">
        <f>IF(AND(C405="",D405="",E405="",F405=""),"",IF(OR(C405="",D405="",E405="",F405="",G405=""),"EKSİK",IF(COUNTIF(MUSTERILER!$B$7:$B$156,C405)=0,"TANIMSIZ MÜŞTERİ","UYGUN")))</f>
        <v>UYGUN</v>
      </c>
      <c r="N405" s="22" t="str">
        <f>IF(D405="","",D405&amp;"|"&amp;TEXT(COUNTIF($D$7:D405,D405),"000"))</f>
        <v>Eğlengör Ltd.Şti.|023</v>
      </c>
      <c r="O405" s="22" t="str">
        <f>IF(G405="","",G405&amp;"|"&amp;TEXT(COUNTIF($G$7:G405,G405),"000"))</f>
        <v>MERKEZ KASA|312</v>
      </c>
    </row>
    <row r="406" spans="1:15" ht="17">
      <c r="A406" s="6"/>
      <c r="B406" s="95" t="s">
        <v>1038</v>
      </c>
      <c r="C406" s="95" t="s">
        <v>495</v>
      </c>
      <c r="D406" s="96" t="s">
        <v>716</v>
      </c>
      <c r="E406" s="97">
        <v>46194</v>
      </c>
      <c r="F406" s="99">
        <v>4000</v>
      </c>
      <c r="G406" s="95" t="s">
        <v>618</v>
      </c>
      <c r="H406" s="95" t="s">
        <v>462</v>
      </c>
      <c r="I406" s="95"/>
      <c r="J406" s="96" t="s">
        <v>619</v>
      </c>
      <c r="K406" s="95"/>
      <c r="L406" s="43">
        <f t="shared" si="6"/>
        <v>46174</v>
      </c>
      <c r="M406" s="42" t="str">
        <f>IF(AND(C406="",D406="",E406="",F406=""),"",IF(OR(C406="",D406="",E406="",F406="",G406=""),"EKSİK",IF(COUNTIF(MUSTERILER!$B$7:$B$156,C406)=0,"TANIMSIZ MÜŞTERİ","UYGUN")))</f>
        <v>UYGUN</v>
      </c>
      <c r="N406" s="22" t="str">
        <f>IF(D406="","",D406&amp;"|"&amp;TEXT(COUNTIF($D$7:D406,D406),"000"))</f>
        <v>Final Siyah Beyaz Ltd.Şti.|022</v>
      </c>
      <c r="O406" s="22" t="str">
        <f>IF(G406="","",G406&amp;"|"&amp;TEXT(COUNTIF($G$7:G406,G406),"000"))</f>
        <v>MERKEZ KASA|313</v>
      </c>
    </row>
    <row r="407" spans="1:15" ht="17">
      <c r="A407" s="6"/>
      <c r="B407" s="95" t="s">
        <v>1039</v>
      </c>
      <c r="C407" s="95" t="s">
        <v>503</v>
      </c>
      <c r="D407" s="96" t="s">
        <v>621</v>
      </c>
      <c r="E407" s="97">
        <v>46194</v>
      </c>
      <c r="F407" s="99">
        <v>5000</v>
      </c>
      <c r="G407" s="95" t="s">
        <v>618</v>
      </c>
      <c r="H407" s="95" t="s">
        <v>462</v>
      </c>
      <c r="I407" s="95"/>
      <c r="J407" s="96" t="s">
        <v>619</v>
      </c>
      <c r="K407" s="95"/>
      <c r="L407" s="43">
        <f t="shared" si="6"/>
        <v>46174</v>
      </c>
      <c r="M407" s="42" t="str">
        <f>IF(AND(C407="",D407="",E407="",F407=""),"",IF(OR(C407="",D407="",E407="",F407="",G407=""),"EKSİK",IF(COUNTIF(MUSTERILER!$B$7:$B$156,C407)=0,"TANIMSIZ MÜŞTERİ","UYGUN")))</f>
        <v>UYGUN</v>
      </c>
      <c r="N407" s="22" t="str">
        <f>IF(D407="","",D407&amp;"|"&amp;TEXT(COUNTIF($D$7:D407,D407),"000"))</f>
        <v>İldeş Ltd.Şti.|024</v>
      </c>
      <c r="O407" s="22" t="str">
        <f>IF(G407="","",G407&amp;"|"&amp;TEXT(COUNTIF($G$7:G407,G407),"000"))</f>
        <v>MERKEZ KASA|314</v>
      </c>
    </row>
    <row r="408" spans="1:15" ht="17">
      <c r="A408" s="6"/>
      <c r="B408" s="95" t="s">
        <v>1040</v>
      </c>
      <c r="C408" s="95" t="s">
        <v>513</v>
      </c>
      <c r="D408" s="96" t="s">
        <v>514</v>
      </c>
      <c r="E408" s="97">
        <v>46194</v>
      </c>
      <c r="F408" s="99">
        <v>3000</v>
      </c>
      <c r="G408" s="95" t="s">
        <v>618</v>
      </c>
      <c r="H408" s="95" t="s">
        <v>462</v>
      </c>
      <c r="I408" s="95"/>
      <c r="J408" s="96" t="s">
        <v>619</v>
      </c>
      <c r="K408" s="95"/>
      <c r="L408" s="43">
        <f t="shared" si="6"/>
        <v>46174</v>
      </c>
      <c r="M408" s="42" t="str">
        <f>IF(AND(C408="",D408="",E408="",F408=""),"",IF(OR(C408="",D408="",E408="",F408="",G408=""),"EKSİK",IF(COUNTIF(MUSTERILER!$B$7:$B$156,C408)=0,"TANIMSIZ MÜŞTERİ","UYGUN")))</f>
        <v>UYGUN</v>
      </c>
      <c r="N408" s="22" t="str">
        <f>IF(D408="","",D408&amp;"|"&amp;TEXT(COUNTIF($D$7:D408,D408),"000"))</f>
        <v>KRİSTAL LTD.ŞTİ.|024</v>
      </c>
      <c r="O408" s="22" t="str">
        <f>IF(G408="","",G408&amp;"|"&amp;TEXT(COUNTIF($G$7:G408,G408),"000"))</f>
        <v>MERKEZ KASA|315</v>
      </c>
    </row>
    <row r="409" spans="1:15" ht="17">
      <c r="A409" s="6"/>
      <c r="B409" s="95" t="s">
        <v>1041</v>
      </c>
      <c r="C409" s="95" t="s">
        <v>544</v>
      </c>
      <c r="D409" s="96" t="s">
        <v>545</v>
      </c>
      <c r="E409" s="97">
        <v>46194</v>
      </c>
      <c r="F409" s="99">
        <v>1000</v>
      </c>
      <c r="G409" s="95" t="s">
        <v>618</v>
      </c>
      <c r="H409" s="95" t="s">
        <v>462</v>
      </c>
      <c r="I409" s="95"/>
      <c r="J409" s="96" t="s">
        <v>619</v>
      </c>
      <c r="K409" s="95"/>
      <c r="L409" s="43">
        <f t="shared" si="6"/>
        <v>46174</v>
      </c>
      <c r="M409" s="42" t="str">
        <f>IF(AND(C409="",D409="",E409="",F409=""),"",IF(OR(C409="",D409="",E409="",F409="",G409=""),"EKSİK",IF(COUNTIF(MUSTERILER!$B$7:$B$156,C409)=0,"TANIMSIZ MÜŞTERİ","UYGUN")))</f>
        <v>UYGUN</v>
      </c>
      <c r="N409" s="22" t="str">
        <f>IF(D409="","",D409&amp;"|"&amp;TEXT(COUNTIF($D$7:D409,D409),"000"))</f>
        <v>PALAOĞULLARI LTD.ŞTİ.|015</v>
      </c>
      <c r="O409" s="22" t="str">
        <f>IF(G409="","",G409&amp;"|"&amp;TEXT(COUNTIF($G$7:G409,G409),"000"))</f>
        <v>MERKEZ KASA|316</v>
      </c>
    </row>
    <row r="410" spans="1:15" ht="17">
      <c r="A410" s="6"/>
      <c r="B410" s="95" t="s">
        <v>1042</v>
      </c>
      <c r="C410" s="95" t="s">
        <v>544</v>
      </c>
      <c r="D410" s="96" t="s">
        <v>545</v>
      </c>
      <c r="E410" s="97">
        <v>46194</v>
      </c>
      <c r="F410" s="99">
        <v>5000</v>
      </c>
      <c r="G410" s="95" t="s">
        <v>618</v>
      </c>
      <c r="H410" s="95" t="s">
        <v>462</v>
      </c>
      <c r="I410" s="95"/>
      <c r="J410" s="96" t="s">
        <v>619</v>
      </c>
      <c r="K410" s="95"/>
      <c r="L410" s="43">
        <f t="shared" si="6"/>
        <v>46174</v>
      </c>
      <c r="M410" s="42" t="str">
        <f>IF(AND(C410="",D410="",E410="",F410=""),"",IF(OR(C410="",D410="",E410="",F410="",G410=""),"EKSİK",IF(COUNTIF(MUSTERILER!$B$7:$B$156,C410)=0,"TANIMSIZ MÜŞTERİ","UYGUN")))</f>
        <v>UYGUN</v>
      </c>
      <c r="N410" s="22" t="str">
        <f>IF(D410="","",D410&amp;"|"&amp;TEXT(COUNTIF($D$7:D410,D410),"000"))</f>
        <v>PALAOĞULLARI LTD.ŞTİ.|016</v>
      </c>
      <c r="O410" s="22" t="str">
        <f>IF(G410="","",G410&amp;"|"&amp;TEXT(COUNTIF($G$7:G410,G410),"000"))</f>
        <v>MERKEZ KASA|317</v>
      </c>
    </row>
    <row r="411" spans="1:15" ht="17">
      <c r="A411" s="6"/>
      <c r="B411" s="95" t="s">
        <v>1043</v>
      </c>
      <c r="C411" s="95" t="s">
        <v>564</v>
      </c>
      <c r="D411" s="96" t="s">
        <v>565</v>
      </c>
      <c r="E411" s="97">
        <v>46194</v>
      </c>
      <c r="F411" s="99">
        <v>4000</v>
      </c>
      <c r="G411" s="95" t="s">
        <v>618</v>
      </c>
      <c r="H411" s="95" t="s">
        <v>462</v>
      </c>
      <c r="I411" s="95"/>
      <c r="J411" s="96" t="s">
        <v>619</v>
      </c>
      <c r="K411" s="95"/>
      <c r="L411" s="43">
        <f t="shared" si="6"/>
        <v>46174</v>
      </c>
      <c r="M411" s="42" t="str">
        <f>IF(AND(C411="",D411="",E411="",F411=""),"",IF(OR(C411="",D411="",E411="",F411="",G411=""),"EKSİK",IF(COUNTIF(MUSTERILER!$B$7:$B$156,C411)=0,"TANIMSIZ MÜŞTERİ","UYGUN")))</f>
        <v>UYGUN</v>
      </c>
      <c r="N411" s="22" t="str">
        <f>IF(D411="","",D411&amp;"|"&amp;TEXT(COUNTIF($D$7:D411,D411),"000"))</f>
        <v>YALIKENT LTD.ŞTİ.|013</v>
      </c>
      <c r="O411" s="22" t="str">
        <f>IF(G411="","",G411&amp;"|"&amp;TEXT(COUNTIF($G$7:G411,G411),"000"))</f>
        <v>MERKEZ KASA|318</v>
      </c>
    </row>
    <row r="412" spans="1:15" ht="17">
      <c r="A412" s="6"/>
      <c r="B412" s="95" t="s">
        <v>1044</v>
      </c>
      <c r="C412" s="95" t="s">
        <v>515</v>
      </c>
      <c r="D412" s="96" t="s">
        <v>516</v>
      </c>
      <c r="E412" s="97">
        <v>46195</v>
      </c>
      <c r="F412" s="99">
        <v>2000</v>
      </c>
      <c r="G412" s="95" t="s">
        <v>618</v>
      </c>
      <c r="H412" s="95" t="s">
        <v>462</v>
      </c>
      <c r="I412" s="95"/>
      <c r="J412" s="96" t="s">
        <v>619</v>
      </c>
      <c r="K412" s="95"/>
      <c r="L412" s="43">
        <f t="shared" si="6"/>
        <v>46174</v>
      </c>
      <c r="M412" s="42" t="str">
        <f>IF(AND(C412="",D412="",E412="",F412=""),"",IF(OR(C412="",D412="",E412="",F412="",G412=""),"EKSİK",IF(COUNTIF(MUSTERILER!$B$7:$B$156,C412)=0,"TANIMSIZ MÜŞTERİ","UYGUN")))</f>
        <v>UYGUN</v>
      </c>
      <c r="N412" s="22" t="str">
        <f>IF(D412="","",D412&amp;"|"&amp;TEXT(COUNTIF($D$7:D412,D412),"000"))</f>
        <v>MEHMET EVREN KILINÇ|005</v>
      </c>
      <c r="O412" s="22" t="str">
        <f>IF(G412="","",G412&amp;"|"&amp;TEXT(COUNTIF($G$7:G412,G412),"000"))</f>
        <v>MERKEZ KASA|319</v>
      </c>
    </row>
    <row r="413" spans="1:15" ht="17">
      <c r="A413" s="6"/>
      <c r="B413" s="95" t="s">
        <v>1045</v>
      </c>
      <c r="C413" s="95" t="s">
        <v>493</v>
      </c>
      <c r="D413" s="96" t="s">
        <v>494</v>
      </c>
      <c r="E413" s="97">
        <v>46196</v>
      </c>
      <c r="F413" s="99">
        <v>2000</v>
      </c>
      <c r="G413" s="95" t="s">
        <v>618</v>
      </c>
      <c r="H413" s="95" t="s">
        <v>462</v>
      </c>
      <c r="I413" s="95"/>
      <c r="J413" s="96" t="s">
        <v>619</v>
      </c>
      <c r="K413" s="95"/>
      <c r="L413" s="43">
        <f t="shared" si="6"/>
        <v>46174</v>
      </c>
      <c r="M413" s="42" t="str">
        <f>IF(AND(C413="",D413="",E413="",F413=""),"",IF(OR(C413="",D413="",E413="",F413="",G413=""),"EKSİK",IF(COUNTIF(MUSTERILER!$B$7:$B$156,C413)=0,"TANIMSIZ MÜŞTERİ","UYGUN")))</f>
        <v>UYGUN</v>
      </c>
      <c r="N413" s="22" t="str">
        <f>IF(D413="","",D413&amp;"|"&amp;TEXT(COUNTIF($D$7:D413,D413),"000"))</f>
        <v>FARUK DEMİRCİ|003</v>
      </c>
      <c r="O413" s="22" t="str">
        <f>IF(G413="","",G413&amp;"|"&amp;TEXT(COUNTIF($G$7:G413,G413),"000"))</f>
        <v>MERKEZ KASA|320</v>
      </c>
    </row>
    <row r="414" spans="1:15" ht="17">
      <c r="A414" s="6"/>
      <c r="B414" s="95" t="s">
        <v>1046</v>
      </c>
      <c r="C414" s="95" t="s">
        <v>544</v>
      </c>
      <c r="D414" s="96" t="s">
        <v>545</v>
      </c>
      <c r="E414" s="97">
        <v>46196</v>
      </c>
      <c r="F414" s="99">
        <v>23600</v>
      </c>
      <c r="G414" s="95" t="s">
        <v>628</v>
      </c>
      <c r="H414" s="95" t="s">
        <v>462</v>
      </c>
      <c r="I414" s="95"/>
      <c r="J414" s="96" t="s">
        <v>1047</v>
      </c>
      <c r="K414" s="95"/>
      <c r="L414" s="43">
        <f t="shared" si="6"/>
        <v>46174</v>
      </c>
      <c r="M414" s="42" t="str">
        <f>IF(AND(C414="",D414="",E414="",F414=""),"",IF(OR(C414="",D414="",E414="",F414="",G414=""),"EKSİK",IF(COUNTIF(MUSTERILER!$B$7:$B$156,C414)=0,"TANIMSIZ MÜŞTERİ","UYGUN")))</f>
        <v>UYGUN</v>
      </c>
      <c r="N414" s="22" t="str">
        <f>IF(D414="","",D414&amp;"|"&amp;TEXT(COUNTIF($D$7:D414,D414),"000"))</f>
        <v>PALAOĞULLARI LTD.ŞTİ.|017</v>
      </c>
      <c r="O414" s="22" t="str">
        <f>IF(G414="","",G414&amp;"|"&amp;TEXT(COUNTIF($G$7:G414,G414),"000"))</f>
        <v>ÖMER KARTAL|083</v>
      </c>
    </row>
    <row r="415" spans="1:15" ht="17">
      <c r="A415" s="6"/>
      <c r="B415" s="95" t="s">
        <v>1048</v>
      </c>
      <c r="C415" s="95" t="s">
        <v>523</v>
      </c>
      <c r="D415" s="96" t="s">
        <v>524</v>
      </c>
      <c r="E415" s="97">
        <v>46198</v>
      </c>
      <c r="F415" s="99">
        <v>5000</v>
      </c>
      <c r="G415" s="95" t="s">
        <v>618</v>
      </c>
      <c r="H415" s="95" t="s">
        <v>462</v>
      </c>
      <c r="I415" s="95"/>
      <c r="J415" s="96" t="s">
        <v>619</v>
      </c>
      <c r="K415" s="95"/>
      <c r="L415" s="43">
        <f t="shared" si="6"/>
        <v>46174</v>
      </c>
      <c r="M415" s="42" t="str">
        <f>IF(AND(C415="",D415="",E415="",F415=""),"",IF(OR(C415="",D415="",E415="",F415="",G415=""),"EKSİK",IF(COUNTIF(MUSTERILER!$B$7:$B$156,C415)=0,"TANIMSIZ MÜŞTERİ","UYGUN")))</f>
        <v>UYGUN</v>
      </c>
      <c r="N415" s="22" t="str">
        <f>IF(D415="","",D415&amp;"|"&amp;TEXT(COUNTIF($D$7:D415,D415),"000"))</f>
        <v>MESUT KÖKLÜ|001</v>
      </c>
      <c r="O415" s="22" t="str">
        <f>IF(G415="","",G415&amp;"|"&amp;TEXT(COUNTIF($G$7:G415,G415),"000"))</f>
        <v>MERKEZ KASA|321</v>
      </c>
    </row>
    <row r="416" spans="1:15" ht="17">
      <c r="A416" s="6"/>
      <c r="B416" s="95" t="s">
        <v>1049</v>
      </c>
      <c r="C416" s="95" t="s">
        <v>467</v>
      </c>
      <c r="D416" s="96" t="s">
        <v>709</v>
      </c>
      <c r="E416" s="97">
        <v>46200</v>
      </c>
      <c r="F416" s="99">
        <v>4000</v>
      </c>
      <c r="G416" s="95" t="s">
        <v>618</v>
      </c>
      <c r="H416" s="95" t="s">
        <v>462</v>
      </c>
      <c r="I416" s="95"/>
      <c r="J416" s="96" t="s">
        <v>619</v>
      </c>
      <c r="K416" s="95"/>
      <c r="L416" s="43">
        <f t="shared" si="6"/>
        <v>46174</v>
      </c>
      <c r="M416" s="42" t="str">
        <f>IF(AND(C416="",D416="",E416="",F416=""),"",IF(OR(C416="",D416="",E416="",F416="",G416=""),"EKSİK",IF(COUNTIF(MUSTERILER!$B$7:$B$156,C416)=0,"TANIMSIZ MÜŞTERİ","UYGUN")))</f>
        <v>UYGUN</v>
      </c>
      <c r="N416" s="22" t="str">
        <f>IF(D416="","",D416&amp;"|"&amp;TEXT(COUNTIF($D$7:D416,D416),"000"))</f>
        <v>Ankara Havana Ltd.Şti.|012</v>
      </c>
      <c r="O416" s="22" t="str">
        <f>IF(G416="","",G416&amp;"|"&amp;TEXT(COUNTIF($G$7:G416,G416),"000"))</f>
        <v>MERKEZ KASA|322</v>
      </c>
    </row>
    <row r="417" spans="1:15" ht="17">
      <c r="A417" s="6"/>
      <c r="B417" s="95" t="s">
        <v>1050</v>
      </c>
      <c r="C417" s="95" t="s">
        <v>473</v>
      </c>
      <c r="D417" s="96" t="s">
        <v>474</v>
      </c>
      <c r="E417" s="97">
        <v>46200</v>
      </c>
      <c r="F417" s="99">
        <v>2000</v>
      </c>
      <c r="G417" s="95" t="s">
        <v>618</v>
      </c>
      <c r="H417" s="95" t="s">
        <v>462</v>
      </c>
      <c r="I417" s="95"/>
      <c r="J417" s="96" t="s">
        <v>619</v>
      </c>
      <c r="K417" s="95"/>
      <c r="L417" s="43">
        <f t="shared" si="6"/>
        <v>46174</v>
      </c>
      <c r="M417" s="42" t="str">
        <f>IF(AND(C417="",D417="",E417="",F417=""),"",IF(OR(C417="",D417="",E417="",F417="",G417=""),"EKSİK",IF(COUNTIF(MUSTERILER!$B$7:$B$156,C417)=0,"TANIMSIZ MÜŞTERİ","UYGUN")))</f>
        <v>UYGUN</v>
      </c>
      <c r="N417" s="22" t="str">
        <f>IF(D417="","",D417&amp;"|"&amp;TEXT(COUNTIF($D$7:D417,D417),"000"))</f>
        <v>ASIM AÇIKGÖZ|021</v>
      </c>
      <c r="O417" s="22" t="str">
        <f>IF(G417="","",G417&amp;"|"&amp;TEXT(COUNTIF($G$7:G417,G417),"000"))</f>
        <v>MERKEZ KASA|323</v>
      </c>
    </row>
    <row r="418" spans="1:15" ht="17">
      <c r="A418" s="6"/>
      <c r="B418" s="95" t="s">
        <v>1051</v>
      </c>
      <c r="C418" s="95" t="s">
        <v>525</v>
      </c>
      <c r="D418" s="96" t="s">
        <v>721</v>
      </c>
      <c r="E418" s="97">
        <v>46200</v>
      </c>
      <c r="F418" s="99">
        <v>3500</v>
      </c>
      <c r="G418" s="95" t="s">
        <v>628</v>
      </c>
      <c r="H418" s="95" t="s">
        <v>462</v>
      </c>
      <c r="I418" s="95"/>
      <c r="J418" s="96" t="s">
        <v>629</v>
      </c>
      <c r="K418" s="95"/>
      <c r="L418" s="43">
        <f t="shared" si="6"/>
        <v>46174</v>
      </c>
      <c r="M418" s="42" t="str">
        <f>IF(AND(C418="",D418="",E418="",F418=""),"",IF(OR(C418="",D418="",E418="",F418="",G418=""),"EKSİK",IF(COUNTIF(MUSTERILER!$B$7:$B$156,C418)=0,"TANIMSIZ MÜŞTERİ","UYGUN")))</f>
        <v>UYGUN</v>
      </c>
      <c r="N418" s="22" t="str">
        <f>IF(D418="","",D418&amp;"|"&amp;TEXT(COUNTIF($D$7:D418,D418),"000"))</f>
        <v>Monamour Ltd.Şti.|019</v>
      </c>
      <c r="O418" s="22" t="str">
        <f>IF(G418="","",G418&amp;"|"&amp;TEXT(COUNTIF($G$7:G418,G418),"000"))</f>
        <v>ÖMER KARTAL|084</v>
      </c>
    </row>
    <row r="419" spans="1:15" ht="17">
      <c r="A419" s="6"/>
      <c r="B419" s="95" t="s">
        <v>1052</v>
      </c>
      <c r="C419" s="95" t="s">
        <v>475</v>
      </c>
      <c r="D419" s="96" t="s">
        <v>476</v>
      </c>
      <c r="E419" s="97">
        <v>46200</v>
      </c>
      <c r="F419" s="99">
        <v>2500</v>
      </c>
      <c r="G419" s="95" t="s">
        <v>618</v>
      </c>
      <c r="H419" s="95" t="s">
        <v>462</v>
      </c>
      <c r="I419" s="95"/>
      <c r="J419" s="96" t="s">
        <v>619</v>
      </c>
      <c r="K419" s="95"/>
      <c r="L419" s="43">
        <f t="shared" si="6"/>
        <v>46174</v>
      </c>
      <c r="M419" s="42" t="str">
        <f>IF(AND(C419="",D419="",E419="",F419=""),"",IF(OR(C419="",D419="",E419="",F419="",G419=""),"EKSİK",IF(COUNTIF(MUSTERILER!$B$7:$B$156,C419)=0,"TANIMSIZ MÜŞTERİ","UYGUN")))</f>
        <v>UYGUN</v>
      </c>
      <c r="N419" s="22" t="str">
        <f>IF(D419="","",D419&amp;"|"&amp;TEXT(COUNTIF($D$7:D419,D419),"000"))</f>
        <v>ASM EĞLENCE LTD.ŞTİ.|022</v>
      </c>
      <c r="O419" s="22" t="str">
        <f>IF(G419="","",G419&amp;"|"&amp;TEXT(COUNTIF($G$7:G419,G419),"000"))</f>
        <v>MERKEZ KASA|324</v>
      </c>
    </row>
    <row r="420" spans="1:15" ht="17">
      <c r="A420" s="6"/>
      <c r="B420" s="95" t="s">
        <v>1053</v>
      </c>
      <c r="C420" s="95" t="s">
        <v>479</v>
      </c>
      <c r="D420" s="96" t="s">
        <v>617</v>
      </c>
      <c r="E420" s="97">
        <v>46200</v>
      </c>
      <c r="F420" s="99">
        <v>3000</v>
      </c>
      <c r="G420" s="95" t="s">
        <v>618</v>
      </c>
      <c r="H420" s="95" t="s">
        <v>462</v>
      </c>
      <c r="I420" s="95"/>
      <c r="J420" s="96" t="s">
        <v>619</v>
      </c>
      <c r="K420" s="95"/>
      <c r="L420" s="43">
        <f t="shared" si="6"/>
        <v>46174</v>
      </c>
      <c r="M420" s="42" t="str">
        <f>IF(AND(C420="",D420="",E420="",F420=""),"",IF(OR(C420="",D420="",E420="",F420="",G420=""),"EKSİK",IF(COUNTIF(MUSTERILER!$B$7:$B$156,C420)=0,"TANIMSIZ MÜŞTERİ","UYGUN")))</f>
        <v>UYGUN</v>
      </c>
      <c r="N420" s="22" t="str">
        <f>IF(D420="","",D420&amp;"|"&amp;TEXT(COUNTIF($D$7:D420,D420),"000"))</f>
        <v>Çayıralan Ltd.Şti.|023</v>
      </c>
      <c r="O420" s="22" t="str">
        <f>IF(G420="","",G420&amp;"|"&amp;TEXT(COUNTIF($G$7:G420,G420),"000"))</f>
        <v>MERKEZ KASA|325</v>
      </c>
    </row>
    <row r="421" spans="1:15" ht="17">
      <c r="A421" s="6"/>
      <c r="B421" s="95" t="s">
        <v>1054</v>
      </c>
      <c r="C421" s="95" t="s">
        <v>487</v>
      </c>
      <c r="D421" s="96" t="s">
        <v>714</v>
      </c>
      <c r="E421" s="97">
        <v>46200</v>
      </c>
      <c r="F421" s="99">
        <v>4000</v>
      </c>
      <c r="G421" s="95" t="s">
        <v>618</v>
      </c>
      <c r="H421" s="95" t="s">
        <v>462</v>
      </c>
      <c r="I421" s="95"/>
      <c r="J421" s="96" t="s">
        <v>619</v>
      </c>
      <c r="K421" s="95"/>
      <c r="L421" s="43">
        <f t="shared" si="6"/>
        <v>46174</v>
      </c>
      <c r="M421" s="42" t="str">
        <f>IF(AND(C421="",D421="",E421="",F421=""),"",IF(OR(C421="",D421="",E421="",F421="",G421=""),"EKSİK",IF(COUNTIF(MUSTERILER!$B$7:$B$156,C421)=0,"TANIMSIZ MÜŞTERİ","UYGUN")))</f>
        <v>UYGUN</v>
      </c>
      <c r="N421" s="22" t="str">
        <f>IF(D421="","",D421&amp;"|"&amp;TEXT(COUNTIF($D$7:D421,D421),"000"))</f>
        <v>Eğlengör Ltd.Şti.|024</v>
      </c>
      <c r="O421" s="22" t="str">
        <f>IF(G421="","",G421&amp;"|"&amp;TEXT(COUNTIF($G$7:G421,G421),"000"))</f>
        <v>MERKEZ KASA|326</v>
      </c>
    </row>
    <row r="422" spans="1:15" ht="17">
      <c r="A422" s="6"/>
      <c r="B422" s="95" t="s">
        <v>1055</v>
      </c>
      <c r="C422" s="95" t="s">
        <v>505</v>
      </c>
      <c r="D422" s="96" t="s">
        <v>506</v>
      </c>
      <c r="E422" s="97">
        <v>46200</v>
      </c>
      <c r="F422" s="99">
        <v>3500</v>
      </c>
      <c r="G422" s="95" t="s">
        <v>628</v>
      </c>
      <c r="H422" s="95" t="s">
        <v>462</v>
      </c>
      <c r="I422" s="95"/>
      <c r="J422" s="96" t="s">
        <v>619</v>
      </c>
      <c r="K422" s="95"/>
      <c r="L422" s="43">
        <f t="shared" si="6"/>
        <v>46174</v>
      </c>
      <c r="M422" s="42" t="str">
        <f>IF(AND(C422="",D422="",E422="",F422=""),"",IF(OR(C422="",D422="",E422="",F422="",G422=""),"EKSİK",IF(COUNTIF(MUSTERILER!$B$7:$B$156,C422)=0,"TANIMSIZ MÜŞTERİ","UYGUN")))</f>
        <v>UYGUN</v>
      </c>
      <c r="N422" s="22" t="str">
        <f>IF(D422="","",D422&amp;"|"&amp;TEXT(COUNTIF($D$7:D422,D422),"000"))</f>
        <v>İSA DEMİRCİ|006</v>
      </c>
      <c r="O422" s="22" t="str">
        <f>IF(G422="","",G422&amp;"|"&amp;TEXT(COUNTIF($G$7:G422,G422),"000"))</f>
        <v>ÖMER KARTAL|085</v>
      </c>
    </row>
    <row r="423" spans="1:15" ht="17">
      <c r="A423" s="6"/>
      <c r="B423" s="95" t="s">
        <v>1056</v>
      </c>
      <c r="C423" s="95" t="s">
        <v>495</v>
      </c>
      <c r="D423" s="96" t="s">
        <v>716</v>
      </c>
      <c r="E423" s="97">
        <v>46200</v>
      </c>
      <c r="F423" s="99">
        <v>4000</v>
      </c>
      <c r="G423" s="95" t="s">
        <v>618</v>
      </c>
      <c r="H423" s="95" t="s">
        <v>462</v>
      </c>
      <c r="I423" s="95"/>
      <c r="J423" s="96" t="s">
        <v>619</v>
      </c>
      <c r="K423" s="95"/>
      <c r="L423" s="43">
        <f t="shared" si="6"/>
        <v>46174</v>
      </c>
      <c r="M423" s="42" t="str">
        <f>IF(AND(C423="",D423="",E423="",F423=""),"",IF(OR(C423="",D423="",E423="",F423="",G423=""),"EKSİK",IF(COUNTIF(MUSTERILER!$B$7:$B$156,C423)=0,"TANIMSIZ MÜŞTERİ","UYGUN")))</f>
        <v>UYGUN</v>
      </c>
      <c r="N423" s="22" t="str">
        <f>IF(D423="","",D423&amp;"|"&amp;TEXT(COUNTIF($D$7:D423,D423),"000"))</f>
        <v>Final Siyah Beyaz Ltd.Şti.|023</v>
      </c>
      <c r="O423" s="22" t="str">
        <f>IF(G423="","",G423&amp;"|"&amp;TEXT(COUNTIF($G$7:G423,G423),"000"))</f>
        <v>MERKEZ KASA|327</v>
      </c>
    </row>
    <row r="424" spans="1:15" ht="17">
      <c r="A424" s="6"/>
      <c r="B424" s="95" t="s">
        <v>1057</v>
      </c>
      <c r="C424" s="95" t="s">
        <v>503</v>
      </c>
      <c r="D424" s="96" t="s">
        <v>621</v>
      </c>
      <c r="E424" s="97">
        <v>46200</v>
      </c>
      <c r="F424" s="99">
        <v>5000</v>
      </c>
      <c r="G424" s="95" t="s">
        <v>618</v>
      </c>
      <c r="H424" s="95" t="s">
        <v>462</v>
      </c>
      <c r="I424" s="95"/>
      <c r="J424" s="96" t="s">
        <v>619</v>
      </c>
      <c r="K424" s="95"/>
      <c r="L424" s="43">
        <f t="shared" si="6"/>
        <v>46174</v>
      </c>
      <c r="M424" s="42" t="str">
        <f>IF(AND(C424="",D424="",E424="",F424=""),"",IF(OR(C424="",D424="",E424="",F424="",G424=""),"EKSİK",IF(COUNTIF(MUSTERILER!$B$7:$B$156,C424)=0,"TANIMSIZ MÜŞTERİ","UYGUN")))</f>
        <v>UYGUN</v>
      </c>
      <c r="N424" s="22" t="str">
        <f>IF(D424="","",D424&amp;"|"&amp;TEXT(COUNTIF($D$7:D424,D424),"000"))</f>
        <v>İldeş Ltd.Şti.|025</v>
      </c>
      <c r="O424" s="22" t="str">
        <f>IF(G424="","",G424&amp;"|"&amp;TEXT(COUNTIF($G$7:G424,G424),"000"))</f>
        <v>MERKEZ KASA|328</v>
      </c>
    </row>
    <row r="425" spans="1:15" ht="17">
      <c r="A425" s="6"/>
      <c r="B425" s="95" t="s">
        <v>1058</v>
      </c>
      <c r="C425" s="95" t="s">
        <v>564</v>
      </c>
      <c r="D425" s="96" t="s">
        <v>565</v>
      </c>
      <c r="E425" s="97">
        <v>46200</v>
      </c>
      <c r="F425" s="99">
        <v>23000</v>
      </c>
      <c r="G425" s="95" t="s">
        <v>628</v>
      </c>
      <c r="H425" s="95" t="s">
        <v>462</v>
      </c>
      <c r="I425" s="95"/>
      <c r="J425" s="96" t="s">
        <v>619</v>
      </c>
      <c r="K425" s="95"/>
      <c r="L425" s="43">
        <f t="shared" si="6"/>
        <v>46174</v>
      </c>
      <c r="M425" s="42" t="str">
        <f>IF(AND(C425="",D425="",E425="",F425=""),"",IF(OR(C425="",D425="",E425="",F425="",G425=""),"EKSİK",IF(COUNTIF(MUSTERILER!$B$7:$B$156,C425)=0,"TANIMSIZ MÜŞTERİ","UYGUN")))</f>
        <v>UYGUN</v>
      </c>
      <c r="N425" s="22" t="str">
        <f>IF(D425="","",D425&amp;"|"&amp;TEXT(COUNTIF($D$7:D425,D425),"000"))</f>
        <v>YALIKENT LTD.ŞTİ.|014</v>
      </c>
      <c r="O425" s="22" t="str">
        <f>IF(G425="","",G425&amp;"|"&amp;TEXT(COUNTIF($G$7:G425,G425),"000"))</f>
        <v>ÖMER KARTAL|086</v>
      </c>
    </row>
    <row r="426" spans="1:15" ht="17">
      <c r="A426" s="6"/>
      <c r="B426" s="95" t="s">
        <v>1059</v>
      </c>
      <c r="C426" s="95" t="s">
        <v>538</v>
      </c>
      <c r="D426" s="96" t="s">
        <v>539</v>
      </c>
      <c r="E426" s="97">
        <v>46200</v>
      </c>
      <c r="F426" s="99">
        <v>3500</v>
      </c>
      <c r="G426" s="95" t="s">
        <v>628</v>
      </c>
      <c r="H426" s="95" t="s">
        <v>462</v>
      </c>
      <c r="I426" s="95"/>
      <c r="J426" s="96" t="s">
        <v>619</v>
      </c>
      <c r="K426" s="95"/>
      <c r="L426" s="43">
        <f t="shared" si="6"/>
        <v>46174</v>
      </c>
      <c r="M426" s="42" t="str">
        <f>IF(AND(C426="",D426="",E426="",F426=""),"",IF(OR(C426="",D426="",E426="",F426="",G426=""),"EKSİK",IF(COUNTIF(MUSTERILER!$B$7:$B$156,C426)=0,"TANIMSIZ MÜŞTERİ","UYGUN")))</f>
        <v>UYGUN</v>
      </c>
      <c r="N426" s="22" t="str">
        <f>IF(D426="","",D426&amp;"|"&amp;TEXT(COUNTIF($D$7:D426,D426),"000"))</f>
        <v>ÖMER DEMİRCİ|001</v>
      </c>
      <c r="O426" s="22" t="str">
        <f>IF(G426="","",G426&amp;"|"&amp;TEXT(COUNTIF($G$7:G426,G426),"000"))</f>
        <v>ÖMER KARTAL|087</v>
      </c>
    </row>
    <row r="427" spans="1:15" ht="17">
      <c r="A427" s="6"/>
      <c r="B427" s="95" t="s">
        <v>1060</v>
      </c>
      <c r="C427" s="95" t="s">
        <v>534</v>
      </c>
      <c r="D427" s="96" t="s">
        <v>724</v>
      </c>
      <c r="E427" s="97">
        <v>46200</v>
      </c>
      <c r="F427" s="99">
        <v>2000</v>
      </c>
      <c r="G427" s="95" t="s">
        <v>618</v>
      </c>
      <c r="H427" s="95" t="s">
        <v>462</v>
      </c>
      <c r="I427" s="95"/>
      <c r="J427" s="96" t="s">
        <v>619</v>
      </c>
      <c r="K427" s="95"/>
      <c r="L427" s="43">
        <f t="shared" si="6"/>
        <v>46174</v>
      </c>
      <c r="M427" s="42" t="str">
        <f>IF(AND(C427="",D427="",E427="",F427=""),"",IF(OR(C427="",D427="",E427="",F427="",G427=""),"EKSİK",IF(COUNTIF(MUSTERILER!$B$7:$B$156,C427)=0,"TANIMSIZ MÜŞTERİ","UYGUN")))</f>
        <v>UYGUN</v>
      </c>
      <c r="N427" s="22" t="str">
        <f>IF(D427="","",D427&amp;"|"&amp;TEXT(COUNTIF($D$7:D427,D427),"000"))</f>
        <v>Naz 1 Gıda Ltd.Şti.|016</v>
      </c>
      <c r="O427" s="22" t="str">
        <f>IF(G427="","",G427&amp;"|"&amp;TEXT(COUNTIF($G$7:G427,G427),"000"))</f>
        <v>MERKEZ KASA|329</v>
      </c>
    </row>
    <row r="428" spans="1:15" ht="17">
      <c r="A428" s="6"/>
      <c r="B428" s="95" t="s">
        <v>1061</v>
      </c>
      <c r="C428" s="95" t="s">
        <v>542</v>
      </c>
      <c r="D428" s="96" t="s">
        <v>726</v>
      </c>
      <c r="E428" s="97">
        <v>46200</v>
      </c>
      <c r="F428" s="99">
        <v>4000</v>
      </c>
      <c r="G428" s="95" t="s">
        <v>618</v>
      </c>
      <c r="H428" s="95" t="s">
        <v>462</v>
      </c>
      <c r="I428" s="95"/>
      <c r="J428" s="96" t="s">
        <v>619</v>
      </c>
      <c r="K428" s="95"/>
      <c r="L428" s="43">
        <f t="shared" si="6"/>
        <v>46174</v>
      </c>
      <c r="M428" s="42" t="str">
        <f>IF(AND(C428="",D428="",E428="",F428=""),"",IF(OR(C428="",D428="",E428="",F428="",G428=""),"EKSİK",IF(COUNTIF(MUSTERILER!$B$7:$B$156,C428)=0,"TANIMSIZ MÜŞTERİ","UYGUN")))</f>
        <v>UYGUN</v>
      </c>
      <c r="N428" s="22" t="str">
        <f>IF(D428="","",D428&amp;"|"&amp;TEXT(COUNTIF($D$7:D428,D428),"000"))</f>
        <v>Pakyıldız Ltd.Şti.|021</v>
      </c>
      <c r="O428" s="22" t="str">
        <f>IF(G428="","",G428&amp;"|"&amp;TEXT(COUNTIF($G$7:G428,G428),"000"))</f>
        <v>MERKEZ KASA|330</v>
      </c>
    </row>
    <row r="429" spans="1:15" ht="17">
      <c r="A429" s="6"/>
      <c r="B429" s="95" t="s">
        <v>1062</v>
      </c>
      <c r="C429" s="95" t="s">
        <v>548</v>
      </c>
      <c r="D429" s="96" t="s">
        <v>728</v>
      </c>
      <c r="E429" s="97">
        <v>46200</v>
      </c>
      <c r="F429" s="99">
        <v>3000</v>
      </c>
      <c r="G429" s="95" t="s">
        <v>618</v>
      </c>
      <c r="H429" s="95" t="s">
        <v>462</v>
      </c>
      <c r="I429" s="95"/>
      <c r="J429" s="96" t="s">
        <v>619</v>
      </c>
      <c r="K429" s="95"/>
      <c r="L429" s="43">
        <f t="shared" si="6"/>
        <v>46174</v>
      </c>
      <c r="M429" s="42" t="str">
        <f>IF(AND(C429="",D429="",E429="",F429=""),"",IF(OR(C429="",D429="",E429="",F429="",G429=""),"EKSİK",IF(COUNTIF(MUSTERILER!$B$7:$B$156,C429)=0,"TANIMSIZ MÜŞTERİ","UYGUN")))</f>
        <v>UYGUN</v>
      </c>
      <c r="N429" s="22" t="str">
        <f>IF(D429="","",D429&amp;"|"&amp;TEXT(COUNTIF($D$7:D429,D429),"000"))</f>
        <v>Rix Şow Ltd.Şti.|024</v>
      </c>
      <c r="O429" s="22" t="str">
        <f>IF(G429="","",G429&amp;"|"&amp;TEXT(COUNTIF($G$7:G429,G429),"000"))</f>
        <v>MERKEZ KASA|331</v>
      </c>
    </row>
    <row r="430" spans="1:15" ht="17">
      <c r="A430" s="6"/>
      <c r="B430" s="95" t="s">
        <v>1063</v>
      </c>
      <c r="C430" s="95" t="s">
        <v>513</v>
      </c>
      <c r="D430" s="96" t="s">
        <v>514</v>
      </c>
      <c r="E430" s="97">
        <v>46200</v>
      </c>
      <c r="F430" s="99">
        <v>3000</v>
      </c>
      <c r="G430" s="95" t="s">
        <v>618</v>
      </c>
      <c r="H430" s="95" t="s">
        <v>462</v>
      </c>
      <c r="I430" s="95"/>
      <c r="J430" s="96" t="s">
        <v>619</v>
      </c>
      <c r="K430" s="95"/>
      <c r="L430" s="43">
        <f t="shared" si="6"/>
        <v>46174</v>
      </c>
      <c r="M430" s="42" t="str">
        <f>IF(AND(C430="",D430="",E430="",F430=""),"",IF(OR(C430="",D430="",E430="",F430="",G430=""),"EKSİK",IF(COUNTIF(MUSTERILER!$B$7:$B$156,C430)=0,"TANIMSIZ MÜŞTERİ","UYGUN")))</f>
        <v>UYGUN</v>
      </c>
      <c r="N430" s="22" t="str">
        <f>IF(D430="","",D430&amp;"|"&amp;TEXT(COUNTIF($D$7:D430,D430),"000"))</f>
        <v>KRİSTAL LTD.ŞTİ.|025</v>
      </c>
      <c r="O430" s="22" t="str">
        <f>IF(G430="","",G430&amp;"|"&amp;TEXT(COUNTIF($G$7:G430,G430),"000"))</f>
        <v>MERKEZ KASA|332</v>
      </c>
    </row>
    <row r="431" spans="1:15" ht="17">
      <c r="A431" s="6"/>
      <c r="B431" s="95" t="s">
        <v>1064</v>
      </c>
      <c r="C431" s="95" t="s">
        <v>564</v>
      </c>
      <c r="D431" s="96" t="s">
        <v>565</v>
      </c>
      <c r="E431" s="97">
        <v>46200</v>
      </c>
      <c r="F431" s="99">
        <v>4000</v>
      </c>
      <c r="G431" s="95" t="s">
        <v>618</v>
      </c>
      <c r="H431" s="95" t="s">
        <v>462</v>
      </c>
      <c r="I431" s="95"/>
      <c r="J431" s="96" t="s">
        <v>619</v>
      </c>
      <c r="K431" s="95"/>
      <c r="L431" s="43">
        <f t="shared" si="6"/>
        <v>46174</v>
      </c>
      <c r="M431" s="42" t="str">
        <f>IF(AND(C431="",D431="",E431="",F431=""),"",IF(OR(C431="",D431="",E431="",F431="",G431=""),"EKSİK",IF(COUNTIF(MUSTERILER!$B$7:$B$156,C431)=0,"TANIMSIZ MÜŞTERİ","UYGUN")))</f>
        <v>UYGUN</v>
      </c>
      <c r="N431" s="22" t="str">
        <f>IF(D431="","",D431&amp;"|"&amp;TEXT(COUNTIF($D$7:D431,D431),"000"))</f>
        <v>YALIKENT LTD.ŞTİ.|015</v>
      </c>
      <c r="O431" s="22" t="str">
        <f>IF(G431="","",G431&amp;"|"&amp;TEXT(COUNTIF($G$7:G431,G431),"000"))</f>
        <v>MERKEZ KASA|333</v>
      </c>
    </row>
    <row r="432" spans="1:15" ht="17">
      <c r="A432" s="6"/>
      <c r="B432" s="95" t="s">
        <v>1065</v>
      </c>
      <c r="C432" s="95" t="s">
        <v>566</v>
      </c>
      <c r="D432" s="96" t="s">
        <v>567</v>
      </c>
      <c r="E432" s="97">
        <v>46203</v>
      </c>
      <c r="F432" s="99">
        <v>6000</v>
      </c>
      <c r="G432" s="95" t="s">
        <v>618</v>
      </c>
      <c r="H432" s="95" t="s">
        <v>462</v>
      </c>
      <c r="I432" s="95"/>
      <c r="J432" s="96" t="s">
        <v>619</v>
      </c>
      <c r="K432" s="95"/>
      <c r="L432" s="43">
        <f t="shared" si="6"/>
        <v>46174</v>
      </c>
      <c r="M432" s="42" t="str">
        <f>IF(AND(C432="",D432="",E432="",F432=""),"",IF(OR(C432="",D432="",E432="",F432="",G432=""),"EKSİK",IF(COUNTIF(MUSTERILER!$B$7:$B$156,C432)=0,"TANIMSIZ MÜŞTERİ","UYGUN")))</f>
        <v>UYGUN</v>
      </c>
      <c r="N432" s="22" t="str">
        <f>IF(D432="","",D432&amp;"|"&amp;TEXT(COUNTIF($D$7:D432,D432),"000"))</f>
        <v>YEDİYİRMİDÖRT LTD.ŞTİ.|004</v>
      </c>
      <c r="O432" s="22" t="str">
        <f>IF(G432="","",G432&amp;"|"&amp;TEXT(COUNTIF($G$7:G432,G432),"000"))</f>
        <v>MERKEZ KASA|334</v>
      </c>
    </row>
    <row r="433" spans="1:15" ht="17">
      <c r="A433" s="6"/>
      <c r="B433" s="95" t="s">
        <v>1066</v>
      </c>
      <c r="C433" s="95" t="s">
        <v>465</v>
      </c>
      <c r="D433" s="96" t="s">
        <v>466</v>
      </c>
      <c r="E433" s="97">
        <v>46204</v>
      </c>
      <c r="F433" s="99">
        <v>12000</v>
      </c>
      <c r="G433" s="95" t="s">
        <v>628</v>
      </c>
      <c r="H433" s="95" t="s">
        <v>462</v>
      </c>
      <c r="I433" s="95"/>
      <c r="J433" s="96" t="s">
        <v>684</v>
      </c>
      <c r="K433" s="95"/>
      <c r="L433" s="43">
        <f t="shared" si="6"/>
        <v>46204</v>
      </c>
      <c r="M433" s="42" t="str">
        <f>IF(AND(C433="",D433="",E433="",F433=""),"",IF(OR(C433="",D433="",E433="",F433="",G433=""),"EKSİK",IF(COUNTIF(MUSTERILER!$B$7:$B$156,C433)=0,"TANIMSIZ MÜŞTERİ","UYGUN")))</f>
        <v>UYGUN</v>
      </c>
      <c r="N433" s="22" t="str">
        <f>IF(D433="","",D433&amp;"|"&amp;TEXT(COUNTIF($D$7:D433,D433),"000"))</f>
        <v>ALTINEL LTD.ŞTİ.|007</v>
      </c>
      <c r="O433" s="22" t="str">
        <f>IF(G433="","",G433&amp;"|"&amp;TEXT(COUNTIF($G$7:G433,G433),"000"))</f>
        <v>ÖMER KARTAL|088</v>
      </c>
    </row>
    <row r="434" spans="1:15" ht="17">
      <c r="A434" s="6"/>
      <c r="B434" s="95" t="s">
        <v>1067</v>
      </c>
      <c r="C434" s="95" t="s">
        <v>481</v>
      </c>
      <c r="D434" s="96" t="s">
        <v>482</v>
      </c>
      <c r="E434" s="97">
        <v>46204</v>
      </c>
      <c r="F434" s="99">
        <v>2500</v>
      </c>
      <c r="G434" s="95" t="s">
        <v>612</v>
      </c>
      <c r="H434" s="95" t="s">
        <v>613</v>
      </c>
      <c r="I434" s="95"/>
      <c r="J434" s="96" t="s">
        <v>840</v>
      </c>
      <c r="K434" s="95"/>
      <c r="L434" s="43">
        <f t="shared" si="6"/>
        <v>46204</v>
      </c>
      <c r="M434" s="42" t="str">
        <f>IF(AND(C434="",D434="",E434="",F434=""),"",IF(OR(C434="",D434="",E434="",F434="",G434=""),"EKSİK",IF(COUNTIF(MUSTERILER!$B$7:$B$156,C434)=0,"TANIMSIZ MÜŞTERİ","UYGUN")))</f>
        <v>UYGUN</v>
      </c>
      <c r="N434" s="22" t="str">
        <f>IF(D434="","",D434&amp;"|"&amp;TEXT(COUNTIF($D$7:D434,D434),"000"))</f>
        <v>CEREN DEMİRCİ|005</v>
      </c>
      <c r="O434" s="22" t="str">
        <f>IF(G434="","",G434&amp;"|"&amp;TEXT(COUNTIF($G$7:G434,G434),"000"))</f>
        <v>CARİ MAHSUP|006</v>
      </c>
    </row>
    <row r="435" spans="1:15" ht="17">
      <c r="A435" s="6"/>
      <c r="B435" s="95" t="s">
        <v>1068</v>
      </c>
      <c r="C435" s="95" t="s">
        <v>473</v>
      </c>
      <c r="D435" s="96" t="s">
        <v>474</v>
      </c>
      <c r="E435" s="97">
        <v>46207</v>
      </c>
      <c r="F435" s="99">
        <v>2000</v>
      </c>
      <c r="G435" s="95" t="s">
        <v>628</v>
      </c>
      <c r="H435" s="95" t="s">
        <v>462</v>
      </c>
      <c r="I435" s="95"/>
      <c r="J435" s="96" t="s">
        <v>619</v>
      </c>
      <c r="K435" s="95"/>
      <c r="L435" s="43">
        <f t="shared" si="6"/>
        <v>46204</v>
      </c>
      <c r="M435" s="42" t="str">
        <f>IF(AND(C435="",D435="",E435="",F435=""),"",IF(OR(C435="",D435="",E435="",F435="",G435=""),"EKSİK",IF(COUNTIF(MUSTERILER!$B$7:$B$156,C435)=0,"TANIMSIZ MÜŞTERİ","UYGUN")))</f>
        <v>UYGUN</v>
      </c>
      <c r="N435" s="22" t="str">
        <f>IF(D435="","",D435&amp;"|"&amp;TEXT(COUNTIF($D$7:D435,D435),"000"))</f>
        <v>ASIM AÇIKGÖZ|022</v>
      </c>
      <c r="O435" s="22" t="str">
        <f>IF(G435="","",G435&amp;"|"&amp;TEXT(COUNTIF($G$7:G435,G435),"000"))</f>
        <v>ÖMER KARTAL|089</v>
      </c>
    </row>
    <row r="436" spans="1:15" ht="17">
      <c r="A436" s="6"/>
      <c r="B436" s="95" t="s">
        <v>1069</v>
      </c>
      <c r="C436" s="95" t="s">
        <v>475</v>
      </c>
      <c r="D436" s="96" t="s">
        <v>476</v>
      </c>
      <c r="E436" s="97">
        <v>46207</v>
      </c>
      <c r="F436" s="99">
        <v>2500</v>
      </c>
      <c r="G436" s="95" t="s">
        <v>628</v>
      </c>
      <c r="H436" s="95" t="s">
        <v>462</v>
      </c>
      <c r="I436" s="95"/>
      <c r="J436" s="96" t="s">
        <v>619</v>
      </c>
      <c r="K436" s="95"/>
      <c r="L436" s="43">
        <f t="shared" si="6"/>
        <v>46204</v>
      </c>
      <c r="M436" s="42" t="str">
        <f>IF(AND(C436="",D436="",E436="",F436=""),"",IF(OR(C436="",D436="",E436="",F436="",G436=""),"EKSİK",IF(COUNTIF(MUSTERILER!$B$7:$B$156,C436)=0,"TANIMSIZ MÜŞTERİ","UYGUN")))</f>
        <v>UYGUN</v>
      </c>
      <c r="N436" s="22" t="str">
        <f>IF(D436="","",D436&amp;"|"&amp;TEXT(COUNTIF($D$7:D436,D436),"000"))</f>
        <v>ASM EĞLENCE LTD.ŞTİ.|023</v>
      </c>
      <c r="O436" s="22" t="str">
        <f>IF(G436="","",G436&amp;"|"&amp;TEXT(COUNTIF($G$7:G436,G436),"000"))</f>
        <v>ÖMER KARTAL|090</v>
      </c>
    </row>
    <row r="437" spans="1:15" ht="17">
      <c r="A437" s="6"/>
      <c r="B437" s="95" t="s">
        <v>1070</v>
      </c>
      <c r="C437" s="95" t="s">
        <v>479</v>
      </c>
      <c r="D437" s="96" t="s">
        <v>617</v>
      </c>
      <c r="E437" s="97">
        <v>46207</v>
      </c>
      <c r="F437" s="99">
        <v>3000</v>
      </c>
      <c r="G437" s="95" t="s">
        <v>628</v>
      </c>
      <c r="H437" s="95" t="s">
        <v>462</v>
      </c>
      <c r="I437" s="95"/>
      <c r="J437" s="96" t="s">
        <v>629</v>
      </c>
      <c r="K437" s="95"/>
      <c r="L437" s="43">
        <f t="shared" si="6"/>
        <v>46204</v>
      </c>
      <c r="M437" s="42" t="str">
        <f>IF(AND(C437="",D437="",E437="",F437=""),"",IF(OR(C437="",D437="",E437="",F437="",G437=""),"EKSİK",IF(COUNTIF(MUSTERILER!$B$7:$B$156,C437)=0,"TANIMSIZ MÜŞTERİ","UYGUN")))</f>
        <v>UYGUN</v>
      </c>
      <c r="N437" s="22" t="str">
        <f>IF(D437="","",D437&amp;"|"&amp;TEXT(COUNTIF($D$7:D437,D437),"000"))</f>
        <v>Çayıralan Ltd.Şti.|024</v>
      </c>
      <c r="O437" s="22" t="str">
        <f>IF(G437="","",G437&amp;"|"&amp;TEXT(COUNTIF($G$7:G437,G437),"000"))</f>
        <v>ÖMER KARTAL|091</v>
      </c>
    </row>
    <row r="438" spans="1:15" ht="17">
      <c r="A438" s="6"/>
      <c r="B438" s="95" t="s">
        <v>1071</v>
      </c>
      <c r="C438" s="95" t="s">
        <v>487</v>
      </c>
      <c r="D438" s="96" t="s">
        <v>714</v>
      </c>
      <c r="E438" s="97">
        <v>46207</v>
      </c>
      <c r="F438" s="99">
        <v>4000</v>
      </c>
      <c r="G438" s="95" t="s">
        <v>628</v>
      </c>
      <c r="H438" s="95" t="s">
        <v>462</v>
      </c>
      <c r="I438" s="95"/>
      <c r="J438" s="96" t="s">
        <v>629</v>
      </c>
      <c r="K438" s="95"/>
      <c r="L438" s="43">
        <f t="shared" si="6"/>
        <v>46204</v>
      </c>
      <c r="M438" s="42" t="str">
        <f>IF(AND(C438="",D438="",E438="",F438=""),"",IF(OR(C438="",D438="",E438="",F438="",G438=""),"EKSİK",IF(COUNTIF(MUSTERILER!$B$7:$B$156,C438)=0,"TANIMSIZ MÜŞTERİ","UYGUN")))</f>
        <v>UYGUN</v>
      </c>
      <c r="N438" s="22" t="str">
        <f>IF(D438="","",D438&amp;"|"&amp;TEXT(COUNTIF($D$7:D438,D438),"000"))</f>
        <v>Eğlengör Ltd.Şti.|025</v>
      </c>
      <c r="O438" s="22" t="str">
        <f>IF(G438="","",G438&amp;"|"&amp;TEXT(COUNTIF($G$7:G438,G438),"000"))</f>
        <v>ÖMER KARTAL|092</v>
      </c>
    </row>
    <row r="439" spans="1:15" ht="17">
      <c r="A439" s="6"/>
      <c r="B439" s="95" t="s">
        <v>1072</v>
      </c>
      <c r="C439" s="95" t="s">
        <v>495</v>
      </c>
      <c r="D439" s="96" t="s">
        <v>716</v>
      </c>
      <c r="E439" s="97">
        <v>46207</v>
      </c>
      <c r="F439" s="99">
        <v>4000</v>
      </c>
      <c r="G439" s="95" t="s">
        <v>628</v>
      </c>
      <c r="H439" s="95" t="s">
        <v>462</v>
      </c>
      <c r="I439" s="95"/>
      <c r="J439" s="96" t="s">
        <v>629</v>
      </c>
      <c r="K439" s="95"/>
      <c r="L439" s="43">
        <f t="shared" si="6"/>
        <v>46204</v>
      </c>
      <c r="M439" s="42" t="str">
        <f>IF(AND(C439="",D439="",E439="",F439=""),"",IF(OR(C439="",D439="",E439="",F439="",G439=""),"EKSİK",IF(COUNTIF(MUSTERILER!$B$7:$B$156,C439)=0,"TANIMSIZ MÜŞTERİ","UYGUN")))</f>
        <v>UYGUN</v>
      </c>
      <c r="N439" s="22" t="str">
        <f>IF(D439="","",D439&amp;"|"&amp;TEXT(COUNTIF($D$7:D439,D439),"000"))</f>
        <v>Final Siyah Beyaz Ltd.Şti.|024</v>
      </c>
      <c r="O439" s="22" t="str">
        <f>IF(G439="","",G439&amp;"|"&amp;TEXT(COUNTIF($G$7:G439,G439),"000"))</f>
        <v>ÖMER KARTAL|093</v>
      </c>
    </row>
    <row r="440" spans="1:15" ht="17">
      <c r="A440" s="6"/>
      <c r="B440" s="95" t="s">
        <v>1073</v>
      </c>
      <c r="C440" s="95" t="s">
        <v>534</v>
      </c>
      <c r="D440" s="96" t="s">
        <v>724</v>
      </c>
      <c r="E440" s="97">
        <v>46207</v>
      </c>
      <c r="F440" s="99">
        <v>2000</v>
      </c>
      <c r="G440" s="95" t="s">
        <v>628</v>
      </c>
      <c r="H440" s="95" t="s">
        <v>462</v>
      </c>
      <c r="I440" s="95"/>
      <c r="J440" s="96" t="s">
        <v>629</v>
      </c>
      <c r="K440" s="95"/>
      <c r="L440" s="43">
        <f t="shared" si="6"/>
        <v>46204</v>
      </c>
      <c r="M440" s="42" t="str">
        <f>IF(AND(C440="",D440="",E440="",F440=""),"",IF(OR(C440="",D440="",E440="",F440="",G440=""),"EKSİK",IF(COUNTIF(MUSTERILER!$B$7:$B$156,C440)=0,"TANIMSIZ MÜŞTERİ","UYGUN")))</f>
        <v>UYGUN</v>
      </c>
      <c r="N440" s="22" t="str">
        <f>IF(D440="","",D440&amp;"|"&amp;TEXT(COUNTIF($D$7:D440,D440),"000"))</f>
        <v>Naz 1 Gıda Ltd.Şti.|017</v>
      </c>
      <c r="O440" s="22" t="str">
        <f>IF(G440="","",G440&amp;"|"&amp;TEXT(COUNTIF($G$7:G440,G440),"000"))</f>
        <v>ÖMER KARTAL|094</v>
      </c>
    </row>
    <row r="441" spans="1:15" ht="17">
      <c r="A441" s="6"/>
      <c r="B441" s="95" t="s">
        <v>1074</v>
      </c>
      <c r="C441" s="95" t="s">
        <v>542</v>
      </c>
      <c r="D441" s="96" t="s">
        <v>726</v>
      </c>
      <c r="E441" s="97">
        <v>46207</v>
      </c>
      <c r="F441" s="99">
        <v>4000</v>
      </c>
      <c r="G441" s="95" t="s">
        <v>628</v>
      </c>
      <c r="H441" s="95" t="s">
        <v>462</v>
      </c>
      <c r="I441" s="95"/>
      <c r="J441" s="96" t="s">
        <v>629</v>
      </c>
      <c r="K441" s="95"/>
      <c r="L441" s="43">
        <f t="shared" si="6"/>
        <v>46204</v>
      </c>
      <c r="M441" s="42" t="str">
        <f>IF(AND(C441="",D441="",E441="",F441=""),"",IF(OR(C441="",D441="",E441="",F441="",G441=""),"EKSİK",IF(COUNTIF(MUSTERILER!$B$7:$B$156,C441)=0,"TANIMSIZ MÜŞTERİ","UYGUN")))</f>
        <v>UYGUN</v>
      </c>
      <c r="N441" s="22" t="str">
        <f>IF(D441="","",D441&amp;"|"&amp;TEXT(COUNTIF($D$7:D441,D441),"000"))</f>
        <v>Pakyıldız Ltd.Şti.|022</v>
      </c>
      <c r="O441" s="22" t="str">
        <f>IF(G441="","",G441&amp;"|"&amp;TEXT(COUNTIF($G$7:G441,G441),"000"))</f>
        <v>ÖMER KARTAL|095</v>
      </c>
    </row>
    <row r="442" spans="1:15" ht="17">
      <c r="A442" s="6"/>
      <c r="B442" s="95" t="s">
        <v>1075</v>
      </c>
      <c r="C442" s="95" t="s">
        <v>548</v>
      </c>
      <c r="D442" s="96" t="s">
        <v>728</v>
      </c>
      <c r="E442" s="97">
        <v>46207</v>
      </c>
      <c r="F442" s="99">
        <v>3000</v>
      </c>
      <c r="G442" s="95" t="s">
        <v>628</v>
      </c>
      <c r="H442" s="95" t="s">
        <v>462</v>
      </c>
      <c r="I442" s="95"/>
      <c r="J442" s="96" t="s">
        <v>629</v>
      </c>
      <c r="K442" s="95"/>
      <c r="L442" s="43">
        <f t="shared" si="6"/>
        <v>46204</v>
      </c>
      <c r="M442" s="42" t="str">
        <f>IF(AND(C442="",D442="",E442="",F442=""),"",IF(OR(C442="",D442="",E442="",F442="",G442=""),"EKSİK",IF(COUNTIF(MUSTERILER!$B$7:$B$156,C442)=0,"TANIMSIZ MÜŞTERİ","UYGUN")))</f>
        <v>UYGUN</v>
      </c>
      <c r="N442" s="22" t="str">
        <f>IF(D442="","",D442&amp;"|"&amp;TEXT(COUNTIF($D$7:D442,D442),"000"))</f>
        <v>Rix Şow Ltd.Şti.|025</v>
      </c>
      <c r="O442" s="22" t="str">
        <f>IF(G442="","",G442&amp;"|"&amp;TEXT(COUNTIF($G$7:G442,G442),"000"))</f>
        <v>ÖMER KARTAL|096</v>
      </c>
    </row>
    <row r="443" spans="1:15" ht="17">
      <c r="A443" s="6"/>
      <c r="B443" s="95" t="s">
        <v>1076</v>
      </c>
      <c r="C443" s="95" t="s">
        <v>564</v>
      </c>
      <c r="D443" s="96" t="s">
        <v>565</v>
      </c>
      <c r="E443" s="97">
        <v>46207</v>
      </c>
      <c r="F443" s="99">
        <v>5000</v>
      </c>
      <c r="G443" s="95" t="s">
        <v>628</v>
      </c>
      <c r="H443" s="95" t="s">
        <v>462</v>
      </c>
      <c r="I443" s="95"/>
      <c r="J443" s="96" t="s">
        <v>1077</v>
      </c>
      <c r="K443" s="95"/>
      <c r="L443" s="43">
        <f t="shared" si="6"/>
        <v>46204</v>
      </c>
      <c r="M443" s="42" t="str">
        <f>IF(AND(C443="",D443="",E443="",F443=""),"",IF(OR(C443="",D443="",E443="",F443="",G443=""),"EKSİK",IF(COUNTIF(MUSTERILER!$B$7:$B$156,C443)=0,"TANIMSIZ MÜŞTERİ","UYGUN")))</f>
        <v>UYGUN</v>
      </c>
      <c r="N443" s="22" t="str">
        <f>IF(D443="","",D443&amp;"|"&amp;TEXT(COUNTIF($D$7:D443,D443),"000"))</f>
        <v>YALIKENT LTD.ŞTİ.|016</v>
      </c>
      <c r="O443" s="22" t="str">
        <f>IF(G443="","",G443&amp;"|"&amp;TEXT(COUNTIF($G$7:G443,G443),"000"))</f>
        <v>ÖMER KARTAL|097</v>
      </c>
    </row>
    <row r="444" spans="1:15" ht="17">
      <c r="A444" s="6"/>
      <c r="B444" s="95" t="s">
        <v>1078</v>
      </c>
      <c r="C444" s="95" t="s">
        <v>513</v>
      </c>
      <c r="D444" s="96" t="s">
        <v>514</v>
      </c>
      <c r="E444" s="97">
        <v>46207</v>
      </c>
      <c r="F444" s="99">
        <v>3000</v>
      </c>
      <c r="G444" s="95" t="s">
        <v>618</v>
      </c>
      <c r="H444" s="95" t="s">
        <v>462</v>
      </c>
      <c r="I444" s="95"/>
      <c r="J444" s="96" t="s">
        <v>619</v>
      </c>
      <c r="K444" s="95"/>
      <c r="L444" s="43">
        <f t="shared" si="6"/>
        <v>46204</v>
      </c>
      <c r="M444" s="42" t="str">
        <f>IF(AND(C444="",D444="",E444="",F444=""),"",IF(OR(C444="",D444="",E444="",F444="",G444=""),"EKSİK",IF(COUNTIF(MUSTERILER!$B$7:$B$156,C444)=0,"TANIMSIZ MÜŞTERİ","UYGUN")))</f>
        <v>UYGUN</v>
      </c>
      <c r="N444" s="22" t="str">
        <f>IF(D444="","",D444&amp;"|"&amp;TEXT(COUNTIF($D$7:D444,D444),"000"))</f>
        <v>KRİSTAL LTD.ŞTİ.|026</v>
      </c>
      <c r="O444" s="22" t="str">
        <f>IF(G444="","",G444&amp;"|"&amp;TEXT(COUNTIF($G$7:G444,G444),"000"))</f>
        <v>MERKEZ KASA|335</v>
      </c>
    </row>
    <row r="445" spans="1:15" ht="17">
      <c r="A445" s="6"/>
      <c r="B445" s="95" t="s">
        <v>1079</v>
      </c>
      <c r="C445" s="95" t="s">
        <v>473</v>
      </c>
      <c r="D445" s="96" t="s">
        <v>474</v>
      </c>
      <c r="E445" s="97">
        <v>46214</v>
      </c>
      <c r="F445" s="99">
        <v>2000</v>
      </c>
      <c r="G445" s="95" t="s">
        <v>628</v>
      </c>
      <c r="H445" s="95" t="s">
        <v>462</v>
      </c>
      <c r="I445" s="95"/>
      <c r="J445" s="96" t="s">
        <v>619</v>
      </c>
      <c r="K445" s="95"/>
      <c r="L445" s="43">
        <f t="shared" si="6"/>
        <v>46204</v>
      </c>
      <c r="M445" s="42" t="str">
        <f>IF(AND(C445="",D445="",E445="",F445=""),"",IF(OR(C445="",D445="",E445="",F445="",G445=""),"EKSİK",IF(COUNTIF(MUSTERILER!$B$7:$B$156,C445)=0,"TANIMSIZ MÜŞTERİ","UYGUN")))</f>
        <v>UYGUN</v>
      </c>
      <c r="N445" s="22" t="str">
        <f>IF(D445="","",D445&amp;"|"&amp;TEXT(COUNTIF($D$7:D445,D445),"000"))</f>
        <v>ASIM AÇIKGÖZ|023</v>
      </c>
      <c r="O445" s="22" t="str">
        <f>IF(G445="","",G445&amp;"|"&amp;TEXT(COUNTIF($G$7:G445,G445),"000"))</f>
        <v>ÖMER KARTAL|098</v>
      </c>
    </row>
    <row r="446" spans="1:15" ht="17">
      <c r="A446" s="6"/>
      <c r="B446" s="95" t="s">
        <v>1080</v>
      </c>
      <c r="C446" s="95" t="s">
        <v>475</v>
      </c>
      <c r="D446" s="96" t="s">
        <v>476</v>
      </c>
      <c r="E446" s="97">
        <v>46214</v>
      </c>
      <c r="F446" s="99">
        <v>2500</v>
      </c>
      <c r="G446" s="95" t="s">
        <v>628</v>
      </c>
      <c r="H446" s="95" t="s">
        <v>462</v>
      </c>
      <c r="I446" s="95"/>
      <c r="J446" s="96" t="s">
        <v>619</v>
      </c>
      <c r="K446" s="95"/>
      <c r="L446" s="43">
        <f t="shared" si="6"/>
        <v>46204</v>
      </c>
      <c r="M446" s="42" t="str">
        <f>IF(AND(C446="",D446="",E446="",F446=""),"",IF(OR(C446="",D446="",E446="",F446="",G446=""),"EKSİK",IF(COUNTIF(MUSTERILER!$B$7:$B$156,C446)=0,"TANIMSIZ MÜŞTERİ","UYGUN")))</f>
        <v>UYGUN</v>
      </c>
      <c r="N446" s="22" t="str">
        <f>IF(D446="","",D446&amp;"|"&amp;TEXT(COUNTIF($D$7:D446,D446),"000"))</f>
        <v>ASM EĞLENCE LTD.ŞTİ.|024</v>
      </c>
      <c r="O446" s="22" t="str">
        <f>IF(G446="","",G446&amp;"|"&amp;TEXT(COUNTIF($G$7:G446,G446),"000"))</f>
        <v>ÖMER KARTAL|099</v>
      </c>
    </row>
    <row r="447" spans="1:15" ht="17">
      <c r="A447" s="6"/>
      <c r="B447" s="95" t="s">
        <v>1081</v>
      </c>
      <c r="C447" s="95" t="s">
        <v>479</v>
      </c>
      <c r="D447" s="96" t="s">
        <v>617</v>
      </c>
      <c r="E447" s="97">
        <v>46214</v>
      </c>
      <c r="F447" s="99">
        <v>3000</v>
      </c>
      <c r="G447" s="95" t="s">
        <v>628</v>
      </c>
      <c r="H447" s="95" t="s">
        <v>462</v>
      </c>
      <c r="I447" s="95"/>
      <c r="J447" s="96" t="s">
        <v>629</v>
      </c>
      <c r="K447" s="95"/>
      <c r="L447" s="43">
        <f t="shared" si="6"/>
        <v>46204</v>
      </c>
      <c r="M447" s="42" t="str">
        <f>IF(AND(C447="",D447="",E447="",F447=""),"",IF(OR(C447="",D447="",E447="",F447="",G447=""),"EKSİK",IF(COUNTIF(MUSTERILER!$B$7:$B$156,C447)=0,"TANIMSIZ MÜŞTERİ","UYGUN")))</f>
        <v>UYGUN</v>
      </c>
      <c r="N447" s="22" t="str">
        <f>IF(D447="","",D447&amp;"|"&amp;TEXT(COUNTIF($D$7:D447,D447),"000"))</f>
        <v>Çayıralan Ltd.Şti.|025</v>
      </c>
      <c r="O447" s="22" t="str">
        <f>IF(G447="","",G447&amp;"|"&amp;TEXT(COUNTIF($G$7:G447,G447),"000"))</f>
        <v>ÖMER KARTAL|100</v>
      </c>
    </row>
    <row r="448" spans="1:15" ht="17">
      <c r="A448" s="6"/>
      <c r="B448" s="95" t="s">
        <v>1082</v>
      </c>
      <c r="C448" s="95" t="s">
        <v>487</v>
      </c>
      <c r="D448" s="96" t="s">
        <v>714</v>
      </c>
      <c r="E448" s="97">
        <v>46214</v>
      </c>
      <c r="F448" s="99">
        <v>4000</v>
      </c>
      <c r="G448" s="95" t="s">
        <v>628</v>
      </c>
      <c r="H448" s="95" t="s">
        <v>462</v>
      </c>
      <c r="I448" s="95"/>
      <c r="J448" s="96" t="s">
        <v>629</v>
      </c>
      <c r="K448" s="95"/>
      <c r="L448" s="43">
        <f t="shared" si="6"/>
        <v>46204</v>
      </c>
      <c r="M448" s="42" t="str">
        <f>IF(AND(C448="",D448="",E448="",F448=""),"",IF(OR(C448="",D448="",E448="",F448="",G448=""),"EKSİK",IF(COUNTIF(MUSTERILER!$B$7:$B$156,C448)=0,"TANIMSIZ MÜŞTERİ","UYGUN")))</f>
        <v>UYGUN</v>
      </c>
      <c r="N448" s="22" t="str">
        <f>IF(D448="","",D448&amp;"|"&amp;TEXT(COUNTIF($D$7:D448,D448),"000"))</f>
        <v>Eğlengör Ltd.Şti.|026</v>
      </c>
      <c r="O448" s="22" t="str">
        <f>IF(G448="","",G448&amp;"|"&amp;TEXT(COUNTIF($G$7:G448,G448),"000"))</f>
        <v>ÖMER KARTAL|101</v>
      </c>
    </row>
    <row r="449" spans="1:15" ht="17">
      <c r="A449" s="6"/>
      <c r="B449" s="95" t="s">
        <v>1083</v>
      </c>
      <c r="C449" s="95" t="s">
        <v>495</v>
      </c>
      <c r="D449" s="96" t="s">
        <v>716</v>
      </c>
      <c r="E449" s="97">
        <v>46214</v>
      </c>
      <c r="F449" s="99">
        <v>4000</v>
      </c>
      <c r="G449" s="95" t="s">
        <v>628</v>
      </c>
      <c r="H449" s="95" t="s">
        <v>462</v>
      </c>
      <c r="I449" s="95"/>
      <c r="J449" s="96" t="s">
        <v>629</v>
      </c>
      <c r="K449" s="95"/>
      <c r="L449" s="43">
        <f t="shared" si="6"/>
        <v>46204</v>
      </c>
      <c r="M449" s="42" t="str">
        <f>IF(AND(C449="",D449="",E449="",F449=""),"",IF(OR(C449="",D449="",E449="",F449="",G449=""),"EKSİK",IF(COUNTIF(MUSTERILER!$B$7:$B$156,C449)=0,"TANIMSIZ MÜŞTERİ","UYGUN")))</f>
        <v>UYGUN</v>
      </c>
      <c r="N449" s="22" t="str">
        <f>IF(D449="","",D449&amp;"|"&amp;TEXT(COUNTIF($D$7:D449,D449),"000"))</f>
        <v>Final Siyah Beyaz Ltd.Şti.|025</v>
      </c>
      <c r="O449" s="22" t="str">
        <f>IF(G449="","",G449&amp;"|"&amp;TEXT(COUNTIF($G$7:G449,G449),"000"))</f>
        <v>ÖMER KARTAL|102</v>
      </c>
    </row>
    <row r="450" spans="1:15" ht="17">
      <c r="A450" s="6"/>
      <c r="B450" s="95" t="s">
        <v>1084</v>
      </c>
      <c r="C450" s="95" t="s">
        <v>534</v>
      </c>
      <c r="D450" s="96" t="s">
        <v>724</v>
      </c>
      <c r="E450" s="97">
        <v>46214</v>
      </c>
      <c r="F450" s="99">
        <v>2000</v>
      </c>
      <c r="G450" s="95" t="s">
        <v>628</v>
      </c>
      <c r="H450" s="95" t="s">
        <v>462</v>
      </c>
      <c r="I450" s="95"/>
      <c r="J450" s="96" t="s">
        <v>629</v>
      </c>
      <c r="K450" s="95"/>
      <c r="L450" s="43">
        <f t="shared" si="6"/>
        <v>46204</v>
      </c>
      <c r="M450" s="42" t="str">
        <f>IF(AND(C450="",D450="",E450="",F450=""),"",IF(OR(C450="",D450="",E450="",F450="",G450=""),"EKSİK",IF(COUNTIF(MUSTERILER!$B$7:$B$156,C450)=0,"TANIMSIZ MÜŞTERİ","UYGUN")))</f>
        <v>UYGUN</v>
      </c>
      <c r="N450" s="22" t="str">
        <f>IF(D450="","",D450&amp;"|"&amp;TEXT(COUNTIF($D$7:D450,D450),"000"))</f>
        <v>Naz 1 Gıda Ltd.Şti.|018</v>
      </c>
      <c r="O450" s="22" t="str">
        <f>IF(G450="","",G450&amp;"|"&amp;TEXT(COUNTIF($G$7:G450,G450),"000"))</f>
        <v>ÖMER KARTAL|103</v>
      </c>
    </row>
    <row r="451" spans="1:15" ht="17">
      <c r="A451" s="6"/>
      <c r="B451" s="95" t="s">
        <v>1085</v>
      </c>
      <c r="C451" s="95" t="s">
        <v>542</v>
      </c>
      <c r="D451" s="96" t="s">
        <v>726</v>
      </c>
      <c r="E451" s="97">
        <v>46214</v>
      </c>
      <c r="F451" s="99">
        <v>4000</v>
      </c>
      <c r="G451" s="95" t="s">
        <v>628</v>
      </c>
      <c r="H451" s="95" t="s">
        <v>462</v>
      </c>
      <c r="I451" s="95"/>
      <c r="J451" s="96" t="s">
        <v>629</v>
      </c>
      <c r="K451" s="95"/>
      <c r="L451" s="43">
        <f t="shared" si="6"/>
        <v>46204</v>
      </c>
      <c r="M451" s="42" t="str">
        <f>IF(AND(C451="",D451="",E451="",F451=""),"",IF(OR(C451="",D451="",E451="",F451="",G451=""),"EKSİK",IF(COUNTIF(MUSTERILER!$B$7:$B$156,C451)=0,"TANIMSIZ MÜŞTERİ","UYGUN")))</f>
        <v>UYGUN</v>
      </c>
      <c r="N451" s="22" t="str">
        <f>IF(D451="","",D451&amp;"|"&amp;TEXT(COUNTIF($D$7:D451,D451),"000"))</f>
        <v>Pakyıldız Ltd.Şti.|023</v>
      </c>
      <c r="O451" s="22" t="str">
        <f>IF(G451="","",G451&amp;"|"&amp;TEXT(COUNTIF($G$7:G451,G451),"000"))</f>
        <v>ÖMER KARTAL|104</v>
      </c>
    </row>
    <row r="452" spans="1:15" ht="17">
      <c r="A452" s="6"/>
      <c r="B452" s="95" t="s">
        <v>1086</v>
      </c>
      <c r="C452" s="95" t="s">
        <v>548</v>
      </c>
      <c r="D452" s="96" t="s">
        <v>728</v>
      </c>
      <c r="E452" s="97">
        <v>46214</v>
      </c>
      <c r="F452" s="99">
        <v>3000</v>
      </c>
      <c r="G452" s="95" t="s">
        <v>628</v>
      </c>
      <c r="H452" s="95" t="s">
        <v>462</v>
      </c>
      <c r="I452" s="95"/>
      <c r="J452" s="96" t="s">
        <v>629</v>
      </c>
      <c r="K452" s="95"/>
      <c r="L452" s="43">
        <f t="shared" si="6"/>
        <v>46204</v>
      </c>
      <c r="M452" s="42" t="str">
        <f>IF(AND(C452="",D452="",E452="",F452=""),"",IF(OR(C452="",D452="",E452="",F452="",G452=""),"EKSİK",IF(COUNTIF(MUSTERILER!$B$7:$B$156,C452)=0,"TANIMSIZ MÜŞTERİ","UYGUN")))</f>
        <v>UYGUN</v>
      </c>
      <c r="N452" s="22" t="str">
        <f>IF(D452="","",D452&amp;"|"&amp;TEXT(COUNTIF($D$7:D452,D452),"000"))</f>
        <v>Rix Şow Ltd.Şti.|026</v>
      </c>
      <c r="O452" s="22" t="str">
        <f>IF(G452="","",G452&amp;"|"&amp;TEXT(COUNTIF($G$7:G452,G452),"000"))</f>
        <v>ÖMER KARTAL|105</v>
      </c>
    </row>
    <row r="453" spans="1:15" ht="17">
      <c r="A453" s="6"/>
      <c r="B453" s="95" t="s">
        <v>1087</v>
      </c>
      <c r="C453" s="95" t="s">
        <v>513</v>
      </c>
      <c r="D453" s="96" t="s">
        <v>514</v>
      </c>
      <c r="E453" s="97">
        <v>46214</v>
      </c>
      <c r="F453" s="99">
        <v>3000</v>
      </c>
      <c r="G453" s="95" t="s">
        <v>628</v>
      </c>
      <c r="H453" s="95" t="s">
        <v>462</v>
      </c>
      <c r="I453" s="95"/>
      <c r="J453" s="96" t="s">
        <v>619</v>
      </c>
      <c r="K453" s="95"/>
      <c r="L453" s="43">
        <f t="shared" si="6"/>
        <v>46204</v>
      </c>
      <c r="M453" s="42" t="str">
        <f>IF(AND(C453="",D453="",E453="",F453=""),"",IF(OR(C453="",D453="",E453="",F453="",G453=""),"EKSİK",IF(COUNTIF(MUSTERILER!$B$7:$B$156,C453)=0,"TANIMSIZ MÜŞTERİ","UYGUN")))</f>
        <v>UYGUN</v>
      </c>
      <c r="N453" s="22" t="str">
        <f>IF(D453="","",D453&amp;"|"&amp;TEXT(COUNTIF($D$7:D453,D453),"000"))</f>
        <v>KRİSTAL LTD.ŞTİ.|027</v>
      </c>
      <c r="O453" s="22" t="str">
        <f>IF(G453="","",G453&amp;"|"&amp;TEXT(COUNTIF($G$7:G453,G453),"000"))</f>
        <v>ÖMER KARTAL|106</v>
      </c>
    </row>
    <row r="454" spans="1:15" ht="17">
      <c r="A454" s="6"/>
      <c r="B454" s="95" t="s">
        <v>1088</v>
      </c>
      <c r="C454" s="95" t="s">
        <v>564</v>
      </c>
      <c r="D454" s="96" t="s">
        <v>565</v>
      </c>
      <c r="E454" s="97">
        <v>46214</v>
      </c>
      <c r="F454" s="99">
        <v>5000</v>
      </c>
      <c r="G454" s="95" t="s">
        <v>628</v>
      </c>
      <c r="H454" s="95" t="s">
        <v>462</v>
      </c>
      <c r="I454" s="95"/>
      <c r="J454" s="96" t="s">
        <v>1077</v>
      </c>
      <c r="K454" s="95"/>
      <c r="L454" s="43">
        <f t="shared" si="6"/>
        <v>46204</v>
      </c>
      <c r="M454" s="42" t="str">
        <f>IF(AND(C454="",D454="",E454="",F454=""),"",IF(OR(C454="",D454="",E454="",F454="",G454=""),"EKSİK",IF(COUNTIF(MUSTERILER!$B$7:$B$156,C454)=0,"TANIMSIZ MÜŞTERİ","UYGUN")))</f>
        <v>UYGUN</v>
      </c>
      <c r="N454" s="22" t="str">
        <f>IF(D454="","",D454&amp;"|"&amp;TEXT(COUNTIF($D$7:D454,D454),"000"))</f>
        <v>YALIKENT LTD.ŞTİ.|017</v>
      </c>
      <c r="O454" s="22" t="str">
        <f>IF(G454="","",G454&amp;"|"&amp;TEXT(COUNTIF($G$7:G454,G454),"000"))</f>
        <v>ÖMER KARTAL|107</v>
      </c>
    </row>
    <row r="455" spans="1:15" ht="17">
      <c r="A455" s="6"/>
      <c r="B455" s="95" t="s">
        <v>1089</v>
      </c>
      <c r="C455" s="95" t="s">
        <v>558</v>
      </c>
      <c r="D455" s="96" t="s">
        <v>559</v>
      </c>
      <c r="E455" s="97">
        <v>46218</v>
      </c>
      <c r="F455" s="99">
        <v>3000</v>
      </c>
      <c r="G455" s="95" t="s">
        <v>628</v>
      </c>
      <c r="H455" s="95" t="s">
        <v>462</v>
      </c>
      <c r="I455" s="95"/>
      <c r="J455" s="96" t="s">
        <v>619</v>
      </c>
      <c r="K455" s="95"/>
      <c r="L455" s="43">
        <f t="shared" ref="L455:L518" si="7">IF(E455="","",DATE(YEAR(E455),MONTH(E455),1))</f>
        <v>46204</v>
      </c>
      <c r="M455" s="42" t="str">
        <f>IF(AND(C455="",D455="",E455="",F455=""),"",IF(OR(C455="",D455="",E455="",F455="",G455=""),"EKSİK",IF(COUNTIF(MUSTERILER!$B$7:$B$156,C455)=0,"TANIMSIZ MÜŞTERİ","UYGUN")))</f>
        <v>UYGUN</v>
      </c>
      <c r="N455" s="22" t="str">
        <f>IF(D455="","",D455&amp;"|"&amp;TEXT(COUNTIF($D$7:D455,D455),"000"))</f>
        <v>UFUK YILMAZ|007</v>
      </c>
      <c r="O455" s="22" t="str">
        <f>IF(G455="","",G455&amp;"|"&amp;TEXT(COUNTIF($G$7:G455,G455),"000"))</f>
        <v>ÖMER KARTAL|108</v>
      </c>
    </row>
    <row r="456" spans="1:15" ht="17">
      <c r="A456" s="6"/>
      <c r="B456" s="95" t="s">
        <v>1090</v>
      </c>
      <c r="C456" s="95" t="s">
        <v>467</v>
      </c>
      <c r="D456" s="96" t="s">
        <v>709</v>
      </c>
      <c r="E456" s="97">
        <v>46221</v>
      </c>
      <c r="F456" s="99">
        <v>4000</v>
      </c>
      <c r="G456" s="95" t="s">
        <v>618</v>
      </c>
      <c r="H456" s="95" t="s">
        <v>462</v>
      </c>
      <c r="I456" s="95"/>
      <c r="J456" s="96" t="s">
        <v>619</v>
      </c>
      <c r="K456" s="95"/>
      <c r="L456" s="43">
        <f t="shared" si="7"/>
        <v>46204</v>
      </c>
      <c r="M456" s="42" t="str">
        <f>IF(AND(C456="",D456="",E456="",F456=""),"",IF(OR(C456="",D456="",E456="",F456="",G456=""),"EKSİK",IF(COUNTIF(MUSTERILER!$B$7:$B$156,C456)=0,"TANIMSIZ MÜŞTERİ","UYGUN")))</f>
        <v>UYGUN</v>
      </c>
      <c r="N456" s="22" t="str">
        <f>IF(D456="","",D456&amp;"|"&amp;TEXT(COUNTIF($D$7:D456,D456),"000"))</f>
        <v>Ankara Havana Ltd.Şti.|013</v>
      </c>
      <c r="O456" s="22" t="str">
        <f>IF(G456="","",G456&amp;"|"&amp;TEXT(COUNTIF($G$7:G456,G456),"000"))</f>
        <v>MERKEZ KASA|336</v>
      </c>
    </row>
    <row r="457" spans="1:15" ht="17">
      <c r="A457" s="6"/>
      <c r="B457" s="95" t="s">
        <v>1091</v>
      </c>
      <c r="C457" s="95" t="s">
        <v>473</v>
      </c>
      <c r="D457" s="96" t="s">
        <v>474</v>
      </c>
      <c r="E457" s="97">
        <v>46221</v>
      </c>
      <c r="F457" s="99">
        <v>2000</v>
      </c>
      <c r="G457" s="95" t="s">
        <v>618</v>
      </c>
      <c r="H457" s="95" t="s">
        <v>462</v>
      </c>
      <c r="I457" s="95"/>
      <c r="J457" s="96" t="s">
        <v>619</v>
      </c>
      <c r="K457" s="95"/>
      <c r="L457" s="43">
        <f t="shared" si="7"/>
        <v>46204</v>
      </c>
      <c r="M457" s="42" t="str">
        <f>IF(AND(C457="",D457="",E457="",F457=""),"",IF(OR(C457="",D457="",E457="",F457="",G457=""),"EKSİK",IF(COUNTIF(MUSTERILER!$B$7:$B$156,C457)=0,"TANIMSIZ MÜŞTERİ","UYGUN")))</f>
        <v>UYGUN</v>
      </c>
      <c r="N457" s="22" t="str">
        <f>IF(D457="","",D457&amp;"|"&amp;TEXT(COUNTIF($D$7:D457,D457),"000"))</f>
        <v>ASIM AÇIKGÖZ|024</v>
      </c>
      <c r="O457" s="22" t="str">
        <f>IF(G457="","",G457&amp;"|"&amp;TEXT(COUNTIF($G$7:G457,G457),"000"))</f>
        <v>MERKEZ KASA|337</v>
      </c>
    </row>
    <row r="458" spans="1:15" ht="17">
      <c r="A458" s="6"/>
      <c r="B458" s="95" t="s">
        <v>1092</v>
      </c>
      <c r="C458" s="95" t="s">
        <v>479</v>
      </c>
      <c r="D458" s="96" t="s">
        <v>617</v>
      </c>
      <c r="E458" s="97">
        <v>46221</v>
      </c>
      <c r="F458" s="99">
        <v>3000</v>
      </c>
      <c r="G458" s="95" t="s">
        <v>618</v>
      </c>
      <c r="H458" s="95" t="s">
        <v>462</v>
      </c>
      <c r="I458" s="95"/>
      <c r="J458" s="96" t="s">
        <v>619</v>
      </c>
      <c r="K458" s="95"/>
      <c r="L458" s="43">
        <f t="shared" si="7"/>
        <v>46204</v>
      </c>
      <c r="M458" s="42" t="str">
        <f>IF(AND(C458="",D458="",E458="",F458=""),"",IF(OR(C458="",D458="",E458="",F458="",G458=""),"EKSİK",IF(COUNTIF(MUSTERILER!$B$7:$B$156,C458)=0,"TANIMSIZ MÜŞTERİ","UYGUN")))</f>
        <v>UYGUN</v>
      </c>
      <c r="N458" s="22" t="str">
        <f>IF(D458="","",D458&amp;"|"&amp;TEXT(COUNTIF($D$7:D458,D458),"000"))</f>
        <v>Çayıralan Ltd.Şti.|026</v>
      </c>
      <c r="O458" s="22" t="str">
        <f>IF(G458="","",G458&amp;"|"&amp;TEXT(COUNTIF($G$7:G458,G458),"000"))</f>
        <v>MERKEZ KASA|338</v>
      </c>
    </row>
    <row r="459" spans="1:15" ht="17">
      <c r="A459" s="6"/>
      <c r="B459" s="95" t="s">
        <v>1093</v>
      </c>
      <c r="C459" s="95" t="s">
        <v>487</v>
      </c>
      <c r="D459" s="96" t="s">
        <v>714</v>
      </c>
      <c r="E459" s="97">
        <v>46221</v>
      </c>
      <c r="F459" s="99">
        <v>4000</v>
      </c>
      <c r="G459" s="95" t="s">
        <v>618</v>
      </c>
      <c r="H459" s="95" t="s">
        <v>462</v>
      </c>
      <c r="I459" s="95"/>
      <c r="J459" s="96" t="s">
        <v>619</v>
      </c>
      <c r="K459" s="95"/>
      <c r="L459" s="43">
        <f t="shared" si="7"/>
        <v>46204</v>
      </c>
      <c r="M459" s="42" t="str">
        <f>IF(AND(C459="",D459="",E459="",F459=""),"",IF(OR(C459="",D459="",E459="",F459="",G459=""),"EKSİK",IF(COUNTIF(MUSTERILER!$B$7:$B$156,C459)=0,"TANIMSIZ MÜŞTERİ","UYGUN")))</f>
        <v>UYGUN</v>
      </c>
      <c r="N459" s="22" t="str">
        <f>IF(D459="","",D459&amp;"|"&amp;TEXT(COUNTIF($D$7:D459,D459),"000"))</f>
        <v>Eğlengör Ltd.Şti.|027</v>
      </c>
      <c r="O459" s="22" t="str">
        <f>IF(G459="","",G459&amp;"|"&amp;TEXT(COUNTIF($G$7:G459,G459),"000"))</f>
        <v>MERKEZ KASA|339</v>
      </c>
    </row>
    <row r="460" spans="1:15" ht="17">
      <c r="A460" s="6"/>
      <c r="B460" s="95" t="s">
        <v>1094</v>
      </c>
      <c r="C460" s="95" t="s">
        <v>495</v>
      </c>
      <c r="D460" s="96" t="s">
        <v>716</v>
      </c>
      <c r="E460" s="97">
        <v>46221</v>
      </c>
      <c r="F460" s="99">
        <v>4000</v>
      </c>
      <c r="G460" s="95" t="s">
        <v>618</v>
      </c>
      <c r="H460" s="95" t="s">
        <v>462</v>
      </c>
      <c r="I460" s="95"/>
      <c r="J460" s="96" t="s">
        <v>619</v>
      </c>
      <c r="K460" s="95"/>
      <c r="L460" s="43">
        <f t="shared" si="7"/>
        <v>46204</v>
      </c>
      <c r="M460" s="42" t="str">
        <f>IF(AND(C460="",D460="",E460="",F460=""),"",IF(OR(C460="",D460="",E460="",F460="",G460=""),"EKSİK",IF(COUNTIF(MUSTERILER!$B$7:$B$156,C460)=0,"TANIMSIZ MÜŞTERİ","UYGUN")))</f>
        <v>UYGUN</v>
      </c>
      <c r="N460" s="22" t="str">
        <f>IF(D460="","",D460&amp;"|"&amp;TEXT(COUNTIF($D$7:D460,D460),"000"))</f>
        <v>Final Siyah Beyaz Ltd.Şti.|026</v>
      </c>
      <c r="O460" s="22" t="str">
        <f>IF(G460="","",G460&amp;"|"&amp;TEXT(COUNTIF($G$7:G460,G460),"000"))</f>
        <v>MERKEZ KASA|340</v>
      </c>
    </row>
    <row r="461" spans="1:15" ht="17">
      <c r="A461" s="6"/>
      <c r="B461" s="95" t="s">
        <v>1095</v>
      </c>
      <c r="C461" s="95" t="s">
        <v>503</v>
      </c>
      <c r="D461" s="96" t="s">
        <v>621</v>
      </c>
      <c r="E461" s="97">
        <v>46221</v>
      </c>
      <c r="F461" s="99">
        <v>4000</v>
      </c>
      <c r="G461" s="95" t="s">
        <v>618</v>
      </c>
      <c r="H461" s="95" t="s">
        <v>462</v>
      </c>
      <c r="I461" s="95"/>
      <c r="J461" s="96" t="s">
        <v>619</v>
      </c>
      <c r="K461" s="95"/>
      <c r="L461" s="43">
        <f t="shared" si="7"/>
        <v>46204</v>
      </c>
      <c r="M461" s="42" t="str">
        <f>IF(AND(C461="",D461="",E461="",F461=""),"",IF(OR(C461="",D461="",E461="",F461="",G461=""),"EKSİK",IF(COUNTIF(MUSTERILER!$B$7:$B$156,C461)=0,"TANIMSIZ MÜŞTERİ","UYGUN")))</f>
        <v>UYGUN</v>
      </c>
      <c r="N461" s="22" t="str">
        <f>IF(D461="","",D461&amp;"|"&amp;TEXT(COUNTIF($D$7:D461,D461),"000"))</f>
        <v>İldeş Ltd.Şti.|026</v>
      </c>
      <c r="O461" s="22" t="str">
        <f>IF(G461="","",G461&amp;"|"&amp;TEXT(COUNTIF($G$7:G461,G461),"000"))</f>
        <v>MERKEZ KASA|341</v>
      </c>
    </row>
    <row r="462" spans="1:15" ht="17">
      <c r="A462" s="6"/>
      <c r="B462" s="95" t="s">
        <v>1096</v>
      </c>
      <c r="C462" s="95" t="s">
        <v>534</v>
      </c>
      <c r="D462" s="96" t="s">
        <v>724</v>
      </c>
      <c r="E462" s="97">
        <v>46221</v>
      </c>
      <c r="F462" s="99">
        <v>2000</v>
      </c>
      <c r="G462" s="95" t="s">
        <v>618</v>
      </c>
      <c r="H462" s="95" t="s">
        <v>462</v>
      </c>
      <c r="I462" s="95"/>
      <c r="J462" s="96" t="s">
        <v>619</v>
      </c>
      <c r="K462" s="95"/>
      <c r="L462" s="43">
        <f t="shared" si="7"/>
        <v>46204</v>
      </c>
      <c r="M462" s="42" t="str">
        <f>IF(AND(C462="",D462="",E462="",F462=""),"",IF(OR(C462="",D462="",E462="",F462="",G462=""),"EKSİK",IF(COUNTIF(MUSTERILER!$B$7:$B$156,C462)=0,"TANIMSIZ MÜŞTERİ","UYGUN")))</f>
        <v>UYGUN</v>
      </c>
      <c r="N462" s="22" t="str">
        <f>IF(D462="","",D462&amp;"|"&amp;TEXT(COUNTIF($D$7:D462,D462),"000"))</f>
        <v>Naz 1 Gıda Ltd.Şti.|019</v>
      </c>
      <c r="O462" s="22" t="str">
        <f>IF(G462="","",G462&amp;"|"&amp;TEXT(COUNTIF($G$7:G462,G462),"000"))</f>
        <v>MERKEZ KASA|342</v>
      </c>
    </row>
    <row r="463" spans="1:15" ht="17">
      <c r="A463" s="6"/>
      <c r="B463" s="95" t="s">
        <v>1097</v>
      </c>
      <c r="C463" s="95" t="s">
        <v>542</v>
      </c>
      <c r="D463" s="96" t="s">
        <v>726</v>
      </c>
      <c r="E463" s="97">
        <v>46221</v>
      </c>
      <c r="F463" s="99">
        <v>4000</v>
      </c>
      <c r="G463" s="95" t="s">
        <v>618</v>
      </c>
      <c r="H463" s="95" t="s">
        <v>462</v>
      </c>
      <c r="I463" s="95"/>
      <c r="J463" s="96" t="s">
        <v>619</v>
      </c>
      <c r="K463" s="95"/>
      <c r="L463" s="43">
        <f t="shared" si="7"/>
        <v>46204</v>
      </c>
      <c r="M463" s="42" t="str">
        <f>IF(AND(C463="",D463="",E463="",F463=""),"",IF(OR(C463="",D463="",E463="",F463="",G463=""),"EKSİK",IF(COUNTIF(MUSTERILER!$B$7:$B$156,C463)=0,"TANIMSIZ MÜŞTERİ","UYGUN")))</f>
        <v>UYGUN</v>
      </c>
      <c r="N463" s="22" t="str">
        <f>IF(D463="","",D463&amp;"|"&amp;TEXT(COUNTIF($D$7:D463,D463),"000"))</f>
        <v>Pakyıldız Ltd.Şti.|024</v>
      </c>
      <c r="O463" s="22" t="str">
        <f>IF(G463="","",G463&amp;"|"&amp;TEXT(COUNTIF($G$7:G463,G463),"000"))</f>
        <v>MERKEZ KASA|343</v>
      </c>
    </row>
    <row r="464" spans="1:15" ht="17">
      <c r="A464" s="6"/>
      <c r="B464" s="95" t="s">
        <v>1098</v>
      </c>
      <c r="C464" s="95" t="s">
        <v>542</v>
      </c>
      <c r="D464" s="96" t="s">
        <v>726</v>
      </c>
      <c r="E464" s="97">
        <v>46221</v>
      </c>
      <c r="F464" s="99">
        <v>5000</v>
      </c>
      <c r="G464" s="95" t="s">
        <v>618</v>
      </c>
      <c r="H464" s="95" t="s">
        <v>462</v>
      </c>
      <c r="I464" s="95"/>
      <c r="J464" s="96" t="s">
        <v>619</v>
      </c>
      <c r="K464" s="95"/>
      <c r="L464" s="43">
        <f t="shared" si="7"/>
        <v>46204</v>
      </c>
      <c r="M464" s="42" t="str">
        <f>IF(AND(C464="",D464="",E464="",F464=""),"",IF(OR(C464="",D464="",E464="",F464="",G464=""),"EKSİK",IF(COUNTIF(MUSTERILER!$B$7:$B$156,C464)=0,"TANIMSIZ MÜŞTERİ","UYGUN")))</f>
        <v>UYGUN</v>
      </c>
      <c r="N464" s="22" t="str">
        <f>IF(D464="","",D464&amp;"|"&amp;TEXT(COUNTIF($D$7:D464,D464),"000"))</f>
        <v>Pakyıldız Ltd.Şti.|025</v>
      </c>
      <c r="O464" s="22" t="str">
        <f>IF(G464="","",G464&amp;"|"&amp;TEXT(COUNTIF($G$7:G464,G464),"000"))</f>
        <v>MERKEZ KASA|344</v>
      </c>
    </row>
    <row r="465" spans="1:15" ht="17">
      <c r="A465" s="6"/>
      <c r="B465" s="95" t="s">
        <v>1099</v>
      </c>
      <c r="C465" s="95" t="s">
        <v>505</v>
      </c>
      <c r="D465" s="96" t="s">
        <v>506</v>
      </c>
      <c r="E465" s="97">
        <v>46221</v>
      </c>
      <c r="F465" s="99">
        <v>3500</v>
      </c>
      <c r="G465" s="95" t="s">
        <v>628</v>
      </c>
      <c r="H465" s="95" t="s">
        <v>462</v>
      </c>
      <c r="I465" s="95"/>
      <c r="J465" s="96" t="s">
        <v>619</v>
      </c>
      <c r="K465" s="95"/>
      <c r="L465" s="43">
        <f t="shared" si="7"/>
        <v>46204</v>
      </c>
      <c r="M465" s="42" t="str">
        <f>IF(AND(C465="",D465="",E465="",F465=""),"",IF(OR(C465="",D465="",E465="",F465="",G465=""),"EKSİK",IF(COUNTIF(MUSTERILER!$B$7:$B$156,C465)=0,"TANIMSIZ MÜŞTERİ","UYGUN")))</f>
        <v>UYGUN</v>
      </c>
      <c r="N465" s="22" t="str">
        <f>IF(D465="","",D465&amp;"|"&amp;TEXT(COUNTIF($D$7:D465,D465),"000"))</f>
        <v>İSA DEMİRCİ|007</v>
      </c>
      <c r="O465" s="22" t="str">
        <f>IF(G465="","",G465&amp;"|"&amp;TEXT(COUNTIF($G$7:G465,G465),"000"))</f>
        <v>ÖMER KARTAL|109</v>
      </c>
    </row>
    <row r="466" spans="1:15" ht="17">
      <c r="A466" s="6"/>
      <c r="B466" s="95" t="s">
        <v>1100</v>
      </c>
      <c r="C466" s="95" t="s">
        <v>548</v>
      </c>
      <c r="D466" s="96" t="s">
        <v>728</v>
      </c>
      <c r="E466" s="97">
        <v>46221</v>
      </c>
      <c r="F466" s="99">
        <v>3000</v>
      </c>
      <c r="G466" s="95" t="s">
        <v>618</v>
      </c>
      <c r="H466" s="95" t="s">
        <v>462</v>
      </c>
      <c r="I466" s="95"/>
      <c r="J466" s="96" t="s">
        <v>619</v>
      </c>
      <c r="K466" s="95"/>
      <c r="L466" s="43">
        <f t="shared" si="7"/>
        <v>46204</v>
      </c>
      <c r="M466" s="42" t="str">
        <f>IF(AND(C466="",D466="",E466="",F466=""),"",IF(OR(C466="",D466="",E466="",F466="",G466=""),"EKSİK",IF(COUNTIF(MUSTERILER!$B$7:$B$156,C466)=0,"TANIMSIZ MÜŞTERİ","UYGUN")))</f>
        <v>UYGUN</v>
      </c>
      <c r="N466" s="22" t="str">
        <f>IF(D466="","",D466&amp;"|"&amp;TEXT(COUNTIF($D$7:D466,D466),"000"))</f>
        <v>Rix Şow Ltd.Şti.|027</v>
      </c>
      <c r="O466" s="22" t="str">
        <f>IF(G466="","",G466&amp;"|"&amp;TEXT(COUNTIF($G$7:G466,G466),"000"))</f>
        <v>MERKEZ KASA|345</v>
      </c>
    </row>
    <row r="467" spans="1:15" ht="17">
      <c r="A467" s="6"/>
      <c r="B467" s="95" t="s">
        <v>1101</v>
      </c>
      <c r="C467" s="95" t="s">
        <v>538</v>
      </c>
      <c r="D467" s="96" t="s">
        <v>539</v>
      </c>
      <c r="E467" s="97">
        <v>46221</v>
      </c>
      <c r="F467" s="99">
        <v>3500</v>
      </c>
      <c r="G467" s="95" t="s">
        <v>628</v>
      </c>
      <c r="H467" s="95" t="s">
        <v>462</v>
      </c>
      <c r="I467" s="95"/>
      <c r="J467" s="96" t="s">
        <v>619</v>
      </c>
      <c r="K467" s="95"/>
      <c r="L467" s="43">
        <f t="shared" si="7"/>
        <v>46204</v>
      </c>
      <c r="M467" s="42" t="str">
        <f>IF(AND(C467="",D467="",E467="",F467=""),"",IF(OR(C467="",D467="",E467="",F467="",G467=""),"EKSİK",IF(COUNTIF(MUSTERILER!$B$7:$B$156,C467)=0,"TANIMSIZ MÜŞTERİ","UYGUN")))</f>
        <v>UYGUN</v>
      </c>
      <c r="N467" s="22" t="str">
        <f>IF(D467="","",D467&amp;"|"&amp;TEXT(COUNTIF($D$7:D467,D467),"000"))</f>
        <v>ÖMER DEMİRCİ|002</v>
      </c>
      <c r="O467" s="22" t="str">
        <f>IF(G467="","",G467&amp;"|"&amp;TEXT(COUNTIF($G$7:G467,G467),"000"))</f>
        <v>ÖMER KARTAL|110</v>
      </c>
    </row>
    <row r="468" spans="1:15" ht="17">
      <c r="A468" s="6"/>
      <c r="B468" s="95" t="s">
        <v>1102</v>
      </c>
      <c r="C468" s="95" t="s">
        <v>564</v>
      </c>
      <c r="D468" s="96" t="s">
        <v>565</v>
      </c>
      <c r="E468" s="97">
        <v>46221</v>
      </c>
      <c r="F468" s="99">
        <v>5000</v>
      </c>
      <c r="G468" s="95" t="s">
        <v>628</v>
      </c>
      <c r="H468" s="95" t="s">
        <v>462</v>
      </c>
      <c r="I468" s="95"/>
      <c r="J468" s="96" t="s">
        <v>1077</v>
      </c>
      <c r="K468" s="95"/>
      <c r="L468" s="43">
        <f t="shared" si="7"/>
        <v>46204</v>
      </c>
      <c r="M468" s="42" t="str">
        <f>IF(AND(C468="",D468="",E468="",F468=""),"",IF(OR(C468="",D468="",E468="",F468="",G468=""),"EKSİK",IF(COUNTIF(MUSTERILER!$B$7:$B$156,C468)=0,"TANIMSIZ MÜŞTERİ","UYGUN")))</f>
        <v>UYGUN</v>
      </c>
      <c r="N468" s="22" t="str">
        <f>IF(D468="","",D468&amp;"|"&amp;TEXT(COUNTIF($D$7:D468,D468),"000"))</f>
        <v>YALIKENT LTD.ŞTİ.|018</v>
      </c>
      <c r="O468" s="22" t="str">
        <f>IF(G468="","",G468&amp;"|"&amp;TEXT(COUNTIF($G$7:G468,G468),"000"))</f>
        <v>ÖMER KARTAL|111</v>
      </c>
    </row>
    <row r="469" spans="1:15" ht="17">
      <c r="A469" s="6"/>
      <c r="B469" s="95" t="s">
        <v>1103</v>
      </c>
      <c r="C469" s="95" t="s">
        <v>570</v>
      </c>
      <c r="D469" s="96" t="s">
        <v>626</v>
      </c>
      <c r="E469" s="97">
        <v>46221</v>
      </c>
      <c r="F469" s="99">
        <v>3500</v>
      </c>
      <c r="G469" s="95" t="s">
        <v>618</v>
      </c>
      <c r="H469" s="95" t="s">
        <v>462</v>
      </c>
      <c r="I469" s="95"/>
      <c r="J469" s="96" t="s">
        <v>619</v>
      </c>
      <c r="K469" s="95"/>
      <c r="L469" s="43">
        <f t="shared" si="7"/>
        <v>46204</v>
      </c>
      <c r="M469" s="42" t="str">
        <f>IF(AND(C469="",D469="",E469="",F469=""),"",IF(OR(C469="",D469="",E469="",F469="",G469=""),"EKSİK",IF(COUNTIF(MUSTERILER!$B$7:$B$156,C469)=0,"TANIMSIZ MÜŞTERİ","UYGUN")))</f>
        <v>UYGUN</v>
      </c>
      <c r="N469" s="22" t="str">
        <f>IF(D469="","",D469&amp;"|"&amp;TEXT(COUNTIF($D$7:D469,D469),"000"))</f>
        <v>Zümrüt Grup Ltd.Şti.|020</v>
      </c>
      <c r="O469" s="22" t="str">
        <f>IF(G469="","",G469&amp;"|"&amp;TEXT(COUNTIF($G$7:G469,G469),"000"))</f>
        <v>MERKEZ KASA|346</v>
      </c>
    </row>
    <row r="470" spans="1:15" ht="17">
      <c r="A470" s="6"/>
      <c r="B470" s="95" t="s">
        <v>1104</v>
      </c>
      <c r="C470" s="95" t="s">
        <v>483</v>
      </c>
      <c r="D470" s="96" t="s">
        <v>484</v>
      </c>
      <c r="E470" s="97">
        <v>46221</v>
      </c>
      <c r="F470" s="99">
        <v>5000</v>
      </c>
      <c r="G470" s="95" t="s">
        <v>618</v>
      </c>
      <c r="H470" s="95" t="s">
        <v>462</v>
      </c>
      <c r="I470" s="95"/>
      <c r="J470" s="96" t="s">
        <v>619</v>
      </c>
      <c r="K470" s="95"/>
      <c r="L470" s="43">
        <f t="shared" si="7"/>
        <v>46204</v>
      </c>
      <c r="M470" s="42" t="str">
        <f>IF(AND(C470="",D470="",E470="",F470=""),"",IF(OR(C470="",D470="",E470="",F470="",G470=""),"EKSİK",IF(COUNTIF(MUSTERILER!$B$7:$B$156,C470)=0,"TANIMSIZ MÜŞTERİ","UYGUN")))</f>
        <v>UYGUN</v>
      </c>
      <c r="N470" s="22" t="str">
        <f>IF(D470="","",D470&amp;"|"&amp;TEXT(COUNTIF($D$7:D470,D470),"000"))</f>
        <v>ÇINARHAN LTD.ŞTİ.|019</v>
      </c>
      <c r="O470" s="22" t="str">
        <f>IF(G470="","",G470&amp;"|"&amp;TEXT(COUNTIF($G$7:G470,G470),"000"))</f>
        <v>MERKEZ KASA|347</v>
      </c>
    </row>
    <row r="471" spans="1:15" ht="17">
      <c r="A471" s="6"/>
      <c r="B471" s="95" t="s">
        <v>1105</v>
      </c>
      <c r="C471" s="95" t="s">
        <v>544</v>
      </c>
      <c r="D471" s="96" t="s">
        <v>545</v>
      </c>
      <c r="E471" s="97">
        <v>46221</v>
      </c>
      <c r="F471" s="99">
        <v>5000</v>
      </c>
      <c r="G471" s="95" t="s">
        <v>618</v>
      </c>
      <c r="H471" s="95" t="s">
        <v>462</v>
      </c>
      <c r="I471" s="95"/>
      <c r="J471" s="96" t="s">
        <v>619</v>
      </c>
      <c r="K471" s="95"/>
      <c r="L471" s="43">
        <f t="shared" si="7"/>
        <v>46204</v>
      </c>
      <c r="M471" s="42" t="str">
        <f>IF(AND(C471="",D471="",E471="",F471=""),"",IF(OR(C471="",D471="",E471="",F471="",G471=""),"EKSİK",IF(COUNTIF(MUSTERILER!$B$7:$B$156,C471)=0,"TANIMSIZ MÜŞTERİ","UYGUN")))</f>
        <v>UYGUN</v>
      </c>
      <c r="N471" s="22" t="str">
        <f>IF(D471="","",D471&amp;"|"&amp;TEXT(COUNTIF($D$7:D471,D471),"000"))</f>
        <v>PALAOĞULLARI LTD.ŞTİ.|018</v>
      </c>
      <c r="O471" s="22" t="str">
        <f>IF(G471="","",G471&amp;"|"&amp;TEXT(COUNTIF($G$7:G471,G471),"000"))</f>
        <v>MERKEZ KASA|348</v>
      </c>
    </row>
    <row r="472" spans="1:15" ht="17">
      <c r="A472" s="6"/>
      <c r="B472" s="95" t="s">
        <v>1106</v>
      </c>
      <c r="C472" s="95" t="s">
        <v>493</v>
      </c>
      <c r="D472" s="96" t="s">
        <v>494</v>
      </c>
      <c r="E472" s="97">
        <v>46225</v>
      </c>
      <c r="F472" s="99">
        <v>2000</v>
      </c>
      <c r="G472" s="95" t="s">
        <v>618</v>
      </c>
      <c r="H472" s="95" t="s">
        <v>462</v>
      </c>
      <c r="I472" s="95"/>
      <c r="J472" s="96" t="s">
        <v>619</v>
      </c>
      <c r="K472" s="95"/>
      <c r="L472" s="43">
        <f t="shared" si="7"/>
        <v>46204</v>
      </c>
      <c r="M472" s="42" t="str">
        <f>IF(AND(C472="",D472="",E472="",F472=""),"",IF(OR(C472="",D472="",E472="",F472="",G472=""),"EKSİK",IF(COUNTIF(MUSTERILER!$B$7:$B$156,C472)=0,"TANIMSIZ MÜŞTERİ","UYGUN")))</f>
        <v>UYGUN</v>
      </c>
      <c r="N472" s="22" t="str">
        <f>IF(D472="","",D472&amp;"|"&amp;TEXT(COUNTIF($D$7:D472,D472),"000"))</f>
        <v>FARUK DEMİRCİ|004</v>
      </c>
      <c r="O472" s="22" t="str">
        <f>IF(G472="","",G472&amp;"|"&amp;TEXT(COUNTIF($G$7:G472,G472),"000"))</f>
        <v>MERKEZ KASA|349</v>
      </c>
    </row>
    <row r="473" spans="1:15" ht="17">
      <c r="A473" s="6"/>
      <c r="B473" s="95" t="s">
        <v>1107</v>
      </c>
      <c r="C473" s="95" t="s">
        <v>515</v>
      </c>
      <c r="D473" s="96" t="s">
        <v>516</v>
      </c>
      <c r="E473" s="97">
        <v>46225</v>
      </c>
      <c r="F473" s="99">
        <v>2000</v>
      </c>
      <c r="G473" s="95" t="s">
        <v>618</v>
      </c>
      <c r="H473" s="95" t="s">
        <v>462</v>
      </c>
      <c r="I473" s="95"/>
      <c r="J473" s="96" t="s">
        <v>619</v>
      </c>
      <c r="K473" s="95"/>
      <c r="L473" s="43">
        <f t="shared" si="7"/>
        <v>46204</v>
      </c>
      <c r="M473" s="42" t="str">
        <f>IF(AND(C473="",D473="",E473="",F473=""),"",IF(OR(C473="",D473="",E473="",F473="",G473=""),"EKSİK",IF(COUNTIF(MUSTERILER!$B$7:$B$156,C473)=0,"TANIMSIZ MÜŞTERİ","UYGUN")))</f>
        <v>UYGUN</v>
      </c>
      <c r="N473" s="22" t="str">
        <f>IF(D473="","",D473&amp;"|"&amp;TEXT(COUNTIF($D$7:D473,D473),"000"))</f>
        <v>MEHMET EVREN KILINÇ|006</v>
      </c>
      <c r="O473" s="22" t="str">
        <f>IF(G473="","",G473&amp;"|"&amp;TEXT(COUNTIF($G$7:G473,G473),"000"))</f>
        <v>MERKEZ KASA|350</v>
      </c>
    </row>
    <row r="474" spans="1:15" ht="17">
      <c r="A474" s="6"/>
      <c r="B474" s="95" t="s">
        <v>1108</v>
      </c>
      <c r="C474" s="95" t="s">
        <v>546</v>
      </c>
      <c r="D474" s="96" t="s">
        <v>547</v>
      </c>
      <c r="E474" s="97">
        <v>46226</v>
      </c>
      <c r="F474" s="99">
        <v>6000</v>
      </c>
      <c r="G474" s="95" t="s">
        <v>618</v>
      </c>
      <c r="H474" s="95" t="s">
        <v>462</v>
      </c>
      <c r="I474" s="95"/>
      <c r="J474" s="96" t="s">
        <v>619</v>
      </c>
      <c r="K474" s="95"/>
      <c r="L474" s="43">
        <f t="shared" si="7"/>
        <v>46204</v>
      </c>
      <c r="M474" s="42" t="str">
        <f>IF(AND(C474="",D474="",E474="",F474=""),"",IF(OR(C474="",D474="",E474="",F474="",G474=""),"EKSİK",IF(COUNTIF(MUSTERILER!$B$7:$B$156,C474)=0,"TANIMSIZ MÜŞTERİ","UYGUN")))</f>
        <v>UYGUN</v>
      </c>
      <c r="N474" s="22" t="str">
        <f>IF(D474="","",D474&amp;"|"&amp;TEXT(COUNTIF($D$7:D474,D474),"000"))</f>
        <v>RASİM DEMİRCİ|002</v>
      </c>
      <c r="O474" s="22" t="str">
        <f>IF(G474="","",G474&amp;"|"&amp;TEXT(COUNTIF($G$7:G474,G474),"000"))</f>
        <v>MERKEZ KASA|351</v>
      </c>
    </row>
    <row r="475" spans="1:15" ht="17">
      <c r="A475" s="6"/>
      <c r="B475" s="95" t="s">
        <v>1109</v>
      </c>
      <c r="C475" s="95" t="s">
        <v>467</v>
      </c>
      <c r="D475" s="96" t="s">
        <v>709</v>
      </c>
      <c r="E475" s="97">
        <v>46228</v>
      </c>
      <c r="F475" s="99">
        <v>4000</v>
      </c>
      <c r="G475" s="95" t="s">
        <v>618</v>
      </c>
      <c r="H475" s="95" t="s">
        <v>462</v>
      </c>
      <c r="I475" s="95"/>
      <c r="J475" s="96" t="s">
        <v>619</v>
      </c>
      <c r="K475" s="95"/>
      <c r="L475" s="43">
        <f t="shared" si="7"/>
        <v>46204</v>
      </c>
      <c r="M475" s="42" t="str">
        <f>IF(AND(C475="",D475="",E475="",F475=""),"",IF(OR(C475="",D475="",E475="",F475="",G475=""),"EKSİK",IF(COUNTIF(MUSTERILER!$B$7:$B$156,C475)=0,"TANIMSIZ MÜŞTERİ","UYGUN")))</f>
        <v>UYGUN</v>
      </c>
      <c r="N475" s="22" t="str">
        <f>IF(D475="","",D475&amp;"|"&amp;TEXT(COUNTIF($D$7:D475,D475),"000"))</f>
        <v>Ankara Havana Ltd.Şti.|014</v>
      </c>
      <c r="O475" s="22" t="str">
        <f>IF(G475="","",G475&amp;"|"&amp;TEXT(COUNTIF($G$7:G475,G475),"000"))</f>
        <v>MERKEZ KASA|352</v>
      </c>
    </row>
    <row r="476" spans="1:15" ht="17">
      <c r="A476" s="6"/>
      <c r="B476" s="95" t="s">
        <v>1110</v>
      </c>
      <c r="C476" s="95" t="s">
        <v>473</v>
      </c>
      <c r="D476" s="96" t="s">
        <v>474</v>
      </c>
      <c r="E476" s="97">
        <v>46228</v>
      </c>
      <c r="F476" s="99">
        <v>2000</v>
      </c>
      <c r="G476" s="95" t="s">
        <v>618</v>
      </c>
      <c r="H476" s="95" t="s">
        <v>462</v>
      </c>
      <c r="I476" s="95"/>
      <c r="J476" s="96" t="s">
        <v>619</v>
      </c>
      <c r="K476" s="95"/>
      <c r="L476" s="43">
        <f t="shared" si="7"/>
        <v>46204</v>
      </c>
      <c r="M476" s="42" t="str">
        <f>IF(AND(C476="",D476="",E476="",F476=""),"",IF(OR(C476="",D476="",E476="",F476="",G476=""),"EKSİK",IF(COUNTIF(MUSTERILER!$B$7:$B$156,C476)=0,"TANIMSIZ MÜŞTERİ","UYGUN")))</f>
        <v>UYGUN</v>
      </c>
      <c r="N476" s="22" t="str">
        <f>IF(D476="","",D476&amp;"|"&amp;TEXT(COUNTIF($D$7:D476,D476),"000"))</f>
        <v>ASIM AÇIKGÖZ|025</v>
      </c>
      <c r="O476" s="22" t="str">
        <f>IF(G476="","",G476&amp;"|"&amp;TEXT(COUNTIF($G$7:G476,G476),"000"))</f>
        <v>MERKEZ KASA|353</v>
      </c>
    </row>
    <row r="477" spans="1:15" ht="17">
      <c r="A477" s="6"/>
      <c r="B477" s="95" t="s">
        <v>1111</v>
      </c>
      <c r="C477" s="95" t="s">
        <v>475</v>
      </c>
      <c r="D477" s="96" t="s">
        <v>476</v>
      </c>
      <c r="E477" s="97">
        <v>46228</v>
      </c>
      <c r="F477" s="99">
        <v>2500</v>
      </c>
      <c r="G477" s="95" t="s">
        <v>618</v>
      </c>
      <c r="H477" s="95" t="s">
        <v>462</v>
      </c>
      <c r="I477" s="95"/>
      <c r="J477" s="96" t="s">
        <v>619</v>
      </c>
      <c r="K477" s="95"/>
      <c r="L477" s="43">
        <f t="shared" si="7"/>
        <v>46204</v>
      </c>
      <c r="M477" s="42" t="str">
        <f>IF(AND(C477="",D477="",E477="",F477=""),"",IF(OR(C477="",D477="",E477="",F477="",G477=""),"EKSİK",IF(COUNTIF(MUSTERILER!$B$7:$B$156,C477)=0,"TANIMSIZ MÜŞTERİ","UYGUN")))</f>
        <v>UYGUN</v>
      </c>
      <c r="N477" s="22" t="str">
        <f>IF(D477="","",D477&amp;"|"&amp;TEXT(COUNTIF($D$7:D477,D477),"000"))</f>
        <v>ASM EĞLENCE LTD.ŞTİ.|025</v>
      </c>
      <c r="O477" s="22" t="str">
        <f>IF(G477="","",G477&amp;"|"&amp;TEXT(COUNTIF($G$7:G477,G477),"000"))</f>
        <v>MERKEZ KASA|354</v>
      </c>
    </row>
    <row r="478" spans="1:15" ht="17">
      <c r="A478" s="6"/>
      <c r="B478" s="95" t="s">
        <v>1112</v>
      </c>
      <c r="C478" s="95" t="s">
        <v>479</v>
      </c>
      <c r="D478" s="96" t="s">
        <v>617</v>
      </c>
      <c r="E478" s="97">
        <v>46228</v>
      </c>
      <c r="F478" s="99">
        <v>3000</v>
      </c>
      <c r="G478" s="95" t="s">
        <v>618</v>
      </c>
      <c r="H478" s="95" t="s">
        <v>462</v>
      </c>
      <c r="I478" s="95"/>
      <c r="J478" s="96" t="s">
        <v>619</v>
      </c>
      <c r="K478" s="95"/>
      <c r="L478" s="43">
        <f t="shared" si="7"/>
        <v>46204</v>
      </c>
      <c r="M478" s="42" t="str">
        <f>IF(AND(C478="",D478="",E478="",F478=""),"",IF(OR(C478="",D478="",E478="",F478="",G478=""),"EKSİK",IF(COUNTIF(MUSTERILER!$B$7:$B$156,C478)=0,"TANIMSIZ MÜŞTERİ","UYGUN")))</f>
        <v>UYGUN</v>
      </c>
      <c r="N478" s="22" t="str">
        <f>IF(D478="","",D478&amp;"|"&amp;TEXT(COUNTIF($D$7:D478,D478),"000"))</f>
        <v>Çayıralan Ltd.Şti.|027</v>
      </c>
      <c r="O478" s="22" t="str">
        <f>IF(G478="","",G478&amp;"|"&amp;TEXT(COUNTIF($G$7:G478,G478),"000"))</f>
        <v>MERKEZ KASA|355</v>
      </c>
    </row>
    <row r="479" spans="1:15" ht="17">
      <c r="A479" s="6"/>
      <c r="B479" s="95" t="s">
        <v>1113</v>
      </c>
      <c r="C479" s="95" t="s">
        <v>487</v>
      </c>
      <c r="D479" s="96" t="s">
        <v>714</v>
      </c>
      <c r="E479" s="97">
        <v>46228</v>
      </c>
      <c r="F479" s="99">
        <v>4000</v>
      </c>
      <c r="G479" s="95" t="s">
        <v>618</v>
      </c>
      <c r="H479" s="95" t="s">
        <v>462</v>
      </c>
      <c r="I479" s="95"/>
      <c r="J479" s="96" t="s">
        <v>619</v>
      </c>
      <c r="K479" s="95"/>
      <c r="L479" s="43">
        <f t="shared" si="7"/>
        <v>46204</v>
      </c>
      <c r="M479" s="42" t="str">
        <f>IF(AND(C479="",D479="",E479="",F479=""),"",IF(OR(C479="",D479="",E479="",F479="",G479=""),"EKSİK",IF(COUNTIF(MUSTERILER!$B$7:$B$156,C479)=0,"TANIMSIZ MÜŞTERİ","UYGUN")))</f>
        <v>UYGUN</v>
      </c>
      <c r="N479" s="22" t="str">
        <f>IF(D479="","",D479&amp;"|"&amp;TEXT(COUNTIF($D$7:D479,D479),"000"))</f>
        <v>Eğlengör Ltd.Şti.|028</v>
      </c>
      <c r="O479" s="22" t="str">
        <f>IF(G479="","",G479&amp;"|"&amp;TEXT(COUNTIF($G$7:G479,G479),"000"))</f>
        <v>MERKEZ KASA|356</v>
      </c>
    </row>
    <row r="480" spans="1:15" ht="17">
      <c r="A480" s="6"/>
      <c r="B480" s="95" t="s">
        <v>1114</v>
      </c>
      <c r="C480" s="95" t="s">
        <v>495</v>
      </c>
      <c r="D480" s="96" t="s">
        <v>716</v>
      </c>
      <c r="E480" s="97">
        <v>46228</v>
      </c>
      <c r="F480" s="99">
        <v>4000</v>
      </c>
      <c r="G480" s="95" t="s">
        <v>618</v>
      </c>
      <c r="H480" s="95" t="s">
        <v>462</v>
      </c>
      <c r="I480" s="95"/>
      <c r="J480" s="96" t="s">
        <v>619</v>
      </c>
      <c r="K480" s="95"/>
      <c r="L480" s="43">
        <f t="shared" si="7"/>
        <v>46204</v>
      </c>
      <c r="M480" s="42" t="str">
        <f>IF(AND(C480="",D480="",E480="",F480=""),"",IF(OR(C480="",D480="",E480="",F480="",G480=""),"EKSİK",IF(COUNTIF(MUSTERILER!$B$7:$B$156,C480)=0,"TANIMSIZ MÜŞTERİ","UYGUN")))</f>
        <v>UYGUN</v>
      </c>
      <c r="N480" s="22" t="str">
        <f>IF(D480="","",D480&amp;"|"&amp;TEXT(COUNTIF($D$7:D480,D480),"000"))</f>
        <v>Final Siyah Beyaz Ltd.Şti.|027</v>
      </c>
      <c r="O480" s="22" t="str">
        <f>IF(G480="","",G480&amp;"|"&amp;TEXT(COUNTIF($G$7:G480,G480),"000"))</f>
        <v>MERKEZ KASA|357</v>
      </c>
    </row>
    <row r="481" spans="1:15" ht="17">
      <c r="A481" s="6"/>
      <c r="B481" s="95" t="s">
        <v>1115</v>
      </c>
      <c r="C481" s="95" t="s">
        <v>503</v>
      </c>
      <c r="D481" s="96" t="s">
        <v>621</v>
      </c>
      <c r="E481" s="97">
        <v>46228</v>
      </c>
      <c r="F481" s="99">
        <v>4000</v>
      </c>
      <c r="G481" s="95" t="s">
        <v>618</v>
      </c>
      <c r="H481" s="95" t="s">
        <v>462</v>
      </c>
      <c r="I481" s="95"/>
      <c r="J481" s="96" t="s">
        <v>619</v>
      </c>
      <c r="K481" s="95"/>
      <c r="L481" s="43">
        <f t="shared" si="7"/>
        <v>46204</v>
      </c>
      <c r="M481" s="42" t="str">
        <f>IF(AND(C481="",D481="",E481="",F481=""),"",IF(OR(C481="",D481="",E481="",F481="",G481=""),"EKSİK",IF(COUNTIF(MUSTERILER!$B$7:$B$156,C481)=0,"TANIMSIZ MÜŞTERİ","UYGUN")))</f>
        <v>UYGUN</v>
      </c>
      <c r="N481" s="22" t="str">
        <f>IF(D481="","",D481&amp;"|"&amp;TEXT(COUNTIF($D$7:D481,D481),"000"))</f>
        <v>İldeş Ltd.Şti.|027</v>
      </c>
      <c r="O481" s="22" t="str">
        <f>IF(G481="","",G481&amp;"|"&amp;TEXT(COUNTIF($G$7:G481,G481),"000"))</f>
        <v>MERKEZ KASA|358</v>
      </c>
    </row>
    <row r="482" spans="1:15" ht="17">
      <c r="A482" s="6"/>
      <c r="B482" s="95" t="s">
        <v>1116</v>
      </c>
      <c r="C482" s="95" t="s">
        <v>525</v>
      </c>
      <c r="D482" s="96" t="s">
        <v>721</v>
      </c>
      <c r="E482" s="97">
        <v>46228</v>
      </c>
      <c r="F482" s="99">
        <v>3500</v>
      </c>
      <c r="G482" s="95" t="s">
        <v>618</v>
      </c>
      <c r="H482" s="95" t="s">
        <v>462</v>
      </c>
      <c r="I482" s="95"/>
      <c r="J482" s="96" t="s">
        <v>619</v>
      </c>
      <c r="K482" s="95"/>
      <c r="L482" s="43">
        <f t="shared" si="7"/>
        <v>46204</v>
      </c>
      <c r="M482" s="42" t="str">
        <f>IF(AND(C482="",D482="",E482="",F482=""),"",IF(OR(C482="",D482="",E482="",F482="",G482=""),"EKSİK",IF(COUNTIF(MUSTERILER!$B$7:$B$156,C482)=0,"TANIMSIZ MÜŞTERİ","UYGUN")))</f>
        <v>UYGUN</v>
      </c>
      <c r="N482" s="22" t="str">
        <f>IF(D482="","",D482&amp;"|"&amp;TEXT(COUNTIF($D$7:D482,D482),"000"))</f>
        <v>Monamour Ltd.Şti.|020</v>
      </c>
      <c r="O482" s="22" t="str">
        <f>IF(G482="","",G482&amp;"|"&amp;TEXT(COUNTIF($G$7:G482,G482),"000"))</f>
        <v>MERKEZ KASA|359</v>
      </c>
    </row>
    <row r="483" spans="1:15" ht="17">
      <c r="A483" s="6"/>
      <c r="B483" s="95" t="s">
        <v>1117</v>
      </c>
      <c r="C483" s="95" t="s">
        <v>534</v>
      </c>
      <c r="D483" s="96" t="s">
        <v>724</v>
      </c>
      <c r="E483" s="97">
        <v>46228</v>
      </c>
      <c r="F483" s="99">
        <v>2000</v>
      </c>
      <c r="G483" s="95" t="s">
        <v>618</v>
      </c>
      <c r="H483" s="95" t="s">
        <v>462</v>
      </c>
      <c r="I483" s="95"/>
      <c r="J483" s="96" t="s">
        <v>619</v>
      </c>
      <c r="K483" s="95"/>
      <c r="L483" s="43">
        <f t="shared" si="7"/>
        <v>46204</v>
      </c>
      <c r="M483" s="42" t="str">
        <f>IF(AND(C483="",D483="",E483="",F483=""),"",IF(OR(C483="",D483="",E483="",F483="",G483=""),"EKSİK",IF(COUNTIF(MUSTERILER!$B$7:$B$156,C483)=0,"TANIMSIZ MÜŞTERİ","UYGUN")))</f>
        <v>UYGUN</v>
      </c>
      <c r="N483" s="22" t="str">
        <f>IF(D483="","",D483&amp;"|"&amp;TEXT(COUNTIF($D$7:D483,D483),"000"))</f>
        <v>Naz 1 Gıda Ltd.Şti.|020</v>
      </c>
      <c r="O483" s="22" t="str">
        <f>IF(G483="","",G483&amp;"|"&amp;TEXT(COUNTIF($G$7:G483,G483),"000"))</f>
        <v>MERKEZ KASA|360</v>
      </c>
    </row>
    <row r="484" spans="1:15" ht="17">
      <c r="A484" s="6"/>
      <c r="B484" s="95" t="s">
        <v>1118</v>
      </c>
      <c r="C484" s="95" t="s">
        <v>564</v>
      </c>
      <c r="D484" s="96" t="s">
        <v>565</v>
      </c>
      <c r="E484" s="97">
        <v>46228</v>
      </c>
      <c r="F484" s="99">
        <v>5000</v>
      </c>
      <c r="G484" s="95" t="s">
        <v>628</v>
      </c>
      <c r="H484" s="95" t="s">
        <v>462</v>
      </c>
      <c r="I484" s="95"/>
      <c r="J484" s="96" t="s">
        <v>1077</v>
      </c>
      <c r="K484" s="95"/>
      <c r="L484" s="43">
        <f t="shared" si="7"/>
        <v>46204</v>
      </c>
      <c r="M484" s="42" t="str">
        <f>IF(AND(C484="",D484="",E484="",F484=""),"",IF(OR(C484="",D484="",E484="",F484="",G484=""),"EKSİK",IF(COUNTIF(MUSTERILER!$B$7:$B$156,C484)=0,"TANIMSIZ MÜŞTERİ","UYGUN")))</f>
        <v>UYGUN</v>
      </c>
      <c r="N484" s="22" t="str">
        <f>IF(D484="","",D484&amp;"|"&amp;TEXT(COUNTIF($D$7:D484,D484),"000"))</f>
        <v>YALIKENT LTD.ŞTİ.|019</v>
      </c>
      <c r="O484" s="22" t="str">
        <f>IF(G484="","",G484&amp;"|"&amp;TEXT(COUNTIF($G$7:G484,G484),"000"))</f>
        <v>ÖMER KARTAL|112</v>
      </c>
    </row>
    <row r="485" spans="1:15" ht="17">
      <c r="A485" s="6"/>
      <c r="B485" s="95" t="s">
        <v>1119</v>
      </c>
      <c r="C485" s="95" t="s">
        <v>570</v>
      </c>
      <c r="D485" s="96" t="s">
        <v>626</v>
      </c>
      <c r="E485" s="97">
        <v>46228</v>
      </c>
      <c r="F485" s="99">
        <v>1750</v>
      </c>
      <c r="G485" s="95" t="s">
        <v>618</v>
      </c>
      <c r="H485" s="95" t="s">
        <v>462</v>
      </c>
      <c r="I485" s="95"/>
      <c r="J485" s="96" t="s">
        <v>619</v>
      </c>
      <c r="K485" s="95"/>
      <c r="L485" s="43">
        <f t="shared" si="7"/>
        <v>46204</v>
      </c>
      <c r="M485" s="42" t="str">
        <f>IF(AND(C485="",D485="",E485="",F485=""),"",IF(OR(C485="",D485="",E485="",F485="",G485=""),"EKSİK",IF(COUNTIF(MUSTERILER!$B$7:$B$156,C485)=0,"TANIMSIZ MÜŞTERİ","UYGUN")))</f>
        <v>UYGUN</v>
      </c>
      <c r="N485" s="22" t="str">
        <f>IF(D485="","",D485&amp;"|"&amp;TEXT(COUNTIF($D$7:D485,D485),"000"))</f>
        <v>Zümrüt Grup Ltd.Şti.|021</v>
      </c>
      <c r="O485" s="22" t="str">
        <f>IF(G485="","",G485&amp;"|"&amp;TEXT(COUNTIF($G$7:G485,G485),"000"))</f>
        <v>MERKEZ KASA|361</v>
      </c>
    </row>
    <row r="486" spans="1:15" ht="17">
      <c r="A486" s="6"/>
      <c r="B486" s="95" t="s">
        <v>1120</v>
      </c>
      <c r="C486" s="95" t="s">
        <v>513</v>
      </c>
      <c r="D486" s="96" t="s">
        <v>514</v>
      </c>
      <c r="E486" s="97">
        <v>46228</v>
      </c>
      <c r="F486" s="99">
        <v>3000</v>
      </c>
      <c r="G486" s="95" t="s">
        <v>618</v>
      </c>
      <c r="H486" s="95" t="s">
        <v>462</v>
      </c>
      <c r="I486" s="95"/>
      <c r="J486" s="96" t="s">
        <v>619</v>
      </c>
      <c r="K486" s="95"/>
      <c r="L486" s="43">
        <f t="shared" si="7"/>
        <v>46204</v>
      </c>
      <c r="M486" s="42" t="str">
        <f>IF(AND(C486="",D486="",E486="",F486=""),"",IF(OR(C486="",D486="",E486="",F486="",G486=""),"EKSİK",IF(COUNTIF(MUSTERILER!$B$7:$B$156,C486)=0,"TANIMSIZ MÜŞTERİ","UYGUN")))</f>
        <v>UYGUN</v>
      </c>
      <c r="N486" s="22" t="str">
        <f>IF(D486="","",D486&amp;"|"&amp;TEXT(COUNTIF($D$7:D486,D486),"000"))</f>
        <v>KRİSTAL LTD.ŞTİ.|028</v>
      </c>
      <c r="O486" s="22" t="str">
        <f>IF(G486="","",G486&amp;"|"&amp;TEXT(COUNTIF($G$7:G486,G486),"000"))</f>
        <v>MERKEZ KASA|362</v>
      </c>
    </row>
    <row r="487" spans="1:15" ht="17">
      <c r="A487" s="6"/>
      <c r="B487" s="95" t="s">
        <v>1121</v>
      </c>
      <c r="C487" s="95" t="s">
        <v>544</v>
      </c>
      <c r="D487" s="96" t="s">
        <v>545</v>
      </c>
      <c r="E487" s="97">
        <v>46228</v>
      </c>
      <c r="F487" s="99">
        <v>15000</v>
      </c>
      <c r="G487" s="95" t="s">
        <v>618</v>
      </c>
      <c r="H487" s="95" t="s">
        <v>462</v>
      </c>
      <c r="I487" s="95"/>
      <c r="J487" s="96" t="s">
        <v>619</v>
      </c>
      <c r="K487" s="95"/>
      <c r="L487" s="43">
        <f t="shared" si="7"/>
        <v>46204</v>
      </c>
      <c r="M487" s="42" t="str">
        <f>IF(AND(C487="",D487="",E487="",F487=""),"",IF(OR(C487="",D487="",E487="",F487="",G487=""),"EKSİK",IF(COUNTIF(MUSTERILER!$B$7:$B$156,C487)=0,"TANIMSIZ MÜŞTERİ","UYGUN")))</f>
        <v>UYGUN</v>
      </c>
      <c r="N487" s="22" t="str">
        <f>IF(D487="","",D487&amp;"|"&amp;TEXT(COUNTIF($D$7:D487,D487),"000"))</f>
        <v>PALAOĞULLARI LTD.ŞTİ.|019</v>
      </c>
      <c r="O487" s="22" t="str">
        <f>IF(G487="","",G487&amp;"|"&amp;TEXT(COUNTIF($G$7:G487,G487),"000"))</f>
        <v>MERKEZ KASA|363</v>
      </c>
    </row>
    <row r="488" spans="1:15" ht="17">
      <c r="A488" s="6"/>
      <c r="B488" s="95" t="s">
        <v>1122</v>
      </c>
      <c r="C488" s="95" t="s">
        <v>467</v>
      </c>
      <c r="D488" s="96" t="s">
        <v>709</v>
      </c>
      <c r="E488" s="97">
        <v>46235</v>
      </c>
      <c r="F488" s="99">
        <v>14000</v>
      </c>
      <c r="G488" s="95" t="s">
        <v>618</v>
      </c>
      <c r="H488" s="95" t="s">
        <v>462</v>
      </c>
      <c r="I488" s="95"/>
      <c r="J488" s="96" t="s">
        <v>619</v>
      </c>
      <c r="K488" s="95"/>
      <c r="L488" s="43">
        <f t="shared" si="7"/>
        <v>46235</v>
      </c>
      <c r="M488" s="42" t="str">
        <f>IF(AND(C488="",D488="",E488="",F488=""),"",IF(OR(C488="",D488="",E488="",F488="",G488=""),"EKSİK",IF(COUNTIF(MUSTERILER!$B$7:$B$156,C488)=0,"TANIMSIZ MÜŞTERİ","UYGUN")))</f>
        <v>UYGUN</v>
      </c>
      <c r="N488" s="22" t="str">
        <f>IF(D488="","",D488&amp;"|"&amp;TEXT(COUNTIF($D$7:D488,D488),"000"))</f>
        <v>Ankara Havana Ltd.Şti.|015</v>
      </c>
      <c r="O488" s="22" t="str">
        <f>IF(G488="","",G488&amp;"|"&amp;TEXT(COUNTIF($G$7:G488,G488),"000"))</f>
        <v>MERKEZ KASA|364</v>
      </c>
    </row>
    <row r="489" spans="1:15" ht="17">
      <c r="A489" s="6"/>
      <c r="B489" s="95" t="s">
        <v>1123</v>
      </c>
      <c r="C489" s="95" t="s">
        <v>473</v>
      </c>
      <c r="D489" s="96" t="s">
        <v>474</v>
      </c>
      <c r="E489" s="97">
        <v>46235</v>
      </c>
      <c r="F489" s="99">
        <v>2000</v>
      </c>
      <c r="G489" s="95" t="s">
        <v>618</v>
      </c>
      <c r="H489" s="95" t="s">
        <v>462</v>
      </c>
      <c r="I489" s="95"/>
      <c r="J489" s="96" t="s">
        <v>619</v>
      </c>
      <c r="K489" s="95"/>
      <c r="L489" s="43">
        <f t="shared" si="7"/>
        <v>46235</v>
      </c>
      <c r="M489" s="42" t="str">
        <f>IF(AND(C489="",D489="",E489="",F489=""),"",IF(OR(C489="",D489="",E489="",F489="",G489=""),"EKSİK",IF(COUNTIF(MUSTERILER!$B$7:$B$156,C489)=0,"TANIMSIZ MÜŞTERİ","UYGUN")))</f>
        <v>UYGUN</v>
      </c>
      <c r="N489" s="22" t="str">
        <f>IF(D489="","",D489&amp;"|"&amp;TEXT(COUNTIF($D$7:D489,D489),"000"))</f>
        <v>ASIM AÇIKGÖZ|026</v>
      </c>
      <c r="O489" s="22" t="str">
        <f>IF(G489="","",G489&amp;"|"&amp;TEXT(COUNTIF($G$7:G489,G489),"000"))</f>
        <v>MERKEZ KASA|365</v>
      </c>
    </row>
    <row r="490" spans="1:15" ht="17">
      <c r="A490" s="6"/>
      <c r="B490" s="95" t="s">
        <v>1124</v>
      </c>
      <c r="C490" s="95" t="s">
        <v>475</v>
      </c>
      <c r="D490" s="96" t="s">
        <v>476</v>
      </c>
      <c r="E490" s="97">
        <v>46235</v>
      </c>
      <c r="F490" s="99">
        <v>2500</v>
      </c>
      <c r="G490" s="95" t="s">
        <v>618</v>
      </c>
      <c r="H490" s="95" t="s">
        <v>462</v>
      </c>
      <c r="I490" s="95"/>
      <c r="J490" s="96" t="s">
        <v>619</v>
      </c>
      <c r="K490" s="95"/>
      <c r="L490" s="43">
        <f t="shared" si="7"/>
        <v>46235</v>
      </c>
      <c r="M490" s="42" t="str">
        <f>IF(AND(C490="",D490="",E490="",F490=""),"",IF(OR(C490="",D490="",E490="",F490="",G490=""),"EKSİK",IF(COUNTIF(MUSTERILER!$B$7:$B$156,C490)=0,"TANIMSIZ MÜŞTERİ","UYGUN")))</f>
        <v>UYGUN</v>
      </c>
      <c r="N490" s="22" t="str">
        <f>IF(D490="","",D490&amp;"|"&amp;TEXT(COUNTIF($D$7:D490,D490),"000"))</f>
        <v>ASM EĞLENCE LTD.ŞTİ.|026</v>
      </c>
      <c r="O490" s="22" t="str">
        <f>IF(G490="","",G490&amp;"|"&amp;TEXT(COUNTIF($G$7:G490,G490),"000"))</f>
        <v>MERKEZ KASA|366</v>
      </c>
    </row>
    <row r="491" spans="1:15" ht="17">
      <c r="A491" s="6"/>
      <c r="B491" s="95" t="s">
        <v>1125</v>
      </c>
      <c r="C491" s="95" t="s">
        <v>487</v>
      </c>
      <c r="D491" s="96" t="s">
        <v>714</v>
      </c>
      <c r="E491" s="97">
        <v>46235</v>
      </c>
      <c r="F491" s="99">
        <v>4000</v>
      </c>
      <c r="G491" s="95" t="s">
        <v>618</v>
      </c>
      <c r="H491" s="95" t="s">
        <v>462</v>
      </c>
      <c r="I491" s="95"/>
      <c r="J491" s="96" t="s">
        <v>619</v>
      </c>
      <c r="K491" s="95"/>
      <c r="L491" s="43">
        <f t="shared" si="7"/>
        <v>46235</v>
      </c>
      <c r="M491" s="42" t="str">
        <f>IF(AND(C491="",D491="",E491="",F491=""),"",IF(OR(C491="",D491="",E491="",F491="",G491=""),"EKSİK",IF(COUNTIF(MUSTERILER!$B$7:$B$156,C491)=0,"TANIMSIZ MÜŞTERİ","UYGUN")))</f>
        <v>UYGUN</v>
      </c>
      <c r="N491" s="22" t="str">
        <f>IF(D491="","",D491&amp;"|"&amp;TEXT(COUNTIF($D$7:D491,D491),"000"))</f>
        <v>Eğlengör Ltd.Şti.|029</v>
      </c>
      <c r="O491" s="22" t="str">
        <f>IF(G491="","",G491&amp;"|"&amp;TEXT(COUNTIF($G$7:G491,G491),"000"))</f>
        <v>MERKEZ KASA|367</v>
      </c>
    </row>
    <row r="492" spans="1:15" ht="17">
      <c r="A492" s="6"/>
      <c r="B492" s="95" t="s">
        <v>1126</v>
      </c>
      <c r="C492" s="95" t="s">
        <v>495</v>
      </c>
      <c r="D492" s="96" t="s">
        <v>716</v>
      </c>
      <c r="E492" s="97">
        <v>46235</v>
      </c>
      <c r="F492" s="99">
        <v>4000</v>
      </c>
      <c r="G492" s="95" t="s">
        <v>618</v>
      </c>
      <c r="H492" s="95" t="s">
        <v>462</v>
      </c>
      <c r="I492" s="95"/>
      <c r="J492" s="96" t="s">
        <v>619</v>
      </c>
      <c r="K492" s="95"/>
      <c r="L492" s="43">
        <f t="shared" si="7"/>
        <v>46235</v>
      </c>
      <c r="M492" s="42" t="str">
        <f>IF(AND(C492="",D492="",E492="",F492=""),"",IF(OR(C492="",D492="",E492="",F492="",G492=""),"EKSİK",IF(COUNTIF(MUSTERILER!$B$7:$B$156,C492)=0,"TANIMSIZ MÜŞTERİ","UYGUN")))</f>
        <v>UYGUN</v>
      </c>
      <c r="N492" s="22" t="str">
        <f>IF(D492="","",D492&amp;"|"&amp;TEXT(COUNTIF($D$7:D492,D492),"000"))</f>
        <v>Final Siyah Beyaz Ltd.Şti.|028</v>
      </c>
      <c r="O492" s="22" t="str">
        <f>IF(G492="","",G492&amp;"|"&amp;TEXT(COUNTIF($G$7:G492,G492),"000"))</f>
        <v>MERKEZ KASA|368</v>
      </c>
    </row>
    <row r="493" spans="1:15" ht="17">
      <c r="A493" s="6"/>
      <c r="B493" s="95" t="s">
        <v>1127</v>
      </c>
      <c r="C493" s="95" t="s">
        <v>525</v>
      </c>
      <c r="D493" s="96" t="s">
        <v>721</v>
      </c>
      <c r="E493" s="97">
        <v>46235</v>
      </c>
      <c r="F493" s="99">
        <v>3500</v>
      </c>
      <c r="G493" s="95" t="s">
        <v>618</v>
      </c>
      <c r="H493" s="95" t="s">
        <v>462</v>
      </c>
      <c r="I493" s="95"/>
      <c r="J493" s="96" t="s">
        <v>619</v>
      </c>
      <c r="K493" s="95"/>
      <c r="L493" s="43">
        <f t="shared" si="7"/>
        <v>46235</v>
      </c>
      <c r="M493" s="42" t="str">
        <f>IF(AND(C493="",D493="",E493="",F493=""),"",IF(OR(C493="",D493="",E493="",F493="",G493=""),"EKSİK",IF(COUNTIF(MUSTERILER!$B$7:$B$156,C493)=0,"TANIMSIZ MÜŞTERİ","UYGUN")))</f>
        <v>UYGUN</v>
      </c>
      <c r="N493" s="22" t="str">
        <f>IF(D493="","",D493&amp;"|"&amp;TEXT(COUNTIF($D$7:D493,D493),"000"))</f>
        <v>Monamour Ltd.Şti.|021</v>
      </c>
      <c r="O493" s="22" t="str">
        <f>IF(G493="","",G493&amp;"|"&amp;TEXT(COUNTIF($G$7:G493,G493),"000"))</f>
        <v>MERKEZ KASA|369</v>
      </c>
    </row>
    <row r="494" spans="1:15" ht="17">
      <c r="A494" s="6"/>
      <c r="B494" s="95" t="s">
        <v>1128</v>
      </c>
      <c r="C494" s="95" t="s">
        <v>534</v>
      </c>
      <c r="D494" s="96" t="s">
        <v>724</v>
      </c>
      <c r="E494" s="97">
        <v>46235</v>
      </c>
      <c r="F494" s="99">
        <v>2000</v>
      </c>
      <c r="G494" s="95" t="s">
        <v>618</v>
      </c>
      <c r="H494" s="95" t="s">
        <v>462</v>
      </c>
      <c r="I494" s="95"/>
      <c r="J494" s="96" t="s">
        <v>619</v>
      </c>
      <c r="K494" s="95"/>
      <c r="L494" s="43">
        <f t="shared" si="7"/>
        <v>46235</v>
      </c>
      <c r="M494" s="42" t="str">
        <f>IF(AND(C494="",D494="",E494="",F494=""),"",IF(OR(C494="",D494="",E494="",F494="",G494=""),"EKSİK",IF(COUNTIF(MUSTERILER!$B$7:$B$156,C494)=0,"TANIMSIZ MÜŞTERİ","UYGUN")))</f>
        <v>UYGUN</v>
      </c>
      <c r="N494" s="22" t="str">
        <f>IF(D494="","",D494&amp;"|"&amp;TEXT(COUNTIF($D$7:D494,D494),"000"))</f>
        <v>Naz 1 Gıda Ltd.Şti.|021</v>
      </c>
      <c r="O494" s="22" t="str">
        <f>IF(G494="","",G494&amp;"|"&amp;TEXT(COUNTIF($G$7:G494,G494),"000"))</f>
        <v>MERKEZ KASA|370</v>
      </c>
    </row>
    <row r="495" spans="1:15" ht="17">
      <c r="A495" s="6"/>
      <c r="B495" s="95" t="s">
        <v>1129</v>
      </c>
      <c r="C495" s="95" t="s">
        <v>542</v>
      </c>
      <c r="D495" s="96" t="s">
        <v>726</v>
      </c>
      <c r="E495" s="97">
        <v>46235</v>
      </c>
      <c r="F495" s="99">
        <v>4000</v>
      </c>
      <c r="G495" s="95" t="s">
        <v>618</v>
      </c>
      <c r="H495" s="95" t="s">
        <v>462</v>
      </c>
      <c r="I495" s="95"/>
      <c r="J495" s="96" t="s">
        <v>619</v>
      </c>
      <c r="K495" s="95"/>
      <c r="L495" s="43">
        <f t="shared" si="7"/>
        <v>46235</v>
      </c>
      <c r="M495" s="42" t="str">
        <f>IF(AND(C495="",D495="",E495="",F495=""),"",IF(OR(C495="",D495="",E495="",F495="",G495=""),"EKSİK",IF(COUNTIF(MUSTERILER!$B$7:$B$156,C495)=0,"TANIMSIZ MÜŞTERİ","UYGUN")))</f>
        <v>UYGUN</v>
      </c>
      <c r="N495" s="22" t="str">
        <f>IF(D495="","",D495&amp;"|"&amp;TEXT(COUNTIF($D$7:D495,D495),"000"))</f>
        <v>Pakyıldız Ltd.Şti.|026</v>
      </c>
      <c r="O495" s="22" t="str">
        <f>IF(G495="","",G495&amp;"|"&amp;TEXT(COUNTIF($G$7:G495,G495),"000"))</f>
        <v>MERKEZ KASA|371</v>
      </c>
    </row>
    <row r="496" spans="1:15" ht="17">
      <c r="A496" s="6"/>
      <c r="B496" s="95" t="s">
        <v>1130</v>
      </c>
      <c r="C496" s="95" t="s">
        <v>548</v>
      </c>
      <c r="D496" s="96" t="s">
        <v>728</v>
      </c>
      <c r="E496" s="97">
        <v>46235</v>
      </c>
      <c r="F496" s="99">
        <v>3000</v>
      </c>
      <c r="G496" s="95" t="s">
        <v>618</v>
      </c>
      <c r="H496" s="95" t="s">
        <v>462</v>
      </c>
      <c r="I496" s="95"/>
      <c r="J496" s="96" t="s">
        <v>619</v>
      </c>
      <c r="K496" s="95"/>
      <c r="L496" s="43">
        <f t="shared" si="7"/>
        <v>46235</v>
      </c>
      <c r="M496" s="42" t="str">
        <f>IF(AND(C496="",D496="",E496="",F496=""),"",IF(OR(C496="",D496="",E496="",F496="",G496=""),"EKSİK",IF(COUNTIF(MUSTERILER!$B$7:$B$156,C496)=0,"TANIMSIZ MÜŞTERİ","UYGUN")))</f>
        <v>UYGUN</v>
      </c>
      <c r="N496" s="22" t="str">
        <f>IF(D496="","",D496&amp;"|"&amp;TEXT(COUNTIF($D$7:D496,D496),"000"))</f>
        <v>Rix Şow Ltd.Şti.|028</v>
      </c>
      <c r="O496" s="22" t="str">
        <f>IF(G496="","",G496&amp;"|"&amp;TEXT(COUNTIF($G$7:G496,G496),"000"))</f>
        <v>MERKEZ KASA|372</v>
      </c>
    </row>
    <row r="497" spans="1:15" ht="17">
      <c r="A497" s="6"/>
      <c r="B497" s="95" t="s">
        <v>1131</v>
      </c>
      <c r="C497" s="95" t="s">
        <v>564</v>
      </c>
      <c r="D497" s="96" t="s">
        <v>565</v>
      </c>
      <c r="E497" s="97">
        <v>46235</v>
      </c>
      <c r="F497" s="99">
        <v>5000</v>
      </c>
      <c r="G497" s="95" t="s">
        <v>628</v>
      </c>
      <c r="H497" s="95" t="s">
        <v>462</v>
      </c>
      <c r="I497" s="95"/>
      <c r="J497" s="96" t="s">
        <v>1077</v>
      </c>
      <c r="K497" s="95"/>
      <c r="L497" s="43">
        <f t="shared" si="7"/>
        <v>46235</v>
      </c>
      <c r="M497" s="42" t="str">
        <f>IF(AND(C497="",D497="",E497="",F497=""),"",IF(OR(C497="",D497="",E497="",F497="",G497=""),"EKSİK",IF(COUNTIF(MUSTERILER!$B$7:$B$156,C497)=0,"TANIMSIZ MÜŞTERİ","UYGUN")))</f>
        <v>UYGUN</v>
      </c>
      <c r="N497" s="22" t="str">
        <f>IF(D497="","",D497&amp;"|"&amp;TEXT(COUNTIF($D$7:D497,D497),"000"))</f>
        <v>YALIKENT LTD.ŞTİ.|020</v>
      </c>
      <c r="O497" s="22" t="str">
        <f>IF(G497="","",G497&amp;"|"&amp;TEXT(COUNTIF($G$7:G497,G497),"000"))</f>
        <v>ÖMER KARTAL|113</v>
      </c>
    </row>
    <row r="498" spans="1:15" ht="17">
      <c r="A498" s="6"/>
      <c r="B498" s="95" t="s">
        <v>1132</v>
      </c>
      <c r="C498" s="95" t="s">
        <v>570</v>
      </c>
      <c r="D498" s="96" t="s">
        <v>626</v>
      </c>
      <c r="E498" s="97">
        <v>46235</v>
      </c>
      <c r="F498" s="99">
        <v>1750</v>
      </c>
      <c r="G498" s="95" t="s">
        <v>618</v>
      </c>
      <c r="H498" s="95" t="s">
        <v>462</v>
      </c>
      <c r="I498" s="95"/>
      <c r="J498" s="96" t="s">
        <v>619</v>
      </c>
      <c r="K498" s="95"/>
      <c r="L498" s="43">
        <f t="shared" si="7"/>
        <v>46235</v>
      </c>
      <c r="M498" s="42" t="str">
        <f>IF(AND(C498="",D498="",E498="",F498=""),"",IF(OR(C498="",D498="",E498="",F498="",G498=""),"EKSİK",IF(COUNTIF(MUSTERILER!$B$7:$B$156,C498)=0,"TANIMSIZ MÜŞTERİ","UYGUN")))</f>
        <v>UYGUN</v>
      </c>
      <c r="N498" s="22" t="str">
        <f>IF(D498="","",D498&amp;"|"&amp;TEXT(COUNTIF($D$7:D498,D498),"000"))</f>
        <v>Zümrüt Grup Ltd.Şti.|022</v>
      </c>
      <c r="O498" s="22" t="str">
        <f>IF(G498="","",G498&amp;"|"&amp;TEXT(COUNTIF($G$7:G498,G498),"000"))</f>
        <v>MERKEZ KASA|373</v>
      </c>
    </row>
    <row r="499" spans="1:15" ht="17">
      <c r="A499" s="6"/>
      <c r="B499" s="95" t="s">
        <v>1133</v>
      </c>
      <c r="C499" s="95" t="s">
        <v>483</v>
      </c>
      <c r="D499" s="96" t="s">
        <v>484</v>
      </c>
      <c r="E499" s="97">
        <v>46235</v>
      </c>
      <c r="F499" s="99">
        <v>4000</v>
      </c>
      <c r="G499" s="95" t="s">
        <v>618</v>
      </c>
      <c r="H499" s="95" t="s">
        <v>462</v>
      </c>
      <c r="I499" s="95"/>
      <c r="J499" s="96" t="s">
        <v>619</v>
      </c>
      <c r="K499" s="95"/>
      <c r="L499" s="43">
        <f t="shared" si="7"/>
        <v>46235</v>
      </c>
      <c r="M499" s="42" t="str">
        <f>IF(AND(C499="",D499="",E499="",F499=""),"",IF(OR(C499="",D499="",E499="",F499="",G499=""),"EKSİK",IF(COUNTIF(MUSTERILER!$B$7:$B$156,C499)=0,"TANIMSIZ MÜŞTERİ","UYGUN")))</f>
        <v>UYGUN</v>
      </c>
      <c r="N499" s="22" t="str">
        <f>IF(D499="","",D499&amp;"|"&amp;TEXT(COUNTIF($D$7:D499,D499),"000"))</f>
        <v>ÇINARHAN LTD.ŞTİ.|020</v>
      </c>
      <c r="O499" s="22" t="str">
        <f>IF(G499="","",G499&amp;"|"&amp;TEXT(COUNTIF($G$7:G499,G499),"000"))</f>
        <v>MERKEZ KASA|374</v>
      </c>
    </row>
    <row r="500" spans="1:15" ht="17">
      <c r="A500" s="6"/>
      <c r="B500" s="95" t="s">
        <v>1134</v>
      </c>
      <c r="C500" s="95" t="s">
        <v>483</v>
      </c>
      <c r="D500" s="96" t="s">
        <v>484</v>
      </c>
      <c r="E500" s="97">
        <v>46235</v>
      </c>
      <c r="F500" s="99">
        <v>4500</v>
      </c>
      <c r="G500" s="95" t="s">
        <v>618</v>
      </c>
      <c r="H500" s="95" t="s">
        <v>462</v>
      </c>
      <c r="I500" s="95"/>
      <c r="J500" s="96" t="s">
        <v>619</v>
      </c>
      <c r="K500" s="95"/>
      <c r="L500" s="43">
        <f t="shared" si="7"/>
        <v>46235</v>
      </c>
      <c r="M500" s="42" t="str">
        <f>IF(AND(C500="",D500="",E500="",F500=""),"",IF(OR(C500="",D500="",E500="",F500="",G500=""),"EKSİK",IF(COUNTIF(MUSTERILER!$B$7:$B$156,C500)=0,"TANIMSIZ MÜŞTERİ","UYGUN")))</f>
        <v>UYGUN</v>
      </c>
      <c r="N500" s="22" t="str">
        <f>IF(D500="","",D500&amp;"|"&amp;TEXT(COUNTIF($D$7:D500,D500),"000"))</f>
        <v>ÇINARHAN LTD.ŞTİ.|021</v>
      </c>
      <c r="O500" s="22" t="str">
        <f>IF(G500="","",G500&amp;"|"&amp;TEXT(COUNTIF($G$7:G500,G500),"000"))</f>
        <v>MERKEZ KASA|375</v>
      </c>
    </row>
    <row r="501" spans="1:15" ht="17">
      <c r="A501" s="6"/>
      <c r="B501" s="95" t="s">
        <v>1135</v>
      </c>
      <c r="C501" s="95" t="s">
        <v>513</v>
      </c>
      <c r="D501" s="96" t="s">
        <v>514</v>
      </c>
      <c r="E501" s="97">
        <v>46235</v>
      </c>
      <c r="F501" s="99">
        <v>2000</v>
      </c>
      <c r="G501" s="95" t="s">
        <v>618</v>
      </c>
      <c r="H501" s="95" t="s">
        <v>462</v>
      </c>
      <c r="I501" s="95"/>
      <c r="J501" s="96" t="s">
        <v>619</v>
      </c>
      <c r="K501" s="95"/>
      <c r="L501" s="43">
        <f t="shared" si="7"/>
        <v>46235</v>
      </c>
      <c r="M501" s="42" t="str">
        <f>IF(AND(C501="",D501="",E501="",F501=""),"",IF(OR(C501="",D501="",E501="",F501="",G501=""),"EKSİK",IF(COUNTIF(MUSTERILER!$B$7:$B$156,C501)=0,"TANIMSIZ MÜŞTERİ","UYGUN")))</f>
        <v>UYGUN</v>
      </c>
      <c r="N501" s="22" t="str">
        <f>IF(D501="","",D501&amp;"|"&amp;TEXT(COUNTIF($D$7:D501,D501),"000"))</f>
        <v>KRİSTAL LTD.ŞTİ.|029</v>
      </c>
      <c r="O501" s="22" t="str">
        <f>IF(G501="","",G501&amp;"|"&amp;TEXT(COUNTIF($G$7:G501,G501),"000"))</f>
        <v>MERKEZ KASA|376</v>
      </c>
    </row>
    <row r="502" spans="1:15" ht="17">
      <c r="A502" s="6"/>
      <c r="B502" s="95" t="s">
        <v>1136</v>
      </c>
      <c r="C502" s="95" t="s">
        <v>481</v>
      </c>
      <c r="D502" s="96" t="s">
        <v>482</v>
      </c>
      <c r="E502" s="97">
        <v>46235</v>
      </c>
      <c r="F502" s="99">
        <v>2500</v>
      </c>
      <c r="G502" s="95" t="s">
        <v>612</v>
      </c>
      <c r="H502" s="95" t="s">
        <v>613</v>
      </c>
      <c r="I502" s="95"/>
      <c r="J502" s="96" t="s">
        <v>840</v>
      </c>
      <c r="K502" s="95"/>
      <c r="L502" s="43">
        <f t="shared" si="7"/>
        <v>46235</v>
      </c>
      <c r="M502" s="42" t="str">
        <f>IF(AND(C502="",D502="",E502="",F502=""),"",IF(OR(C502="",D502="",E502="",F502="",G502=""),"EKSİK",IF(COUNTIF(MUSTERILER!$B$7:$B$156,C502)=0,"TANIMSIZ MÜŞTERİ","UYGUN")))</f>
        <v>UYGUN</v>
      </c>
      <c r="N502" s="22" t="str">
        <f>IF(D502="","",D502&amp;"|"&amp;TEXT(COUNTIF($D$7:D502,D502),"000"))</f>
        <v>CEREN DEMİRCİ|006</v>
      </c>
      <c r="O502" s="22" t="str">
        <f>IF(G502="","",G502&amp;"|"&amp;TEXT(COUNTIF($G$7:G502,G502),"000"))</f>
        <v>CARİ MAHSUP|007</v>
      </c>
    </row>
    <row r="503" spans="1:15" ht="17">
      <c r="A503" s="6"/>
      <c r="B503" s="95" t="s">
        <v>1137</v>
      </c>
      <c r="C503" s="95" t="s">
        <v>473</v>
      </c>
      <c r="D503" s="96" t="s">
        <v>474</v>
      </c>
      <c r="E503" s="97">
        <v>46243</v>
      </c>
      <c r="F503" s="99">
        <v>2000</v>
      </c>
      <c r="G503" s="95" t="s">
        <v>618</v>
      </c>
      <c r="H503" s="95" t="s">
        <v>462</v>
      </c>
      <c r="I503" s="95"/>
      <c r="J503" s="96" t="s">
        <v>619</v>
      </c>
      <c r="K503" s="95"/>
      <c r="L503" s="43">
        <f t="shared" si="7"/>
        <v>46235</v>
      </c>
      <c r="M503" s="42" t="str">
        <f>IF(AND(C503="",D503="",E503="",F503=""),"",IF(OR(C503="",D503="",E503="",F503="",G503=""),"EKSİK",IF(COUNTIF(MUSTERILER!$B$7:$B$156,C503)=0,"TANIMSIZ MÜŞTERİ","UYGUN")))</f>
        <v>UYGUN</v>
      </c>
      <c r="N503" s="22" t="str">
        <f>IF(D503="","",D503&amp;"|"&amp;TEXT(COUNTIF($D$7:D503,D503),"000"))</f>
        <v>ASIM AÇIKGÖZ|027</v>
      </c>
      <c r="O503" s="22" t="str">
        <f>IF(G503="","",G503&amp;"|"&amp;TEXT(COUNTIF($G$7:G503,G503),"000"))</f>
        <v>MERKEZ KASA|377</v>
      </c>
    </row>
    <row r="504" spans="1:15" ht="17">
      <c r="A504" s="6"/>
      <c r="B504" s="95" t="s">
        <v>1138</v>
      </c>
      <c r="C504" s="95" t="s">
        <v>475</v>
      </c>
      <c r="D504" s="96" t="s">
        <v>476</v>
      </c>
      <c r="E504" s="97">
        <v>46243</v>
      </c>
      <c r="F504" s="99">
        <v>2500</v>
      </c>
      <c r="G504" s="95" t="s">
        <v>618</v>
      </c>
      <c r="H504" s="95" t="s">
        <v>462</v>
      </c>
      <c r="I504" s="95"/>
      <c r="J504" s="96" t="s">
        <v>619</v>
      </c>
      <c r="K504" s="95"/>
      <c r="L504" s="43">
        <f t="shared" si="7"/>
        <v>46235</v>
      </c>
      <c r="M504" s="42" t="str">
        <f>IF(AND(C504="",D504="",E504="",F504=""),"",IF(OR(C504="",D504="",E504="",F504="",G504=""),"EKSİK",IF(COUNTIF(MUSTERILER!$B$7:$B$156,C504)=0,"TANIMSIZ MÜŞTERİ","UYGUN")))</f>
        <v>UYGUN</v>
      </c>
      <c r="N504" s="22" t="str">
        <f>IF(D504="","",D504&amp;"|"&amp;TEXT(COUNTIF($D$7:D504,D504),"000"))</f>
        <v>ASM EĞLENCE LTD.ŞTİ.|027</v>
      </c>
      <c r="O504" s="22" t="str">
        <f>IF(G504="","",G504&amp;"|"&amp;TEXT(COUNTIF($G$7:G504,G504),"000"))</f>
        <v>MERKEZ KASA|378</v>
      </c>
    </row>
    <row r="505" spans="1:15" ht="17">
      <c r="A505" s="6"/>
      <c r="B505" s="95" t="s">
        <v>1139</v>
      </c>
      <c r="C505" s="95" t="s">
        <v>479</v>
      </c>
      <c r="D505" s="96" t="s">
        <v>617</v>
      </c>
      <c r="E505" s="97">
        <v>46243</v>
      </c>
      <c r="F505" s="99">
        <v>3000</v>
      </c>
      <c r="G505" s="95" t="s">
        <v>618</v>
      </c>
      <c r="H505" s="95" t="s">
        <v>462</v>
      </c>
      <c r="I505" s="95"/>
      <c r="J505" s="96" t="s">
        <v>619</v>
      </c>
      <c r="K505" s="95"/>
      <c r="L505" s="43">
        <f t="shared" si="7"/>
        <v>46235</v>
      </c>
      <c r="M505" s="42" t="str">
        <f>IF(AND(C505="",D505="",E505="",F505=""),"",IF(OR(C505="",D505="",E505="",F505="",G505=""),"EKSİK",IF(COUNTIF(MUSTERILER!$B$7:$B$156,C505)=0,"TANIMSIZ MÜŞTERİ","UYGUN")))</f>
        <v>UYGUN</v>
      </c>
      <c r="N505" s="22" t="str">
        <f>IF(D505="","",D505&amp;"|"&amp;TEXT(COUNTIF($D$7:D505,D505),"000"))</f>
        <v>Çayıralan Ltd.Şti.|028</v>
      </c>
      <c r="O505" s="22" t="str">
        <f>IF(G505="","",G505&amp;"|"&amp;TEXT(COUNTIF($G$7:G505,G505),"000"))</f>
        <v>MERKEZ KASA|379</v>
      </c>
    </row>
    <row r="506" spans="1:15" ht="17">
      <c r="A506" s="6"/>
      <c r="B506" s="95" t="s">
        <v>1140</v>
      </c>
      <c r="C506" s="95" t="s">
        <v>487</v>
      </c>
      <c r="D506" s="96" t="s">
        <v>714</v>
      </c>
      <c r="E506" s="97">
        <v>46243</v>
      </c>
      <c r="F506" s="99">
        <v>4000</v>
      </c>
      <c r="G506" s="95" t="s">
        <v>618</v>
      </c>
      <c r="H506" s="95" t="s">
        <v>462</v>
      </c>
      <c r="I506" s="95"/>
      <c r="J506" s="96" t="s">
        <v>619</v>
      </c>
      <c r="K506" s="95"/>
      <c r="L506" s="43">
        <f t="shared" si="7"/>
        <v>46235</v>
      </c>
      <c r="M506" s="42" t="str">
        <f>IF(AND(C506="",D506="",E506="",F506=""),"",IF(OR(C506="",D506="",E506="",F506="",G506=""),"EKSİK",IF(COUNTIF(MUSTERILER!$B$7:$B$156,C506)=0,"TANIMSIZ MÜŞTERİ","UYGUN")))</f>
        <v>UYGUN</v>
      </c>
      <c r="N506" s="22" t="str">
        <f>IF(D506="","",D506&amp;"|"&amp;TEXT(COUNTIF($D$7:D506,D506),"000"))</f>
        <v>Eğlengör Ltd.Şti.|030</v>
      </c>
      <c r="O506" s="22" t="str">
        <f>IF(G506="","",G506&amp;"|"&amp;TEXT(COUNTIF($G$7:G506,G506),"000"))</f>
        <v>MERKEZ KASA|380</v>
      </c>
    </row>
    <row r="507" spans="1:15" ht="17">
      <c r="A507" s="6"/>
      <c r="B507" s="95" t="s">
        <v>1141</v>
      </c>
      <c r="C507" s="95" t="s">
        <v>503</v>
      </c>
      <c r="D507" s="96" t="s">
        <v>621</v>
      </c>
      <c r="E507" s="97">
        <v>46243</v>
      </c>
      <c r="F507" s="99">
        <v>7000</v>
      </c>
      <c r="G507" s="95" t="s">
        <v>618</v>
      </c>
      <c r="H507" s="95" t="s">
        <v>462</v>
      </c>
      <c r="I507" s="95"/>
      <c r="J507" s="96" t="s">
        <v>619</v>
      </c>
      <c r="K507" s="95"/>
      <c r="L507" s="43">
        <f t="shared" si="7"/>
        <v>46235</v>
      </c>
      <c r="M507" s="42" t="str">
        <f>IF(AND(C507="",D507="",E507="",F507=""),"",IF(OR(C507="",D507="",E507="",F507="",G507=""),"EKSİK",IF(COUNTIF(MUSTERILER!$B$7:$B$156,C507)=0,"TANIMSIZ MÜŞTERİ","UYGUN")))</f>
        <v>UYGUN</v>
      </c>
      <c r="N507" s="22" t="str">
        <f>IF(D507="","",D507&amp;"|"&amp;TEXT(COUNTIF($D$7:D507,D507),"000"))</f>
        <v>İldeş Ltd.Şti.|028</v>
      </c>
      <c r="O507" s="22" t="str">
        <f>IF(G507="","",G507&amp;"|"&amp;TEXT(COUNTIF($G$7:G507,G507),"000"))</f>
        <v>MERKEZ KASA|381</v>
      </c>
    </row>
    <row r="508" spans="1:15" ht="17">
      <c r="A508" s="6"/>
      <c r="B508" s="95" t="s">
        <v>1142</v>
      </c>
      <c r="C508" s="95" t="s">
        <v>556</v>
      </c>
      <c r="D508" s="96" t="s">
        <v>557</v>
      </c>
      <c r="E508" s="97">
        <v>46243</v>
      </c>
      <c r="F508" s="99">
        <v>3000</v>
      </c>
      <c r="G508" s="95" t="s">
        <v>628</v>
      </c>
      <c r="H508" s="95" t="s">
        <v>462</v>
      </c>
      <c r="I508" s="95"/>
      <c r="J508" s="96" t="s">
        <v>619</v>
      </c>
      <c r="K508" s="95"/>
      <c r="L508" s="43">
        <f t="shared" si="7"/>
        <v>46235</v>
      </c>
      <c r="M508" s="42" t="str">
        <f>IF(AND(C508="",D508="",E508="",F508=""),"",IF(OR(C508="",D508="",E508="",F508="",G508=""),"EKSİK",IF(COUNTIF(MUSTERILER!$B$7:$B$156,C508)=0,"TANIMSIZ MÜŞTERİ","UYGUN")))</f>
        <v>UYGUN</v>
      </c>
      <c r="N508" s="22" t="str">
        <f>IF(D508="","",D508&amp;"|"&amp;TEXT(COUNTIF($D$7:D508,D508),"000"))</f>
        <v>TYANA LTD.ŞTİ.|006</v>
      </c>
      <c r="O508" s="22" t="str">
        <f>IF(G508="","",G508&amp;"|"&amp;TEXT(COUNTIF($G$7:G508,G508),"000"))</f>
        <v>ÖMER KARTAL|114</v>
      </c>
    </row>
    <row r="509" spans="1:15" ht="17">
      <c r="A509" s="6"/>
      <c r="B509" s="95" t="s">
        <v>1143</v>
      </c>
      <c r="C509" s="95" t="s">
        <v>542</v>
      </c>
      <c r="D509" s="96" t="s">
        <v>726</v>
      </c>
      <c r="E509" s="97">
        <v>46243</v>
      </c>
      <c r="F509" s="99">
        <v>8000</v>
      </c>
      <c r="G509" s="95" t="s">
        <v>618</v>
      </c>
      <c r="H509" s="95" t="s">
        <v>462</v>
      </c>
      <c r="I509" s="95"/>
      <c r="J509" s="96" t="s">
        <v>619</v>
      </c>
      <c r="K509" s="95"/>
      <c r="L509" s="43">
        <f t="shared" si="7"/>
        <v>46235</v>
      </c>
      <c r="M509" s="42" t="str">
        <f>IF(AND(C509="",D509="",E509="",F509=""),"",IF(OR(C509="",D509="",E509="",F509="",G509=""),"EKSİK",IF(COUNTIF(MUSTERILER!$B$7:$B$156,C509)=0,"TANIMSIZ MÜŞTERİ","UYGUN")))</f>
        <v>UYGUN</v>
      </c>
      <c r="N509" s="22" t="str">
        <f>IF(D509="","",D509&amp;"|"&amp;TEXT(COUNTIF($D$7:D509,D509),"000"))</f>
        <v>Pakyıldız Ltd.Şti.|027</v>
      </c>
      <c r="O509" s="22" t="str">
        <f>IF(G509="","",G509&amp;"|"&amp;TEXT(COUNTIF($G$7:G509,G509),"000"))</f>
        <v>MERKEZ KASA|382</v>
      </c>
    </row>
    <row r="510" spans="1:15" ht="17">
      <c r="A510" s="6"/>
      <c r="B510" s="95" t="s">
        <v>1144</v>
      </c>
      <c r="C510" s="95" t="s">
        <v>544</v>
      </c>
      <c r="D510" s="96" t="s">
        <v>545</v>
      </c>
      <c r="E510" s="97">
        <v>46243</v>
      </c>
      <c r="F510" s="99">
        <v>9400</v>
      </c>
      <c r="G510" s="95" t="s">
        <v>628</v>
      </c>
      <c r="H510" s="95" t="s">
        <v>462</v>
      </c>
      <c r="I510" s="95"/>
      <c r="J510" s="96" t="s">
        <v>1145</v>
      </c>
      <c r="K510" s="95"/>
      <c r="L510" s="43">
        <f t="shared" si="7"/>
        <v>46235</v>
      </c>
      <c r="M510" s="42" t="str">
        <f>IF(AND(C510="",D510="",E510="",F510=""),"",IF(OR(C510="",D510="",E510="",F510="",G510=""),"EKSİK",IF(COUNTIF(MUSTERILER!$B$7:$B$156,C510)=0,"TANIMSIZ MÜŞTERİ","UYGUN")))</f>
        <v>UYGUN</v>
      </c>
      <c r="N510" s="22" t="str">
        <f>IF(D510="","",D510&amp;"|"&amp;TEXT(COUNTIF($D$7:D510,D510),"000"))</f>
        <v>PALAOĞULLARI LTD.ŞTİ.|020</v>
      </c>
      <c r="O510" s="22" t="str">
        <f>IF(G510="","",G510&amp;"|"&amp;TEXT(COUNTIF($G$7:G510,G510),"000"))</f>
        <v>ÖMER KARTAL|115</v>
      </c>
    </row>
    <row r="511" spans="1:15" ht="17">
      <c r="A511" s="6"/>
      <c r="B511" s="95" t="s">
        <v>1146</v>
      </c>
      <c r="C511" s="95" t="s">
        <v>513</v>
      </c>
      <c r="D511" s="96" t="s">
        <v>514</v>
      </c>
      <c r="E511" s="97">
        <v>46243</v>
      </c>
      <c r="F511" s="99">
        <v>3000</v>
      </c>
      <c r="G511" s="95" t="s">
        <v>618</v>
      </c>
      <c r="H511" s="95" t="s">
        <v>462</v>
      </c>
      <c r="I511" s="95"/>
      <c r="J511" s="96" t="s">
        <v>619</v>
      </c>
      <c r="K511" s="95"/>
      <c r="L511" s="43">
        <f t="shared" si="7"/>
        <v>46235</v>
      </c>
      <c r="M511" s="42" t="str">
        <f>IF(AND(C511="",D511="",E511="",F511=""),"",IF(OR(C511="",D511="",E511="",F511="",G511=""),"EKSİK",IF(COUNTIF(MUSTERILER!$B$7:$B$156,C511)=0,"TANIMSIZ MÜŞTERİ","UYGUN")))</f>
        <v>UYGUN</v>
      </c>
      <c r="N511" s="22" t="str">
        <f>IF(D511="","",D511&amp;"|"&amp;TEXT(COUNTIF($D$7:D511,D511),"000"))</f>
        <v>KRİSTAL LTD.ŞTİ.|030</v>
      </c>
      <c r="O511" s="22" t="str">
        <f>IF(G511="","",G511&amp;"|"&amp;TEXT(COUNTIF($G$7:G511,G511),"000"))</f>
        <v>MERKEZ KASA|383</v>
      </c>
    </row>
    <row r="512" spans="1:15" ht="17">
      <c r="A512" s="6"/>
      <c r="B512" s="95" t="s">
        <v>1147</v>
      </c>
      <c r="C512" s="95" t="s">
        <v>552</v>
      </c>
      <c r="D512" s="96" t="s">
        <v>553</v>
      </c>
      <c r="E512" s="97">
        <v>46243</v>
      </c>
      <c r="F512" s="99">
        <v>6000</v>
      </c>
      <c r="G512" s="95" t="s">
        <v>618</v>
      </c>
      <c r="H512" s="95" t="s">
        <v>462</v>
      </c>
      <c r="I512" s="95"/>
      <c r="J512" s="96" t="s">
        <v>619</v>
      </c>
      <c r="K512" s="95"/>
      <c r="L512" s="43">
        <f t="shared" si="7"/>
        <v>46235</v>
      </c>
      <c r="M512" s="42" t="str">
        <f>IF(AND(C512="",D512="",E512="",F512=""),"",IF(OR(C512="",D512="",E512="",F512="",G512=""),"EKSİK",IF(COUNTIF(MUSTERILER!$B$7:$B$156,C512)=0,"TANIMSIZ MÜŞTERİ","UYGUN")))</f>
        <v>UYGUN</v>
      </c>
      <c r="N512" s="22" t="str">
        <f>IF(D512="","",D512&amp;"|"&amp;TEXT(COUNTIF($D$7:D512,D512),"000"))</f>
        <v>STAR ŞOW LTD.ŞTİ.|001</v>
      </c>
      <c r="O512" s="22" t="str">
        <f>IF(G512="","",G512&amp;"|"&amp;TEXT(COUNTIF($G$7:G512,G512),"000"))</f>
        <v>MERKEZ KASA|384</v>
      </c>
    </row>
    <row r="513" spans="1:15" ht="34">
      <c r="A513" s="6"/>
      <c r="B513" s="95" t="s">
        <v>1148</v>
      </c>
      <c r="C513" s="95" t="s">
        <v>469</v>
      </c>
      <c r="D513" s="96" t="s">
        <v>470</v>
      </c>
      <c r="E513" s="97">
        <v>46245</v>
      </c>
      <c r="F513" s="99">
        <v>23000</v>
      </c>
      <c r="G513" s="95" t="s">
        <v>618</v>
      </c>
      <c r="H513" s="95" t="s">
        <v>462</v>
      </c>
      <c r="I513" s="95"/>
      <c r="J513" s="96" t="s">
        <v>1149</v>
      </c>
      <c r="K513" s="95"/>
      <c r="L513" s="43">
        <f t="shared" si="7"/>
        <v>46235</v>
      </c>
      <c r="M513" s="42" t="str">
        <f>IF(AND(C513="",D513="",E513="",F513=""),"",IF(OR(C513="",D513="",E513="",F513="",G513=""),"EKSİK",IF(COUNTIF(MUSTERILER!$B$7:$B$156,C513)=0,"TANIMSIZ MÜŞTERİ","UYGUN")))</f>
        <v>UYGUN</v>
      </c>
      <c r="N513" s="22" t="str">
        <f>IF(D513="","",D513&amp;"|"&amp;TEXT(COUNTIF($D$7:D513,D513),"000"))</f>
        <v>ARMAN DİK|003</v>
      </c>
      <c r="O513" s="22" t="str">
        <f>IF(G513="","",G513&amp;"|"&amp;TEXT(COUNTIF($G$7:G513,G513),"000"))</f>
        <v>MERKEZ KASA|385</v>
      </c>
    </row>
    <row r="514" spans="1:15" ht="34">
      <c r="A514" s="6"/>
      <c r="B514" s="95" t="s">
        <v>1150</v>
      </c>
      <c r="C514" s="95" t="s">
        <v>469</v>
      </c>
      <c r="D514" s="96" t="s">
        <v>470</v>
      </c>
      <c r="E514" s="97">
        <v>46245</v>
      </c>
      <c r="F514" s="99">
        <v>4000</v>
      </c>
      <c r="G514" s="95" t="s">
        <v>612</v>
      </c>
      <c r="H514" s="95" t="s">
        <v>613</v>
      </c>
      <c r="I514" s="95"/>
      <c r="J514" s="96" t="s">
        <v>1151</v>
      </c>
      <c r="K514" s="95"/>
      <c r="L514" s="43">
        <f t="shared" si="7"/>
        <v>46235</v>
      </c>
      <c r="M514" s="42" t="str">
        <f>IF(AND(C514="",D514="",E514="",F514=""),"",IF(OR(C514="",D514="",E514="",F514="",G514=""),"EKSİK",IF(COUNTIF(MUSTERILER!$B$7:$B$156,C514)=0,"TANIMSIZ MÜŞTERİ","UYGUN")))</f>
        <v>UYGUN</v>
      </c>
      <c r="N514" s="22" t="str">
        <f>IF(D514="","",D514&amp;"|"&amp;TEXT(COUNTIF($D$7:D514,D514),"000"))</f>
        <v>ARMAN DİK|004</v>
      </c>
      <c r="O514" s="22" t="str">
        <f>IF(G514="","",G514&amp;"|"&amp;TEXT(COUNTIF($G$7:G514,G514),"000"))</f>
        <v>CARİ MAHSUP|008</v>
      </c>
    </row>
    <row r="515" spans="1:15" ht="17">
      <c r="A515" s="6"/>
      <c r="B515" s="95" t="s">
        <v>1152</v>
      </c>
      <c r="C515" s="95" t="s">
        <v>459</v>
      </c>
      <c r="D515" s="96" t="s">
        <v>460</v>
      </c>
      <c r="E515" s="97">
        <v>46249</v>
      </c>
      <c r="F515" s="99">
        <v>5000</v>
      </c>
      <c r="G515" s="95" t="s">
        <v>618</v>
      </c>
      <c r="H515" s="95" t="s">
        <v>462</v>
      </c>
      <c r="I515" s="95"/>
      <c r="J515" s="96" t="s">
        <v>619</v>
      </c>
      <c r="K515" s="95"/>
      <c r="L515" s="43">
        <f t="shared" si="7"/>
        <v>46235</v>
      </c>
      <c r="M515" s="42" t="str">
        <f>IF(AND(C515="",D515="",E515="",F515=""),"",IF(OR(C515="",D515="",E515="",F515="",G515=""),"EKSİK",IF(COUNTIF(MUSTERILER!$B$7:$B$156,C515)=0,"TANIMSIZ MÜŞTERİ","UYGUN")))</f>
        <v>UYGUN</v>
      </c>
      <c r="N515" s="22" t="str">
        <f>IF(D515="","",D515&amp;"|"&amp;TEXT(COUNTIF($D$7:D515,D515),"000"))</f>
        <v>AC OTEL LTD.ŞTİ.|005</v>
      </c>
      <c r="O515" s="22" t="str">
        <f>IF(G515="","",G515&amp;"|"&amp;TEXT(COUNTIF($G$7:G515,G515),"000"))</f>
        <v>MERKEZ KASA|386</v>
      </c>
    </row>
    <row r="516" spans="1:15" ht="17">
      <c r="A516" s="6"/>
      <c r="B516" s="95" t="s">
        <v>1153</v>
      </c>
      <c r="C516" s="95" t="s">
        <v>467</v>
      </c>
      <c r="D516" s="96" t="s">
        <v>709</v>
      </c>
      <c r="E516" s="97">
        <v>46249</v>
      </c>
      <c r="F516" s="99">
        <v>4000</v>
      </c>
      <c r="G516" s="95" t="s">
        <v>618</v>
      </c>
      <c r="H516" s="95" t="s">
        <v>462</v>
      </c>
      <c r="I516" s="95"/>
      <c r="J516" s="96" t="s">
        <v>619</v>
      </c>
      <c r="K516" s="95"/>
      <c r="L516" s="43">
        <f t="shared" si="7"/>
        <v>46235</v>
      </c>
      <c r="M516" s="42" t="str">
        <f>IF(AND(C516="",D516="",E516="",F516=""),"",IF(OR(C516="",D516="",E516="",F516="",G516=""),"EKSİK",IF(COUNTIF(MUSTERILER!$B$7:$B$156,C516)=0,"TANIMSIZ MÜŞTERİ","UYGUN")))</f>
        <v>UYGUN</v>
      </c>
      <c r="N516" s="22" t="str">
        <f>IF(D516="","",D516&amp;"|"&amp;TEXT(COUNTIF($D$7:D516,D516),"000"))</f>
        <v>Ankara Havana Ltd.Şti.|016</v>
      </c>
      <c r="O516" s="22" t="str">
        <f>IF(G516="","",G516&amp;"|"&amp;TEXT(COUNTIF($G$7:G516,G516),"000"))</f>
        <v>MERKEZ KASA|387</v>
      </c>
    </row>
    <row r="517" spans="1:15" ht="17">
      <c r="A517" s="6"/>
      <c r="B517" s="95" t="s">
        <v>1154</v>
      </c>
      <c r="C517" s="95" t="s">
        <v>473</v>
      </c>
      <c r="D517" s="96" t="s">
        <v>474</v>
      </c>
      <c r="E517" s="97">
        <v>46249</v>
      </c>
      <c r="F517" s="99">
        <v>2000</v>
      </c>
      <c r="G517" s="95" t="s">
        <v>618</v>
      </c>
      <c r="H517" s="95" t="s">
        <v>462</v>
      </c>
      <c r="I517" s="95"/>
      <c r="J517" s="96" t="s">
        <v>619</v>
      </c>
      <c r="K517" s="95"/>
      <c r="L517" s="43">
        <f t="shared" si="7"/>
        <v>46235</v>
      </c>
      <c r="M517" s="42" t="str">
        <f>IF(AND(C517="",D517="",E517="",F517=""),"",IF(OR(C517="",D517="",E517="",F517="",G517=""),"EKSİK",IF(COUNTIF(MUSTERILER!$B$7:$B$156,C517)=0,"TANIMSIZ MÜŞTERİ","UYGUN")))</f>
        <v>UYGUN</v>
      </c>
      <c r="N517" s="22" t="str">
        <f>IF(D517="","",D517&amp;"|"&amp;TEXT(COUNTIF($D$7:D517,D517),"000"))</f>
        <v>ASIM AÇIKGÖZ|028</v>
      </c>
      <c r="O517" s="22" t="str">
        <f>IF(G517="","",G517&amp;"|"&amp;TEXT(COUNTIF($G$7:G517,G517),"000"))</f>
        <v>MERKEZ KASA|388</v>
      </c>
    </row>
    <row r="518" spans="1:15" ht="17">
      <c r="A518" s="6"/>
      <c r="B518" s="95" t="s">
        <v>1155</v>
      </c>
      <c r="C518" s="95" t="s">
        <v>475</v>
      </c>
      <c r="D518" s="96" t="s">
        <v>476</v>
      </c>
      <c r="E518" s="97">
        <v>46249</v>
      </c>
      <c r="F518" s="99">
        <v>2500</v>
      </c>
      <c r="G518" s="95" t="s">
        <v>618</v>
      </c>
      <c r="H518" s="95" t="s">
        <v>462</v>
      </c>
      <c r="I518" s="95"/>
      <c r="J518" s="96" t="s">
        <v>619</v>
      </c>
      <c r="K518" s="95"/>
      <c r="L518" s="43">
        <f t="shared" si="7"/>
        <v>46235</v>
      </c>
      <c r="M518" s="42" t="str">
        <f>IF(AND(C518="",D518="",E518="",F518=""),"",IF(OR(C518="",D518="",E518="",F518="",G518=""),"EKSİK",IF(COUNTIF(MUSTERILER!$B$7:$B$156,C518)=0,"TANIMSIZ MÜŞTERİ","UYGUN")))</f>
        <v>UYGUN</v>
      </c>
      <c r="N518" s="22" t="str">
        <f>IF(D518="","",D518&amp;"|"&amp;TEXT(COUNTIF($D$7:D518,D518),"000"))</f>
        <v>ASM EĞLENCE LTD.ŞTİ.|028</v>
      </c>
      <c r="O518" s="22" t="str">
        <f>IF(G518="","",G518&amp;"|"&amp;TEXT(COUNTIF($G$7:G518,G518),"000"))</f>
        <v>MERKEZ KASA|389</v>
      </c>
    </row>
    <row r="519" spans="1:15" ht="17">
      <c r="A519" s="6"/>
      <c r="B519" s="95" t="s">
        <v>1156</v>
      </c>
      <c r="C519" s="95" t="s">
        <v>487</v>
      </c>
      <c r="D519" s="96" t="s">
        <v>714</v>
      </c>
      <c r="E519" s="97">
        <v>46249</v>
      </c>
      <c r="F519" s="99">
        <v>4000</v>
      </c>
      <c r="G519" s="95" t="s">
        <v>618</v>
      </c>
      <c r="H519" s="95" t="s">
        <v>462</v>
      </c>
      <c r="I519" s="95"/>
      <c r="J519" s="96" t="s">
        <v>619</v>
      </c>
      <c r="K519" s="95"/>
      <c r="L519" s="43">
        <f t="shared" ref="L519:L582" si="8">IF(E519="","",DATE(YEAR(E519),MONTH(E519),1))</f>
        <v>46235</v>
      </c>
      <c r="M519" s="42" t="str">
        <f>IF(AND(C519="",D519="",E519="",F519=""),"",IF(OR(C519="",D519="",E519="",F519="",G519=""),"EKSİK",IF(COUNTIF(MUSTERILER!$B$7:$B$156,C519)=0,"TANIMSIZ MÜŞTERİ","UYGUN")))</f>
        <v>UYGUN</v>
      </c>
      <c r="N519" s="22" t="str">
        <f>IF(D519="","",D519&amp;"|"&amp;TEXT(COUNTIF($D$7:D519,D519),"000"))</f>
        <v>Eğlengör Ltd.Şti.|031</v>
      </c>
      <c r="O519" s="22" t="str">
        <f>IF(G519="","",G519&amp;"|"&amp;TEXT(COUNTIF($G$7:G519,G519),"000"))</f>
        <v>MERKEZ KASA|390</v>
      </c>
    </row>
    <row r="520" spans="1:15" ht="17">
      <c r="A520" s="6"/>
      <c r="B520" s="95" t="s">
        <v>1157</v>
      </c>
      <c r="C520" s="95" t="s">
        <v>495</v>
      </c>
      <c r="D520" s="96" t="s">
        <v>716</v>
      </c>
      <c r="E520" s="97">
        <v>46249</v>
      </c>
      <c r="F520" s="99">
        <v>12000</v>
      </c>
      <c r="G520" s="95" t="s">
        <v>618</v>
      </c>
      <c r="H520" s="95" t="s">
        <v>462</v>
      </c>
      <c r="I520" s="95"/>
      <c r="J520" s="96" t="s">
        <v>619</v>
      </c>
      <c r="K520" s="95"/>
      <c r="L520" s="43">
        <f t="shared" si="8"/>
        <v>46235</v>
      </c>
      <c r="M520" s="42" t="str">
        <f>IF(AND(C520="",D520="",E520="",F520=""),"",IF(OR(C520="",D520="",E520="",F520="",G520=""),"EKSİK",IF(COUNTIF(MUSTERILER!$B$7:$B$156,C520)=0,"TANIMSIZ MÜŞTERİ","UYGUN")))</f>
        <v>UYGUN</v>
      </c>
      <c r="N520" s="22" t="str">
        <f>IF(D520="","",D520&amp;"|"&amp;TEXT(COUNTIF($D$7:D520,D520),"000"))</f>
        <v>Final Siyah Beyaz Ltd.Şti.|029</v>
      </c>
      <c r="O520" s="22" t="str">
        <f>IF(G520="","",G520&amp;"|"&amp;TEXT(COUNTIF($G$7:G520,G520),"000"))</f>
        <v>MERKEZ KASA|391</v>
      </c>
    </row>
    <row r="521" spans="1:15" ht="17">
      <c r="A521" s="6"/>
      <c r="B521" s="95" t="s">
        <v>1158</v>
      </c>
      <c r="C521" s="95" t="s">
        <v>503</v>
      </c>
      <c r="D521" s="96" t="s">
        <v>621</v>
      </c>
      <c r="E521" s="97">
        <v>46249</v>
      </c>
      <c r="F521" s="99">
        <v>4000</v>
      </c>
      <c r="G521" s="95" t="s">
        <v>618</v>
      </c>
      <c r="H521" s="95" t="s">
        <v>462</v>
      </c>
      <c r="I521" s="95"/>
      <c r="J521" s="96" t="s">
        <v>619</v>
      </c>
      <c r="K521" s="95"/>
      <c r="L521" s="43">
        <f t="shared" si="8"/>
        <v>46235</v>
      </c>
      <c r="M521" s="42" t="str">
        <f>IF(AND(C521="",D521="",E521="",F521=""),"",IF(OR(C521="",D521="",E521="",F521="",G521=""),"EKSİK",IF(COUNTIF(MUSTERILER!$B$7:$B$156,C521)=0,"TANIMSIZ MÜŞTERİ","UYGUN")))</f>
        <v>UYGUN</v>
      </c>
      <c r="N521" s="22" t="str">
        <f>IF(D521="","",D521&amp;"|"&amp;TEXT(COUNTIF($D$7:D521,D521),"000"))</f>
        <v>İldeş Ltd.Şti.|029</v>
      </c>
      <c r="O521" s="22" t="str">
        <f>IF(G521="","",G521&amp;"|"&amp;TEXT(COUNTIF($G$7:G521,G521),"000"))</f>
        <v>MERKEZ KASA|392</v>
      </c>
    </row>
    <row r="522" spans="1:15" ht="17">
      <c r="A522" s="6"/>
      <c r="B522" s="95" t="s">
        <v>1159</v>
      </c>
      <c r="C522" s="95" t="s">
        <v>525</v>
      </c>
      <c r="D522" s="96" t="s">
        <v>721</v>
      </c>
      <c r="E522" s="97">
        <v>46249</v>
      </c>
      <c r="F522" s="99">
        <v>3500</v>
      </c>
      <c r="G522" s="95" t="s">
        <v>618</v>
      </c>
      <c r="H522" s="95" t="s">
        <v>462</v>
      </c>
      <c r="I522" s="95"/>
      <c r="J522" s="96" t="s">
        <v>619</v>
      </c>
      <c r="K522" s="95"/>
      <c r="L522" s="43">
        <f t="shared" si="8"/>
        <v>46235</v>
      </c>
      <c r="M522" s="42" t="str">
        <f>IF(AND(C522="",D522="",E522="",F522=""),"",IF(OR(C522="",D522="",E522="",F522="",G522=""),"EKSİK",IF(COUNTIF(MUSTERILER!$B$7:$B$156,C522)=0,"TANIMSIZ MÜŞTERİ","UYGUN")))</f>
        <v>UYGUN</v>
      </c>
      <c r="N522" s="22" t="str">
        <f>IF(D522="","",D522&amp;"|"&amp;TEXT(COUNTIF($D$7:D522,D522),"000"))</f>
        <v>Monamour Ltd.Şti.|022</v>
      </c>
      <c r="O522" s="22" t="str">
        <f>IF(G522="","",G522&amp;"|"&amp;TEXT(COUNTIF($G$7:G522,G522),"000"))</f>
        <v>MERKEZ KASA|393</v>
      </c>
    </row>
    <row r="523" spans="1:15" ht="17">
      <c r="A523" s="6"/>
      <c r="B523" s="95" t="s">
        <v>1160</v>
      </c>
      <c r="C523" s="95" t="s">
        <v>534</v>
      </c>
      <c r="D523" s="96" t="s">
        <v>724</v>
      </c>
      <c r="E523" s="97">
        <v>46249</v>
      </c>
      <c r="F523" s="99">
        <v>4000</v>
      </c>
      <c r="G523" s="95" t="s">
        <v>618</v>
      </c>
      <c r="H523" s="95" t="s">
        <v>462</v>
      </c>
      <c r="I523" s="95"/>
      <c r="J523" s="96" t="s">
        <v>619</v>
      </c>
      <c r="K523" s="95"/>
      <c r="L523" s="43">
        <f t="shared" si="8"/>
        <v>46235</v>
      </c>
      <c r="M523" s="42" t="str">
        <f>IF(AND(C523="",D523="",E523="",F523=""),"",IF(OR(C523="",D523="",E523="",F523="",G523=""),"EKSİK",IF(COUNTIF(MUSTERILER!$B$7:$B$156,C523)=0,"TANIMSIZ MÜŞTERİ","UYGUN")))</f>
        <v>UYGUN</v>
      </c>
      <c r="N523" s="22" t="str">
        <f>IF(D523="","",D523&amp;"|"&amp;TEXT(COUNTIF($D$7:D523,D523),"000"))</f>
        <v>Naz 1 Gıda Ltd.Şti.|022</v>
      </c>
      <c r="O523" s="22" t="str">
        <f>IF(G523="","",G523&amp;"|"&amp;TEXT(COUNTIF($G$7:G523,G523),"000"))</f>
        <v>MERKEZ KASA|394</v>
      </c>
    </row>
    <row r="524" spans="1:15" ht="17">
      <c r="A524" s="6"/>
      <c r="B524" s="95" t="s">
        <v>1161</v>
      </c>
      <c r="C524" s="95" t="s">
        <v>542</v>
      </c>
      <c r="D524" s="96" t="s">
        <v>726</v>
      </c>
      <c r="E524" s="97">
        <v>46249</v>
      </c>
      <c r="F524" s="99">
        <v>4000</v>
      </c>
      <c r="G524" s="95" t="s">
        <v>618</v>
      </c>
      <c r="H524" s="95" t="s">
        <v>462</v>
      </c>
      <c r="I524" s="95"/>
      <c r="J524" s="96" t="s">
        <v>619</v>
      </c>
      <c r="K524" s="95"/>
      <c r="L524" s="43">
        <f t="shared" si="8"/>
        <v>46235</v>
      </c>
      <c r="M524" s="42" t="str">
        <f>IF(AND(C524="",D524="",E524="",F524=""),"",IF(OR(C524="",D524="",E524="",F524="",G524=""),"EKSİK",IF(COUNTIF(MUSTERILER!$B$7:$B$156,C524)=0,"TANIMSIZ MÜŞTERİ","UYGUN")))</f>
        <v>UYGUN</v>
      </c>
      <c r="N524" s="22" t="str">
        <f>IF(D524="","",D524&amp;"|"&amp;TEXT(COUNTIF($D$7:D524,D524),"000"))</f>
        <v>Pakyıldız Ltd.Şti.|028</v>
      </c>
      <c r="O524" s="22" t="str">
        <f>IF(G524="","",G524&amp;"|"&amp;TEXT(COUNTIF($G$7:G524,G524),"000"))</f>
        <v>MERKEZ KASA|395</v>
      </c>
    </row>
    <row r="525" spans="1:15" ht="17">
      <c r="A525" s="6"/>
      <c r="B525" s="95" t="s">
        <v>1162</v>
      </c>
      <c r="C525" s="95" t="s">
        <v>548</v>
      </c>
      <c r="D525" s="96" t="s">
        <v>728</v>
      </c>
      <c r="E525" s="97">
        <v>46249</v>
      </c>
      <c r="F525" s="99">
        <v>3000</v>
      </c>
      <c r="G525" s="95" t="s">
        <v>618</v>
      </c>
      <c r="H525" s="95" t="s">
        <v>462</v>
      </c>
      <c r="I525" s="95"/>
      <c r="J525" s="96" t="s">
        <v>619</v>
      </c>
      <c r="K525" s="95"/>
      <c r="L525" s="43">
        <f t="shared" si="8"/>
        <v>46235</v>
      </c>
      <c r="M525" s="42" t="str">
        <f>IF(AND(C525="",D525="",E525="",F525=""),"",IF(OR(C525="",D525="",E525="",F525="",G525=""),"EKSİK",IF(COUNTIF(MUSTERILER!$B$7:$B$156,C525)=0,"TANIMSIZ MÜŞTERİ","UYGUN")))</f>
        <v>UYGUN</v>
      </c>
      <c r="N525" s="22" t="str">
        <f>IF(D525="","",D525&amp;"|"&amp;TEXT(COUNTIF($D$7:D525,D525),"000"))</f>
        <v>Rix Şow Ltd.Şti.|029</v>
      </c>
      <c r="O525" s="22" t="str">
        <f>IF(G525="","",G525&amp;"|"&amp;TEXT(COUNTIF($G$7:G525,G525),"000"))</f>
        <v>MERKEZ KASA|396</v>
      </c>
    </row>
    <row r="526" spans="1:15" ht="17">
      <c r="A526" s="6"/>
      <c r="B526" s="95" t="s">
        <v>1163</v>
      </c>
      <c r="C526" s="95" t="s">
        <v>570</v>
      </c>
      <c r="D526" s="96" t="s">
        <v>626</v>
      </c>
      <c r="E526" s="97">
        <v>46249</v>
      </c>
      <c r="F526" s="99">
        <v>3500</v>
      </c>
      <c r="G526" s="95" t="s">
        <v>618</v>
      </c>
      <c r="H526" s="95" t="s">
        <v>462</v>
      </c>
      <c r="I526" s="95"/>
      <c r="J526" s="96" t="s">
        <v>619</v>
      </c>
      <c r="K526" s="95"/>
      <c r="L526" s="43">
        <f t="shared" si="8"/>
        <v>46235</v>
      </c>
      <c r="M526" s="42" t="str">
        <f>IF(AND(C526="",D526="",E526="",F526=""),"",IF(OR(C526="",D526="",E526="",F526="",G526=""),"EKSİK",IF(COUNTIF(MUSTERILER!$B$7:$B$156,C526)=0,"TANIMSIZ MÜŞTERİ","UYGUN")))</f>
        <v>UYGUN</v>
      </c>
      <c r="N526" s="22" t="str">
        <f>IF(D526="","",D526&amp;"|"&amp;TEXT(COUNTIF($D$7:D526,D526),"000"))</f>
        <v>Zümrüt Grup Ltd.Şti.|023</v>
      </c>
      <c r="O526" s="22" t="str">
        <f>IF(G526="","",G526&amp;"|"&amp;TEXT(COUNTIF($G$7:G526,G526),"000"))</f>
        <v>MERKEZ KASA|397</v>
      </c>
    </row>
    <row r="527" spans="1:15" ht="17">
      <c r="A527" s="6"/>
      <c r="B527" s="95" t="s">
        <v>1164</v>
      </c>
      <c r="C527" s="95" t="s">
        <v>483</v>
      </c>
      <c r="D527" s="96" t="s">
        <v>484</v>
      </c>
      <c r="E527" s="97">
        <v>46249</v>
      </c>
      <c r="F527" s="99">
        <v>3500</v>
      </c>
      <c r="G527" s="95" t="s">
        <v>618</v>
      </c>
      <c r="H527" s="95" t="s">
        <v>462</v>
      </c>
      <c r="I527" s="95"/>
      <c r="J527" s="96" t="s">
        <v>619</v>
      </c>
      <c r="K527" s="95"/>
      <c r="L527" s="43">
        <f t="shared" si="8"/>
        <v>46235</v>
      </c>
      <c r="M527" s="42" t="str">
        <f>IF(AND(C527="",D527="",E527="",F527=""),"",IF(OR(C527="",D527="",E527="",F527="",G527=""),"EKSİK",IF(COUNTIF(MUSTERILER!$B$7:$B$156,C527)=0,"TANIMSIZ MÜŞTERİ","UYGUN")))</f>
        <v>UYGUN</v>
      </c>
      <c r="N527" s="22" t="str">
        <f>IF(D527="","",D527&amp;"|"&amp;TEXT(COUNTIF($D$7:D527,D527),"000"))</f>
        <v>ÇINARHAN LTD.ŞTİ.|022</v>
      </c>
      <c r="O527" s="22" t="str">
        <f>IF(G527="","",G527&amp;"|"&amp;TEXT(COUNTIF($G$7:G527,G527),"000"))</f>
        <v>MERKEZ KASA|398</v>
      </c>
    </row>
    <row r="528" spans="1:15" ht="17">
      <c r="A528" s="6"/>
      <c r="B528" s="95" t="s">
        <v>1165</v>
      </c>
      <c r="C528" s="95" t="s">
        <v>513</v>
      </c>
      <c r="D528" s="96" t="s">
        <v>514</v>
      </c>
      <c r="E528" s="97">
        <v>46249</v>
      </c>
      <c r="F528" s="99">
        <v>3000</v>
      </c>
      <c r="G528" s="95" t="s">
        <v>618</v>
      </c>
      <c r="H528" s="95" t="s">
        <v>462</v>
      </c>
      <c r="I528" s="95"/>
      <c r="J528" s="96" t="s">
        <v>619</v>
      </c>
      <c r="K528" s="95"/>
      <c r="L528" s="43">
        <f t="shared" si="8"/>
        <v>46235</v>
      </c>
      <c r="M528" s="42" t="str">
        <f>IF(AND(C528="",D528="",E528="",F528=""),"",IF(OR(C528="",D528="",E528="",F528="",G528=""),"EKSİK",IF(COUNTIF(MUSTERILER!$B$7:$B$156,C528)=0,"TANIMSIZ MÜŞTERİ","UYGUN")))</f>
        <v>UYGUN</v>
      </c>
      <c r="N528" s="22" t="str">
        <f>IF(D528="","",D528&amp;"|"&amp;TEXT(COUNTIF($D$7:D528,D528),"000"))</f>
        <v>KRİSTAL LTD.ŞTİ.|031</v>
      </c>
      <c r="O528" s="22" t="str">
        <f>IF(G528="","",G528&amp;"|"&amp;TEXT(COUNTIF($G$7:G528,G528),"000"))</f>
        <v>MERKEZ KASA|399</v>
      </c>
    </row>
    <row r="529" spans="1:15" ht="17">
      <c r="A529" s="6"/>
      <c r="B529" s="95" t="s">
        <v>1166</v>
      </c>
      <c r="C529" s="95" t="s">
        <v>544</v>
      </c>
      <c r="D529" s="96" t="s">
        <v>545</v>
      </c>
      <c r="E529" s="97">
        <v>46249</v>
      </c>
      <c r="F529" s="99">
        <v>5000</v>
      </c>
      <c r="G529" s="95" t="s">
        <v>618</v>
      </c>
      <c r="H529" s="95" t="s">
        <v>462</v>
      </c>
      <c r="I529" s="95"/>
      <c r="J529" s="96" t="s">
        <v>619</v>
      </c>
      <c r="K529" s="95"/>
      <c r="L529" s="43">
        <f t="shared" si="8"/>
        <v>46235</v>
      </c>
      <c r="M529" s="42" t="str">
        <f>IF(AND(C529="",D529="",E529="",F529=""),"",IF(OR(C529="",D529="",E529="",F529="",G529=""),"EKSİK",IF(COUNTIF(MUSTERILER!$B$7:$B$156,C529)=0,"TANIMSIZ MÜŞTERİ","UYGUN")))</f>
        <v>UYGUN</v>
      </c>
      <c r="N529" s="22" t="str">
        <f>IF(D529="","",D529&amp;"|"&amp;TEXT(COUNTIF($D$7:D529,D529),"000"))</f>
        <v>PALAOĞULLARI LTD.ŞTİ.|021</v>
      </c>
      <c r="O529" s="22" t="str">
        <f>IF(G529="","",G529&amp;"|"&amp;TEXT(COUNTIF($G$7:G529,G529),"000"))</f>
        <v>MERKEZ KASA|400</v>
      </c>
    </row>
    <row r="530" spans="1:15" ht="17">
      <c r="A530" s="6"/>
      <c r="B530" s="95" t="s">
        <v>1167</v>
      </c>
      <c r="C530" s="95" t="s">
        <v>552</v>
      </c>
      <c r="D530" s="96" t="s">
        <v>553</v>
      </c>
      <c r="E530" s="97">
        <v>46249</v>
      </c>
      <c r="F530" s="99">
        <v>3000</v>
      </c>
      <c r="G530" s="95" t="s">
        <v>618</v>
      </c>
      <c r="H530" s="95" t="s">
        <v>462</v>
      </c>
      <c r="I530" s="95"/>
      <c r="J530" s="96" t="s">
        <v>619</v>
      </c>
      <c r="K530" s="95"/>
      <c r="L530" s="43">
        <f t="shared" si="8"/>
        <v>46235</v>
      </c>
      <c r="M530" s="42" t="str">
        <f>IF(AND(C530="",D530="",E530="",F530=""),"",IF(OR(C530="",D530="",E530="",F530="",G530=""),"EKSİK",IF(COUNTIF(MUSTERILER!$B$7:$B$156,C530)=0,"TANIMSIZ MÜŞTERİ","UYGUN")))</f>
        <v>UYGUN</v>
      </c>
      <c r="N530" s="22" t="str">
        <f>IF(D530="","",D530&amp;"|"&amp;TEXT(COUNTIF($D$7:D530,D530),"000"))</f>
        <v>STAR ŞOW LTD.ŞTİ.|002</v>
      </c>
      <c r="O530" s="22" t="str">
        <f>IF(G530="","",G530&amp;"|"&amp;TEXT(COUNTIF($G$7:G530,G530),"000"))</f>
        <v>MERKEZ KASA|401</v>
      </c>
    </row>
    <row r="531" spans="1:15" ht="17">
      <c r="A531" s="6"/>
      <c r="B531" s="95" t="s">
        <v>1168</v>
      </c>
      <c r="C531" s="95" t="s">
        <v>558</v>
      </c>
      <c r="D531" s="96" t="s">
        <v>559</v>
      </c>
      <c r="E531" s="97">
        <v>46249</v>
      </c>
      <c r="F531" s="99">
        <v>3000</v>
      </c>
      <c r="G531" s="95" t="s">
        <v>628</v>
      </c>
      <c r="H531" s="95" t="s">
        <v>462</v>
      </c>
      <c r="I531" s="95"/>
      <c r="J531" s="96" t="s">
        <v>619</v>
      </c>
      <c r="K531" s="95"/>
      <c r="L531" s="43">
        <f t="shared" si="8"/>
        <v>46235</v>
      </c>
      <c r="M531" s="42" t="str">
        <f>IF(AND(C531="",D531="",E531="",F531=""),"",IF(OR(C531="",D531="",E531="",F531="",G531=""),"EKSİK",IF(COUNTIF(MUSTERILER!$B$7:$B$156,C531)=0,"TANIMSIZ MÜŞTERİ","UYGUN")))</f>
        <v>UYGUN</v>
      </c>
      <c r="N531" s="22" t="str">
        <f>IF(D531="","",D531&amp;"|"&amp;TEXT(COUNTIF($D$7:D531,D531),"000"))</f>
        <v>UFUK YILMAZ|008</v>
      </c>
      <c r="O531" s="22" t="str">
        <f>IF(G531="","",G531&amp;"|"&amp;TEXT(COUNTIF($G$7:G531,G531),"000"))</f>
        <v>ÖMER KARTAL|116</v>
      </c>
    </row>
    <row r="532" spans="1:15" ht="17">
      <c r="A532" s="6"/>
      <c r="B532" s="95" t="s">
        <v>1169</v>
      </c>
      <c r="C532" s="95" t="s">
        <v>523</v>
      </c>
      <c r="D532" s="96" t="s">
        <v>524</v>
      </c>
      <c r="E532" s="97">
        <v>46251</v>
      </c>
      <c r="F532" s="99">
        <v>5000</v>
      </c>
      <c r="G532" s="95" t="s">
        <v>618</v>
      </c>
      <c r="H532" s="95" t="s">
        <v>462</v>
      </c>
      <c r="I532" s="95"/>
      <c r="J532" s="96" t="s">
        <v>619</v>
      </c>
      <c r="K532" s="95"/>
      <c r="L532" s="43">
        <f t="shared" si="8"/>
        <v>46235</v>
      </c>
      <c r="M532" s="42" t="str">
        <f>IF(AND(C532="",D532="",E532="",F532=""),"",IF(OR(C532="",D532="",E532="",F532="",G532=""),"EKSİK",IF(COUNTIF(MUSTERILER!$B$7:$B$156,C532)=0,"TANIMSIZ MÜŞTERİ","UYGUN")))</f>
        <v>UYGUN</v>
      </c>
      <c r="N532" s="22" t="str">
        <f>IF(D532="","",D532&amp;"|"&amp;TEXT(COUNTIF($D$7:D532,D532),"000"))</f>
        <v>MESUT KÖKLÜ|002</v>
      </c>
      <c r="O532" s="22" t="str">
        <f>IF(G532="","",G532&amp;"|"&amp;TEXT(COUNTIF($G$7:G532,G532),"000"))</f>
        <v>MERKEZ KASA|402</v>
      </c>
    </row>
    <row r="533" spans="1:15" ht="17">
      <c r="A533" s="6"/>
      <c r="B533" s="95" t="s">
        <v>1170</v>
      </c>
      <c r="C533" s="95" t="s">
        <v>471</v>
      </c>
      <c r="D533" s="96" t="s">
        <v>472</v>
      </c>
      <c r="E533" s="97">
        <v>46252</v>
      </c>
      <c r="F533" s="99">
        <v>10000</v>
      </c>
      <c r="G533" s="95" t="s">
        <v>618</v>
      </c>
      <c r="H533" s="95" t="s">
        <v>462</v>
      </c>
      <c r="I533" s="95"/>
      <c r="J533" s="96" t="s">
        <v>619</v>
      </c>
      <c r="K533" s="95"/>
      <c r="L533" s="43">
        <f t="shared" si="8"/>
        <v>46235</v>
      </c>
      <c r="M533" s="42" t="str">
        <f>IF(AND(C533="",D533="",E533="",F533=""),"",IF(OR(C533="",D533="",E533="",F533="",G533=""),"EKSİK",IF(COUNTIF(MUSTERILER!$B$7:$B$156,C533)=0,"TANIMSIZ MÜŞTERİ","UYGUN")))</f>
        <v>UYGUN</v>
      </c>
      <c r="N533" s="22" t="str">
        <f>IF(D533="","",D533&amp;"|"&amp;TEXT(COUNTIF($D$7:D533,D533),"000"))</f>
        <v>ARON TOPTAN LTD.ŞTİ.|005</v>
      </c>
      <c r="O533" s="22" t="str">
        <f>IF(G533="","",G533&amp;"|"&amp;TEXT(COUNTIF($G$7:G533,G533),"000"))</f>
        <v>MERKEZ KASA|403</v>
      </c>
    </row>
    <row r="534" spans="1:15" ht="17">
      <c r="A534" s="6"/>
      <c r="B534" s="95" t="s">
        <v>1171</v>
      </c>
      <c r="C534" s="95" t="s">
        <v>489</v>
      </c>
      <c r="D534" s="96" t="s">
        <v>490</v>
      </c>
      <c r="E534" s="97">
        <v>46252</v>
      </c>
      <c r="F534" s="99">
        <v>6000</v>
      </c>
      <c r="G534" s="95" t="s">
        <v>618</v>
      </c>
      <c r="H534" s="95" t="s">
        <v>462</v>
      </c>
      <c r="I534" s="95"/>
      <c r="J534" s="96" t="s">
        <v>619</v>
      </c>
      <c r="K534" s="95"/>
      <c r="L534" s="43">
        <f t="shared" si="8"/>
        <v>46235</v>
      </c>
      <c r="M534" s="42" t="str">
        <f>IF(AND(C534="",D534="",E534="",F534=""),"",IF(OR(C534="",D534="",E534="",F534="",G534=""),"EKSİK",IF(COUNTIF(MUSTERILER!$B$7:$B$156,C534)=0,"TANIMSIZ MÜŞTERİ","UYGUN")))</f>
        <v>UYGUN</v>
      </c>
      <c r="N534" s="22" t="str">
        <f>IF(D534="","",D534&amp;"|"&amp;TEXT(COUNTIF($D$7:D534,D534),"000"))</f>
        <v>EMRAH SAVURKAN|001</v>
      </c>
      <c r="O534" s="22" t="str">
        <f>IF(G534="","",G534&amp;"|"&amp;TEXT(COUNTIF($G$7:G534,G534),"000"))</f>
        <v>MERKEZ KASA|404</v>
      </c>
    </row>
    <row r="535" spans="1:15" ht="17">
      <c r="A535" s="6"/>
      <c r="B535" s="95" t="s">
        <v>1172</v>
      </c>
      <c r="C535" s="95" t="s">
        <v>530</v>
      </c>
      <c r="D535" s="96" t="s">
        <v>531</v>
      </c>
      <c r="E535" s="97">
        <v>46252</v>
      </c>
      <c r="F535" s="99">
        <v>15000</v>
      </c>
      <c r="G535" s="95" t="s">
        <v>618</v>
      </c>
      <c r="H535" s="95" t="s">
        <v>462</v>
      </c>
      <c r="I535" s="95"/>
      <c r="J535" s="96" t="s">
        <v>619</v>
      </c>
      <c r="K535" s="95"/>
      <c r="L535" s="43">
        <f t="shared" si="8"/>
        <v>46235</v>
      </c>
      <c r="M535" s="42" t="str">
        <f>IF(AND(C535="",D535="",E535="",F535=""),"",IF(OR(C535="",D535="",E535="",F535="",G535=""),"EKSİK",IF(COUNTIF(MUSTERILER!$B$7:$B$156,C535)=0,"TANIMSIZ MÜŞTERİ","UYGUN")))</f>
        <v>UYGUN</v>
      </c>
      <c r="N535" s="22" t="str">
        <f>IF(D535="","",D535&amp;"|"&amp;TEXT(COUNTIF($D$7:D535,D535),"000"))</f>
        <v>MUSTAFA KOLBAŞI|001</v>
      </c>
      <c r="O535" s="22" t="str">
        <f>IF(G535="","",G535&amp;"|"&amp;TEXT(COUNTIF($G$7:G535,G535),"000"))</f>
        <v>MERKEZ KASA|405</v>
      </c>
    </row>
    <row r="536" spans="1:15" ht="17">
      <c r="A536" s="6"/>
      <c r="B536" s="95" t="s">
        <v>1173</v>
      </c>
      <c r="C536" s="95" t="s">
        <v>509</v>
      </c>
      <c r="D536" s="96" t="s">
        <v>510</v>
      </c>
      <c r="E536" s="97">
        <v>46253</v>
      </c>
      <c r="F536" s="99">
        <v>10000</v>
      </c>
      <c r="G536" s="95" t="s">
        <v>618</v>
      </c>
      <c r="H536" s="95" t="s">
        <v>462</v>
      </c>
      <c r="I536" s="95"/>
      <c r="J536" s="96" t="s">
        <v>619</v>
      </c>
      <c r="K536" s="95"/>
      <c r="L536" s="43">
        <f t="shared" si="8"/>
        <v>46235</v>
      </c>
      <c r="M536" s="42" t="str">
        <f>IF(AND(C536="",D536="",E536="",F536=""),"",IF(OR(C536="",D536="",E536="",F536="",G536=""),"EKSİK",IF(COUNTIF(MUSTERILER!$B$7:$B$156,C536)=0,"TANIMSIZ MÜŞTERİ","UYGUN")))</f>
        <v>UYGUN</v>
      </c>
      <c r="N536" s="22" t="str">
        <f>IF(D536="","",D536&amp;"|"&amp;TEXT(COUNTIF($D$7:D536,D536),"000"))</f>
        <v>İSMAİL AKPINAR|001</v>
      </c>
      <c r="O536" s="22" t="str">
        <f>IF(G536="","",G536&amp;"|"&amp;TEXT(COUNTIF($G$7:G536,G536),"000"))</f>
        <v>MERKEZ KASA|406</v>
      </c>
    </row>
    <row r="537" spans="1:15" ht="17">
      <c r="A537" s="6"/>
      <c r="B537" s="95" t="s">
        <v>1174</v>
      </c>
      <c r="C537" s="95" t="s">
        <v>497</v>
      </c>
      <c r="D537" s="96" t="s">
        <v>498</v>
      </c>
      <c r="E537" s="97">
        <v>46254</v>
      </c>
      <c r="F537" s="99">
        <v>9000</v>
      </c>
      <c r="G537" s="95" t="s">
        <v>618</v>
      </c>
      <c r="H537" s="95" t="s">
        <v>462</v>
      </c>
      <c r="I537" s="95"/>
      <c r="J537" s="96" t="s">
        <v>619</v>
      </c>
      <c r="K537" s="95"/>
      <c r="L537" s="43">
        <f t="shared" si="8"/>
        <v>46235</v>
      </c>
      <c r="M537" s="42" t="str">
        <f>IF(AND(C537="",D537="",E537="",F537=""),"",IF(OR(C537="",D537="",E537="",F537="",G537=""),"EKSİK",IF(COUNTIF(MUSTERILER!$B$7:$B$156,C537)=0,"TANIMSIZ MÜŞTERİ","UYGUN")))</f>
        <v>UYGUN</v>
      </c>
      <c r="N537" s="22" t="str">
        <f>IF(D537="","",D537&amp;"|"&amp;TEXT(COUNTIF($D$7:D537,D537),"000"))</f>
        <v>HALİL AVŞAR|003</v>
      </c>
      <c r="O537" s="22" t="str">
        <f>IF(G537="","",G537&amp;"|"&amp;TEXT(COUNTIF($G$7:G537,G537),"000"))</f>
        <v>MERKEZ KASA|407</v>
      </c>
    </row>
    <row r="538" spans="1:15" ht="17">
      <c r="A538" s="6"/>
      <c r="B538" s="95" t="s">
        <v>1175</v>
      </c>
      <c r="C538" s="95" t="s">
        <v>463</v>
      </c>
      <c r="D538" s="96" t="s">
        <v>464</v>
      </c>
      <c r="E538" s="97">
        <v>46254</v>
      </c>
      <c r="F538" s="99">
        <v>3000</v>
      </c>
      <c r="G538" s="95" t="s">
        <v>618</v>
      </c>
      <c r="H538" s="95" t="s">
        <v>462</v>
      </c>
      <c r="I538" s="95"/>
      <c r="J538" s="96" t="s">
        <v>619</v>
      </c>
      <c r="K538" s="95"/>
      <c r="L538" s="43">
        <f t="shared" si="8"/>
        <v>46235</v>
      </c>
      <c r="M538" s="42" t="str">
        <f>IF(AND(C538="",D538="",E538="",F538=""),"",IF(OR(C538="",D538="",E538="",F538="",G538=""),"EKSİK",IF(COUNTIF(MUSTERILER!$B$7:$B$156,C538)=0,"TANIMSIZ MÜŞTERİ","UYGUN")))</f>
        <v>UYGUN</v>
      </c>
      <c r="N538" s="22" t="str">
        <f>IF(D538="","",D538&amp;"|"&amp;TEXT(COUNTIF($D$7:D538,D538),"000"))</f>
        <v>ADEM KARABENLİ|001</v>
      </c>
      <c r="O538" s="22" t="str">
        <f>IF(G538="","",G538&amp;"|"&amp;TEXT(COUNTIF($G$7:G538,G538),"000"))</f>
        <v>MERKEZ KASA|408</v>
      </c>
    </row>
    <row r="539" spans="1:15" ht="17">
      <c r="A539" s="6"/>
      <c r="B539" s="95" t="s">
        <v>1176</v>
      </c>
      <c r="C539" s="95" t="s">
        <v>517</v>
      </c>
      <c r="D539" s="96" t="s">
        <v>518</v>
      </c>
      <c r="E539" s="97">
        <v>46254</v>
      </c>
      <c r="F539" s="99">
        <v>12000</v>
      </c>
      <c r="G539" s="95" t="s">
        <v>618</v>
      </c>
      <c r="H539" s="95" t="s">
        <v>462</v>
      </c>
      <c r="I539" s="95"/>
      <c r="J539" s="96" t="s">
        <v>619</v>
      </c>
      <c r="K539" s="95"/>
      <c r="L539" s="43">
        <f t="shared" si="8"/>
        <v>46235</v>
      </c>
      <c r="M539" s="42" t="str">
        <f>IF(AND(C539="",D539="",E539="",F539=""),"",IF(OR(C539="",D539="",E539="",F539="",G539=""),"EKSİK",IF(COUNTIF(MUSTERILER!$B$7:$B$156,C539)=0,"TANIMSIZ MÜŞTERİ","UYGUN")))</f>
        <v>UYGUN</v>
      </c>
      <c r="N539" s="22" t="str">
        <f>IF(D539="","",D539&amp;"|"&amp;TEXT(COUNTIF($D$7:D539,D539),"000"))</f>
        <v>MELEK GÜLER|002</v>
      </c>
      <c r="O539" s="22" t="str">
        <f>IF(G539="","",G539&amp;"|"&amp;TEXT(COUNTIF($G$7:G539,G539),"000"))</f>
        <v>MERKEZ KASA|409</v>
      </c>
    </row>
    <row r="540" spans="1:15" ht="17">
      <c r="A540" s="6"/>
      <c r="B540" s="95" t="s">
        <v>1177</v>
      </c>
      <c r="C540" s="95" t="s">
        <v>487</v>
      </c>
      <c r="D540" s="96" t="s">
        <v>714</v>
      </c>
      <c r="E540" s="97">
        <v>46256</v>
      </c>
      <c r="F540" s="99">
        <v>4000</v>
      </c>
      <c r="G540" s="95" t="s">
        <v>618</v>
      </c>
      <c r="H540" s="95" t="s">
        <v>462</v>
      </c>
      <c r="I540" s="95"/>
      <c r="J540" s="96" t="s">
        <v>619</v>
      </c>
      <c r="K540" s="95"/>
      <c r="L540" s="43">
        <f t="shared" si="8"/>
        <v>46235</v>
      </c>
      <c r="M540" s="42" t="str">
        <f>IF(AND(C540="",D540="",E540="",F540=""),"",IF(OR(C540="",D540="",E540="",F540="",G540=""),"EKSİK",IF(COUNTIF(MUSTERILER!$B$7:$B$156,C540)=0,"TANIMSIZ MÜŞTERİ","UYGUN")))</f>
        <v>UYGUN</v>
      </c>
      <c r="N540" s="22" t="str">
        <f>IF(D540="","",D540&amp;"|"&amp;TEXT(COUNTIF($D$7:D540,D540),"000"))</f>
        <v>Eğlengör Ltd.Şti.|032</v>
      </c>
      <c r="O540" s="22" t="str">
        <f>IF(G540="","",G540&amp;"|"&amp;TEXT(COUNTIF($G$7:G540,G540),"000"))</f>
        <v>MERKEZ KASA|410</v>
      </c>
    </row>
    <row r="541" spans="1:15" ht="17">
      <c r="A541" s="6"/>
      <c r="B541" s="95" t="s">
        <v>1178</v>
      </c>
      <c r="C541" s="95" t="s">
        <v>542</v>
      </c>
      <c r="D541" s="96" t="s">
        <v>726</v>
      </c>
      <c r="E541" s="97">
        <v>46256</v>
      </c>
      <c r="F541" s="99">
        <v>4000</v>
      </c>
      <c r="G541" s="95" t="s">
        <v>618</v>
      </c>
      <c r="H541" s="95" t="s">
        <v>462</v>
      </c>
      <c r="I541" s="95"/>
      <c r="J541" s="96" t="s">
        <v>619</v>
      </c>
      <c r="K541" s="95"/>
      <c r="L541" s="43">
        <f t="shared" si="8"/>
        <v>46235</v>
      </c>
      <c r="M541" s="42" t="str">
        <f>IF(AND(C541="",D541="",E541="",F541=""),"",IF(OR(C541="",D541="",E541="",F541="",G541=""),"EKSİK",IF(COUNTIF(MUSTERILER!$B$7:$B$156,C541)=0,"TANIMSIZ MÜŞTERİ","UYGUN")))</f>
        <v>UYGUN</v>
      </c>
      <c r="N541" s="22" t="str">
        <f>IF(D541="","",D541&amp;"|"&amp;TEXT(COUNTIF($D$7:D541,D541),"000"))</f>
        <v>Pakyıldız Ltd.Şti.|029</v>
      </c>
      <c r="O541" s="22" t="str">
        <f>IF(G541="","",G541&amp;"|"&amp;TEXT(COUNTIF($G$7:G541,G541),"000"))</f>
        <v>MERKEZ KASA|411</v>
      </c>
    </row>
    <row r="542" spans="1:15" ht="17">
      <c r="A542" s="6"/>
      <c r="B542" s="95" t="s">
        <v>1179</v>
      </c>
      <c r="C542" s="95" t="s">
        <v>503</v>
      </c>
      <c r="D542" s="96" t="s">
        <v>621</v>
      </c>
      <c r="E542" s="97">
        <v>46256</v>
      </c>
      <c r="F542" s="99">
        <v>5000</v>
      </c>
      <c r="G542" s="95" t="s">
        <v>618</v>
      </c>
      <c r="H542" s="95" t="s">
        <v>462</v>
      </c>
      <c r="I542" s="95"/>
      <c r="J542" s="96" t="s">
        <v>619</v>
      </c>
      <c r="K542" s="95"/>
      <c r="L542" s="43">
        <f t="shared" si="8"/>
        <v>46235</v>
      </c>
      <c r="M542" s="42" t="str">
        <f>IF(AND(C542="",D542="",E542="",F542=""),"",IF(OR(C542="",D542="",E542="",F542="",G542=""),"EKSİK",IF(COUNTIF(MUSTERILER!$B$7:$B$156,C542)=0,"TANIMSIZ MÜŞTERİ","UYGUN")))</f>
        <v>UYGUN</v>
      </c>
      <c r="N542" s="22" t="str">
        <f>IF(D542="","",D542&amp;"|"&amp;TEXT(COUNTIF($D$7:D542,D542),"000"))</f>
        <v>İldeş Ltd.Şti.|030</v>
      </c>
      <c r="O542" s="22" t="str">
        <f>IF(G542="","",G542&amp;"|"&amp;TEXT(COUNTIF($G$7:G542,G542),"000"))</f>
        <v>MERKEZ KASA|412</v>
      </c>
    </row>
    <row r="543" spans="1:15" ht="17">
      <c r="A543" s="6"/>
      <c r="B543" s="95" t="s">
        <v>1180</v>
      </c>
      <c r="C543" s="95" t="s">
        <v>534</v>
      </c>
      <c r="D543" s="96" t="s">
        <v>724</v>
      </c>
      <c r="E543" s="97">
        <v>46256</v>
      </c>
      <c r="F543" s="99">
        <v>2000</v>
      </c>
      <c r="G543" s="95" t="s">
        <v>618</v>
      </c>
      <c r="H543" s="95" t="s">
        <v>462</v>
      </c>
      <c r="I543" s="95"/>
      <c r="J543" s="96" t="s">
        <v>619</v>
      </c>
      <c r="K543" s="95"/>
      <c r="L543" s="43">
        <f t="shared" si="8"/>
        <v>46235</v>
      </c>
      <c r="M543" s="42" t="str">
        <f>IF(AND(C543="",D543="",E543="",F543=""),"",IF(OR(C543="",D543="",E543="",F543="",G543=""),"EKSİK",IF(COUNTIF(MUSTERILER!$B$7:$B$156,C543)=0,"TANIMSIZ MÜŞTERİ","UYGUN")))</f>
        <v>UYGUN</v>
      </c>
      <c r="N543" s="22" t="str">
        <f>IF(D543="","",D543&amp;"|"&amp;TEXT(COUNTIF($D$7:D543,D543),"000"))</f>
        <v>Naz 1 Gıda Ltd.Şti.|023</v>
      </c>
      <c r="O543" s="22" t="str">
        <f>IF(G543="","",G543&amp;"|"&amp;TEXT(COUNTIF($G$7:G543,G543),"000"))</f>
        <v>MERKEZ KASA|413</v>
      </c>
    </row>
    <row r="544" spans="1:15" ht="17">
      <c r="A544" s="6"/>
      <c r="B544" s="95" t="s">
        <v>1181</v>
      </c>
      <c r="C544" s="95" t="s">
        <v>495</v>
      </c>
      <c r="D544" s="96" t="s">
        <v>716</v>
      </c>
      <c r="E544" s="97">
        <v>46256</v>
      </c>
      <c r="F544" s="99">
        <v>4000</v>
      </c>
      <c r="G544" s="95" t="s">
        <v>618</v>
      </c>
      <c r="H544" s="95" t="s">
        <v>462</v>
      </c>
      <c r="I544" s="95"/>
      <c r="J544" s="96" t="s">
        <v>619</v>
      </c>
      <c r="K544" s="95"/>
      <c r="L544" s="43">
        <f t="shared" si="8"/>
        <v>46235</v>
      </c>
      <c r="M544" s="42" t="str">
        <f>IF(AND(C544="",D544="",E544="",F544=""),"",IF(OR(C544="",D544="",E544="",F544="",G544=""),"EKSİK",IF(COUNTIF(MUSTERILER!$B$7:$B$156,C544)=0,"TANIMSIZ MÜŞTERİ","UYGUN")))</f>
        <v>UYGUN</v>
      </c>
      <c r="N544" s="22" t="str">
        <f>IF(D544="","",D544&amp;"|"&amp;TEXT(COUNTIF($D$7:D544,D544),"000"))</f>
        <v>Final Siyah Beyaz Ltd.Şti.|030</v>
      </c>
      <c r="O544" s="22" t="str">
        <f>IF(G544="","",G544&amp;"|"&amp;TEXT(COUNTIF($G$7:G544,G544),"000"))</f>
        <v>MERKEZ KASA|414</v>
      </c>
    </row>
    <row r="545" spans="1:15" ht="17">
      <c r="A545" s="6"/>
      <c r="B545" s="95" t="s">
        <v>1182</v>
      </c>
      <c r="C545" s="95" t="s">
        <v>467</v>
      </c>
      <c r="D545" s="96" t="s">
        <v>709</v>
      </c>
      <c r="E545" s="97">
        <v>46256</v>
      </c>
      <c r="F545" s="99">
        <v>4000</v>
      </c>
      <c r="G545" s="95" t="s">
        <v>618</v>
      </c>
      <c r="H545" s="95" t="s">
        <v>462</v>
      </c>
      <c r="I545" s="95"/>
      <c r="J545" s="96" t="s">
        <v>619</v>
      </c>
      <c r="K545" s="95"/>
      <c r="L545" s="43">
        <f t="shared" si="8"/>
        <v>46235</v>
      </c>
      <c r="M545" s="42" t="str">
        <f>IF(AND(C545="",D545="",E545="",F545=""),"",IF(OR(C545="",D545="",E545="",F545="",G545=""),"EKSİK",IF(COUNTIF(MUSTERILER!$B$7:$B$156,C545)=0,"TANIMSIZ MÜŞTERİ","UYGUN")))</f>
        <v>UYGUN</v>
      </c>
      <c r="N545" s="22" t="str">
        <f>IF(D545="","",D545&amp;"|"&amp;TEXT(COUNTIF($D$7:D545,D545),"000"))</f>
        <v>Ankara Havana Ltd.Şti.|017</v>
      </c>
      <c r="O545" s="22" t="str">
        <f>IF(G545="","",G545&amp;"|"&amp;TEXT(COUNTIF($G$7:G545,G545),"000"))</f>
        <v>MERKEZ KASA|415</v>
      </c>
    </row>
    <row r="546" spans="1:15" ht="17">
      <c r="A546" s="6"/>
      <c r="B546" s="95" t="s">
        <v>1183</v>
      </c>
      <c r="C546" s="95" t="s">
        <v>570</v>
      </c>
      <c r="D546" s="96" t="s">
        <v>626</v>
      </c>
      <c r="E546" s="97">
        <v>46256</v>
      </c>
      <c r="F546" s="99">
        <v>1750</v>
      </c>
      <c r="G546" s="95" t="s">
        <v>618</v>
      </c>
      <c r="H546" s="95" t="s">
        <v>462</v>
      </c>
      <c r="I546" s="95"/>
      <c r="J546" s="96" t="s">
        <v>619</v>
      </c>
      <c r="K546" s="95"/>
      <c r="L546" s="43">
        <f t="shared" si="8"/>
        <v>46235</v>
      </c>
      <c r="M546" s="42" t="str">
        <f>IF(AND(C546="",D546="",E546="",F546=""),"",IF(OR(C546="",D546="",E546="",F546="",G546=""),"EKSİK",IF(COUNTIF(MUSTERILER!$B$7:$B$156,C546)=0,"TANIMSIZ MÜŞTERİ","UYGUN")))</f>
        <v>UYGUN</v>
      </c>
      <c r="N546" s="22" t="str">
        <f>IF(D546="","",D546&amp;"|"&amp;TEXT(COUNTIF($D$7:D546,D546),"000"))</f>
        <v>Zümrüt Grup Ltd.Şti.|024</v>
      </c>
      <c r="O546" s="22" t="str">
        <f>IF(G546="","",G546&amp;"|"&amp;TEXT(COUNTIF($G$7:G546,G546),"000"))</f>
        <v>MERKEZ KASA|416</v>
      </c>
    </row>
    <row r="547" spans="1:15" ht="17">
      <c r="A547" s="6"/>
      <c r="B547" s="95" t="s">
        <v>1184</v>
      </c>
      <c r="C547" s="95" t="s">
        <v>525</v>
      </c>
      <c r="D547" s="96" t="s">
        <v>721</v>
      </c>
      <c r="E547" s="97">
        <v>46256</v>
      </c>
      <c r="F547" s="99">
        <v>3500</v>
      </c>
      <c r="G547" s="95" t="s">
        <v>618</v>
      </c>
      <c r="H547" s="95" t="s">
        <v>462</v>
      </c>
      <c r="I547" s="95"/>
      <c r="J547" s="96" t="s">
        <v>619</v>
      </c>
      <c r="K547" s="95"/>
      <c r="L547" s="43">
        <f t="shared" si="8"/>
        <v>46235</v>
      </c>
      <c r="M547" s="42" t="str">
        <f>IF(AND(C547="",D547="",E547="",F547=""),"",IF(OR(C547="",D547="",E547="",F547="",G547=""),"EKSİK",IF(COUNTIF(MUSTERILER!$B$7:$B$156,C547)=0,"TANIMSIZ MÜŞTERİ","UYGUN")))</f>
        <v>UYGUN</v>
      </c>
      <c r="N547" s="22" t="str">
        <f>IF(D547="","",D547&amp;"|"&amp;TEXT(COUNTIF($D$7:D547,D547),"000"))</f>
        <v>Monamour Ltd.Şti.|023</v>
      </c>
      <c r="O547" s="22" t="str">
        <f>IF(G547="","",G547&amp;"|"&amp;TEXT(COUNTIF($G$7:G547,G547),"000"))</f>
        <v>MERKEZ KASA|417</v>
      </c>
    </row>
    <row r="548" spans="1:15" ht="17">
      <c r="A548" s="6"/>
      <c r="B548" s="95" t="s">
        <v>1185</v>
      </c>
      <c r="C548" s="95" t="s">
        <v>473</v>
      </c>
      <c r="D548" s="96" t="s">
        <v>1186</v>
      </c>
      <c r="E548" s="97">
        <v>46256</v>
      </c>
      <c r="F548" s="99">
        <v>2000</v>
      </c>
      <c r="G548" s="95" t="s">
        <v>618</v>
      </c>
      <c r="H548" s="95" t="s">
        <v>462</v>
      </c>
      <c r="I548" s="95"/>
      <c r="J548" s="96" t="s">
        <v>619</v>
      </c>
      <c r="K548" s="95"/>
      <c r="L548" s="43">
        <f t="shared" si="8"/>
        <v>46235</v>
      </c>
      <c r="M548" s="42" t="str">
        <f>IF(AND(C548="",D548="",E548="",F548=""),"",IF(OR(C548="",D548="",E548="",F548="",G548=""),"EKSİK",IF(COUNTIF(MUSTERILER!$B$7:$B$156,C548)=0,"TANIMSIZ MÜŞTERİ","UYGUN")))</f>
        <v>UYGUN</v>
      </c>
      <c r="N548" s="22" t="str">
        <f>IF(D548="","",D548&amp;"|"&amp;TEXT(COUNTIF($D$7:D548,D548),"000"))</f>
        <v>Asım Açıkgöz|029</v>
      </c>
      <c r="O548" s="22" t="str">
        <f>IF(G548="","",G548&amp;"|"&amp;TEXT(COUNTIF($G$7:G548,G548),"000"))</f>
        <v>MERKEZ KASA|418</v>
      </c>
    </row>
    <row r="549" spans="1:15" ht="17">
      <c r="A549" s="6"/>
      <c r="B549" s="95" t="s">
        <v>1187</v>
      </c>
      <c r="C549" s="95" t="s">
        <v>513</v>
      </c>
      <c r="D549" s="96" t="s">
        <v>1188</v>
      </c>
      <c r="E549" s="97">
        <v>46256</v>
      </c>
      <c r="F549" s="99">
        <v>3000</v>
      </c>
      <c r="G549" s="95" t="s">
        <v>618</v>
      </c>
      <c r="H549" s="95" t="s">
        <v>462</v>
      </c>
      <c r="I549" s="95"/>
      <c r="J549" s="96" t="s">
        <v>619</v>
      </c>
      <c r="K549" s="95"/>
      <c r="L549" s="43">
        <f t="shared" si="8"/>
        <v>46235</v>
      </c>
      <c r="M549" s="42" t="str">
        <f>IF(AND(C549="",D549="",E549="",F549=""),"",IF(OR(C549="",D549="",E549="",F549="",G549=""),"EKSİK",IF(COUNTIF(MUSTERILER!$B$7:$B$156,C549)=0,"TANIMSIZ MÜŞTERİ","UYGUN")))</f>
        <v>UYGUN</v>
      </c>
      <c r="N549" s="22" t="str">
        <f>IF(D549="","",D549&amp;"|"&amp;TEXT(COUNTIF($D$7:D549,D549),"000"))</f>
        <v>Kristal Ltd.Şti.|032</v>
      </c>
      <c r="O549" s="22" t="str">
        <f>IF(G549="","",G549&amp;"|"&amp;TEXT(COUNTIF($G$7:G549,G549),"000"))</f>
        <v>MERKEZ KASA|419</v>
      </c>
    </row>
    <row r="550" spans="1:15" ht="17">
      <c r="A550" s="6"/>
      <c r="B550" s="95" t="s">
        <v>1189</v>
      </c>
      <c r="C550" s="95" t="s">
        <v>475</v>
      </c>
      <c r="D550" s="96" t="s">
        <v>1190</v>
      </c>
      <c r="E550" s="97">
        <v>46256</v>
      </c>
      <c r="F550" s="99">
        <v>2500</v>
      </c>
      <c r="G550" s="95" t="s">
        <v>618</v>
      </c>
      <c r="H550" s="95" t="s">
        <v>462</v>
      </c>
      <c r="I550" s="95"/>
      <c r="J550" s="96" t="s">
        <v>619</v>
      </c>
      <c r="K550" s="95"/>
      <c r="L550" s="43">
        <f t="shared" si="8"/>
        <v>46235</v>
      </c>
      <c r="M550" s="42" t="str">
        <f>IF(AND(C550="",D550="",E550="",F550=""),"",IF(OR(C550="",D550="",E550="",F550="",G550=""),"EKSİK",IF(COUNTIF(MUSTERILER!$B$7:$B$156,C550)=0,"TANIMSIZ MÜŞTERİ","UYGUN")))</f>
        <v>UYGUN</v>
      </c>
      <c r="N550" s="22" t="str">
        <f>IF(D550="","",D550&amp;"|"&amp;TEXT(COUNTIF($D$7:D550,D550),"000"))</f>
        <v>ASM Eğlence Ltd.Şti.|029</v>
      </c>
      <c r="O550" s="22" t="str">
        <f>IF(G550="","",G550&amp;"|"&amp;TEXT(COUNTIF($G$7:G550,G550),"000"))</f>
        <v>MERKEZ KASA|420</v>
      </c>
    </row>
    <row r="551" spans="1:15" ht="17">
      <c r="A551" s="6"/>
      <c r="B551" s="95" t="s">
        <v>1191</v>
      </c>
      <c r="C551" s="95" t="s">
        <v>548</v>
      </c>
      <c r="D551" s="96" t="s">
        <v>728</v>
      </c>
      <c r="E551" s="97">
        <v>46256</v>
      </c>
      <c r="F551" s="99">
        <v>3000</v>
      </c>
      <c r="G551" s="95" t="s">
        <v>618</v>
      </c>
      <c r="H551" s="95" t="s">
        <v>462</v>
      </c>
      <c r="I551" s="95"/>
      <c r="J551" s="96" t="s">
        <v>619</v>
      </c>
      <c r="K551" s="95"/>
      <c r="L551" s="43">
        <f t="shared" si="8"/>
        <v>46235</v>
      </c>
      <c r="M551" s="42" t="str">
        <f>IF(AND(C551="",D551="",E551="",F551=""),"",IF(OR(C551="",D551="",E551="",F551="",G551=""),"EKSİK",IF(COUNTIF(MUSTERILER!$B$7:$B$156,C551)=0,"TANIMSIZ MÜŞTERİ","UYGUN")))</f>
        <v>UYGUN</v>
      </c>
      <c r="N551" s="22" t="str">
        <f>IF(D551="","",D551&amp;"|"&amp;TEXT(COUNTIF($D$7:D551,D551),"000"))</f>
        <v>Rix Şow Ltd.Şti.|030</v>
      </c>
      <c r="O551" s="22" t="str">
        <f>IF(G551="","",G551&amp;"|"&amp;TEXT(COUNTIF($G$7:G551,G551),"000"))</f>
        <v>MERKEZ KASA|421</v>
      </c>
    </row>
    <row r="552" spans="1:15" ht="17">
      <c r="A552" s="6"/>
      <c r="B552" s="95" t="s">
        <v>1192</v>
      </c>
      <c r="C552" s="95" t="s">
        <v>479</v>
      </c>
      <c r="D552" s="96" t="s">
        <v>617</v>
      </c>
      <c r="E552" s="97">
        <v>46256</v>
      </c>
      <c r="F552" s="99">
        <v>3000</v>
      </c>
      <c r="G552" s="95" t="s">
        <v>618</v>
      </c>
      <c r="H552" s="95" t="s">
        <v>462</v>
      </c>
      <c r="I552" s="95"/>
      <c r="J552" s="96" t="s">
        <v>619</v>
      </c>
      <c r="K552" s="95"/>
      <c r="L552" s="43">
        <f t="shared" si="8"/>
        <v>46235</v>
      </c>
      <c r="M552" s="42" t="str">
        <f>IF(AND(C552="",D552="",E552="",F552=""),"",IF(OR(C552="",D552="",E552="",F552="",G552=""),"EKSİK",IF(COUNTIF(MUSTERILER!$B$7:$B$156,C552)=0,"TANIMSIZ MÜŞTERİ","UYGUN")))</f>
        <v>UYGUN</v>
      </c>
      <c r="N552" s="22" t="str">
        <f>IF(D552="","",D552&amp;"|"&amp;TEXT(COUNTIF($D$7:D552,D552),"000"))</f>
        <v>Çayıralan Ltd.Şti.|029</v>
      </c>
      <c r="O552" s="22" t="str">
        <f>IF(G552="","",G552&amp;"|"&amp;TEXT(COUNTIF($G$7:G552,G552),"000"))</f>
        <v>MERKEZ KASA|422</v>
      </c>
    </row>
    <row r="553" spans="1:15" ht="17">
      <c r="A553" s="6"/>
      <c r="B553" s="95" t="s">
        <v>1193</v>
      </c>
      <c r="C553" s="95" t="s">
        <v>552</v>
      </c>
      <c r="D553" s="96" t="s">
        <v>1194</v>
      </c>
      <c r="E553" s="97">
        <v>46256</v>
      </c>
      <c r="F553" s="99">
        <v>3000</v>
      </c>
      <c r="G553" s="95" t="s">
        <v>618</v>
      </c>
      <c r="H553" s="95" t="s">
        <v>462</v>
      </c>
      <c r="I553" s="95"/>
      <c r="J553" s="96" t="s">
        <v>619</v>
      </c>
      <c r="K553" s="95"/>
      <c r="L553" s="43">
        <f t="shared" si="8"/>
        <v>46235</v>
      </c>
      <c r="M553" s="42" t="str">
        <f>IF(AND(C553="",D553="",E553="",F553=""),"",IF(OR(C553="",D553="",E553="",F553="",G553=""),"EKSİK",IF(COUNTIF(MUSTERILER!$B$7:$B$156,C553)=0,"TANIMSIZ MÜŞTERİ","UYGUN")))</f>
        <v>UYGUN</v>
      </c>
      <c r="N553" s="22" t="str">
        <f>IF(D553="","",D553&amp;"|"&amp;TEXT(COUNTIF($D$7:D553,D553),"000"))</f>
        <v>Star Şow Ltd.Şti.|003</v>
      </c>
      <c r="O553" s="22" t="str">
        <f>IF(G553="","",G553&amp;"|"&amp;TEXT(COUNTIF($G$7:G553,G553),"000"))</f>
        <v>MERKEZ KASA|423</v>
      </c>
    </row>
    <row r="554" spans="1:15" ht="17">
      <c r="A554" s="6"/>
      <c r="B554" s="95" t="s">
        <v>1195</v>
      </c>
      <c r="C554" s="95" t="s">
        <v>483</v>
      </c>
      <c r="D554" s="96" t="s">
        <v>1196</v>
      </c>
      <c r="E554" s="97">
        <v>46256</v>
      </c>
      <c r="F554" s="99">
        <v>4000</v>
      </c>
      <c r="G554" s="95" t="s">
        <v>618</v>
      </c>
      <c r="H554" s="95" t="s">
        <v>462</v>
      </c>
      <c r="I554" s="95"/>
      <c r="J554" s="96" t="s">
        <v>619</v>
      </c>
      <c r="K554" s="95"/>
      <c r="L554" s="43">
        <f t="shared" si="8"/>
        <v>46235</v>
      </c>
      <c r="M554" s="42" t="str">
        <f>IF(AND(C554="",D554="",E554="",F554=""),"",IF(OR(C554="",D554="",E554="",F554="",G554=""),"EKSİK",IF(COUNTIF(MUSTERILER!$B$7:$B$156,C554)=0,"TANIMSIZ MÜŞTERİ","UYGUN")))</f>
        <v>UYGUN</v>
      </c>
      <c r="N554" s="22" t="str">
        <f>IF(D554="","",D554&amp;"|"&amp;TEXT(COUNTIF($D$7:D554,D554),"000"))</f>
        <v>Çınarhan Ltd.Şti.|023</v>
      </c>
      <c r="O554" s="22" t="str">
        <f>IF(G554="","",G554&amp;"|"&amp;TEXT(COUNTIF($G$7:G554,G554),"000"))</f>
        <v>MERKEZ KASA|424</v>
      </c>
    </row>
    <row r="555" spans="1:15" ht="17">
      <c r="A555" s="6"/>
      <c r="B555" s="95" t="s">
        <v>1197</v>
      </c>
      <c r="C555" s="95" t="s">
        <v>544</v>
      </c>
      <c r="D555" s="96" t="s">
        <v>1198</v>
      </c>
      <c r="E555" s="97">
        <v>46256</v>
      </c>
      <c r="F555" s="99">
        <v>5000</v>
      </c>
      <c r="G555" s="95" t="s">
        <v>618</v>
      </c>
      <c r="H555" s="95" t="s">
        <v>462</v>
      </c>
      <c r="I555" s="95"/>
      <c r="J555" s="96" t="s">
        <v>619</v>
      </c>
      <c r="K555" s="95"/>
      <c r="L555" s="43">
        <f t="shared" si="8"/>
        <v>46235</v>
      </c>
      <c r="M555" s="42" t="str">
        <f>IF(AND(C555="",D555="",E555="",F555=""),"",IF(OR(C555="",D555="",E555="",F555="",G555=""),"EKSİK",IF(COUNTIF(MUSTERILER!$B$7:$B$156,C555)=0,"TANIMSIZ MÜŞTERİ","UYGUN")))</f>
        <v>UYGUN</v>
      </c>
      <c r="N555" s="22" t="str">
        <f>IF(D555="","",D555&amp;"|"&amp;TEXT(COUNTIF($D$7:D555,D555),"000"))</f>
        <v>Palaoğulları Ltd.Şti.|022</v>
      </c>
      <c r="O555" s="22" t="str">
        <f>IF(G555="","",G555&amp;"|"&amp;TEXT(COUNTIF($G$7:G555,G555),"000"))</f>
        <v>MERKEZ KASA|425</v>
      </c>
    </row>
    <row r="556" spans="1:15" ht="17">
      <c r="A556" s="6"/>
      <c r="B556" s="95" t="s">
        <v>1199</v>
      </c>
      <c r="C556" s="95" t="s">
        <v>515</v>
      </c>
      <c r="D556" s="96" t="s">
        <v>516</v>
      </c>
      <c r="E556" s="97">
        <v>46258</v>
      </c>
      <c r="F556" s="99">
        <v>2000</v>
      </c>
      <c r="G556" s="95" t="s">
        <v>618</v>
      </c>
      <c r="H556" s="95" t="s">
        <v>462</v>
      </c>
      <c r="I556" s="95"/>
      <c r="J556" s="96" t="s">
        <v>619</v>
      </c>
      <c r="K556" s="95"/>
      <c r="L556" s="43">
        <f t="shared" si="8"/>
        <v>46235</v>
      </c>
      <c r="M556" s="42" t="str">
        <f>IF(AND(C556="",D556="",E556="",F556=""),"",IF(OR(C556="",D556="",E556="",F556="",G556=""),"EKSİK",IF(COUNTIF(MUSTERILER!$B$7:$B$156,C556)=0,"TANIMSIZ MÜŞTERİ","UYGUN")))</f>
        <v>UYGUN</v>
      </c>
      <c r="N556" s="22" t="str">
        <f>IF(D556="","",D556&amp;"|"&amp;TEXT(COUNTIF($D$7:D556,D556),"000"))</f>
        <v>MEHMET EVREN KILINÇ|007</v>
      </c>
      <c r="O556" s="22" t="str">
        <f>IF(G556="","",G556&amp;"|"&amp;TEXT(COUNTIF($G$7:G556,G556),"000"))</f>
        <v>MERKEZ KASA|426</v>
      </c>
    </row>
    <row r="557" spans="1:15" ht="17">
      <c r="A557" s="6"/>
      <c r="B557" s="95" t="s">
        <v>1200</v>
      </c>
      <c r="C557" s="95" t="s">
        <v>562</v>
      </c>
      <c r="D557" s="96" t="s">
        <v>563</v>
      </c>
      <c r="E557" s="97">
        <v>46260</v>
      </c>
      <c r="F557" s="99">
        <v>6000</v>
      </c>
      <c r="G557" s="95" t="s">
        <v>618</v>
      </c>
      <c r="H557" s="95" t="s">
        <v>462</v>
      </c>
      <c r="I557" s="95"/>
      <c r="J557" s="96" t="s">
        <v>619</v>
      </c>
      <c r="K557" s="95"/>
      <c r="L557" s="43">
        <f t="shared" si="8"/>
        <v>46235</v>
      </c>
      <c r="M557" s="42" t="str">
        <f>IF(AND(C557="",D557="",E557="",F557=""),"",IF(OR(C557="",D557="",E557="",F557="",G557=""),"EKSİK",IF(COUNTIF(MUSTERILER!$B$7:$B$156,C557)=0,"TANIMSIZ MÜŞTERİ","UYGUN")))</f>
        <v>UYGUN</v>
      </c>
      <c r="N557" s="22" t="str">
        <f>IF(D557="","",D557&amp;"|"&amp;TEXT(COUNTIF($D$7:D557,D557),"000"))</f>
        <v>VOLKAN AÇIK|004</v>
      </c>
      <c r="O557" s="22" t="str">
        <f>IF(G557="","",G557&amp;"|"&amp;TEXT(COUNTIF($G$7:G557,G557),"000"))</f>
        <v>MERKEZ KASA|427</v>
      </c>
    </row>
    <row r="558" spans="1:15" ht="17">
      <c r="A558" s="6"/>
      <c r="B558" s="95" t="str">
        <f t="shared" ref="B558:B621" si="9">IF(E558="","","T"&amp;TEXT(ROW()-6,"00000"))</f>
        <v/>
      </c>
      <c r="C558" s="95"/>
      <c r="D558" s="96"/>
      <c r="E558" s="97"/>
      <c r="F558" s="99"/>
      <c r="G558" s="95"/>
      <c r="H558" s="95"/>
      <c r="I558" s="95"/>
      <c r="J558" s="96"/>
      <c r="K558" s="95"/>
      <c r="L558" s="43" t="str">
        <f t="shared" si="8"/>
        <v/>
      </c>
      <c r="M558" s="42" t="str">
        <f>IF(AND(C558="",D558="",E558="",F558=""),"",IF(OR(C558="",D558="",E558="",F558="",G558=""),"EKSİK",IF(COUNTIF(MUSTERILER!$B$7:$B$156,C558)=0,"TANIMSIZ MÜŞTERİ","UYGUN")))</f>
        <v/>
      </c>
      <c r="N558" s="22" t="str">
        <f>IF(D558="","",D558&amp;"|"&amp;TEXT(COUNTIF($D$7:D558,D558),"000"))</f>
        <v/>
      </c>
      <c r="O558" s="22" t="str">
        <f>IF(G558="","",G558&amp;"|"&amp;TEXT(COUNTIF($G$7:G558,G558),"000"))</f>
        <v/>
      </c>
    </row>
    <row r="559" spans="1:15" ht="17">
      <c r="A559" s="6"/>
      <c r="B559" s="95" t="str">
        <f t="shared" si="9"/>
        <v/>
      </c>
      <c r="C559" s="95"/>
      <c r="D559" s="96"/>
      <c r="E559" s="97"/>
      <c r="F559" s="99"/>
      <c r="G559" s="95"/>
      <c r="H559" s="95"/>
      <c r="I559" s="95"/>
      <c r="J559" s="96"/>
      <c r="K559" s="95"/>
      <c r="L559" s="43" t="str">
        <f t="shared" si="8"/>
        <v/>
      </c>
      <c r="M559" s="42" t="str">
        <f>IF(AND(C559="",D559="",E559="",F559=""),"",IF(OR(C559="",D559="",E559="",F559="",G559=""),"EKSİK",IF(COUNTIF(MUSTERILER!$B$7:$B$156,C559)=0,"TANIMSIZ MÜŞTERİ","UYGUN")))</f>
        <v/>
      </c>
      <c r="N559" s="22" t="str">
        <f>IF(D559="","",D559&amp;"|"&amp;TEXT(COUNTIF($D$7:D559,D559),"000"))</f>
        <v/>
      </c>
      <c r="O559" s="22" t="str">
        <f>IF(G559="","",G559&amp;"|"&amp;TEXT(COUNTIF($G$7:G559,G559),"000"))</f>
        <v/>
      </c>
    </row>
    <row r="560" spans="1:15" ht="17">
      <c r="A560" s="6"/>
      <c r="B560" s="95" t="str">
        <f t="shared" si="9"/>
        <v/>
      </c>
      <c r="C560" s="95"/>
      <c r="D560" s="96"/>
      <c r="E560" s="97"/>
      <c r="F560" s="99"/>
      <c r="G560" s="95"/>
      <c r="H560" s="95"/>
      <c r="I560" s="95"/>
      <c r="J560" s="96"/>
      <c r="K560" s="95"/>
      <c r="L560" s="43" t="str">
        <f t="shared" si="8"/>
        <v/>
      </c>
      <c r="M560" s="42" t="str">
        <f>IF(AND(C560="",D560="",E560="",F560=""),"",IF(OR(C560="",D560="",E560="",F560="",G560=""),"EKSİK",IF(COUNTIF(MUSTERILER!$B$7:$B$156,C560)=0,"TANIMSIZ MÜŞTERİ","UYGUN")))</f>
        <v/>
      </c>
      <c r="N560" s="22" t="str">
        <f>IF(D560="","",D560&amp;"|"&amp;TEXT(COUNTIF($D$7:D560,D560),"000"))</f>
        <v/>
      </c>
      <c r="O560" s="22" t="str">
        <f>IF(G560="","",G560&amp;"|"&amp;TEXT(COUNTIF($G$7:G560,G560),"000"))</f>
        <v/>
      </c>
    </row>
    <row r="561" spans="1:15" ht="17">
      <c r="A561" s="6"/>
      <c r="B561" s="95" t="str">
        <f t="shared" si="9"/>
        <v/>
      </c>
      <c r="C561" s="95"/>
      <c r="D561" s="96"/>
      <c r="E561" s="97"/>
      <c r="F561" s="99"/>
      <c r="G561" s="95"/>
      <c r="H561" s="95"/>
      <c r="I561" s="95"/>
      <c r="J561" s="96"/>
      <c r="K561" s="95"/>
      <c r="L561" s="43" t="str">
        <f t="shared" si="8"/>
        <v/>
      </c>
      <c r="M561" s="42" t="str">
        <f>IF(AND(C561="",D561="",E561="",F561=""),"",IF(OR(C561="",D561="",E561="",F561="",G561=""),"EKSİK",IF(COUNTIF(MUSTERILER!$B$7:$B$156,C561)=0,"TANIMSIZ MÜŞTERİ","UYGUN")))</f>
        <v/>
      </c>
      <c r="N561" s="22" t="str">
        <f>IF(D561="","",D561&amp;"|"&amp;TEXT(COUNTIF($D$7:D561,D561),"000"))</f>
        <v/>
      </c>
      <c r="O561" s="22" t="str">
        <f>IF(G561="","",G561&amp;"|"&amp;TEXT(COUNTIF($G$7:G561,G561),"000"))</f>
        <v/>
      </c>
    </row>
    <row r="562" spans="1:15" ht="17">
      <c r="A562" s="6"/>
      <c r="B562" s="95" t="str">
        <f t="shared" si="9"/>
        <v/>
      </c>
      <c r="C562" s="95"/>
      <c r="D562" s="96"/>
      <c r="E562" s="97"/>
      <c r="F562" s="99"/>
      <c r="G562" s="95"/>
      <c r="H562" s="95"/>
      <c r="I562" s="95"/>
      <c r="J562" s="96"/>
      <c r="K562" s="95"/>
      <c r="L562" s="43" t="str">
        <f t="shared" si="8"/>
        <v/>
      </c>
      <c r="M562" s="42" t="str">
        <f>IF(AND(C562="",D562="",E562="",F562=""),"",IF(OR(C562="",D562="",E562="",F562="",G562=""),"EKSİK",IF(COUNTIF(MUSTERILER!$B$7:$B$156,C562)=0,"TANIMSIZ MÜŞTERİ","UYGUN")))</f>
        <v/>
      </c>
      <c r="N562" s="22" t="str">
        <f>IF(D562="","",D562&amp;"|"&amp;TEXT(COUNTIF($D$7:D562,D562),"000"))</f>
        <v/>
      </c>
      <c r="O562" s="22" t="str">
        <f>IF(G562="","",G562&amp;"|"&amp;TEXT(COUNTIF($G$7:G562,G562),"000"))</f>
        <v/>
      </c>
    </row>
    <row r="563" spans="1:15" ht="17">
      <c r="A563" s="6"/>
      <c r="B563" s="95" t="str">
        <f t="shared" si="9"/>
        <v/>
      </c>
      <c r="C563" s="95"/>
      <c r="D563" s="96"/>
      <c r="E563" s="97"/>
      <c r="F563" s="99"/>
      <c r="G563" s="95"/>
      <c r="H563" s="95"/>
      <c r="I563" s="95"/>
      <c r="J563" s="96"/>
      <c r="K563" s="95"/>
      <c r="L563" s="43" t="str">
        <f t="shared" si="8"/>
        <v/>
      </c>
      <c r="M563" s="42" t="str">
        <f>IF(AND(C563="",D563="",E563="",F563=""),"",IF(OR(C563="",D563="",E563="",F563="",G563=""),"EKSİK",IF(COUNTIF(MUSTERILER!$B$7:$B$156,C563)=0,"TANIMSIZ MÜŞTERİ","UYGUN")))</f>
        <v/>
      </c>
      <c r="N563" s="22" t="str">
        <f>IF(D563="","",D563&amp;"|"&amp;TEXT(COUNTIF($D$7:D563,D563),"000"))</f>
        <v/>
      </c>
      <c r="O563" s="22" t="str">
        <f>IF(G563="","",G563&amp;"|"&amp;TEXT(COUNTIF($G$7:G563,G563),"000"))</f>
        <v/>
      </c>
    </row>
    <row r="564" spans="1:15" ht="17">
      <c r="A564" s="6"/>
      <c r="B564" s="95" t="str">
        <f t="shared" si="9"/>
        <v/>
      </c>
      <c r="C564" s="95"/>
      <c r="D564" s="96"/>
      <c r="E564" s="97"/>
      <c r="F564" s="99"/>
      <c r="G564" s="95"/>
      <c r="H564" s="95"/>
      <c r="I564" s="95"/>
      <c r="J564" s="96"/>
      <c r="K564" s="95"/>
      <c r="L564" s="43" t="str">
        <f t="shared" si="8"/>
        <v/>
      </c>
      <c r="M564" s="42" t="str">
        <f>IF(AND(C564="",D564="",E564="",F564=""),"",IF(OR(C564="",D564="",E564="",F564="",G564=""),"EKSİK",IF(COUNTIF(MUSTERILER!$B$7:$B$156,C564)=0,"TANIMSIZ MÜŞTERİ","UYGUN")))</f>
        <v/>
      </c>
      <c r="N564" s="22" t="str">
        <f>IF(D564="","",D564&amp;"|"&amp;TEXT(COUNTIF($D$7:D564,D564),"000"))</f>
        <v/>
      </c>
      <c r="O564" s="22" t="str">
        <f>IF(G564="","",G564&amp;"|"&amp;TEXT(COUNTIF($G$7:G564,G564),"000"))</f>
        <v/>
      </c>
    </row>
    <row r="565" spans="1:15" ht="17">
      <c r="A565" s="6"/>
      <c r="B565" s="95" t="str">
        <f t="shared" si="9"/>
        <v/>
      </c>
      <c r="C565" s="95"/>
      <c r="D565" s="96"/>
      <c r="E565" s="97"/>
      <c r="F565" s="99"/>
      <c r="G565" s="95"/>
      <c r="H565" s="95"/>
      <c r="I565" s="95"/>
      <c r="J565" s="96"/>
      <c r="K565" s="95"/>
      <c r="L565" s="43" t="str">
        <f t="shared" si="8"/>
        <v/>
      </c>
      <c r="M565" s="42" t="str">
        <f>IF(AND(C565="",D565="",E565="",F565=""),"",IF(OR(C565="",D565="",E565="",F565="",G565=""),"EKSİK",IF(COUNTIF(MUSTERILER!$B$7:$B$156,C565)=0,"TANIMSIZ MÜŞTERİ","UYGUN")))</f>
        <v/>
      </c>
      <c r="N565" s="22" t="str">
        <f>IF(D565="","",D565&amp;"|"&amp;TEXT(COUNTIF($D$7:D565,D565),"000"))</f>
        <v/>
      </c>
      <c r="O565" s="22" t="str">
        <f>IF(G565="","",G565&amp;"|"&amp;TEXT(COUNTIF($G$7:G565,G565),"000"))</f>
        <v/>
      </c>
    </row>
    <row r="566" spans="1:15" ht="17">
      <c r="A566" s="6"/>
      <c r="B566" s="95" t="str">
        <f t="shared" si="9"/>
        <v/>
      </c>
      <c r="C566" s="95"/>
      <c r="D566" s="96"/>
      <c r="E566" s="97"/>
      <c r="F566" s="99"/>
      <c r="G566" s="95"/>
      <c r="H566" s="95"/>
      <c r="I566" s="95"/>
      <c r="J566" s="96"/>
      <c r="K566" s="95"/>
      <c r="L566" s="43" t="str">
        <f t="shared" si="8"/>
        <v/>
      </c>
      <c r="M566" s="42" t="str">
        <f>IF(AND(C566="",D566="",E566="",F566=""),"",IF(OR(C566="",D566="",E566="",F566="",G566=""),"EKSİK",IF(COUNTIF(MUSTERILER!$B$7:$B$156,C566)=0,"TANIMSIZ MÜŞTERİ","UYGUN")))</f>
        <v/>
      </c>
      <c r="N566" s="22" t="str">
        <f>IF(D566="","",D566&amp;"|"&amp;TEXT(COUNTIF($D$7:D566,D566),"000"))</f>
        <v/>
      </c>
      <c r="O566" s="22" t="str">
        <f>IF(G566="","",G566&amp;"|"&amp;TEXT(COUNTIF($G$7:G566,G566),"000"))</f>
        <v/>
      </c>
    </row>
    <row r="567" spans="1:15" ht="17">
      <c r="A567" s="6"/>
      <c r="B567" s="95" t="str">
        <f t="shared" si="9"/>
        <v/>
      </c>
      <c r="C567" s="95"/>
      <c r="D567" s="96"/>
      <c r="E567" s="97"/>
      <c r="F567" s="99"/>
      <c r="G567" s="95"/>
      <c r="H567" s="95"/>
      <c r="I567" s="95"/>
      <c r="J567" s="96"/>
      <c r="K567" s="95"/>
      <c r="L567" s="43" t="str">
        <f t="shared" si="8"/>
        <v/>
      </c>
      <c r="M567" s="42" t="str">
        <f>IF(AND(C567="",D567="",E567="",F567=""),"",IF(OR(C567="",D567="",E567="",F567="",G567=""),"EKSİK",IF(COUNTIF(MUSTERILER!$B$7:$B$156,C567)=0,"TANIMSIZ MÜŞTERİ","UYGUN")))</f>
        <v/>
      </c>
      <c r="N567" s="22" t="str">
        <f>IF(D567="","",D567&amp;"|"&amp;TEXT(COUNTIF($D$7:D567,D567),"000"))</f>
        <v/>
      </c>
      <c r="O567" s="22" t="str">
        <f>IF(G567="","",G567&amp;"|"&amp;TEXT(COUNTIF($G$7:G567,G567),"000"))</f>
        <v/>
      </c>
    </row>
    <row r="568" spans="1:15" ht="17">
      <c r="A568" s="6"/>
      <c r="B568" s="95" t="str">
        <f t="shared" si="9"/>
        <v/>
      </c>
      <c r="C568" s="95"/>
      <c r="D568" s="96"/>
      <c r="E568" s="97"/>
      <c r="F568" s="99"/>
      <c r="G568" s="95"/>
      <c r="H568" s="95"/>
      <c r="I568" s="95"/>
      <c r="J568" s="96"/>
      <c r="K568" s="95"/>
      <c r="L568" s="43" t="str">
        <f t="shared" si="8"/>
        <v/>
      </c>
      <c r="M568" s="42" t="str">
        <f>IF(AND(C568="",D568="",E568="",F568=""),"",IF(OR(C568="",D568="",E568="",F568="",G568=""),"EKSİK",IF(COUNTIF(MUSTERILER!$B$7:$B$156,C568)=0,"TANIMSIZ MÜŞTERİ","UYGUN")))</f>
        <v/>
      </c>
      <c r="N568" s="22" t="str">
        <f>IF(D568="","",D568&amp;"|"&amp;TEXT(COUNTIF($D$7:D568,D568),"000"))</f>
        <v/>
      </c>
      <c r="O568" s="22" t="str">
        <f>IF(G568="","",G568&amp;"|"&amp;TEXT(COUNTIF($G$7:G568,G568),"000"))</f>
        <v/>
      </c>
    </row>
    <row r="569" spans="1:15" ht="17">
      <c r="A569" s="6"/>
      <c r="B569" s="95" t="str">
        <f t="shared" si="9"/>
        <v/>
      </c>
      <c r="C569" s="95"/>
      <c r="D569" s="96"/>
      <c r="E569" s="97"/>
      <c r="F569" s="99"/>
      <c r="G569" s="95"/>
      <c r="H569" s="95"/>
      <c r="I569" s="95"/>
      <c r="J569" s="96"/>
      <c r="K569" s="95"/>
      <c r="L569" s="43" t="str">
        <f t="shared" si="8"/>
        <v/>
      </c>
      <c r="M569" s="42" t="str">
        <f>IF(AND(C569="",D569="",E569="",F569=""),"",IF(OR(C569="",D569="",E569="",F569="",G569=""),"EKSİK",IF(COUNTIF(MUSTERILER!$B$7:$B$156,C569)=0,"TANIMSIZ MÜŞTERİ","UYGUN")))</f>
        <v/>
      </c>
      <c r="N569" s="22" t="str">
        <f>IF(D569="","",D569&amp;"|"&amp;TEXT(COUNTIF($D$7:D569,D569),"000"))</f>
        <v/>
      </c>
      <c r="O569" s="22" t="str">
        <f>IF(G569="","",G569&amp;"|"&amp;TEXT(COUNTIF($G$7:G569,G569),"000"))</f>
        <v/>
      </c>
    </row>
    <row r="570" spans="1:15" ht="17">
      <c r="A570" s="6"/>
      <c r="B570" s="95" t="str">
        <f t="shared" si="9"/>
        <v/>
      </c>
      <c r="C570" s="95"/>
      <c r="D570" s="96"/>
      <c r="E570" s="97"/>
      <c r="F570" s="99"/>
      <c r="G570" s="95"/>
      <c r="H570" s="95"/>
      <c r="I570" s="95"/>
      <c r="J570" s="96"/>
      <c r="K570" s="95"/>
      <c r="L570" s="43" t="str">
        <f t="shared" si="8"/>
        <v/>
      </c>
      <c r="M570" s="42" t="str">
        <f>IF(AND(C570="",D570="",E570="",F570=""),"",IF(OR(C570="",D570="",E570="",F570="",G570=""),"EKSİK",IF(COUNTIF(MUSTERILER!$B$7:$B$156,C570)=0,"TANIMSIZ MÜŞTERİ","UYGUN")))</f>
        <v/>
      </c>
      <c r="N570" s="22" t="str">
        <f>IF(D570="","",D570&amp;"|"&amp;TEXT(COUNTIF($D$7:D570,D570),"000"))</f>
        <v/>
      </c>
      <c r="O570" s="22" t="str">
        <f>IF(G570="","",G570&amp;"|"&amp;TEXT(COUNTIF($G$7:G570,G570),"000"))</f>
        <v/>
      </c>
    </row>
    <row r="571" spans="1:15" ht="17">
      <c r="A571" s="6"/>
      <c r="B571" s="95" t="str">
        <f t="shared" si="9"/>
        <v/>
      </c>
      <c r="C571" s="95"/>
      <c r="D571" s="96"/>
      <c r="E571" s="97"/>
      <c r="F571" s="99"/>
      <c r="G571" s="95"/>
      <c r="H571" s="95"/>
      <c r="I571" s="95"/>
      <c r="J571" s="96"/>
      <c r="K571" s="95"/>
      <c r="L571" s="43" t="str">
        <f t="shared" si="8"/>
        <v/>
      </c>
      <c r="M571" s="42" t="str">
        <f>IF(AND(C571="",D571="",E571="",F571=""),"",IF(OR(C571="",D571="",E571="",F571="",G571=""),"EKSİK",IF(COUNTIF(MUSTERILER!$B$7:$B$156,C571)=0,"TANIMSIZ MÜŞTERİ","UYGUN")))</f>
        <v/>
      </c>
      <c r="N571" s="22" t="str">
        <f>IF(D571="","",D571&amp;"|"&amp;TEXT(COUNTIF($D$7:D571,D571),"000"))</f>
        <v/>
      </c>
      <c r="O571" s="22" t="str">
        <f>IF(G571="","",G571&amp;"|"&amp;TEXT(COUNTIF($G$7:G571,G571),"000"))</f>
        <v/>
      </c>
    </row>
    <row r="572" spans="1:15" ht="17">
      <c r="A572" s="6"/>
      <c r="B572" s="95" t="str">
        <f t="shared" si="9"/>
        <v/>
      </c>
      <c r="C572" s="95"/>
      <c r="D572" s="96"/>
      <c r="E572" s="97"/>
      <c r="F572" s="99"/>
      <c r="G572" s="95"/>
      <c r="H572" s="95"/>
      <c r="I572" s="95"/>
      <c r="J572" s="96"/>
      <c r="K572" s="95"/>
      <c r="L572" s="43" t="str">
        <f t="shared" si="8"/>
        <v/>
      </c>
      <c r="M572" s="42" t="str">
        <f>IF(AND(C572="",D572="",E572="",F572=""),"",IF(OR(C572="",D572="",E572="",F572="",G572=""),"EKSİK",IF(COUNTIF(MUSTERILER!$B$7:$B$156,C572)=0,"TANIMSIZ MÜŞTERİ","UYGUN")))</f>
        <v/>
      </c>
      <c r="N572" s="22" t="str">
        <f>IF(D572="","",D572&amp;"|"&amp;TEXT(COUNTIF($D$7:D572,D572),"000"))</f>
        <v/>
      </c>
      <c r="O572" s="22" t="str">
        <f>IF(G572="","",G572&amp;"|"&amp;TEXT(COUNTIF($G$7:G572,G572),"000"))</f>
        <v/>
      </c>
    </row>
    <row r="573" spans="1:15" ht="17">
      <c r="A573" s="6"/>
      <c r="B573" s="95" t="str">
        <f t="shared" si="9"/>
        <v/>
      </c>
      <c r="C573" s="95"/>
      <c r="D573" s="96"/>
      <c r="E573" s="97"/>
      <c r="F573" s="99"/>
      <c r="G573" s="95"/>
      <c r="H573" s="95"/>
      <c r="I573" s="95"/>
      <c r="J573" s="96"/>
      <c r="K573" s="95"/>
      <c r="L573" s="43" t="str">
        <f t="shared" si="8"/>
        <v/>
      </c>
      <c r="M573" s="42" t="str">
        <f>IF(AND(C573="",D573="",E573="",F573=""),"",IF(OR(C573="",D573="",E573="",F573="",G573=""),"EKSİK",IF(COUNTIF(MUSTERILER!$B$7:$B$156,C573)=0,"TANIMSIZ MÜŞTERİ","UYGUN")))</f>
        <v/>
      </c>
      <c r="N573" s="22" t="str">
        <f>IF(D573="","",D573&amp;"|"&amp;TEXT(COUNTIF($D$7:D573,D573),"000"))</f>
        <v/>
      </c>
      <c r="O573" s="22" t="str">
        <f>IF(G573="","",G573&amp;"|"&amp;TEXT(COUNTIF($G$7:G573,G573),"000"))</f>
        <v/>
      </c>
    </row>
    <row r="574" spans="1:15" ht="17">
      <c r="A574" s="6"/>
      <c r="B574" s="95" t="str">
        <f t="shared" si="9"/>
        <v/>
      </c>
      <c r="C574" s="95"/>
      <c r="D574" s="96"/>
      <c r="E574" s="97"/>
      <c r="F574" s="99"/>
      <c r="G574" s="95"/>
      <c r="H574" s="95"/>
      <c r="I574" s="95"/>
      <c r="J574" s="96"/>
      <c r="K574" s="95"/>
      <c r="L574" s="43" t="str">
        <f t="shared" si="8"/>
        <v/>
      </c>
      <c r="M574" s="42" t="str">
        <f>IF(AND(C574="",D574="",E574="",F574=""),"",IF(OR(C574="",D574="",E574="",F574="",G574=""),"EKSİK",IF(COUNTIF(MUSTERILER!$B$7:$B$156,C574)=0,"TANIMSIZ MÜŞTERİ","UYGUN")))</f>
        <v/>
      </c>
      <c r="N574" s="22" t="str">
        <f>IF(D574="","",D574&amp;"|"&amp;TEXT(COUNTIF($D$7:D574,D574),"000"))</f>
        <v/>
      </c>
      <c r="O574" s="22" t="str">
        <f>IF(G574="","",G574&amp;"|"&amp;TEXT(COUNTIF($G$7:G574,G574),"000"))</f>
        <v/>
      </c>
    </row>
    <row r="575" spans="1:15" ht="17">
      <c r="A575" s="6"/>
      <c r="B575" s="95" t="str">
        <f t="shared" si="9"/>
        <v/>
      </c>
      <c r="C575" s="95"/>
      <c r="D575" s="96"/>
      <c r="E575" s="97"/>
      <c r="F575" s="99"/>
      <c r="G575" s="95"/>
      <c r="H575" s="95"/>
      <c r="I575" s="95"/>
      <c r="J575" s="96"/>
      <c r="K575" s="95"/>
      <c r="L575" s="43" t="str">
        <f t="shared" si="8"/>
        <v/>
      </c>
      <c r="M575" s="42" t="str">
        <f>IF(AND(C575="",D575="",E575="",F575=""),"",IF(OR(C575="",D575="",E575="",F575="",G575=""),"EKSİK",IF(COUNTIF(MUSTERILER!$B$7:$B$156,C575)=0,"TANIMSIZ MÜŞTERİ","UYGUN")))</f>
        <v/>
      </c>
      <c r="N575" s="22" t="str">
        <f>IF(D575="","",D575&amp;"|"&amp;TEXT(COUNTIF($D$7:D575,D575),"000"))</f>
        <v/>
      </c>
      <c r="O575" s="22" t="str">
        <f>IF(G575="","",G575&amp;"|"&amp;TEXT(COUNTIF($G$7:G575,G575),"000"))</f>
        <v/>
      </c>
    </row>
    <row r="576" spans="1:15" ht="17">
      <c r="A576" s="6"/>
      <c r="B576" s="95" t="str">
        <f t="shared" si="9"/>
        <v/>
      </c>
      <c r="C576" s="95"/>
      <c r="D576" s="96"/>
      <c r="E576" s="97"/>
      <c r="F576" s="99"/>
      <c r="G576" s="95"/>
      <c r="H576" s="95"/>
      <c r="I576" s="95"/>
      <c r="J576" s="96"/>
      <c r="K576" s="95"/>
      <c r="L576" s="43" t="str">
        <f t="shared" si="8"/>
        <v/>
      </c>
      <c r="M576" s="42" t="str">
        <f>IF(AND(C576="",D576="",E576="",F576=""),"",IF(OR(C576="",D576="",E576="",F576="",G576=""),"EKSİK",IF(COUNTIF(MUSTERILER!$B$7:$B$156,C576)=0,"TANIMSIZ MÜŞTERİ","UYGUN")))</f>
        <v/>
      </c>
      <c r="N576" s="22" t="str">
        <f>IF(D576="","",D576&amp;"|"&amp;TEXT(COUNTIF($D$7:D576,D576),"000"))</f>
        <v/>
      </c>
      <c r="O576" s="22" t="str">
        <f>IF(G576="","",G576&amp;"|"&amp;TEXT(COUNTIF($G$7:G576,G576),"000"))</f>
        <v/>
      </c>
    </row>
    <row r="577" spans="1:15" ht="17">
      <c r="A577" s="6"/>
      <c r="B577" s="95" t="str">
        <f t="shared" si="9"/>
        <v/>
      </c>
      <c r="C577" s="95"/>
      <c r="D577" s="96"/>
      <c r="E577" s="97"/>
      <c r="F577" s="99"/>
      <c r="G577" s="95"/>
      <c r="H577" s="95"/>
      <c r="I577" s="95"/>
      <c r="J577" s="96"/>
      <c r="K577" s="95"/>
      <c r="L577" s="43" t="str">
        <f t="shared" si="8"/>
        <v/>
      </c>
      <c r="M577" s="42" t="str">
        <f>IF(AND(C577="",D577="",E577="",F577=""),"",IF(OR(C577="",D577="",E577="",F577="",G577=""),"EKSİK",IF(COUNTIF(MUSTERILER!$B$7:$B$156,C577)=0,"TANIMSIZ MÜŞTERİ","UYGUN")))</f>
        <v/>
      </c>
      <c r="N577" s="22" t="str">
        <f>IF(D577="","",D577&amp;"|"&amp;TEXT(COUNTIF($D$7:D577,D577),"000"))</f>
        <v/>
      </c>
      <c r="O577" s="22" t="str">
        <f>IF(G577="","",G577&amp;"|"&amp;TEXT(COUNTIF($G$7:G577,G577),"000"))</f>
        <v/>
      </c>
    </row>
    <row r="578" spans="1:15" ht="17">
      <c r="A578" s="6"/>
      <c r="B578" s="95" t="str">
        <f t="shared" si="9"/>
        <v/>
      </c>
      <c r="C578" s="95"/>
      <c r="D578" s="96"/>
      <c r="E578" s="97"/>
      <c r="F578" s="99"/>
      <c r="G578" s="95"/>
      <c r="H578" s="95"/>
      <c r="I578" s="95"/>
      <c r="J578" s="96"/>
      <c r="K578" s="95"/>
      <c r="L578" s="43" t="str">
        <f t="shared" si="8"/>
        <v/>
      </c>
      <c r="M578" s="42" t="str">
        <f>IF(AND(C578="",D578="",E578="",F578=""),"",IF(OR(C578="",D578="",E578="",F578="",G578=""),"EKSİK",IF(COUNTIF(MUSTERILER!$B$7:$B$156,C578)=0,"TANIMSIZ MÜŞTERİ","UYGUN")))</f>
        <v/>
      </c>
      <c r="N578" s="22" t="str">
        <f>IF(D578="","",D578&amp;"|"&amp;TEXT(COUNTIF($D$7:D578,D578),"000"))</f>
        <v/>
      </c>
      <c r="O578" s="22" t="str">
        <f>IF(G578="","",G578&amp;"|"&amp;TEXT(COUNTIF($G$7:G578,G578),"000"))</f>
        <v/>
      </c>
    </row>
    <row r="579" spans="1:15" ht="17">
      <c r="A579" s="6"/>
      <c r="B579" s="95" t="str">
        <f t="shared" si="9"/>
        <v/>
      </c>
      <c r="C579" s="95"/>
      <c r="D579" s="96"/>
      <c r="E579" s="97"/>
      <c r="F579" s="99"/>
      <c r="G579" s="95"/>
      <c r="H579" s="95"/>
      <c r="I579" s="95"/>
      <c r="J579" s="96"/>
      <c r="K579" s="95"/>
      <c r="L579" s="43" t="str">
        <f t="shared" si="8"/>
        <v/>
      </c>
      <c r="M579" s="42" t="str">
        <f>IF(AND(C579="",D579="",E579="",F579=""),"",IF(OR(C579="",D579="",E579="",F579="",G579=""),"EKSİK",IF(COUNTIF(MUSTERILER!$B$7:$B$156,C579)=0,"TANIMSIZ MÜŞTERİ","UYGUN")))</f>
        <v/>
      </c>
      <c r="N579" s="22" t="str">
        <f>IF(D579="","",D579&amp;"|"&amp;TEXT(COUNTIF($D$7:D579,D579),"000"))</f>
        <v/>
      </c>
      <c r="O579" s="22" t="str">
        <f>IF(G579="","",G579&amp;"|"&amp;TEXT(COUNTIF($G$7:G579,G579),"000"))</f>
        <v/>
      </c>
    </row>
    <row r="580" spans="1:15" ht="17">
      <c r="A580" s="6"/>
      <c r="B580" s="95" t="str">
        <f t="shared" si="9"/>
        <v/>
      </c>
      <c r="C580" s="95"/>
      <c r="D580" s="96"/>
      <c r="E580" s="97"/>
      <c r="F580" s="99"/>
      <c r="G580" s="95"/>
      <c r="H580" s="95"/>
      <c r="I580" s="95"/>
      <c r="J580" s="96"/>
      <c r="K580" s="95"/>
      <c r="L580" s="43" t="str">
        <f t="shared" si="8"/>
        <v/>
      </c>
      <c r="M580" s="42" t="str">
        <f>IF(AND(C580="",D580="",E580="",F580=""),"",IF(OR(C580="",D580="",E580="",F580="",G580=""),"EKSİK",IF(COUNTIF(MUSTERILER!$B$7:$B$156,C580)=0,"TANIMSIZ MÜŞTERİ","UYGUN")))</f>
        <v/>
      </c>
      <c r="N580" s="22" t="str">
        <f>IF(D580="","",D580&amp;"|"&amp;TEXT(COUNTIF($D$7:D580,D580),"000"))</f>
        <v/>
      </c>
      <c r="O580" s="22" t="str">
        <f>IF(G580="","",G580&amp;"|"&amp;TEXT(COUNTIF($G$7:G580,G580),"000"))</f>
        <v/>
      </c>
    </row>
    <row r="581" spans="1:15" ht="17">
      <c r="A581" s="6"/>
      <c r="B581" s="95" t="str">
        <f t="shared" si="9"/>
        <v/>
      </c>
      <c r="C581" s="95"/>
      <c r="D581" s="96"/>
      <c r="E581" s="97"/>
      <c r="F581" s="99"/>
      <c r="G581" s="95"/>
      <c r="H581" s="95"/>
      <c r="I581" s="95"/>
      <c r="J581" s="96"/>
      <c r="K581" s="95"/>
      <c r="L581" s="43" t="str">
        <f t="shared" si="8"/>
        <v/>
      </c>
      <c r="M581" s="42" t="str">
        <f>IF(AND(C581="",D581="",E581="",F581=""),"",IF(OR(C581="",D581="",E581="",F581="",G581=""),"EKSİK",IF(COUNTIF(MUSTERILER!$B$7:$B$156,C581)=0,"TANIMSIZ MÜŞTERİ","UYGUN")))</f>
        <v/>
      </c>
      <c r="N581" s="22" t="str">
        <f>IF(D581="","",D581&amp;"|"&amp;TEXT(COUNTIF($D$7:D581,D581),"000"))</f>
        <v/>
      </c>
      <c r="O581" s="22" t="str">
        <f>IF(G581="","",G581&amp;"|"&amp;TEXT(COUNTIF($G$7:G581,G581),"000"))</f>
        <v/>
      </c>
    </row>
    <row r="582" spans="1:15" ht="17">
      <c r="A582" s="6"/>
      <c r="B582" s="95" t="str">
        <f t="shared" si="9"/>
        <v/>
      </c>
      <c r="C582" s="95"/>
      <c r="D582" s="96"/>
      <c r="E582" s="97"/>
      <c r="F582" s="99"/>
      <c r="G582" s="95"/>
      <c r="H582" s="95"/>
      <c r="I582" s="95"/>
      <c r="J582" s="96"/>
      <c r="K582" s="95"/>
      <c r="L582" s="43" t="str">
        <f t="shared" si="8"/>
        <v/>
      </c>
      <c r="M582" s="42" t="str">
        <f>IF(AND(C582="",D582="",E582="",F582=""),"",IF(OR(C582="",D582="",E582="",F582="",G582=""),"EKSİK",IF(COUNTIF(MUSTERILER!$B$7:$B$156,C582)=0,"TANIMSIZ MÜŞTERİ","UYGUN")))</f>
        <v/>
      </c>
      <c r="N582" s="22" t="str">
        <f>IF(D582="","",D582&amp;"|"&amp;TEXT(COUNTIF($D$7:D582,D582),"000"))</f>
        <v/>
      </c>
      <c r="O582" s="22" t="str">
        <f>IF(G582="","",G582&amp;"|"&amp;TEXT(COUNTIF($G$7:G582,G582),"000"))</f>
        <v/>
      </c>
    </row>
    <row r="583" spans="1:15" ht="17">
      <c r="A583" s="6"/>
      <c r="B583" s="95" t="str">
        <f t="shared" si="9"/>
        <v/>
      </c>
      <c r="C583" s="95"/>
      <c r="D583" s="96"/>
      <c r="E583" s="97"/>
      <c r="F583" s="99"/>
      <c r="G583" s="95"/>
      <c r="H583" s="95"/>
      <c r="I583" s="95"/>
      <c r="J583" s="96"/>
      <c r="K583" s="95"/>
      <c r="L583" s="43" t="str">
        <f t="shared" ref="L583:L646" si="10">IF(E583="","",DATE(YEAR(E583),MONTH(E583),1))</f>
        <v/>
      </c>
      <c r="M583" s="42" t="str">
        <f>IF(AND(C583="",D583="",E583="",F583=""),"",IF(OR(C583="",D583="",E583="",F583="",G583=""),"EKSİK",IF(COUNTIF(MUSTERILER!$B$7:$B$156,C583)=0,"TANIMSIZ MÜŞTERİ","UYGUN")))</f>
        <v/>
      </c>
      <c r="N583" s="22" t="str">
        <f>IF(D583="","",D583&amp;"|"&amp;TEXT(COUNTIF($D$7:D583,D583),"000"))</f>
        <v/>
      </c>
      <c r="O583" s="22" t="str">
        <f>IF(G583="","",G583&amp;"|"&amp;TEXT(COUNTIF($G$7:G583,G583),"000"))</f>
        <v/>
      </c>
    </row>
    <row r="584" spans="1:15" ht="17">
      <c r="A584" s="6"/>
      <c r="B584" s="95" t="str">
        <f t="shared" si="9"/>
        <v/>
      </c>
      <c r="C584" s="95"/>
      <c r="D584" s="96"/>
      <c r="E584" s="97"/>
      <c r="F584" s="99"/>
      <c r="G584" s="95"/>
      <c r="H584" s="95"/>
      <c r="I584" s="95"/>
      <c r="J584" s="96"/>
      <c r="K584" s="95"/>
      <c r="L584" s="43" t="str">
        <f t="shared" si="10"/>
        <v/>
      </c>
      <c r="M584" s="42" t="str">
        <f>IF(AND(C584="",D584="",E584="",F584=""),"",IF(OR(C584="",D584="",E584="",F584="",G584=""),"EKSİK",IF(COUNTIF(MUSTERILER!$B$7:$B$156,C584)=0,"TANIMSIZ MÜŞTERİ","UYGUN")))</f>
        <v/>
      </c>
      <c r="N584" s="22" t="str">
        <f>IF(D584="","",D584&amp;"|"&amp;TEXT(COUNTIF($D$7:D584,D584),"000"))</f>
        <v/>
      </c>
      <c r="O584" s="22" t="str">
        <f>IF(G584="","",G584&amp;"|"&amp;TEXT(COUNTIF($G$7:G584,G584),"000"))</f>
        <v/>
      </c>
    </row>
    <row r="585" spans="1:15" ht="17">
      <c r="A585" s="6"/>
      <c r="B585" s="95" t="str">
        <f t="shared" si="9"/>
        <v/>
      </c>
      <c r="C585" s="95"/>
      <c r="D585" s="96"/>
      <c r="E585" s="97"/>
      <c r="F585" s="99"/>
      <c r="G585" s="95"/>
      <c r="H585" s="95"/>
      <c r="I585" s="95"/>
      <c r="J585" s="96"/>
      <c r="K585" s="95"/>
      <c r="L585" s="43" t="str">
        <f t="shared" si="10"/>
        <v/>
      </c>
      <c r="M585" s="42" t="str">
        <f>IF(AND(C585="",D585="",E585="",F585=""),"",IF(OR(C585="",D585="",E585="",F585="",G585=""),"EKSİK",IF(COUNTIF(MUSTERILER!$B$7:$B$156,C585)=0,"TANIMSIZ MÜŞTERİ","UYGUN")))</f>
        <v/>
      </c>
      <c r="N585" s="22" t="str">
        <f>IF(D585="","",D585&amp;"|"&amp;TEXT(COUNTIF($D$7:D585,D585),"000"))</f>
        <v/>
      </c>
      <c r="O585" s="22" t="str">
        <f>IF(G585="","",G585&amp;"|"&amp;TEXT(COUNTIF($G$7:G585,G585),"000"))</f>
        <v/>
      </c>
    </row>
    <row r="586" spans="1:15" ht="17">
      <c r="A586" s="6"/>
      <c r="B586" s="95" t="str">
        <f t="shared" si="9"/>
        <v/>
      </c>
      <c r="C586" s="95"/>
      <c r="D586" s="96"/>
      <c r="E586" s="97"/>
      <c r="F586" s="99"/>
      <c r="G586" s="95"/>
      <c r="H586" s="95"/>
      <c r="I586" s="95"/>
      <c r="J586" s="96"/>
      <c r="K586" s="95"/>
      <c r="L586" s="43" t="str">
        <f t="shared" si="10"/>
        <v/>
      </c>
      <c r="M586" s="42" t="str">
        <f>IF(AND(C586="",D586="",E586="",F586=""),"",IF(OR(C586="",D586="",E586="",F586="",G586=""),"EKSİK",IF(COUNTIF(MUSTERILER!$B$7:$B$156,C586)=0,"TANIMSIZ MÜŞTERİ","UYGUN")))</f>
        <v/>
      </c>
      <c r="N586" s="22" t="str">
        <f>IF(D586="","",D586&amp;"|"&amp;TEXT(COUNTIF($D$7:D586,D586),"000"))</f>
        <v/>
      </c>
      <c r="O586" s="22" t="str">
        <f>IF(G586="","",G586&amp;"|"&amp;TEXT(COUNTIF($G$7:G586,G586),"000"))</f>
        <v/>
      </c>
    </row>
    <row r="587" spans="1:15" ht="17">
      <c r="A587" s="6"/>
      <c r="B587" s="95" t="str">
        <f t="shared" si="9"/>
        <v/>
      </c>
      <c r="C587" s="95"/>
      <c r="D587" s="96"/>
      <c r="E587" s="97"/>
      <c r="F587" s="99"/>
      <c r="G587" s="95"/>
      <c r="H587" s="95"/>
      <c r="I587" s="95"/>
      <c r="J587" s="96"/>
      <c r="K587" s="95"/>
      <c r="L587" s="43" t="str">
        <f t="shared" si="10"/>
        <v/>
      </c>
      <c r="M587" s="42" t="str">
        <f>IF(AND(C587="",D587="",E587="",F587=""),"",IF(OR(C587="",D587="",E587="",F587="",G587=""),"EKSİK",IF(COUNTIF(MUSTERILER!$B$7:$B$156,C587)=0,"TANIMSIZ MÜŞTERİ","UYGUN")))</f>
        <v/>
      </c>
      <c r="N587" s="22" t="str">
        <f>IF(D587="","",D587&amp;"|"&amp;TEXT(COUNTIF($D$7:D587,D587),"000"))</f>
        <v/>
      </c>
      <c r="O587" s="22" t="str">
        <f>IF(G587="","",G587&amp;"|"&amp;TEXT(COUNTIF($G$7:G587,G587),"000"))</f>
        <v/>
      </c>
    </row>
    <row r="588" spans="1:15" ht="17">
      <c r="A588" s="6"/>
      <c r="B588" s="95" t="str">
        <f t="shared" si="9"/>
        <v/>
      </c>
      <c r="C588" s="95"/>
      <c r="D588" s="96"/>
      <c r="E588" s="97"/>
      <c r="F588" s="99"/>
      <c r="G588" s="95"/>
      <c r="H588" s="95"/>
      <c r="I588" s="95"/>
      <c r="J588" s="96"/>
      <c r="K588" s="95"/>
      <c r="L588" s="43" t="str">
        <f t="shared" si="10"/>
        <v/>
      </c>
      <c r="M588" s="42" t="str">
        <f>IF(AND(C588="",D588="",E588="",F588=""),"",IF(OR(C588="",D588="",E588="",F588="",G588=""),"EKSİK",IF(COUNTIF(MUSTERILER!$B$7:$B$156,C588)=0,"TANIMSIZ MÜŞTERİ","UYGUN")))</f>
        <v/>
      </c>
      <c r="N588" s="22" t="str">
        <f>IF(D588="","",D588&amp;"|"&amp;TEXT(COUNTIF($D$7:D588,D588),"000"))</f>
        <v/>
      </c>
      <c r="O588" s="22" t="str">
        <f>IF(G588="","",G588&amp;"|"&amp;TEXT(COUNTIF($G$7:G588,G588),"000"))</f>
        <v/>
      </c>
    </row>
    <row r="589" spans="1:15" ht="17">
      <c r="A589" s="6"/>
      <c r="B589" s="95" t="str">
        <f t="shared" si="9"/>
        <v/>
      </c>
      <c r="C589" s="95"/>
      <c r="D589" s="96"/>
      <c r="E589" s="97"/>
      <c r="F589" s="99"/>
      <c r="G589" s="95"/>
      <c r="H589" s="95"/>
      <c r="I589" s="95"/>
      <c r="J589" s="96"/>
      <c r="K589" s="95"/>
      <c r="L589" s="43" t="str">
        <f t="shared" si="10"/>
        <v/>
      </c>
      <c r="M589" s="42" t="str">
        <f>IF(AND(C589="",D589="",E589="",F589=""),"",IF(OR(C589="",D589="",E589="",F589="",G589=""),"EKSİK",IF(COUNTIF(MUSTERILER!$B$7:$B$156,C589)=0,"TANIMSIZ MÜŞTERİ","UYGUN")))</f>
        <v/>
      </c>
      <c r="N589" s="22" t="str">
        <f>IF(D589="","",D589&amp;"|"&amp;TEXT(COUNTIF($D$7:D589,D589),"000"))</f>
        <v/>
      </c>
      <c r="O589" s="22" t="str">
        <f>IF(G589="","",G589&amp;"|"&amp;TEXT(COUNTIF($G$7:G589,G589),"000"))</f>
        <v/>
      </c>
    </row>
    <row r="590" spans="1:15" ht="17">
      <c r="A590" s="6"/>
      <c r="B590" s="95" t="str">
        <f t="shared" si="9"/>
        <v/>
      </c>
      <c r="C590" s="95"/>
      <c r="D590" s="96"/>
      <c r="E590" s="97"/>
      <c r="F590" s="99"/>
      <c r="G590" s="95"/>
      <c r="H590" s="95"/>
      <c r="I590" s="95"/>
      <c r="J590" s="96"/>
      <c r="K590" s="95"/>
      <c r="L590" s="43" t="str">
        <f t="shared" si="10"/>
        <v/>
      </c>
      <c r="M590" s="42" t="str">
        <f>IF(AND(C590="",D590="",E590="",F590=""),"",IF(OR(C590="",D590="",E590="",F590="",G590=""),"EKSİK",IF(COUNTIF(MUSTERILER!$B$7:$B$156,C590)=0,"TANIMSIZ MÜŞTERİ","UYGUN")))</f>
        <v/>
      </c>
      <c r="N590" s="22" t="str">
        <f>IF(D590="","",D590&amp;"|"&amp;TEXT(COUNTIF($D$7:D590,D590),"000"))</f>
        <v/>
      </c>
      <c r="O590" s="22" t="str">
        <f>IF(G590="","",G590&amp;"|"&amp;TEXT(COUNTIF($G$7:G590,G590),"000"))</f>
        <v/>
      </c>
    </row>
    <row r="591" spans="1:15" ht="17">
      <c r="A591" s="6"/>
      <c r="B591" s="95" t="str">
        <f t="shared" si="9"/>
        <v/>
      </c>
      <c r="C591" s="95"/>
      <c r="D591" s="96"/>
      <c r="E591" s="97"/>
      <c r="F591" s="99"/>
      <c r="G591" s="95"/>
      <c r="H591" s="95"/>
      <c r="I591" s="95"/>
      <c r="J591" s="96"/>
      <c r="K591" s="95"/>
      <c r="L591" s="43" t="str">
        <f t="shared" si="10"/>
        <v/>
      </c>
      <c r="M591" s="42" t="str">
        <f>IF(AND(C591="",D591="",E591="",F591=""),"",IF(OR(C591="",D591="",E591="",F591="",G591=""),"EKSİK",IF(COUNTIF(MUSTERILER!$B$7:$B$156,C591)=0,"TANIMSIZ MÜŞTERİ","UYGUN")))</f>
        <v/>
      </c>
      <c r="N591" s="22" t="str">
        <f>IF(D591="","",D591&amp;"|"&amp;TEXT(COUNTIF($D$7:D591,D591),"000"))</f>
        <v/>
      </c>
      <c r="O591" s="22" t="str">
        <f>IF(G591="","",G591&amp;"|"&amp;TEXT(COUNTIF($G$7:G591,G591),"000"))</f>
        <v/>
      </c>
    </row>
    <row r="592" spans="1:15" ht="17">
      <c r="A592" s="6"/>
      <c r="B592" s="95" t="str">
        <f t="shared" si="9"/>
        <v/>
      </c>
      <c r="C592" s="95"/>
      <c r="D592" s="96"/>
      <c r="E592" s="97"/>
      <c r="F592" s="99"/>
      <c r="G592" s="95"/>
      <c r="H592" s="95"/>
      <c r="I592" s="95"/>
      <c r="J592" s="96"/>
      <c r="K592" s="95"/>
      <c r="L592" s="43" t="str">
        <f t="shared" si="10"/>
        <v/>
      </c>
      <c r="M592" s="42" t="str">
        <f>IF(AND(C592="",D592="",E592="",F592=""),"",IF(OR(C592="",D592="",E592="",F592="",G592=""),"EKSİK",IF(COUNTIF(MUSTERILER!$B$7:$B$156,C592)=0,"TANIMSIZ MÜŞTERİ","UYGUN")))</f>
        <v/>
      </c>
      <c r="N592" s="22" t="str">
        <f>IF(D592="","",D592&amp;"|"&amp;TEXT(COUNTIF($D$7:D592,D592),"000"))</f>
        <v/>
      </c>
      <c r="O592" s="22" t="str">
        <f>IF(G592="","",G592&amp;"|"&amp;TEXT(COUNTIF($G$7:G592,G592),"000"))</f>
        <v/>
      </c>
    </row>
    <row r="593" spans="1:15" ht="17">
      <c r="A593" s="6"/>
      <c r="B593" s="95" t="str">
        <f t="shared" si="9"/>
        <v/>
      </c>
      <c r="C593" s="95"/>
      <c r="D593" s="96"/>
      <c r="E593" s="97"/>
      <c r="F593" s="99"/>
      <c r="G593" s="95"/>
      <c r="H593" s="95"/>
      <c r="I593" s="95"/>
      <c r="J593" s="96"/>
      <c r="K593" s="95"/>
      <c r="L593" s="43" t="str">
        <f t="shared" si="10"/>
        <v/>
      </c>
      <c r="M593" s="42" t="str">
        <f>IF(AND(C593="",D593="",E593="",F593=""),"",IF(OR(C593="",D593="",E593="",F593="",G593=""),"EKSİK",IF(COUNTIF(MUSTERILER!$B$7:$B$156,C593)=0,"TANIMSIZ MÜŞTERİ","UYGUN")))</f>
        <v/>
      </c>
      <c r="N593" s="22" t="str">
        <f>IF(D593="","",D593&amp;"|"&amp;TEXT(COUNTIF($D$7:D593,D593),"000"))</f>
        <v/>
      </c>
      <c r="O593" s="22" t="str">
        <f>IF(G593="","",G593&amp;"|"&amp;TEXT(COUNTIF($G$7:G593,G593),"000"))</f>
        <v/>
      </c>
    </row>
    <row r="594" spans="1:15" ht="17">
      <c r="A594" s="6"/>
      <c r="B594" s="95" t="str">
        <f t="shared" si="9"/>
        <v/>
      </c>
      <c r="C594" s="95"/>
      <c r="D594" s="96"/>
      <c r="E594" s="97"/>
      <c r="F594" s="99"/>
      <c r="G594" s="95"/>
      <c r="H594" s="95"/>
      <c r="I594" s="95"/>
      <c r="J594" s="96"/>
      <c r="K594" s="95"/>
      <c r="L594" s="43" t="str">
        <f t="shared" si="10"/>
        <v/>
      </c>
      <c r="M594" s="42" t="str">
        <f>IF(AND(C594="",D594="",E594="",F594=""),"",IF(OR(C594="",D594="",E594="",F594="",G594=""),"EKSİK",IF(COUNTIF(MUSTERILER!$B$7:$B$156,C594)=0,"TANIMSIZ MÜŞTERİ","UYGUN")))</f>
        <v/>
      </c>
      <c r="N594" s="22" t="str">
        <f>IF(D594="","",D594&amp;"|"&amp;TEXT(COUNTIF($D$7:D594,D594),"000"))</f>
        <v/>
      </c>
      <c r="O594" s="22" t="str">
        <f>IF(G594="","",G594&amp;"|"&amp;TEXT(COUNTIF($G$7:G594,G594),"000"))</f>
        <v/>
      </c>
    </row>
    <row r="595" spans="1:15" ht="17">
      <c r="A595" s="6"/>
      <c r="B595" s="95" t="str">
        <f t="shared" si="9"/>
        <v/>
      </c>
      <c r="C595" s="95"/>
      <c r="D595" s="96"/>
      <c r="E595" s="97"/>
      <c r="F595" s="99"/>
      <c r="G595" s="95"/>
      <c r="H595" s="95"/>
      <c r="I595" s="95"/>
      <c r="J595" s="96"/>
      <c r="K595" s="95"/>
      <c r="L595" s="43" t="str">
        <f t="shared" si="10"/>
        <v/>
      </c>
      <c r="M595" s="42" t="str">
        <f>IF(AND(C595="",D595="",E595="",F595=""),"",IF(OR(C595="",D595="",E595="",F595="",G595=""),"EKSİK",IF(COUNTIF(MUSTERILER!$B$7:$B$156,C595)=0,"TANIMSIZ MÜŞTERİ","UYGUN")))</f>
        <v/>
      </c>
      <c r="N595" s="22" t="str">
        <f>IF(D595="","",D595&amp;"|"&amp;TEXT(COUNTIF($D$7:D595,D595),"000"))</f>
        <v/>
      </c>
      <c r="O595" s="22" t="str">
        <f>IF(G595="","",G595&amp;"|"&amp;TEXT(COUNTIF($G$7:G595,G595),"000"))</f>
        <v/>
      </c>
    </row>
    <row r="596" spans="1:15" ht="17">
      <c r="A596" s="6"/>
      <c r="B596" s="95" t="str">
        <f t="shared" si="9"/>
        <v/>
      </c>
      <c r="C596" s="95"/>
      <c r="D596" s="96"/>
      <c r="E596" s="97"/>
      <c r="F596" s="99"/>
      <c r="G596" s="95"/>
      <c r="H596" s="95"/>
      <c r="I596" s="95"/>
      <c r="J596" s="96"/>
      <c r="K596" s="95"/>
      <c r="L596" s="43" t="str">
        <f t="shared" si="10"/>
        <v/>
      </c>
      <c r="M596" s="42" t="str">
        <f>IF(AND(C596="",D596="",E596="",F596=""),"",IF(OR(C596="",D596="",E596="",F596="",G596=""),"EKSİK",IF(COUNTIF(MUSTERILER!$B$7:$B$156,C596)=0,"TANIMSIZ MÜŞTERİ","UYGUN")))</f>
        <v/>
      </c>
      <c r="N596" s="22" t="str">
        <f>IF(D596="","",D596&amp;"|"&amp;TEXT(COUNTIF($D$7:D596,D596),"000"))</f>
        <v/>
      </c>
      <c r="O596" s="22" t="str">
        <f>IF(G596="","",G596&amp;"|"&amp;TEXT(COUNTIF($G$7:G596,G596),"000"))</f>
        <v/>
      </c>
    </row>
    <row r="597" spans="1:15" ht="17">
      <c r="A597" s="6"/>
      <c r="B597" s="95" t="str">
        <f t="shared" si="9"/>
        <v/>
      </c>
      <c r="C597" s="95"/>
      <c r="D597" s="96"/>
      <c r="E597" s="97"/>
      <c r="F597" s="99"/>
      <c r="G597" s="95"/>
      <c r="H597" s="95"/>
      <c r="I597" s="95"/>
      <c r="J597" s="96"/>
      <c r="K597" s="95"/>
      <c r="L597" s="43" t="str">
        <f t="shared" si="10"/>
        <v/>
      </c>
      <c r="M597" s="42" t="str">
        <f>IF(AND(C597="",D597="",E597="",F597=""),"",IF(OR(C597="",D597="",E597="",F597="",G597=""),"EKSİK",IF(COUNTIF(MUSTERILER!$B$7:$B$156,C597)=0,"TANIMSIZ MÜŞTERİ","UYGUN")))</f>
        <v/>
      </c>
      <c r="N597" s="22" t="str">
        <f>IF(D597="","",D597&amp;"|"&amp;TEXT(COUNTIF($D$7:D597,D597),"000"))</f>
        <v/>
      </c>
      <c r="O597" s="22" t="str">
        <f>IF(G597="","",G597&amp;"|"&amp;TEXT(COUNTIF($G$7:G597,G597),"000"))</f>
        <v/>
      </c>
    </row>
    <row r="598" spans="1:15" ht="17">
      <c r="A598" s="6"/>
      <c r="B598" s="95" t="str">
        <f t="shared" si="9"/>
        <v/>
      </c>
      <c r="C598" s="95"/>
      <c r="D598" s="96"/>
      <c r="E598" s="97"/>
      <c r="F598" s="99"/>
      <c r="G598" s="95"/>
      <c r="H598" s="95"/>
      <c r="I598" s="95"/>
      <c r="J598" s="96"/>
      <c r="K598" s="95"/>
      <c r="L598" s="43" t="str">
        <f t="shared" si="10"/>
        <v/>
      </c>
      <c r="M598" s="42" t="str">
        <f>IF(AND(C598="",D598="",E598="",F598=""),"",IF(OR(C598="",D598="",E598="",F598="",G598=""),"EKSİK",IF(COUNTIF(MUSTERILER!$B$7:$B$156,C598)=0,"TANIMSIZ MÜŞTERİ","UYGUN")))</f>
        <v/>
      </c>
      <c r="N598" s="22" t="str">
        <f>IF(D598="","",D598&amp;"|"&amp;TEXT(COUNTIF($D$7:D598,D598),"000"))</f>
        <v/>
      </c>
      <c r="O598" s="22" t="str">
        <f>IF(G598="","",G598&amp;"|"&amp;TEXT(COUNTIF($G$7:G598,G598),"000"))</f>
        <v/>
      </c>
    </row>
    <row r="599" spans="1:15" ht="17">
      <c r="A599" s="6"/>
      <c r="B599" s="95" t="str">
        <f t="shared" si="9"/>
        <v/>
      </c>
      <c r="C599" s="95"/>
      <c r="D599" s="96"/>
      <c r="E599" s="97"/>
      <c r="F599" s="99"/>
      <c r="G599" s="95"/>
      <c r="H599" s="95"/>
      <c r="I599" s="95"/>
      <c r="J599" s="96"/>
      <c r="K599" s="95"/>
      <c r="L599" s="43" t="str">
        <f t="shared" si="10"/>
        <v/>
      </c>
      <c r="M599" s="42" t="str">
        <f>IF(AND(C599="",D599="",E599="",F599=""),"",IF(OR(C599="",D599="",E599="",F599="",G599=""),"EKSİK",IF(COUNTIF(MUSTERILER!$B$7:$B$156,C599)=0,"TANIMSIZ MÜŞTERİ","UYGUN")))</f>
        <v/>
      </c>
      <c r="N599" s="22" t="str">
        <f>IF(D599="","",D599&amp;"|"&amp;TEXT(COUNTIF($D$7:D599,D599),"000"))</f>
        <v/>
      </c>
      <c r="O599" s="22" t="str">
        <f>IF(G599="","",G599&amp;"|"&amp;TEXT(COUNTIF($G$7:G599,G599),"000"))</f>
        <v/>
      </c>
    </row>
    <row r="600" spans="1:15" ht="17">
      <c r="A600" s="6"/>
      <c r="B600" s="95" t="str">
        <f t="shared" si="9"/>
        <v/>
      </c>
      <c r="C600" s="95"/>
      <c r="D600" s="96"/>
      <c r="E600" s="97"/>
      <c r="F600" s="99"/>
      <c r="G600" s="95"/>
      <c r="H600" s="95"/>
      <c r="I600" s="95"/>
      <c r="J600" s="96"/>
      <c r="K600" s="95"/>
      <c r="L600" s="43" t="str">
        <f t="shared" si="10"/>
        <v/>
      </c>
      <c r="M600" s="42" t="str">
        <f>IF(AND(C600="",D600="",E600="",F600=""),"",IF(OR(C600="",D600="",E600="",F600="",G600=""),"EKSİK",IF(COUNTIF(MUSTERILER!$B$7:$B$156,C600)=0,"TANIMSIZ MÜŞTERİ","UYGUN")))</f>
        <v/>
      </c>
      <c r="N600" s="22" t="str">
        <f>IF(D600="","",D600&amp;"|"&amp;TEXT(COUNTIF($D$7:D600,D600),"000"))</f>
        <v/>
      </c>
      <c r="O600" s="22" t="str">
        <f>IF(G600="","",G600&amp;"|"&amp;TEXT(COUNTIF($G$7:G600,G600),"000"))</f>
        <v/>
      </c>
    </row>
    <row r="601" spans="1:15" ht="17">
      <c r="A601" s="6"/>
      <c r="B601" s="95" t="str">
        <f t="shared" si="9"/>
        <v/>
      </c>
      <c r="C601" s="95"/>
      <c r="D601" s="96"/>
      <c r="E601" s="97"/>
      <c r="F601" s="99"/>
      <c r="G601" s="95"/>
      <c r="H601" s="95"/>
      <c r="I601" s="95"/>
      <c r="J601" s="96"/>
      <c r="K601" s="95"/>
      <c r="L601" s="43" t="str">
        <f t="shared" si="10"/>
        <v/>
      </c>
      <c r="M601" s="42" t="str">
        <f>IF(AND(C601="",D601="",E601="",F601=""),"",IF(OR(C601="",D601="",E601="",F601="",G601=""),"EKSİK",IF(COUNTIF(MUSTERILER!$B$7:$B$156,C601)=0,"TANIMSIZ MÜŞTERİ","UYGUN")))</f>
        <v/>
      </c>
      <c r="N601" s="22" t="str">
        <f>IF(D601="","",D601&amp;"|"&amp;TEXT(COUNTIF($D$7:D601,D601),"000"))</f>
        <v/>
      </c>
      <c r="O601" s="22" t="str">
        <f>IF(G601="","",G601&amp;"|"&amp;TEXT(COUNTIF($G$7:G601,G601),"000"))</f>
        <v/>
      </c>
    </row>
    <row r="602" spans="1:15" ht="17">
      <c r="A602" s="6"/>
      <c r="B602" s="95" t="str">
        <f t="shared" si="9"/>
        <v/>
      </c>
      <c r="C602" s="95"/>
      <c r="D602" s="96"/>
      <c r="E602" s="97"/>
      <c r="F602" s="99"/>
      <c r="G602" s="95"/>
      <c r="H602" s="95"/>
      <c r="I602" s="95"/>
      <c r="J602" s="96"/>
      <c r="K602" s="95"/>
      <c r="L602" s="43" t="str">
        <f t="shared" si="10"/>
        <v/>
      </c>
      <c r="M602" s="42" t="str">
        <f>IF(AND(C602="",D602="",E602="",F602=""),"",IF(OR(C602="",D602="",E602="",F602="",G602=""),"EKSİK",IF(COUNTIF(MUSTERILER!$B$7:$B$156,C602)=0,"TANIMSIZ MÜŞTERİ","UYGUN")))</f>
        <v/>
      </c>
      <c r="N602" s="22" t="str">
        <f>IF(D602="","",D602&amp;"|"&amp;TEXT(COUNTIF($D$7:D602,D602),"000"))</f>
        <v/>
      </c>
      <c r="O602" s="22" t="str">
        <f>IF(G602="","",G602&amp;"|"&amp;TEXT(COUNTIF($G$7:G602,G602),"000"))</f>
        <v/>
      </c>
    </row>
    <row r="603" spans="1:15" ht="17">
      <c r="A603" s="6"/>
      <c r="B603" s="95" t="str">
        <f t="shared" si="9"/>
        <v/>
      </c>
      <c r="C603" s="95"/>
      <c r="D603" s="96"/>
      <c r="E603" s="97"/>
      <c r="F603" s="99"/>
      <c r="G603" s="95"/>
      <c r="H603" s="95"/>
      <c r="I603" s="95"/>
      <c r="J603" s="96"/>
      <c r="K603" s="95"/>
      <c r="L603" s="43" t="str">
        <f t="shared" si="10"/>
        <v/>
      </c>
      <c r="M603" s="42" t="str">
        <f>IF(AND(C603="",D603="",E603="",F603=""),"",IF(OR(C603="",D603="",E603="",F603="",G603=""),"EKSİK",IF(COUNTIF(MUSTERILER!$B$7:$B$156,C603)=0,"TANIMSIZ MÜŞTERİ","UYGUN")))</f>
        <v/>
      </c>
      <c r="N603" s="22" t="str">
        <f>IF(D603="","",D603&amp;"|"&amp;TEXT(COUNTIF($D$7:D603,D603),"000"))</f>
        <v/>
      </c>
      <c r="O603" s="22" t="str">
        <f>IF(G603="","",G603&amp;"|"&amp;TEXT(COUNTIF($G$7:G603,G603),"000"))</f>
        <v/>
      </c>
    </row>
    <row r="604" spans="1:15" ht="17">
      <c r="A604" s="6"/>
      <c r="B604" s="95" t="str">
        <f t="shared" si="9"/>
        <v/>
      </c>
      <c r="C604" s="95"/>
      <c r="D604" s="96"/>
      <c r="E604" s="97"/>
      <c r="F604" s="99"/>
      <c r="G604" s="95"/>
      <c r="H604" s="95"/>
      <c r="I604" s="95"/>
      <c r="J604" s="96"/>
      <c r="K604" s="95"/>
      <c r="L604" s="43" t="str">
        <f t="shared" si="10"/>
        <v/>
      </c>
      <c r="M604" s="42" t="str">
        <f>IF(AND(C604="",D604="",E604="",F604=""),"",IF(OR(C604="",D604="",E604="",F604="",G604=""),"EKSİK",IF(COUNTIF(MUSTERILER!$B$7:$B$156,C604)=0,"TANIMSIZ MÜŞTERİ","UYGUN")))</f>
        <v/>
      </c>
      <c r="N604" s="22" t="str">
        <f>IF(D604="","",D604&amp;"|"&amp;TEXT(COUNTIF($D$7:D604,D604),"000"))</f>
        <v/>
      </c>
      <c r="O604" s="22" t="str">
        <f>IF(G604="","",G604&amp;"|"&amp;TEXT(COUNTIF($G$7:G604,G604),"000"))</f>
        <v/>
      </c>
    </row>
    <row r="605" spans="1:15" ht="17">
      <c r="A605" s="6"/>
      <c r="B605" s="95" t="str">
        <f t="shared" si="9"/>
        <v/>
      </c>
      <c r="C605" s="95"/>
      <c r="D605" s="96"/>
      <c r="E605" s="97"/>
      <c r="F605" s="99"/>
      <c r="G605" s="95"/>
      <c r="H605" s="95"/>
      <c r="I605" s="95"/>
      <c r="J605" s="96"/>
      <c r="K605" s="95"/>
      <c r="L605" s="43" t="str">
        <f t="shared" si="10"/>
        <v/>
      </c>
      <c r="M605" s="42" t="str">
        <f>IF(AND(C605="",D605="",E605="",F605=""),"",IF(OR(C605="",D605="",E605="",F605="",G605=""),"EKSİK",IF(COUNTIF(MUSTERILER!$B$7:$B$156,C605)=0,"TANIMSIZ MÜŞTERİ","UYGUN")))</f>
        <v/>
      </c>
      <c r="N605" s="22" t="str">
        <f>IF(D605="","",D605&amp;"|"&amp;TEXT(COUNTIF($D$7:D605,D605),"000"))</f>
        <v/>
      </c>
      <c r="O605" s="22" t="str">
        <f>IF(G605="","",G605&amp;"|"&amp;TEXT(COUNTIF($G$7:G605,G605),"000"))</f>
        <v/>
      </c>
    </row>
    <row r="606" spans="1:15" ht="17">
      <c r="A606" s="6"/>
      <c r="B606" s="95" t="str">
        <f t="shared" si="9"/>
        <v/>
      </c>
      <c r="C606" s="95"/>
      <c r="D606" s="96"/>
      <c r="E606" s="97"/>
      <c r="F606" s="99"/>
      <c r="G606" s="95"/>
      <c r="H606" s="95"/>
      <c r="I606" s="95"/>
      <c r="J606" s="96"/>
      <c r="K606" s="95"/>
      <c r="L606" s="43" t="str">
        <f t="shared" si="10"/>
        <v/>
      </c>
      <c r="M606" s="42" t="str">
        <f>IF(AND(C606="",D606="",E606="",F606=""),"",IF(OR(C606="",D606="",E606="",F606="",G606=""),"EKSİK",IF(COUNTIF(MUSTERILER!$B$7:$B$156,C606)=0,"TANIMSIZ MÜŞTERİ","UYGUN")))</f>
        <v/>
      </c>
      <c r="N606" s="22" t="str">
        <f>IF(D606="","",D606&amp;"|"&amp;TEXT(COUNTIF($D$7:D606,D606),"000"))</f>
        <v/>
      </c>
      <c r="O606" s="22" t="str">
        <f>IF(G606="","",G606&amp;"|"&amp;TEXT(COUNTIF($G$7:G606,G606),"000"))</f>
        <v/>
      </c>
    </row>
    <row r="607" spans="1:15" ht="17">
      <c r="A607" s="6"/>
      <c r="B607" s="95" t="str">
        <f t="shared" si="9"/>
        <v/>
      </c>
      <c r="C607" s="95"/>
      <c r="D607" s="96"/>
      <c r="E607" s="97"/>
      <c r="F607" s="99"/>
      <c r="G607" s="95"/>
      <c r="H607" s="95"/>
      <c r="I607" s="95"/>
      <c r="J607" s="96"/>
      <c r="K607" s="95"/>
      <c r="L607" s="43" t="str">
        <f t="shared" si="10"/>
        <v/>
      </c>
      <c r="M607" s="42" t="str">
        <f>IF(AND(C607="",D607="",E607="",F607=""),"",IF(OR(C607="",D607="",E607="",F607="",G607=""),"EKSİK",IF(COUNTIF(MUSTERILER!$B$7:$B$156,C607)=0,"TANIMSIZ MÜŞTERİ","UYGUN")))</f>
        <v/>
      </c>
      <c r="N607" s="22" t="str">
        <f>IF(D607="","",D607&amp;"|"&amp;TEXT(COUNTIF($D$7:D607,D607),"000"))</f>
        <v/>
      </c>
      <c r="O607" s="22" t="str">
        <f>IF(G607="","",G607&amp;"|"&amp;TEXT(COUNTIF($G$7:G607,G607),"000"))</f>
        <v/>
      </c>
    </row>
    <row r="608" spans="1:15" ht="17">
      <c r="A608" s="6"/>
      <c r="B608" s="95" t="str">
        <f t="shared" si="9"/>
        <v/>
      </c>
      <c r="C608" s="95"/>
      <c r="D608" s="96"/>
      <c r="E608" s="97"/>
      <c r="F608" s="99"/>
      <c r="G608" s="95"/>
      <c r="H608" s="95"/>
      <c r="I608" s="95"/>
      <c r="J608" s="96"/>
      <c r="K608" s="95"/>
      <c r="L608" s="43" t="str">
        <f t="shared" si="10"/>
        <v/>
      </c>
      <c r="M608" s="42" t="str">
        <f>IF(AND(C608="",D608="",E608="",F608=""),"",IF(OR(C608="",D608="",E608="",F608="",G608=""),"EKSİK",IF(COUNTIF(MUSTERILER!$B$7:$B$156,C608)=0,"TANIMSIZ MÜŞTERİ","UYGUN")))</f>
        <v/>
      </c>
      <c r="N608" s="22" t="str">
        <f>IF(D608="","",D608&amp;"|"&amp;TEXT(COUNTIF($D$7:D608,D608),"000"))</f>
        <v/>
      </c>
      <c r="O608" s="22" t="str">
        <f>IF(G608="","",G608&amp;"|"&amp;TEXT(COUNTIF($G$7:G608,G608),"000"))</f>
        <v/>
      </c>
    </row>
    <row r="609" spans="1:15" ht="17">
      <c r="A609" s="6"/>
      <c r="B609" s="95" t="str">
        <f t="shared" si="9"/>
        <v/>
      </c>
      <c r="C609" s="95"/>
      <c r="D609" s="96"/>
      <c r="E609" s="97"/>
      <c r="F609" s="99"/>
      <c r="G609" s="95"/>
      <c r="H609" s="95"/>
      <c r="I609" s="95"/>
      <c r="J609" s="96"/>
      <c r="K609" s="95"/>
      <c r="L609" s="43" t="str">
        <f t="shared" si="10"/>
        <v/>
      </c>
      <c r="M609" s="42" t="str">
        <f>IF(AND(C609="",D609="",E609="",F609=""),"",IF(OR(C609="",D609="",E609="",F609="",G609=""),"EKSİK",IF(COUNTIF(MUSTERILER!$B$7:$B$156,C609)=0,"TANIMSIZ MÜŞTERİ","UYGUN")))</f>
        <v/>
      </c>
      <c r="N609" s="22" t="str">
        <f>IF(D609="","",D609&amp;"|"&amp;TEXT(COUNTIF($D$7:D609,D609),"000"))</f>
        <v/>
      </c>
      <c r="O609" s="22" t="str">
        <f>IF(G609="","",G609&amp;"|"&amp;TEXT(COUNTIF($G$7:G609,G609),"000"))</f>
        <v/>
      </c>
    </row>
    <row r="610" spans="1:15" ht="17">
      <c r="A610" s="6"/>
      <c r="B610" s="95" t="str">
        <f t="shared" si="9"/>
        <v/>
      </c>
      <c r="C610" s="95"/>
      <c r="D610" s="96"/>
      <c r="E610" s="97"/>
      <c r="F610" s="99"/>
      <c r="G610" s="95"/>
      <c r="H610" s="95"/>
      <c r="I610" s="95"/>
      <c r="J610" s="96"/>
      <c r="K610" s="95"/>
      <c r="L610" s="43" t="str">
        <f t="shared" si="10"/>
        <v/>
      </c>
      <c r="M610" s="42" t="str">
        <f>IF(AND(C610="",D610="",E610="",F610=""),"",IF(OR(C610="",D610="",E610="",F610="",G610=""),"EKSİK",IF(COUNTIF(MUSTERILER!$B$7:$B$156,C610)=0,"TANIMSIZ MÜŞTERİ","UYGUN")))</f>
        <v/>
      </c>
      <c r="N610" s="22" t="str">
        <f>IF(D610="","",D610&amp;"|"&amp;TEXT(COUNTIF($D$7:D610,D610),"000"))</f>
        <v/>
      </c>
      <c r="O610" s="22" t="str">
        <f>IF(G610="","",G610&amp;"|"&amp;TEXT(COUNTIF($G$7:G610,G610),"000"))</f>
        <v/>
      </c>
    </row>
    <row r="611" spans="1:15" ht="17">
      <c r="A611" s="6"/>
      <c r="B611" s="95" t="str">
        <f t="shared" si="9"/>
        <v/>
      </c>
      <c r="C611" s="95"/>
      <c r="D611" s="96"/>
      <c r="E611" s="97"/>
      <c r="F611" s="99"/>
      <c r="G611" s="95"/>
      <c r="H611" s="95"/>
      <c r="I611" s="95"/>
      <c r="J611" s="96"/>
      <c r="K611" s="95"/>
      <c r="L611" s="43" t="str">
        <f t="shared" si="10"/>
        <v/>
      </c>
      <c r="M611" s="42" t="str">
        <f>IF(AND(C611="",D611="",E611="",F611=""),"",IF(OR(C611="",D611="",E611="",F611="",G611=""),"EKSİK",IF(COUNTIF(MUSTERILER!$B$7:$B$156,C611)=0,"TANIMSIZ MÜŞTERİ","UYGUN")))</f>
        <v/>
      </c>
      <c r="N611" s="22" t="str">
        <f>IF(D611="","",D611&amp;"|"&amp;TEXT(COUNTIF($D$7:D611,D611),"000"))</f>
        <v/>
      </c>
      <c r="O611" s="22" t="str">
        <f>IF(G611="","",G611&amp;"|"&amp;TEXT(COUNTIF($G$7:G611,G611),"000"))</f>
        <v/>
      </c>
    </row>
    <row r="612" spans="1:15" ht="17">
      <c r="A612" s="6"/>
      <c r="B612" s="95" t="str">
        <f t="shared" si="9"/>
        <v/>
      </c>
      <c r="C612" s="95"/>
      <c r="D612" s="96"/>
      <c r="E612" s="97"/>
      <c r="F612" s="99"/>
      <c r="G612" s="95"/>
      <c r="H612" s="95"/>
      <c r="I612" s="95"/>
      <c r="J612" s="96"/>
      <c r="K612" s="95"/>
      <c r="L612" s="43" t="str">
        <f t="shared" si="10"/>
        <v/>
      </c>
      <c r="M612" s="42" t="str">
        <f>IF(AND(C612="",D612="",E612="",F612=""),"",IF(OR(C612="",D612="",E612="",F612="",G612=""),"EKSİK",IF(COUNTIF(MUSTERILER!$B$7:$B$156,C612)=0,"TANIMSIZ MÜŞTERİ","UYGUN")))</f>
        <v/>
      </c>
      <c r="N612" s="22" t="str">
        <f>IF(D612="","",D612&amp;"|"&amp;TEXT(COUNTIF($D$7:D612,D612),"000"))</f>
        <v/>
      </c>
      <c r="O612" s="22" t="str">
        <f>IF(G612="","",G612&amp;"|"&amp;TEXT(COUNTIF($G$7:G612,G612),"000"))</f>
        <v/>
      </c>
    </row>
    <row r="613" spans="1:15" ht="17">
      <c r="A613" s="6"/>
      <c r="B613" s="95" t="str">
        <f t="shared" si="9"/>
        <v/>
      </c>
      <c r="C613" s="95"/>
      <c r="D613" s="96"/>
      <c r="E613" s="97"/>
      <c r="F613" s="99"/>
      <c r="G613" s="95"/>
      <c r="H613" s="95"/>
      <c r="I613" s="95"/>
      <c r="J613" s="96"/>
      <c r="K613" s="95"/>
      <c r="L613" s="43" t="str">
        <f t="shared" si="10"/>
        <v/>
      </c>
      <c r="M613" s="42" t="str">
        <f>IF(AND(C613="",D613="",E613="",F613=""),"",IF(OR(C613="",D613="",E613="",F613="",G613=""),"EKSİK",IF(COUNTIF(MUSTERILER!$B$7:$B$156,C613)=0,"TANIMSIZ MÜŞTERİ","UYGUN")))</f>
        <v/>
      </c>
      <c r="N613" s="22" t="str">
        <f>IF(D613="","",D613&amp;"|"&amp;TEXT(COUNTIF($D$7:D613,D613),"000"))</f>
        <v/>
      </c>
      <c r="O613" s="22" t="str">
        <f>IF(G613="","",G613&amp;"|"&amp;TEXT(COUNTIF($G$7:G613,G613),"000"))</f>
        <v/>
      </c>
    </row>
    <row r="614" spans="1:15" ht="17">
      <c r="A614" s="6"/>
      <c r="B614" s="95" t="str">
        <f t="shared" si="9"/>
        <v/>
      </c>
      <c r="C614" s="95"/>
      <c r="D614" s="96"/>
      <c r="E614" s="97"/>
      <c r="F614" s="99"/>
      <c r="G614" s="95"/>
      <c r="H614" s="95"/>
      <c r="I614" s="95"/>
      <c r="J614" s="96"/>
      <c r="K614" s="95"/>
      <c r="L614" s="43" t="str">
        <f t="shared" si="10"/>
        <v/>
      </c>
      <c r="M614" s="42" t="str">
        <f>IF(AND(C614="",D614="",E614="",F614=""),"",IF(OR(C614="",D614="",E614="",F614="",G614=""),"EKSİK",IF(COUNTIF(MUSTERILER!$B$7:$B$156,C614)=0,"TANIMSIZ MÜŞTERİ","UYGUN")))</f>
        <v/>
      </c>
      <c r="N614" s="22" t="str">
        <f>IF(D614="","",D614&amp;"|"&amp;TEXT(COUNTIF($D$7:D614,D614),"000"))</f>
        <v/>
      </c>
      <c r="O614" s="22" t="str">
        <f>IF(G614="","",G614&amp;"|"&amp;TEXT(COUNTIF($G$7:G614,G614),"000"))</f>
        <v/>
      </c>
    </row>
    <row r="615" spans="1:15" ht="17">
      <c r="A615" s="6"/>
      <c r="B615" s="95" t="str">
        <f t="shared" si="9"/>
        <v/>
      </c>
      <c r="C615" s="95"/>
      <c r="D615" s="96"/>
      <c r="E615" s="97"/>
      <c r="F615" s="99"/>
      <c r="G615" s="95"/>
      <c r="H615" s="95"/>
      <c r="I615" s="95"/>
      <c r="J615" s="96"/>
      <c r="K615" s="95"/>
      <c r="L615" s="43" t="str">
        <f t="shared" si="10"/>
        <v/>
      </c>
      <c r="M615" s="42" t="str">
        <f>IF(AND(C615="",D615="",E615="",F615=""),"",IF(OR(C615="",D615="",E615="",F615="",G615=""),"EKSİK",IF(COUNTIF(MUSTERILER!$B$7:$B$156,C615)=0,"TANIMSIZ MÜŞTERİ","UYGUN")))</f>
        <v/>
      </c>
      <c r="N615" s="22" t="str">
        <f>IF(D615="","",D615&amp;"|"&amp;TEXT(COUNTIF($D$7:D615,D615),"000"))</f>
        <v/>
      </c>
      <c r="O615" s="22" t="str">
        <f>IF(G615="","",G615&amp;"|"&amp;TEXT(COUNTIF($G$7:G615,G615),"000"))</f>
        <v/>
      </c>
    </row>
    <row r="616" spans="1:15" ht="17">
      <c r="A616" s="6"/>
      <c r="B616" s="95" t="str">
        <f t="shared" si="9"/>
        <v/>
      </c>
      <c r="C616" s="95"/>
      <c r="D616" s="96"/>
      <c r="E616" s="97"/>
      <c r="F616" s="99"/>
      <c r="G616" s="95"/>
      <c r="H616" s="95"/>
      <c r="I616" s="95"/>
      <c r="J616" s="96"/>
      <c r="K616" s="95"/>
      <c r="L616" s="43" t="str">
        <f t="shared" si="10"/>
        <v/>
      </c>
      <c r="M616" s="42" t="str">
        <f>IF(AND(C616="",D616="",E616="",F616=""),"",IF(OR(C616="",D616="",E616="",F616="",G616=""),"EKSİK",IF(COUNTIF(MUSTERILER!$B$7:$B$156,C616)=0,"TANIMSIZ MÜŞTERİ","UYGUN")))</f>
        <v/>
      </c>
      <c r="N616" s="22" t="str">
        <f>IF(D616="","",D616&amp;"|"&amp;TEXT(COUNTIF($D$7:D616,D616),"000"))</f>
        <v/>
      </c>
      <c r="O616" s="22" t="str">
        <f>IF(G616="","",G616&amp;"|"&amp;TEXT(COUNTIF($G$7:G616,G616),"000"))</f>
        <v/>
      </c>
    </row>
    <row r="617" spans="1:15" ht="17">
      <c r="A617" s="6"/>
      <c r="B617" s="95" t="str">
        <f t="shared" si="9"/>
        <v/>
      </c>
      <c r="C617" s="95"/>
      <c r="D617" s="96"/>
      <c r="E617" s="97"/>
      <c r="F617" s="99"/>
      <c r="G617" s="95"/>
      <c r="H617" s="95"/>
      <c r="I617" s="95"/>
      <c r="J617" s="96"/>
      <c r="K617" s="95"/>
      <c r="L617" s="43" t="str">
        <f t="shared" si="10"/>
        <v/>
      </c>
      <c r="M617" s="42" t="str">
        <f>IF(AND(C617="",D617="",E617="",F617=""),"",IF(OR(C617="",D617="",E617="",F617="",G617=""),"EKSİK",IF(COUNTIF(MUSTERILER!$B$7:$B$156,C617)=0,"TANIMSIZ MÜŞTERİ","UYGUN")))</f>
        <v/>
      </c>
      <c r="N617" s="22" t="str">
        <f>IF(D617="","",D617&amp;"|"&amp;TEXT(COUNTIF($D$7:D617,D617),"000"))</f>
        <v/>
      </c>
      <c r="O617" s="22" t="str">
        <f>IF(G617="","",G617&amp;"|"&amp;TEXT(COUNTIF($G$7:G617,G617),"000"))</f>
        <v/>
      </c>
    </row>
    <row r="618" spans="1:15" ht="17">
      <c r="A618" s="6"/>
      <c r="B618" s="95" t="str">
        <f t="shared" si="9"/>
        <v/>
      </c>
      <c r="C618" s="95"/>
      <c r="D618" s="96"/>
      <c r="E618" s="97"/>
      <c r="F618" s="99"/>
      <c r="G618" s="95"/>
      <c r="H618" s="95"/>
      <c r="I618" s="95"/>
      <c r="J618" s="96"/>
      <c r="K618" s="95"/>
      <c r="L618" s="43" t="str">
        <f t="shared" si="10"/>
        <v/>
      </c>
      <c r="M618" s="42" t="str">
        <f>IF(AND(C618="",D618="",E618="",F618=""),"",IF(OR(C618="",D618="",E618="",F618="",G618=""),"EKSİK",IF(COUNTIF(MUSTERILER!$B$7:$B$156,C618)=0,"TANIMSIZ MÜŞTERİ","UYGUN")))</f>
        <v/>
      </c>
      <c r="N618" s="22" t="str">
        <f>IF(D618="","",D618&amp;"|"&amp;TEXT(COUNTIF($D$7:D618,D618),"000"))</f>
        <v/>
      </c>
      <c r="O618" s="22" t="str">
        <f>IF(G618="","",G618&amp;"|"&amp;TEXT(COUNTIF($G$7:G618,G618),"000"))</f>
        <v/>
      </c>
    </row>
    <row r="619" spans="1:15" ht="17">
      <c r="A619" s="6"/>
      <c r="B619" s="95" t="str">
        <f t="shared" si="9"/>
        <v/>
      </c>
      <c r="C619" s="95"/>
      <c r="D619" s="96"/>
      <c r="E619" s="97"/>
      <c r="F619" s="99"/>
      <c r="G619" s="95"/>
      <c r="H619" s="95"/>
      <c r="I619" s="95"/>
      <c r="J619" s="96"/>
      <c r="K619" s="95"/>
      <c r="L619" s="43" t="str">
        <f t="shared" si="10"/>
        <v/>
      </c>
      <c r="M619" s="42" t="str">
        <f>IF(AND(C619="",D619="",E619="",F619=""),"",IF(OR(C619="",D619="",E619="",F619="",G619=""),"EKSİK",IF(COUNTIF(MUSTERILER!$B$7:$B$156,C619)=0,"TANIMSIZ MÜŞTERİ","UYGUN")))</f>
        <v/>
      </c>
      <c r="N619" s="22" t="str">
        <f>IF(D619="","",D619&amp;"|"&amp;TEXT(COUNTIF($D$7:D619,D619),"000"))</f>
        <v/>
      </c>
      <c r="O619" s="22" t="str">
        <f>IF(G619="","",G619&amp;"|"&amp;TEXT(COUNTIF($G$7:G619,G619),"000"))</f>
        <v/>
      </c>
    </row>
    <row r="620" spans="1:15" ht="17">
      <c r="A620" s="6"/>
      <c r="B620" s="95" t="str">
        <f t="shared" si="9"/>
        <v/>
      </c>
      <c r="C620" s="95"/>
      <c r="D620" s="96"/>
      <c r="E620" s="97"/>
      <c r="F620" s="99"/>
      <c r="G620" s="95"/>
      <c r="H620" s="95"/>
      <c r="I620" s="95"/>
      <c r="J620" s="96"/>
      <c r="K620" s="95"/>
      <c r="L620" s="43" t="str">
        <f t="shared" si="10"/>
        <v/>
      </c>
      <c r="M620" s="42" t="str">
        <f>IF(AND(C620="",D620="",E620="",F620=""),"",IF(OR(C620="",D620="",E620="",F620="",G620=""),"EKSİK",IF(COUNTIF(MUSTERILER!$B$7:$B$156,C620)=0,"TANIMSIZ MÜŞTERİ","UYGUN")))</f>
        <v/>
      </c>
      <c r="N620" s="22" t="str">
        <f>IF(D620="","",D620&amp;"|"&amp;TEXT(COUNTIF($D$7:D620,D620),"000"))</f>
        <v/>
      </c>
      <c r="O620" s="22" t="str">
        <f>IF(G620="","",G620&amp;"|"&amp;TEXT(COUNTIF($G$7:G620,G620),"000"))</f>
        <v/>
      </c>
    </row>
    <row r="621" spans="1:15" ht="17">
      <c r="A621" s="6"/>
      <c r="B621" s="95" t="str">
        <f t="shared" si="9"/>
        <v/>
      </c>
      <c r="C621" s="95"/>
      <c r="D621" s="96"/>
      <c r="E621" s="97"/>
      <c r="F621" s="99"/>
      <c r="G621" s="95"/>
      <c r="H621" s="95"/>
      <c r="I621" s="95"/>
      <c r="J621" s="96"/>
      <c r="K621" s="95"/>
      <c r="L621" s="43" t="str">
        <f t="shared" si="10"/>
        <v/>
      </c>
      <c r="M621" s="42" t="str">
        <f>IF(AND(C621="",D621="",E621="",F621=""),"",IF(OR(C621="",D621="",E621="",F621="",G621=""),"EKSİK",IF(COUNTIF(MUSTERILER!$B$7:$B$156,C621)=0,"TANIMSIZ MÜŞTERİ","UYGUN")))</f>
        <v/>
      </c>
      <c r="N621" s="22" t="str">
        <f>IF(D621="","",D621&amp;"|"&amp;TEXT(COUNTIF($D$7:D621,D621),"000"))</f>
        <v/>
      </c>
      <c r="O621" s="22" t="str">
        <f>IF(G621="","",G621&amp;"|"&amp;TEXT(COUNTIF($G$7:G621,G621),"000"))</f>
        <v/>
      </c>
    </row>
    <row r="622" spans="1:15" ht="17">
      <c r="A622" s="6"/>
      <c r="B622" s="95" t="str">
        <f t="shared" ref="B622:B685" si="11">IF(E622="","","T"&amp;TEXT(ROW()-6,"00000"))</f>
        <v/>
      </c>
      <c r="C622" s="95"/>
      <c r="D622" s="96"/>
      <c r="E622" s="97"/>
      <c r="F622" s="99"/>
      <c r="G622" s="95"/>
      <c r="H622" s="95"/>
      <c r="I622" s="95"/>
      <c r="J622" s="96"/>
      <c r="K622" s="95"/>
      <c r="L622" s="43" t="str">
        <f t="shared" si="10"/>
        <v/>
      </c>
      <c r="M622" s="42" t="str">
        <f>IF(AND(C622="",D622="",E622="",F622=""),"",IF(OR(C622="",D622="",E622="",F622="",G622=""),"EKSİK",IF(COUNTIF(MUSTERILER!$B$7:$B$156,C622)=0,"TANIMSIZ MÜŞTERİ","UYGUN")))</f>
        <v/>
      </c>
      <c r="N622" s="22" t="str">
        <f>IF(D622="","",D622&amp;"|"&amp;TEXT(COUNTIF($D$7:D622,D622),"000"))</f>
        <v/>
      </c>
      <c r="O622" s="22" t="str">
        <f>IF(G622="","",G622&amp;"|"&amp;TEXT(COUNTIF($G$7:G622,G622),"000"))</f>
        <v/>
      </c>
    </row>
    <row r="623" spans="1:15" ht="17">
      <c r="A623" s="6"/>
      <c r="B623" s="95" t="str">
        <f t="shared" si="11"/>
        <v/>
      </c>
      <c r="C623" s="95"/>
      <c r="D623" s="96"/>
      <c r="E623" s="97"/>
      <c r="F623" s="99"/>
      <c r="G623" s="95"/>
      <c r="H623" s="95"/>
      <c r="I623" s="95"/>
      <c r="J623" s="96"/>
      <c r="K623" s="95"/>
      <c r="L623" s="43" t="str">
        <f t="shared" si="10"/>
        <v/>
      </c>
      <c r="M623" s="42" t="str">
        <f>IF(AND(C623="",D623="",E623="",F623=""),"",IF(OR(C623="",D623="",E623="",F623="",G623=""),"EKSİK",IF(COUNTIF(MUSTERILER!$B$7:$B$156,C623)=0,"TANIMSIZ MÜŞTERİ","UYGUN")))</f>
        <v/>
      </c>
      <c r="N623" s="22" t="str">
        <f>IF(D623="","",D623&amp;"|"&amp;TEXT(COUNTIF($D$7:D623,D623),"000"))</f>
        <v/>
      </c>
      <c r="O623" s="22" t="str">
        <f>IF(G623="","",G623&amp;"|"&amp;TEXT(COUNTIF($G$7:G623,G623),"000"))</f>
        <v/>
      </c>
    </row>
    <row r="624" spans="1:15" ht="17">
      <c r="A624" s="6"/>
      <c r="B624" s="95" t="str">
        <f t="shared" si="11"/>
        <v/>
      </c>
      <c r="C624" s="95"/>
      <c r="D624" s="96"/>
      <c r="E624" s="97"/>
      <c r="F624" s="99"/>
      <c r="G624" s="95"/>
      <c r="H624" s="95"/>
      <c r="I624" s="95"/>
      <c r="J624" s="96"/>
      <c r="K624" s="95"/>
      <c r="L624" s="43" t="str">
        <f t="shared" si="10"/>
        <v/>
      </c>
      <c r="M624" s="42" t="str">
        <f>IF(AND(C624="",D624="",E624="",F624=""),"",IF(OR(C624="",D624="",E624="",F624="",G624=""),"EKSİK",IF(COUNTIF(MUSTERILER!$B$7:$B$156,C624)=0,"TANIMSIZ MÜŞTERİ","UYGUN")))</f>
        <v/>
      </c>
      <c r="N624" s="22" t="str">
        <f>IF(D624="","",D624&amp;"|"&amp;TEXT(COUNTIF($D$7:D624,D624),"000"))</f>
        <v/>
      </c>
      <c r="O624" s="22" t="str">
        <f>IF(G624="","",G624&amp;"|"&amp;TEXT(COUNTIF($G$7:G624,G624),"000"))</f>
        <v/>
      </c>
    </row>
    <row r="625" spans="1:15" ht="17">
      <c r="A625" s="6"/>
      <c r="B625" s="95" t="str">
        <f t="shared" si="11"/>
        <v/>
      </c>
      <c r="C625" s="95"/>
      <c r="D625" s="96"/>
      <c r="E625" s="97"/>
      <c r="F625" s="99"/>
      <c r="G625" s="95"/>
      <c r="H625" s="95"/>
      <c r="I625" s="95"/>
      <c r="J625" s="96"/>
      <c r="K625" s="95"/>
      <c r="L625" s="43" t="str">
        <f t="shared" si="10"/>
        <v/>
      </c>
      <c r="M625" s="42" t="str">
        <f>IF(AND(C625="",D625="",E625="",F625=""),"",IF(OR(C625="",D625="",E625="",F625="",G625=""),"EKSİK",IF(COUNTIF(MUSTERILER!$B$7:$B$156,C625)=0,"TANIMSIZ MÜŞTERİ","UYGUN")))</f>
        <v/>
      </c>
      <c r="N625" s="22" t="str">
        <f>IF(D625="","",D625&amp;"|"&amp;TEXT(COUNTIF($D$7:D625,D625),"000"))</f>
        <v/>
      </c>
      <c r="O625" s="22" t="str">
        <f>IF(G625="","",G625&amp;"|"&amp;TEXT(COUNTIF($G$7:G625,G625),"000"))</f>
        <v/>
      </c>
    </row>
    <row r="626" spans="1:15" ht="17">
      <c r="A626" s="6"/>
      <c r="B626" s="95" t="str">
        <f t="shared" si="11"/>
        <v/>
      </c>
      <c r="C626" s="95"/>
      <c r="D626" s="96"/>
      <c r="E626" s="97"/>
      <c r="F626" s="99"/>
      <c r="G626" s="95"/>
      <c r="H626" s="95"/>
      <c r="I626" s="95"/>
      <c r="J626" s="96"/>
      <c r="K626" s="95"/>
      <c r="L626" s="43" t="str">
        <f t="shared" si="10"/>
        <v/>
      </c>
      <c r="M626" s="42" t="str">
        <f>IF(AND(C626="",D626="",E626="",F626=""),"",IF(OR(C626="",D626="",E626="",F626="",G626=""),"EKSİK",IF(COUNTIF(MUSTERILER!$B$7:$B$156,C626)=0,"TANIMSIZ MÜŞTERİ","UYGUN")))</f>
        <v/>
      </c>
      <c r="N626" s="22" t="str">
        <f>IF(D626="","",D626&amp;"|"&amp;TEXT(COUNTIF($D$7:D626,D626),"000"))</f>
        <v/>
      </c>
      <c r="O626" s="22" t="str">
        <f>IF(G626="","",G626&amp;"|"&amp;TEXT(COUNTIF($G$7:G626,G626),"000"))</f>
        <v/>
      </c>
    </row>
    <row r="627" spans="1:15" ht="17">
      <c r="A627" s="6"/>
      <c r="B627" s="95" t="str">
        <f t="shared" si="11"/>
        <v/>
      </c>
      <c r="C627" s="95"/>
      <c r="D627" s="96"/>
      <c r="E627" s="97"/>
      <c r="F627" s="99"/>
      <c r="G627" s="95"/>
      <c r="H627" s="95"/>
      <c r="I627" s="95"/>
      <c r="J627" s="96"/>
      <c r="K627" s="95"/>
      <c r="L627" s="43" t="str">
        <f t="shared" si="10"/>
        <v/>
      </c>
      <c r="M627" s="42" t="str">
        <f>IF(AND(C627="",D627="",E627="",F627=""),"",IF(OR(C627="",D627="",E627="",F627="",G627=""),"EKSİK",IF(COUNTIF(MUSTERILER!$B$7:$B$156,C627)=0,"TANIMSIZ MÜŞTERİ","UYGUN")))</f>
        <v/>
      </c>
      <c r="N627" s="22" t="str">
        <f>IF(D627="","",D627&amp;"|"&amp;TEXT(COUNTIF($D$7:D627,D627),"000"))</f>
        <v/>
      </c>
      <c r="O627" s="22" t="str">
        <f>IF(G627="","",G627&amp;"|"&amp;TEXT(COUNTIF($G$7:G627,G627),"000"))</f>
        <v/>
      </c>
    </row>
    <row r="628" spans="1:15" ht="17">
      <c r="A628" s="6"/>
      <c r="B628" s="95" t="str">
        <f t="shared" si="11"/>
        <v/>
      </c>
      <c r="C628" s="95"/>
      <c r="D628" s="96"/>
      <c r="E628" s="97"/>
      <c r="F628" s="99"/>
      <c r="G628" s="95"/>
      <c r="H628" s="95"/>
      <c r="I628" s="95"/>
      <c r="J628" s="96"/>
      <c r="K628" s="95"/>
      <c r="L628" s="43" t="str">
        <f t="shared" si="10"/>
        <v/>
      </c>
      <c r="M628" s="42" t="str">
        <f>IF(AND(C628="",D628="",E628="",F628=""),"",IF(OR(C628="",D628="",E628="",F628="",G628=""),"EKSİK",IF(COUNTIF(MUSTERILER!$B$7:$B$156,C628)=0,"TANIMSIZ MÜŞTERİ","UYGUN")))</f>
        <v/>
      </c>
      <c r="N628" s="22" t="str">
        <f>IF(D628="","",D628&amp;"|"&amp;TEXT(COUNTIF($D$7:D628,D628),"000"))</f>
        <v/>
      </c>
      <c r="O628" s="22" t="str">
        <f>IF(G628="","",G628&amp;"|"&amp;TEXT(COUNTIF($G$7:G628,G628),"000"))</f>
        <v/>
      </c>
    </row>
    <row r="629" spans="1:15" ht="17">
      <c r="A629" s="6"/>
      <c r="B629" s="95" t="str">
        <f t="shared" si="11"/>
        <v/>
      </c>
      <c r="C629" s="95"/>
      <c r="D629" s="96"/>
      <c r="E629" s="97"/>
      <c r="F629" s="99"/>
      <c r="G629" s="95"/>
      <c r="H629" s="95"/>
      <c r="I629" s="95"/>
      <c r="J629" s="96"/>
      <c r="K629" s="95"/>
      <c r="L629" s="43" t="str">
        <f t="shared" si="10"/>
        <v/>
      </c>
      <c r="M629" s="42" t="str">
        <f>IF(AND(C629="",D629="",E629="",F629=""),"",IF(OR(C629="",D629="",E629="",F629="",G629=""),"EKSİK",IF(COUNTIF(MUSTERILER!$B$7:$B$156,C629)=0,"TANIMSIZ MÜŞTERİ","UYGUN")))</f>
        <v/>
      </c>
      <c r="N629" s="22" t="str">
        <f>IF(D629="","",D629&amp;"|"&amp;TEXT(COUNTIF($D$7:D629,D629),"000"))</f>
        <v/>
      </c>
      <c r="O629" s="22" t="str">
        <f>IF(G629="","",G629&amp;"|"&amp;TEXT(COUNTIF($G$7:G629,G629),"000"))</f>
        <v/>
      </c>
    </row>
    <row r="630" spans="1:15" ht="17">
      <c r="A630" s="6"/>
      <c r="B630" s="95" t="str">
        <f t="shared" si="11"/>
        <v/>
      </c>
      <c r="C630" s="95"/>
      <c r="D630" s="96"/>
      <c r="E630" s="97"/>
      <c r="F630" s="99"/>
      <c r="G630" s="95"/>
      <c r="H630" s="95"/>
      <c r="I630" s="95"/>
      <c r="J630" s="96"/>
      <c r="K630" s="95"/>
      <c r="L630" s="43" t="str">
        <f t="shared" si="10"/>
        <v/>
      </c>
      <c r="M630" s="42" t="str">
        <f>IF(AND(C630="",D630="",E630="",F630=""),"",IF(OR(C630="",D630="",E630="",F630="",G630=""),"EKSİK",IF(COUNTIF(MUSTERILER!$B$7:$B$156,C630)=0,"TANIMSIZ MÜŞTERİ","UYGUN")))</f>
        <v/>
      </c>
      <c r="N630" s="22" t="str">
        <f>IF(D630="","",D630&amp;"|"&amp;TEXT(COUNTIF($D$7:D630,D630),"000"))</f>
        <v/>
      </c>
      <c r="O630" s="22" t="str">
        <f>IF(G630="","",G630&amp;"|"&amp;TEXT(COUNTIF($G$7:G630,G630),"000"))</f>
        <v/>
      </c>
    </row>
    <row r="631" spans="1:15" ht="17">
      <c r="A631" s="6"/>
      <c r="B631" s="95" t="str">
        <f t="shared" si="11"/>
        <v/>
      </c>
      <c r="C631" s="95"/>
      <c r="D631" s="96"/>
      <c r="E631" s="97"/>
      <c r="F631" s="99"/>
      <c r="G631" s="95"/>
      <c r="H631" s="95"/>
      <c r="I631" s="95"/>
      <c r="J631" s="96"/>
      <c r="K631" s="95"/>
      <c r="L631" s="43" t="str">
        <f t="shared" si="10"/>
        <v/>
      </c>
      <c r="M631" s="42" t="str">
        <f>IF(AND(C631="",D631="",E631="",F631=""),"",IF(OR(C631="",D631="",E631="",F631="",G631=""),"EKSİK",IF(COUNTIF(MUSTERILER!$B$7:$B$156,C631)=0,"TANIMSIZ MÜŞTERİ","UYGUN")))</f>
        <v/>
      </c>
      <c r="N631" s="22" t="str">
        <f>IF(D631="","",D631&amp;"|"&amp;TEXT(COUNTIF($D$7:D631,D631),"000"))</f>
        <v/>
      </c>
      <c r="O631" s="22" t="str">
        <f>IF(G631="","",G631&amp;"|"&amp;TEXT(COUNTIF($G$7:G631,G631),"000"))</f>
        <v/>
      </c>
    </row>
    <row r="632" spans="1:15" ht="17">
      <c r="A632" s="6"/>
      <c r="B632" s="95" t="str">
        <f t="shared" si="11"/>
        <v/>
      </c>
      <c r="C632" s="95"/>
      <c r="D632" s="96"/>
      <c r="E632" s="97"/>
      <c r="F632" s="99"/>
      <c r="G632" s="95"/>
      <c r="H632" s="95"/>
      <c r="I632" s="95"/>
      <c r="J632" s="96"/>
      <c r="K632" s="95"/>
      <c r="L632" s="43" t="str">
        <f t="shared" si="10"/>
        <v/>
      </c>
      <c r="M632" s="42" t="str">
        <f>IF(AND(C632="",D632="",E632="",F632=""),"",IF(OR(C632="",D632="",E632="",F632="",G632=""),"EKSİK",IF(COUNTIF(MUSTERILER!$B$7:$B$156,C632)=0,"TANIMSIZ MÜŞTERİ","UYGUN")))</f>
        <v/>
      </c>
      <c r="N632" s="22" t="str">
        <f>IF(D632="","",D632&amp;"|"&amp;TEXT(COUNTIF($D$7:D632,D632),"000"))</f>
        <v/>
      </c>
      <c r="O632" s="22" t="str">
        <f>IF(G632="","",G632&amp;"|"&amp;TEXT(COUNTIF($G$7:G632,G632),"000"))</f>
        <v/>
      </c>
    </row>
    <row r="633" spans="1:15" ht="17">
      <c r="A633" s="6"/>
      <c r="B633" s="95" t="str">
        <f t="shared" si="11"/>
        <v/>
      </c>
      <c r="C633" s="95"/>
      <c r="D633" s="96"/>
      <c r="E633" s="97"/>
      <c r="F633" s="99"/>
      <c r="G633" s="95"/>
      <c r="H633" s="95"/>
      <c r="I633" s="95"/>
      <c r="J633" s="96"/>
      <c r="K633" s="95"/>
      <c r="L633" s="43" t="str">
        <f t="shared" si="10"/>
        <v/>
      </c>
      <c r="M633" s="42" t="str">
        <f>IF(AND(C633="",D633="",E633="",F633=""),"",IF(OR(C633="",D633="",E633="",F633="",G633=""),"EKSİK",IF(COUNTIF(MUSTERILER!$B$7:$B$156,C633)=0,"TANIMSIZ MÜŞTERİ","UYGUN")))</f>
        <v/>
      </c>
      <c r="N633" s="22" t="str">
        <f>IF(D633="","",D633&amp;"|"&amp;TEXT(COUNTIF($D$7:D633,D633),"000"))</f>
        <v/>
      </c>
      <c r="O633" s="22" t="str">
        <f>IF(G633="","",G633&amp;"|"&amp;TEXT(COUNTIF($G$7:G633,G633),"000"))</f>
        <v/>
      </c>
    </row>
    <row r="634" spans="1:15" ht="17">
      <c r="A634" s="6"/>
      <c r="B634" s="95" t="str">
        <f t="shared" si="11"/>
        <v/>
      </c>
      <c r="C634" s="95"/>
      <c r="D634" s="96"/>
      <c r="E634" s="97"/>
      <c r="F634" s="99"/>
      <c r="G634" s="95"/>
      <c r="H634" s="95"/>
      <c r="I634" s="95"/>
      <c r="J634" s="96"/>
      <c r="K634" s="95"/>
      <c r="L634" s="43" t="str">
        <f t="shared" si="10"/>
        <v/>
      </c>
      <c r="M634" s="42" t="str">
        <f>IF(AND(C634="",D634="",E634="",F634=""),"",IF(OR(C634="",D634="",E634="",F634="",G634=""),"EKSİK",IF(COUNTIF(MUSTERILER!$B$7:$B$156,C634)=0,"TANIMSIZ MÜŞTERİ","UYGUN")))</f>
        <v/>
      </c>
      <c r="N634" s="22" t="str">
        <f>IF(D634="","",D634&amp;"|"&amp;TEXT(COUNTIF($D$7:D634,D634),"000"))</f>
        <v/>
      </c>
      <c r="O634" s="22" t="str">
        <f>IF(G634="","",G634&amp;"|"&amp;TEXT(COUNTIF($G$7:G634,G634),"000"))</f>
        <v/>
      </c>
    </row>
    <row r="635" spans="1:15" ht="17">
      <c r="A635" s="6"/>
      <c r="B635" s="95" t="str">
        <f t="shared" si="11"/>
        <v/>
      </c>
      <c r="C635" s="95"/>
      <c r="D635" s="96"/>
      <c r="E635" s="97"/>
      <c r="F635" s="99"/>
      <c r="G635" s="95"/>
      <c r="H635" s="95"/>
      <c r="I635" s="95"/>
      <c r="J635" s="96"/>
      <c r="K635" s="95"/>
      <c r="L635" s="43" t="str">
        <f t="shared" si="10"/>
        <v/>
      </c>
      <c r="M635" s="42" t="str">
        <f>IF(AND(C635="",D635="",E635="",F635=""),"",IF(OR(C635="",D635="",E635="",F635="",G635=""),"EKSİK",IF(COUNTIF(MUSTERILER!$B$7:$B$156,C635)=0,"TANIMSIZ MÜŞTERİ","UYGUN")))</f>
        <v/>
      </c>
      <c r="N635" s="22" t="str">
        <f>IF(D635="","",D635&amp;"|"&amp;TEXT(COUNTIF($D$7:D635,D635),"000"))</f>
        <v/>
      </c>
      <c r="O635" s="22" t="str">
        <f>IF(G635="","",G635&amp;"|"&amp;TEXT(COUNTIF($G$7:G635,G635),"000"))</f>
        <v/>
      </c>
    </row>
    <row r="636" spans="1:15" ht="17">
      <c r="A636" s="6"/>
      <c r="B636" s="95" t="str">
        <f t="shared" si="11"/>
        <v/>
      </c>
      <c r="C636" s="95"/>
      <c r="D636" s="96"/>
      <c r="E636" s="97"/>
      <c r="F636" s="99"/>
      <c r="G636" s="95"/>
      <c r="H636" s="95"/>
      <c r="I636" s="95"/>
      <c r="J636" s="96"/>
      <c r="K636" s="95"/>
      <c r="L636" s="43" t="str">
        <f t="shared" si="10"/>
        <v/>
      </c>
      <c r="M636" s="42" t="str">
        <f>IF(AND(C636="",D636="",E636="",F636=""),"",IF(OR(C636="",D636="",E636="",F636="",G636=""),"EKSİK",IF(COUNTIF(MUSTERILER!$B$7:$B$156,C636)=0,"TANIMSIZ MÜŞTERİ","UYGUN")))</f>
        <v/>
      </c>
      <c r="N636" s="22" t="str">
        <f>IF(D636="","",D636&amp;"|"&amp;TEXT(COUNTIF($D$7:D636,D636),"000"))</f>
        <v/>
      </c>
      <c r="O636" s="22" t="str">
        <f>IF(G636="","",G636&amp;"|"&amp;TEXT(COUNTIF($G$7:G636,G636),"000"))</f>
        <v/>
      </c>
    </row>
    <row r="637" spans="1:15" ht="17">
      <c r="A637" s="6"/>
      <c r="B637" s="95" t="str">
        <f t="shared" si="11"/>
        <v/>
      </c>
      <c r="C637" s="95"/>
      <c r="D637" s="96"/>
      <c r="E637" s="97"/>
      <c r="F637" s="99"/>
      <c r="G637" s="95"/>
      <c r="H637" s="95"/>
      <c r="I637" s="95"/>
      <c r="J637" s="96"/>
      <c r="K637" s="95"/>
      <c r="L637" s="43" t="str">
        <f t="shared" si="10"/>
        <v/>
      </c>
      <c r="M637" s="42" t="str">
        <f>IF(AND(C637="",D637="",E637="",F637=""),"",IF(OR(C637="",D637="",E637="",F637="",G637=""),"EKSİK",IF(COUNTIF(MUSTERILER!$B$7:$B$156,C637)=0,"TANIMSIZ MÜŞTERİ","UYGUN")))</f>
        <v/>
      </c>
      <c r="N637" s="22" t="str">
        <f>IF(D637="","",D637&amp;"|"&amp;TEXT(COUNTIF($D$7:D637,D637),"000"))</f>
        <v/>
      </c>
      <c r="O637" s="22" t="str">
        <f>IF(G637="","",G637&amp;"|"&amp;TEXT(COUNTIF($G$7:G637,G637),"000"))</f>
        <v/>
      </c>
    </row>
    <row r="638" spans="1:15" ht="17">
      <c r="A638" s="6"/>
      <c r="B638" s="95" t="str">
        <f t="shared" si="11"/>
        <v/>
      </c>
      <c r="C638" s="95"/>
      <c r="D638" s="96"/>
      <c r="E638" s="97"/>
      <c r="F638" s="99"/>
      <c r="G638" s="95"/>
      <c r="H638" s="95"/>
      <c r="I638" s="95"/>
      <c r="J638" s="96"/>
      <c r="K638" s="95"/>
      <c r="L638" s="43" t="str">
        <f t="shared" si="10"/>
        <v/>
      </c>
      <c r="M638" s="42" t="str">
        <f>IF(AND(C638="",D638="",E638="",F638=""),"",IF(OR(C638="",D638="",E638="",F638="",G638=""),"EKSİK",IF(COUNTIF(MUSTERILER!$B$7:$B$156,C638)=0,"TANIMSIZ MÜŞTERİ","UYGUN")))</f>
        <v/>
      </c>
      <c r="N638" s="22" t="str">
        <f>IF(D638="","",D638&amp;"|"&amp;TEXT(COUNTIF($D$7:D638,D638),"000"))</f>
        <v/>
      </c>
      <c r="O638" s="22" t="str">
        <f>IF(G638="","",G638&amp;"|"&amp;TEXT(COUNTIF($G$7:G638,G638),"000"))</f>
        <v/>
      </c>
    </row>
    <row r="639" spans="1:15" ht="17">
      <c r="A639" s="6"/>
      <c r="B639" s="95" t="str">
        <f t="shared" si="11"/>
        <v/>
      </c>
      <c r="C639" s="95"/>
      <c r="D639" s="96"/>
      <c r="E639" s="97"/>
      <c r="F639" s="99"/>
      <c r="G639" s="95"/>
      <c r="H639" s="95"/>
      <c r="I639" s="95"/>
      <c r="J639" s="96"/>
      <c r="K639" s="95"/>
      <c r="L639" s="43" t="str">
        <f t="shared" si="10"/>
        <v/>
      </c>
      <c r="M639" s="42" t="str">
        <f>IF(AND(C639="",D639="",E639="",F639=""),"",IF(OR(C639="",D639="",E639="",F639="",G639=""),"EKSİK",IF(COUNTIF(MUSTERILER!$B$7:$B$156,C639)=0,"TANIMSIZ MÜŞTERİ","UYGUN")))</f>
        <v/>
      </c>
      <c r="N639" s="22" t="str">
        <f>IF(D639="","",D639&amp;"|"&amp;TEXT(COUNTIF($D$7:D639,D639),"000"))</f>
        <v/>
      </c>
      <c r="O639" s="22" t="str">
        <f>IF(G639="","",G639&amp;"|"&amp;TEXT(COUNTIF($G$7:G639,G639),"000"))</f>
        <v/>
      </c>
    </row>
    <row r="640" spans="1:15" ht="17">
      <c r="A640" s="6"/>
      <c r="B640" s="95" t="str">
        <f t="shared" si="11"/>
        <v/>
      </c>
      <c r="C640" s="95"/>
      <c r="D640" s="96"/>
      <c r="E640" s="97"/>
      <c r="F640" s="99"/>
      <c r="G640" s="95"/>
      <c r="H640" s="95"/>
      <c r="I640" s="95"/>
      <c r="J640" s="96"/>
      <c r="K640" s="95"/>
      <c r="L640" s="43" t="str">
        <f t="shared" si="10"/>
        <v/>
      </c>
      <c r="M640" s="42" t="str">
        <f>IF(AND(C640="",D640="",E640="",F640=""),"",IF(OR(C640="",D640="",E640="",F640="",G640=""),"EKSİK",IF(COUNTIF(MUSTERILER!$B$7:$B$156,C640)=0,"TANIMSIZ MÜŞTERİ","UYGUN")))</f>
        <v/>
      </c>
      <c r="N640" s="22" t="str">
        <f>IF(D640="","",D640&amp;"|"&amp;TEXT(COUNTIF($D$7:D640,D640),"000"))</f>
        <v/>
      </c>
      <c r="O640" s="22" t="str">
        <f>IF(G640="","",G640&amp;"|"&amp;TEXT(COUNTIF($G$7:G640,G640),"000"))</f>
        <v/>
      </c>
    </row>
    <row r="641" spans="1:15" ht="17">
      <c r="A641" s="6"/>
      <c r="B641" s="95" t="str">
        <f t="shared" si="11"/>
        <v/>
      </c>
      <c r="C641" s="95"/>
      <c r="D641" s="96"/>
      <c r="E641" s="97"/>
      <c r="F641" s="99"/>
      <c r="G641" s="95"/>
      <c r="H641" s="95"/>
      <c r="I641" s="95"/>
      <c r="J641" s="96"/>
      <c r="K641" s="95"/>
      <c r="L641" s="43" t="str">
        <f t="shared" si="10"/>
        <v/>
      </c>
      <c r="M641" s="42" t="str">
        <f>IF(AND(C641="",D641="",E641="",F641=""),"",IF(OR(C641="",D641="",E641="",F641="",G641=""),"EKSİK",IF(COUNTIF(MUSTERILER!$B$7:$B$156,C641)=0,"TANIMSIZ MÜŞTERİ","UYGUN")))</f>
        <v/>
      </c>
      <c r="N641" s="22" t="str">
        <f>IF(D641="","",D641&amp;"|"&amp;TEXT(COUNTIF($D$7:D641,D641),"000"))</f>
        <v/>
      </c>
      <c r="O641" s="22" t="str">
        <f>IF(G641="","",G641&amp;"|"&amp;TEXT(COUNTIF($G$7:G641,G641),"000"))</f>
        <v/>
      </c>
    </row>
    <row r="642" spans="1:15" ht="17">
      <c r="A642" s="6"/>
      <c r="B642" s="95" t="str">
        <f t="shared" si="11"/>
        <v/>
      </c>
      <c r="C642" s="95"/>
      <c r="D642" s="96"/>
      <c r="E642" s="97"/>
      <c r="F642" s="99"/>
      <c r="G642" s="95"/>
      <c r="H642" s="95"/>
      <c r="I642" s="95"/>
      <c r="J642" s="96"/>
      <c r="K642" s="95"/>
      <c r="L642" s="43" t="str">
        <f t="shared" si="10"/>
        <v/>
      </c>
      <c r="M642" s="42" t="str">
        <f>IF(AND(C642="",D642="",E642="",F642=""),"",IF(OR(C642="",D642="",E642="",F642="",G642=""),"EKSİK",IF(COUNTIF(MUSTERILER!$B$7:$B$156,C642)=0,"TANIMSIZ MÜŞTERİ","UYGUN")))</f>
        <v/>
      </c>
      <c r="N642" s="22" t="str">
        <f>IF(D642="","",D642&amp;"|"&amp;TEXT(COUNTIF($D$7:D642,D642),"000"))</f>
        <v/>
      </c>
      <c r="O642" s="22" t="str">
        <f>IF(G642="","",G642&amp;"|"&amp;TEXT(COUNTIF($G$7:G642,G642),"000"))</f>
        <v/>
      </c>
    </row>
    <row r="643" spans="1:15" ht="17">
      <c r="A643" s="6"/>
      <c r="B643" s="95" t="str">
        <f t="shared" si="11"/>
        <v/>
      </c>
      <c r="C643" s="95"/>
      <c r="D643" s="96"/>
      <c r="E643" s="97"/>
      <c r="F643" s="99"/>
      <c r="G643" s="95"/>
      <c r="H643" s="95"/>
      <c r="I643" s="95"/>
      <c r="J643" s="96"/>
      <c r="K643" s="95"/>
      <c r="L643" s="43" t="str">
        <f t="shared" si="10"/>
        <v/>
      </c>
      <c r="M643" s="42" t="str">
        <f>IF(AND(C643="",D643="",E643="",F643=""),"",IF(OR(C643="",D643="",E643="",F643="",G643=""),"EKSİK",IF(COUNTIF(MUSTERILER!$B$7:$B$156,C643)=0,"TANIMSIZ MÜŞTERİ","UYGUN")))</f>
        <v/>
      </c>
      <c r="N643" s="22" t="str">
        <f>IF(D643="","",D643&amp;"|"&amp;TEXT(COUNTIF($D$7:D643,D643),"000"))</f>
        <v/>
      </c>
      <c r="O643" s="22" t="str">
        <f>IF(G643="","",G643&amp;"|"&amp;TEXT(COUNTIF($G$7:G643,G643),"000"))</f>
        <v/>
      </c>
    </row>
    <row r="644" spans="1:15" ht="17">
      <c r="A644" s="6"/>
      <c r="B644" s="95" t="str">
        <f t="shared" si="11"/>
        <v/>
      </c>
      <c r="C644" s="95"/>
      <c r="D644" s="96"/>
      <c r="E644" s="97"/>
      <c r="F644" s="99"/>
      <c r="G644" s="95"/>
      <c r="H644" s="95"/>
      <c r="I644" s="95"/>
      <c r="J644" s="96"/>
      <c r="K644" s="95"/>
      <c r="L644" s="43" t="str">
        <f t="shared" si="10"/>
        <v/>
      </c>
      <c r="M644" s="42" t="str">
        <f>IF(AND(C644="",D644="",E644="",F644=""),"",IF(OR(C644="",D644="",E644="",F644="",G644=""),"EKSİK",IF(COUNTIF(MUSTERILER!$B$7:$B$156,C644)=0,"TANIMSIZ MÜŞTERİ","UYGUN")))</f>
        <v/>
      </c>
      <c r="N644" s="22" t="str">
        <f>IF(D644="","",D644&amp;"|"&amp;TEXT(COUNTIF($D$7:D644,D644),"000"))</f>
        <v/>
      </c>
      <c r="O644" s="22" t="str">
        <f>IF(G644="","",G644&amp;"|"&amp;TEXT(COUNTIF($G$7:G644,G644),"000"))</f>
        <v/>
      </c>
    </row>
    <row r="645" spans="1:15" ht="17">
      <c r="A645" s="6"/>
      <c r="B645" s="95" t="str">
        <f t="shared" si="11"/>
        <v/>
      </c>
      <c r="C645" s="95"/>
      <c r="D645" s="96"/>
      <c r="E645" s="97"/>
      <c r="F645" s="99"/>
      <c r="G645" s="95"/>
      <c r="H645" s="95"/>
      <c r="I645" s="95"/>
      <c r="J645" s="96"/>
      <c r="K645" s="95"/>
      <c r="L645" s="43" t="str">
        <f t="shared" si="10"/>
        <v/>
      </c>
      <c r="M645" s="42" t="str">
        <f>IF(AND(C645="",D645="",E645="",F645=""),"",IF(OR(C645="",D645="",E645="",F645="",G645=""),"EKSİK",IF(COUNTIF(MUSTERILER!$B$7:$B$156,C645)=0,"TANIMSIZ MÜŞTERİ","UYGUN")))</f>
        <v/>
      </c>
      <c r="N645" s="22" t="str">
        <f>IF(D645="","",D645&amp;"|"&amp;TEXT(COUNTIF($D$7:D645,D645),"000"))</f>
        <v/>
      </c>
      <c r="O645" s="22" t="str">
        <f>IF(G645="","",G645&amp;"|"&amp;TEXT(COUNTIF($G$7:G645,G645),"000"))</f>
        <v/>
      </c>
    </row>
    <row r="646" spans="1:15" ht="17">
      <c r="A646" s="6"/>
      <c r="B646" s="95" t="str">
        <f t="shared" si="11"/>
        <v/>
      </c>
      <c r="C646" s="95"/>
      <c r="D646" s="96"/>
      <c r="E646" s="97"/>
      <c r="F646" s="99"/>
      <c r="G646" s="95"/>
      <c r="H646" s="95"/>
      <c r="I646" s="95"/>
      <c r="J646" s="96"/>
      <c r="K646" s="95"/>
      <c r="L646" s="43" t="str">
        <f t="shared" si="10"/>
        <v/>
      </c>
      <c r="M646" s="42" t="str">
        <f>IF(AND(C646="",D646="",E646="",F646=""),"",IF(OR(C646="",D646="",E646="",F646="",G646=""),"EKSİK",IF(COUNTIF(MUSTERILER!$B$7:$B$156,C646)=0,"TANIMSIZ MÜŞTERİ","UYGUN")))</f>
        <v/>
      </c>
      <c r="N646" s="22" t="str">
        <f>IF(D646="","",D646&amp;"|"&amp;TEXT(COUNTIF($D$7:D646,D646),"000"))</f>
        <v/>
      </c>
      <c r="O646" s="22" t="str">
        <f>IF(G646="","",G646&amp;"|"&amp;TEXT(COUNTIF($G$7:G646,G646),"000"))</f>
        <v/>
      </c>
    </row>
    <row r="647" spans="1:15" ht="17">
      <c r="A647" s="6"/>
      <c r="B647" s="95" t="str">
        <f t="shared" si="11"/>
        <v/>
      </c>
      <c r="C647" s="95"/>
      <c r="D647" s="96"/>
      <c r="E647" s="97"/>
      <c r="F647" s="99"/>
      <c r="G647" s="95"/>
      <c r="H647" s="95"/>
      <c r="I647" s="95"/>
      <c r="J647" s="96"/>
      <c r="K647" s="95"/>
      <c r="L647" s="43" t="str">
        <f t="shared" ref="L647:L710" si="12">IF(E647="","",DATE(YEAR(E647),MONTH(E647),1))</f>
        <v/>
      </c>
      <c r="M647" s="42" t="str">
        <f>IF(AND(C647="",D647="",E647="",F647=""),"",IF(OR(C647="",D647="",E647="",F647="",G647=""),"EKSİK",IF(COUNTIF(MUSTERILER!$B$7:$B$156,C647)=0,"TANIMSIZ MÜŞTERİ","UYGUN")))</f>
        <v/>
      </c>
      <c r="N647" s="22" t="str">
        <f>IF(D647="","",D647&amp;"|"&amp;TEXT(COUNTIF($D$7:D647,D647),"000"))</f>
        <v/>
      </c>
      <c r="O647" s="22" t="str">
        <f>IF(G647="","",G647&amp;"|"&amp;TEXT(COUNTIF($G$7:G647,G647),"000"))</f>
        <v/>
      </c>
    </row>
    <row r="648" spans="1:15" ht="17">
      <c r="A648" s="6"/>
      <c r="B648" s="95" t="str">
        <f t="shared" si="11"/>
        <v/>
      </c>
      <c r="C648" s="95"/>
      <c r="D648" s="96"/>
      <c r="E648" s="97"/>
      <c r="F648" s="99"/>
      <c r="G648" s="95"/>
      <c r="H648" s="95"/>
      <c r="I648" s="95"/>
      <c r="J648" s="96"/>
      <c r="K648" s="95"/>
      <c r="L648" s="43" t="str">
        <f t="shared" si="12"/>
        <v/>
      </c>
      <c r="M648" s="42" t="str">
        <f>IF(AND(C648="",D648="",E648="",F648=""),"",IF(OR(C648="",D648="",E648="",F648="",G648=""),"EKSİK",IF(COUNTIF(MUSTERILER!$B$7:$B$156,C648)=0,"TANIMSIZ MÜŞTERİ","UYGUN")))</f>
        <v/>
      </c>
      <c r="N648" s="22" t="str">
        <f>IF(D648="","",D648&amp;"|"&amp;TEXT(COUNTIF($D$7:D648,D648),"000"))</f>
        <v/>
      </c>
      <c r="O648" s="22" t="str">
        <f>IF(G648="","",G648&amp;"|"&amp;TEXT(COUNTIF($G$7:G648,G648),"000"))</f>
        <v/>
      </c>
    </row>
    <row r="649" spans="1:15" ht="17">
      <c r="A649" s="6"/>
      <c r="B649" s="95" t="str">
        <f t="shared" si="11"/>
        <v/>
      </c>
      <c r="C649" s="95"/>
      <c r="D649" s="96"/>
      <c r="E649" s="97"/>
      <c r="F649" s="99"/>
      <c r="G649" s="95"/>
      <c r="H649" s="95"/>
      <c r="I649" s="95"/>
      <c r="J649" s="96"/>
      <c r="K649" s="95"/>
      <c r="L649" s="43" t="str">
        <f t="shared" si="12"/>
        <v/>
      </c>
      <c r="M649" s="42" t="str">
        <f>IF(AND(C649="",D649="",E649="",F649=""),"",IF(OR(C649="",D649="",E649="",F649="",G649=""),"EKSİK",IF(COUNTIF(MUSTERILER!$B$7:$B$156,C649)=0,"TANIMSIZ MÜŞTERİ","UYGUN")))</f>
        <v/>
      </c>
      <c r="N649" s="22" t="str">
        <f>IF(D649="","",D649&amp;"|"&amp;TEXT(COUNTIF($D$7:D649,D649),"000"))</f>
        <v/>
      </c>
      <c r="O649" s="22" t="str">
        <f>IF(G649="","",G649&amp;"|"&amp;TEXT(COUNTIF($G$7:G649,G649),"000"))</f>
        <v/>
      </c>
    </row>
    <row r="650" spans="1:15" ht="17">
      <c r="A650" s="6"/>
      <c r="B650" s="95" t="str">
        <f t="shared" si="11"/>
        <v/>
      </c>
      <c r="C650" s="95"/>
      <c r="D650" s="96"/>
      <c r="E650" s="97"/>
      <c r="F650" s="99"/>
      <c r="G650" s="95"/>
      <c r="H650" s="95"/>
      <c r="I650" s="95"/>
      <c r="J650" s="96"/>
      <c r="K650" s="95"/>
      <c r="L650" s="43" t="str">
        <f t="shared" si="12"/>
        <v/>
      </c>
      <c r="M650" s="42" t="str">
        <f>IF(AND(C650="",D650="",E650="",F650=""),"",IF(OR(C650="",D650="",E650="",F650="",G650=""),"EKSİK",IF(COUNTIF(MUSTERILER!$B$7:$B$156,C650)=0,"TANIMSIZ MÜŞTERİ","UYGUN")))</f>
        <v/>
      </c>
      <c r="N650" s="22" t="str">
        <f>IF(D650="","",D650&amp;"|"&amp;TEXT(COUNTIF($D$7:D650,D650),"000"))</f>
        <v/>
      </c>
      <c r="O650" s="22" t="str">
        <f>IF(G650="","",G650&amp;"|"&amp;TEXT(COUNTIF($G$7:G650,G650),"000"))</f>
        <v/>
      </c>
    </row>
    <row r="651" spans="1:15" ht="17">
      <c r="A651" s="6"/>
      <c r="B651" s="95" t="str">
        <f t="shared" si="11"/>
        <v/>
      </c>
      <c r="C651" s="95"/>
      <c r="D651" s="96"/>
      <c r="E651" s="97"/>
      <c r="F651" s="99"/>
      <c r="G651" s="95"/>
      <c r="H651" s="95"/>
      <c r="I651" s="95"/>
      <c r="J651" s="96"/>
      <c r="K651" s="95"/>
      <c r="L651" s="43" t="str">
        <f t="shared" si="12"/>
        <v/>
      </c>
      <c r="M651" s="42" t="str">
        <f>IF(AND(C651="",D651="",E651="",F651=""),"",IF(OR(C651="",D651="",E651="",F651="",G651=""),"EKSİK",IF(COUNTIF(MUSTERILER!$B$7:$B$156,C651)=0,"TANIMSIZ MÜŞTERİ","UYGUN")))</f>
        <v/>
      </c>
      <c r="N651" s="6"/>
      <c r="O651" s="6"/>
    </row>
    <row r="652" spans="1:15" ht="17">
      <c r="A652" s="6"/>
      <c r="B652" s="95" t="str">
        <f t="shared" si="11"/>
        <v/>
      </c>
      <c r="C652" s="95"/>
      <c r="D652" s="96"/>
      <c r="E652" s="97"/>
      <c r="F652" s="99"/>
      <c r="G652" s="95"/>
      <c r="H652" s="95"/>
      <c r="I652" s="95"/>
      <c r="J652" s="96"/>
      <c r="K652" s="95"/>
      <c r="L652" s="43" t="str">
        <f t="shared" si="12"/>
        <v/>
      </c>
      <c r="M652" s="42" t="str">
        <f>IF(AND(C652="",D652="",E652="",F652=""),"",IF(OR(C652="",D652="",E652="",F652="",G652=""),"EKSİK",IF(COUNTIF(MUSTERILER!$B$7:$B$156,C652)=0,"TANIMSIZ MÜŞTERİ","UYGUN")))</f>
        <v/>
      </c>
      <c r="N652" s="6"/>
      <c r="O652" s="6"/>
    </row>
    <row r="653" spans="1:15" ht="17">
      <c r="A653" s="6"/>
      <c r="B653" s="95" t="str">
        <f t="shared" si="11"/>
        <v/>
      </c>
      <c r="C653" s="95"/>
      <c r="D653" s="96"/>
      <c r="E653" s="97"/>
      <c r="F653" s="99"/>
      <c r="G653" s="95"/>
      <c r="H653" s="95"/>
      <c r="I653" s="95"/>
      <c r="J653" s="96"/>
      <c r="K653" s="95"/>
      <c r="L653" s="43" t="str">
        <f t="shared" si="12"/>
        <v/>
      </c>
      <c r="M653" s="42" t="str">
        <f>IF(AND(C653="",D653="",E653="",F653=""),"",IF(OR(C653="",D653="",E653="",F653="",G653=""),"EKSİK",IF(COUNTIF(MUSTERILER!$B$7:$B$156,C653)=0,"TANIMSIZ MÜŞTERİ","UYGUN")))</f>
        <v/>
      </c>
      <c r="N653" s="6"/>
      <c r="O653" s="6"/>
    </row>
    <row r="654" spans="1:15" ht="17">
      <c r="A654" s="6"/>
      <c r="B654" s="95" t="str">
        <f t="shared" si="11"/>
        <v/>
      </c>
      <c r="C654" s="95"/>
      <c r="D654" s="96"/>
      <c r="E654" s="97"/>
      <c r="F654" s="99"/>
      <c r="G654" s="95"/>
      <c r="H654" s="95"/>
      <c r="I654" s="95"/>
      <c r="J654" s="96"/>
      <c r="K654" s="95"/>
      <c r="L654" s="43" t="str">
        <f t="shared" si="12"/>
        <v/>
      </c>
      <c r="M654" s="42" t="str">
        <f>IF(AND(C654="",D654="",E654="",F654=""),"",IF(OR(C654="",D654="",E654="",F654="",G654=""),"EKSİK",IF(COUNTIF(MUSTERILER!$B$7:$B$156,C654)=0,"TANIMSIZ MÜŞTERİ","UYGUN")))</f>
        <v/>
      </c>
      <c r="N654" s="6"/>
      <c r="O654" s="6"/>
    </row>
    <row r="655" spans="1:15" ht="17">
      <c r="A655" s="6"/>
      <c r="B655" s="95" t="str">
        <f t="shared" si="11"/>
        <v/>
      </c>
      <c r="C655" s="95"/>
      <c r="D655" s="96"/>
      <c r="E655" s="97"/>
      <c r="F655" s="99"/>
      <c r="G655" s="95"/>
      <c r="H655" s="95"/>
      <c r="I655" s="95"/>
      <c r="J655" s="96"/>
      <c r="K655" s="95"/>
      <c r="L655" s="43" t="str">
        <f t="shared" si="12"/>
        <v/>
      </c>
      <c r="M655" s="42" t="str">
        <f>IF(AND(C655="",D655="",E655="",F655=""),"",IF(OR(C655="",D655="",E655="",F655="",G655=""),"EKSİK",IF(COUNTIF(MUSTERILER!$B$7:$B$156,C655)=0,"TANIMSIZ MÜŞTERİ","UYGUN")))</f>
        <v/>
      </c>
      <c r="N655" s="6"/>
      <c r="O655" s="6"/>
    </row>
    <row r="656" spans="1:15" ht="17">
      <c r="A656" s="6"/>
      <c r="B656" s="95" t="str">
        <f t="shared" si="11"/>
        <v/>
      </c>
      <c r="C656" s="95"/>
      <c r="D656" s="96"/>
      <c r="E656" s="97"/>
      <c r="F656" s="99"/>
      <c r="G656" s="95"/>
      <c r="H656" s="95"/>
      <c r="I656" s="95"/>
      <c r="J656" s="96"/>
      <c r="K656" s="95"/>
      <c r="L656" s="43" t="str">
        <f t="shared" si="12"/>
        <v/>
      </c>
      <c r="M656" s="42" t="str">
        <f>IF(AND(C656="",D656="",E656="",F656=""),"",IF(OR(C656="",D656="",E656="",F656="",G656=""),"EKSİK",IF(COUNTIF(MUSTERILER!$B$7:$B$156,C656)=0,"TANIMSIZ MÜŞTERİ","UYGUN")))</f>
        <v/>
      </c>
      <c r="N656" s="6"/>
      <c r="O656" s="6"/>
    </row>
    <row r="657" spans="1:15" ht="17">
      <c r="A657" s="6"/>
      <c r="B657" s="95" t="str">
        <f t="shared" si="11"/>
        <v/>
      </c>
      <c r="C657" s="95"/>
      <c r="D657" s="96"/>
      <c r="E657" s="97"/>
      <c r="F657" s="99"/>
      <c r="G657" s="95"/>
      <c r="H657" s="95"/>
      <c r="I657" s="95"/>
      <c r="J657" s="96"/>
      <c r="K657" s="95"/>
      <c r="L657" s="43" t="str">
        <f t="shared" si="12"/>
        <v/>
      </c>
      <c r="M657" s="42" t="str">
        <f>IF(AND(C657="",D657="",E657="",F657=""),"",IF(OR(C657="",D657="",E657="",F657="",G657=""),"EKSİK",IF(COUNTIF(MUSTERILER!$B$7:$B$156,C657)=0,"TANIMSIZ MÜŞTERİ","UYGUN")))</f>
        <v/>
      </c>
      <c r="N657" s="6"/>
      <c r="O657" s="6"/>
    </row>
    <row r="658" spans="1:15" ht="17">
      <c r="A658" s="6"/>
      <c r="B658" s="95" t="str">
        <f t="shared" si="11"/>
        <v/>
      </c>
      <c r="C658" s="95"/>
      <c r="D658" s="96"/>
      <c r="E658" s="97"/>
      <c r="F658" s="99"/>
      <c r="G658" s="95"/>
      <c r="H658" s="95"/>
      <c r="I658" s="95"/>
      <c r="J658" s="96"/>
      <c r="K658" s="95"/>
      <c r="L658" s="43" t="str">
        <f t="shared" si="12"/>
        <v/>
      </c>
      <c r="M658" s="42" t="str">
        <f>IF(AND(C658="",D658="",E658="",F658=""),"",IF(OR(C658="",D658="",E658="",F658="",G658=""),"EKSİK",IF(COUNTIF(MUSTERILER!$B$7:$B$156,C658)=0,"TANIMSIZ MÜŞTERİ","UYGUN")))</f>
        <v/>
      </c>
      <c r="N658" s="6"/>
      <c r="O658" s="6"/>
    </row>
    <row r="659" spans="1:15" ht="17">
      <c r="A659" s="6"/>
      <c r="B659" s="95" t="str">
        <f t="shared" si="11"/>
        <v/>
      </c>
      <c r="C659" s="95"/>
      <c r="D659" s="96"/>
      <c r="E659" s="97"/>
      <c r="F659" s="99"/>
      <c r="G659" s="95"/>
      <c r="H659" s="95"/>
      <c r="I659" s="95"/>
      <c r="J659" s="96"/>
      <c r="K659" s="95"/>
      <c r="L659" s="43" t="str">
        <f t="shared" si="12"/>
        <v/>
      </c>
      <c r="M659" s="42" t="str">
        <f>IF(AND(C659="",D659="",E659="",F659=""),"",IF(OR(C659="",D659="",E659="",F659="",G659=""),"EKSİK",IF(COUNTIF(MUSTERILER!$B$7:$B$156,C659)=0,"TANIMSIZ MÜŞTERİ","UYGUN")))</f>
        <v/>
      </c>
      <c r="N659" s="6"/>
      <c r="O659" s="6"/>
    </row>
    <row r="660" spans="1:15" ht="17">
      <c r="A660" s="6"/>
      <c r="B660" s="95" t="str">
        <f t="shared" si="11"/>
        <v/>
      </c>
      <c r="C660" s="95"/>
      <c r="D660" s="96"/>
      <c r="E660" s="97"/>
      <c r="F660" s="99"/>
      <c r="G660" s="95"/>
      <c r="H660" s="95"/>
      <c r="I660" s="95"/>
      <c r="J660" s="96"/>
      <c r="K660" s="95"/>
      <c r="L660" s="43" t="str">
        <f t="shared" si="12"/>
        <v/>
      </c>
      <c r="M660" s="42" t="str">
        <f>IF(AND(C660="",D660="",E660="",F660=""),"",IF(OR(C660="",D660="",E660="",F660="",G660=""),"EKSİK",IF(COUNTIF(MUSTERILER!$B$7:$B$156,C660)=0,"TANIMSIZ MÜŞTERİ","UYGUN")))</f>
        <v/>
      </c>
      <c r="N660" s="6"/>
      <c r="O660" s="6"/>
    </row>
    <row r="661" spans="1:15" ht="17">
      <c r="A661" s="6"/>
      <c r="B661" s="95" t="str">
        <f t="shared" si="11"/>
        <v/>
      </c>
      <c r="C661" s="95"/>
      <c r="D661" s="96"/>
      <c r="E661" s="97"/>
      <c r="F661" s="99"/>
      <c r="G661" s="95"/>
      <c r="H661" s="95"/>
      <c r="I661" s="95"/>
      <c r="J661" s="96"/>
      <c r="K661" s="95"/>
      <c r="L661" s="43" t="str">
        <f t="shared" si="12"/>
        <v/>
      </c>
      <c r="M661" s="42" t="str">
        <f>IF(AND(C661="",D661="",E661="",F661=""),"",IF(OR(C661="",D661="",E661="",F661="",G661=""),"EKSİK",IF(COUNTIF(MUSTERILER!$B$7:$B$156,C661)=0,"TANIMSIZ MÜŞTERİ","UYGUN")))</f>
        <v/>
      </c>
      <c r="N661" s="6"/>
      <c r="O661" s="6"/>
    </row>
    <row r="662" spans="1:15" ht="17">
      <c r="A662" s="6"/>
      <c r="B662" s="95" t="str">
        <f t="shared" si="11"/>
        <v/>
      </c>
      <c r="C662" s="95"/>
      <c r="D662" s="96"/>
      <c r="E662" s="97"/>
      <c r="F662" s="99"/>
      <c r="G662" s="95"/>
      <c r="H662" s="95"/>
      <c r="I662" s="95"/>
      <c r="J662" s="96"/>
      <c r="K662" s="95"/>
      <c r="L662" s="43" t="str">
        <f t="shared" si="12"/>
        <v/>
      </c>
      <c r="M662" s="42" t="str">
        <f>IF(AND(C662="",D662="",E662="",F662=""),"",IF(OR(C662="",D662="",E662="",F662="",G662=""),"EKSİK",IF(COUNTIF(MUSTERILER!$B$7:$B$156,C662)=0,"TANIMSIZ MÜŞTERİ","UYGUN")))</f>
        <v/>
      </c>
      <c r="N662" s="6"/>
      <c r="O662" s="6"/>
    </row>
    <row r="663" spans="1:15" ht="17">
      <c r="A663" s="6"/>
      <c r="B663" s="95" t="str">
        <f t="shared" si="11"/>
        <v/>
      </c>
      <c r="C663" s="95"/>
      <c r="D663" s="96"/>
      <c r="E663" s="97"/>
      <c r="F663" s="99"/>
      <c r="G663" s="95"/>
      <c r="H663" s="95"/>
      <c r="I663" s="95"/>
      <c r="J663" s="96"/>
      <c r="K663" s="95"/>
      <c r="L663" s="43" t="str">
        <f t="shared" si="12"/>
        <v/>
      </c>
      <c r="M663" s="42" t="str">
        <f>IF(AND(C663="",D663="",E663="",F663=""),"",IF(OR(C663="",D663="",E663="",F663="",G663=""),"EKSİK",IF(COUNTIF(MUSTERILER!$B$7:$B$156,C663)=0,"TANIMSIZ MÜŞTERİ","UYGUN")))</f>
        <v/>
      </c>
      <c r="N663" s="6"/>
      <c r="O663" s="6"/>
    </row>
    <row r="664" spans="1:15" ht="17">
      <c r="A664" s="6"/>
      <c r="B664" s="95" t="str">
        <f t="shared" si="11"/>
        <v/>
      </c>
      <c r="C664" s="95"/>
      <c r="D664" s="96"/>
      <c r="E664" s="97"/>
      <c r="F664" s="99"/>
      <c r="G664" s="95"/>
      <c r="H664" s="95"/>
      <c r="I664" s="95"/>
      <c r="J664" s="96"/>
      <c r="K664" s="95"/>
      <c r="L664" s="43" t="str">
        <f t="shared" si="12"/>
        <v/>
      </c>
      <c r="M664" s="42" t="str">
        <f>IF(AND(C664="",D664="",E664="",F664=""),"",IF(OR(C664="",D664="",E664="",F664="",G664=""),"EKSİK",IF(COUNTIF(MUSTERILER!$B$7:$B$156,C664)=0,"TANIMSIZ MÜŞTERİ","UYGUN")))</f>
        <v/>
      </c>
      <c r="N664" s="6"/>
      <c r="O664" s="6"/>
    </row>
    <row r="665" spans="1:15" ht="17">
      <c r="A665" s="6"/>
      <c r="B665" s="95" t="str">
        <f t="shared" si="11"/>
        <v/>
      </c>
      <c r="C665" s="95"/>
      <c r="D665" s="96"/>
      <c r="E665" s="97"/>
      <c r="F665" s="99"/>
      <c r="G665" s="95"/>
      <c r="H665" s="95"/>
      <c r="I665" s="95"/>
      <c r="J665" s="96"/>
      <c r="K665" s="95"/>
      <c r="L665" s="43" t="str">
        <f t="shared" si="12"/>
        <v/>
      </c>
      <c r="M665" s="42" t="str">
        <f>IF(AND(C665="",D665="",E665="",F665=""),"",IF(OR(C665="",D665="",E665="",F665="",G665=""),"EKSİK",IF(COUNTIF(MUSTERILER!$B$7:$B$156,C665)=0,"TANIMSIZ MÜŞTERİ","UYGUN")))</f>
        <v/>
      </c>
      <c r="N665" s="6"/>
      <c r="O665" s="6"/>
    </row>
    <row r="666" spans="1:15" ht="17">
      <c r="A666" s="6"/>
      <c r="B666" s="95" t="str">
        <f t="shared" si="11"/>
        <v/>
      </c>
      <c r="C666" s="95"/>
      <c r="D666" s="96"/>
      <c r="E666" s="97"/>
      <c r="F666" s="99"/>
      <c r="G666" s="95"/>
      <c r="H666" s="95"/>
      <c r="I666" s="95"/>
      <c r="J666" s="96"/>
      <c r="K666" s="95"/>
      <c r="L666" s="43" t="str">
        <f t="shared" si="12"/>
        <v/>
      </c>
      <c r="M666" s="42" t="str">
        <f>IF(AND(C666="",D666="",E666="",F666=""),"",IF(OR(C666="",D666="",E666="",F666="",G666=""),"EKSİK",IF(COUNTIF(MUSTERILER!$B$7:$B$156,C666)=0,"TANIMSIZ MÜŞTERİ","UYGUN")))</f>
        <v/>
      </c>
      <c r="N666" s="6"/>
      <c r="O666" s="6"/>
    </row>
    <row r="667" spans="1:15" ht="17">
      <c r="A667" s="6"/>
      <c r="B667" s="95" t="str">
        <f t="shared" si="11"/>
        <v/>
      </c>
      <c r="C667" s="95"/>
      <c r="D667" s="96"/>
      <c r="E667" s="97"/>
      <c r="F667" s="99"/>
      <c r="G667" s="95"/>
      <c r="H667" s="95"/>
      <c r="I667" s="95"/>
      <c r="J667" s="96"/>
      <c r="K667" s="95"/>
      <c r="L667" s="43" t="str">
        <f t="shared" si="12"/>
        <v/>
      </c>
      <c r="M667" s="42" t="str">
        <f>IF(AND(C667="",D667="",E667="",F667=""),"",IF(OR(C667="",D667="",E667="",F667="",G667=""),"EKSİK",IF(COUNTIF(MUSTERILER!$B$7:$B$156,C667)=0,"TANIMSIZ MÜŞTERİ","UYGUN")))</f>
        <v/>
      </c>
      <c r="N667" s="6"/>
      <c r="O667" s="6"/>
    </row>
    <row r="668" spans="1:15" ht="17">
      <c r="A668" s="6"/>
      <c r="B668" s="95" t="str">
        <f t="shared" si="11"/>
        <v/>
      </c>
      <c r="C668" s="95"/>
      <c r="D668" s="96"/>
      <c r="E668" s="97"/>
      <c r="F668" s="99"/>
      <c r="G668" s="95"/>
      <c r="H668" s="95"/>
      <c r="I668" s="95"/>
      <c r="J668" s="96"/>
      <c r="K668" s="95"/>
      <c r="L668" s="43" t="str">
        <f t="shared" si="12"/>
        <v/>
      </c>
      <c r="M668" s="42" t="str">
        <f>IF(AND(C668="",D668="",E668="",F668=""),"",IF(OR(C668="",D668="",E668="",F668="",G668=""),"EKSİK",IF(COUNTIF(MUSTERILER!$B$7:$B$156,C668)=0,"TANIMSIZ MÜŞTERİ","UYGUN")))</f>
        <v/>
      </c>
      <c r="N668" s="6"/>
      <c r="O668" s="6"/>
    </row>
    <row r="669" spans="1:15" ht="17">
      <c r="A669" s="6"/>
      <c r="B669" s="95" t="str">
        <f t="shared" si="11"/>
        <v/>
      </c>
      <c r="C669" s="95"/>
      <c r="D669" s="96"/>
      <c r="E669" s="97"/>
      <c r="F669" s="99"/>
      <c r="G669" s="95"/>
      <c r="H669" s="95"/>
      <c r="I669" s="95"/>
      <c r="J669" s="96"/>
      <c r="K669" s="95"/>
      <c r="L669" s="43" t="str">
        <f t="shared" si="12"/>
        <v/>
      </c>
      <c r="M669" s="42" t="str">
        <f>IF(AND(C669="",D669="",E669="",F669=""),"",IF(OR(C669="",D669="",E669="",F669="",G669=""),"EKSİK",IF(COUNTIF(MUSTERILER!$B$7:$B$156,C669)=0,"TANIMSIZ MÜŞTERİ","UYGUN")))</f>
        <v/>
      </c>
      <c r="N669" s="6"/>
      <c r="O669" s="6"/>
    </row>
    <row r="670" spans="1:15" ht="17">
      <c r="A670" s="6"/>
      <c r="B670" s="95" t="str">
        <f t="shared" si="11"/>
        <v/>
      </c>
      <c r="C670" s="95"/>
      <c r="D670" s="96"/>
      <c r="E670" s="97"/>
      <c r="F670" s="99"/>
      <c r="G670" s="95"/>
      <c r="H670" s="95"/>
      <c r="I670" s="95"/>
      <c r="J670" s="96"/>
      <c r="K670" s="95"/>
      <c r="L670" s="43" t="str">
        <f t="shared" si="12"/>
        <v/>
      </c>
      <c r="M670" s="42" t="str">
        <f>IF(AND(C670="",D670="",E670="",F670=""),"",IF(OR(C670="",D670="",E670="",F670="",G670=""),"EKSİK",IF(COUNTIF(MUSTERILER!$B$7:$B$156,C670)=0,"TANIMSIZ MÜŞTERİ","UYGUN")))</f>
        <v/>
      </c>
      <c r="N670" s="6"/>
      <c r="O670" s="6"/>
    </row>
    <row r="671" spans="1:15" ht="17">
      <c r="A671" s="6"/>
      <c r="B671" s="95" t="str">
        <f t="shared" si="11"/>
        <v/>
      </c>
      <c r="C671" s="95"/>
      <c r="D671" s="96"/>
      <c r="E671" s="97"/>
      <c r="F671" s="99"/>
      <c r="G671" s="95"/>
      <c r="H671" s="95"/>
      <c r="I671" s="95"/>
      <c r="J671" s="96"/>
      <c r="K671" s="95"/>
      <c r="L671" s="43" t="str">
        <f t="shared" si="12"/>
        <v/>
      </c>
      <c r="M671" s="42" t="str">
        <f>IF(AND(C671="",D671="",E671="",F671=""),"",IF(OR(C671="",D671="",E671="",F671="",G671=""),"EKSİK",IF(COUNTIF(MUSTERILER!$B$7:$B$156,C671)=0,"TANIMSIZ MÜŞTERİ","UYGUN")))</f>
        <v/>
      </c>
      <c r="N671" s="6"/>
      <c r="O671" s="6"/>
    </row>
    <row r="672" spans="1:15" ht="17">
      <c r="A672" s="6"/>
      <c r="B672" s="95" t="str">
        <f t="shared" si="11"/>
        <v/>
      </c>
      <c r="C672" s="95"/>
      <c r="D672" s="96"/>
      <c r="E672" s="97"/>
      <c r="F672" s="99"/>
      <c r="G672" s="95"/>
      <c r="H672" s="95"/>
      <c r="I672" s="95"/>
      <c r="J672" s="96"/>
      <c r="K672" s="95"/>
      <c r="L672" s="43" t="str">
        <f t="shared" si="12"/>
        <v/>
      </c>
      <c r="M672" s="42" t="str">
        <f>IF(AND(C672="",D672="",E672="",F672=""),"",IF(OR(C672="",D672="",E672="",F672="",G672=""),"EKSİK",IF(COUNTIF(MUSTERILER!$B$7:$B$156,C672)=0,"TANIMSIZ MÜŞTERİ","UYGUN")))</f>
        <v/>
      </c>
      <c r="N672" s="6"/>
      <c r="O672" s="6"/>
    </row>
    <row r="673" spans="1:15" ht="17">
      <c r="A673" s="6"/>
      <c r="B673" s="95" t="str">
        <f t="shared" si="11"/>
        <v/>
      </c>
      <c r="C673" s="95"/>
      <c r="D673" s="96"/>
      <c r="E673" s="97"/>
      <c r="F673" s="99"/>
      <c r="G673" s="95"/>
      <c r="H673" s="95"/>
      <c r="I673" s="95"/>
      <c r="J673" s="96"/>
      <c r="K673" s="95"/>
      <c r="L673" s="43" t="str">
        <f t="shared" si="12"/>
        <v/>
      </c>
      <c r="M673" s="42" t="str">
        <f>IF(AND(C673="",D673="",E673="",F673=""),"",IF(OR(C673="",D673="",E673="",F673="",G673=""),"EKSİK",IF(COUNTIF(MUSTERILER!$B$7:$B$156,C673)=0,"TANIMSIZ MÜŞTERİ","UYGUN")))</f>
        <v/>
      </c>
      <c r="N673" s="6"/>
      <c r="O673" s="6"/>
    </row>
    <row r="674" spans="1:15" ht="17">
      <c r="A674" s="6"/>
      <c r="B674" s="95" t="str">
        <f t="shared" si="11"/>
        <v/>
      </c>
      <c r="C674" s="95"/>
      <c r="D674" s="96"/>
      <c r="E674" s="97"/>
      <c r="F674" s="99"/>
      <c r="G674" s="95"/>
      <c r="H674" s="95"/>
      <c r="I674" s="95"/>
      <c r="J674" s="96"/>
      <c r="K674" s="95"/>
      <c r="L674" s="43" t="str">
        <f t="shared" si="12"/>
        <v/>
      </c>
      <c r="M674" s="42" t="str">
        <f>IF(AND(C674="",D674="",E674="",F674=""),"",IF(OR(C674="",D674="",E674="",F674="",G674=""),"EKSİK",IF(COUNTIF(MUSTERILER!$B$7:$B$156,C674)=0,"TANIMSIZ MÜŞTERİ","UYGUN")))</f>
        <v/>
      </c>
      <c r="N674" s="6"/>
      <c r="O674" s="6"/>
    </row>
    <row r="675" spans="1:15" ht="17">
      <c r="A675" s="6"/>
      <c r="B675" s="95" t="str">
        <f t="shared" si="11"/>
        <v/>
      </c>
      <c r="C675" s="95"/>
      <c r="D675" s="96"/>
      <c r="E675" s="97"/>
      <c r="F675" s="99"/>
      <c r="G675" s="95"/>
      <c r="H675" s="95"/>
      <c r="I675" s="95"/>
      <c r="J675" s="96"/>
      <c r="K675" s="95"/>
      <c r="L675" s="43" t="str">
        <f t="shared" si="12"/>
        <v/>
      </c>
      <c r="M675" s="42" t="str">
        <f>IF(AND(C675="",D675="",E675="",F675=""),"",IF(OR(C675="",D675="",E675="",F675="",G675=""),"EKSİK",IF(COUNTIF(MUSTERILER!$B$7:$B$156,C675)=0,"TANIMSIZ MÜŞTERİ","UYGUN")))</f>
        <v/>
      </c>
      <c r="N675" s="6"/>
      <c r="O675" s="6"/>
    </row>
    <row r="676" spans="1:15" ht="17">
      <c r="A676" s="6"/>
      <c r="B676" s="95" t="str">
        <f t="shared" si="11"/>
        <v/>
      </c>
      <c r="C676" s="95"/>
      <c r="D676" s="96"/>
      <c r="E676" s="97"/>
      <c r="F676" s="99"/>
      <c r="G676" s="95"/>
      <c r="H676" s="95"/>
      <c r="I676" s="95"/>
      <c r="J676" s="96"/>
      <c r="K676" s="95"/>
      <c r="L676" s="43" t="str">
        <f t="shared" si="12"/>
        <v/>
      </c>
      <c r="M676" s="42" t="str">
        <f>IF(AND(C676="",D676="",E676="",F676=""),"",IF(OR(C676="",D676="",E676="",F676="",G676=""),"EKSİK",IF(COUNTIF(MUSTERILER!$B$7:$B$156,C676)=0,"TANIMSIZ MÜŞTERİ","UYGUN")))</f>
        <v/>
      </c>
      <c r="N676" s="6"/>
      <c r="O676" s="6"/>
    </row>
    <row r="677" spans="1:15" ht="17">
      <c r="A677" s="6"/>
      <c r="B677" s="95" t="str">
        <f t="shared" si="11"/>
        <v/>
      </c>
      <c r="C677" s="95"/>
      <c r="D677" s="96"/>
      <c r="E677" s="97"/>
      <c r="F677" s="99"/>
      <c r="G677" s="95"/>
      <c r="H677" s="95"/>
      <c r="I677" s="95"/>
      <c r="J677" s="96"/>
      <c r="K677" s="95"/>
      <c r="L677" s="43" t="str">
        <f t="shared" si="12"/>
        <v/>
      </c>
      <c r="M677" s="42" t="str">
        <f>IF(AND(C677="",D677="",E677="",F677=""),"",IF(OR(C677="",D677="",E677="",F677="",G677=""),"EKSİK",IF(COUNTIF(MUSTERILER!$B$7:$B$156,C677)=0,"TANIMSIZ MÜŞTERİ","UYGUN")))</f>
        <v/>
      </c>
      <c r="N677" s="6"/>
      <c r="O677" s="6"/>
    </row>
    <row r="678" spans="1:15" ht="17">
      <c r="A678" s="6"/>
      <c r="B678" s="95" t="str">
        <f t="shared" si="11"/>
        <v/>
      </c>
      <c r="C678" s="95"/>
      <c r="D678" s="96"/>
      <c r="E678" s="97"/>
      <c r="F678" s="99"/>
      <c r="G678" s="95"/>
      <c r="H678" s="95"/>
      <c r="I678" s="95"/>
      <c r="J678" s="96"/>
      <c r="K678" s="95"/>
      <c r="L678" s="43" t="str">
        <f t="shared" si="12"/>
        <v/>
      </c>
      <c r="M678" s="42" t="str">
        <f>IF(AND(C678="",D678="",E678="",F678=""),"",IF(OR(C678="",D678="",E678="",F678="",G678=""),"EKSİK",IF(COUNTIF(MUSTERILER!$B$7:$B$156,C678)=0,"TANIMSIZ MÜŞTERİ","UYGUN")))</f>
        <v/>
      </c>
      <c r="N678" s="6"/>
      <c r="O678" s="6"/>
    </row>
    <row r="679" spans="1:15" ht="17">
      <c r="A679" s="6"/>
      <c r="B679" s="95" t="str">
        <f t="shared" si="11"/>
        <v/>
      </c>
      <c r="C679" s="95"/>
      <c r="D679" s="96"/>
      <c r="E679" s="97"/>
      <c r="F679" s="99"/>
      <c r="G679" s="95"/>
      <c r="H679" s="95"/>
      <c r="I679" s="95"/>
      <c r="J679" s="96"/>
      <c r="K679" s="95"/>
      <c r="L679" s="43" t="str">
        <f t="shared" si="12"/>
        <v/>
      </c>
      <c r="M679" s="42" t="str">
        <f>IF(AND(C679="",D679="",E679="",F679=""),"",IF(OR(C679="",D679="",E679="",F679="",G679=""),"EKSİK",IF(COUNTIF(MUSTERILER!$B$7:$B$156,C679)=0,"TANIMSIZ MÜŞTERİ","UYGUN")))</f>
        <v/>
      </c>
      <c r="N679" s="6"/>
      <c r="O679" s="6"/>
    </row>
    <row r="680" spans="1:15" ht="17">
      <c r="A680" s="6"/>
      <c r="B680" s="95" t="str">
        <f t="shared" si="11"/>
        <v/>
      </c>
      <c r="C680" s="95"/>
      <c r="D680" s="96"/>
      <c r="E680" s="97"/>
      <c r="F680" s="99"/>
      <c r="G680" s="95"/>
      <c r="H680" s="95"/>
      <c r="I680" s="95"/>
      <c r="J680" s="96"/>
      <c r="K680" s="95"/>
      <c r="L680" s="43" t="str">
        <f t="shared" si="12"/>
        <v/>
      </c>
      <c r="M680" s="42" t="str">
        <f>IF(AND(C680="",D680="",E680="",F680=""),"",IF(OR(C680="",D680="",E680="",F680="",G680=""),"EKSİK",IF(COUNTIF(MUSTERILER!$B$7:$B$156,C680)=0,"TANIMSIZ MÜŞTERİ","UYGUN")))</f>
        <v/>
      </c>
      <c r="N680" s="6"/>
      <c r="O680" s="6"/>
    </row>
    <row r="681" spans="1:15" ht="17">
      <c r="A681" s="6"/>
      <c r="B681" s="95" t="str">
        <f t="shared" si="11"/>
        <v/>
      </c>
      <c r="C681" s="95"/>
      <c r="D681" s="96"/>
      <c r="E681" s="97"/>
      <c r="F681" s="99"/>
      <c r="G681" s="95"/>
      <c r="H681" s="95"/>
      <c r="I681" s="95"/>
      <c r="J681" s="96"/>
      <c r="K681" s="95"/>
      <c r="L681" s="43" t="str">
        <f t="shared" si="12"/>
        <v/>
      </c>
      <c r="M681" s="42" t="str">
        <f>IF(AND(C681="",D681="",E681="",F681=""),"",IF(OR(C681="",D681="",E681="",F681="",G681=""),"EKSİK",IF(COUNTIF(MUSTERILER!$B$7:$B$156,C681)=0,"TANIMSIZ MÜŞTERİ","UYGUN")))</f>
        <v/>
      </c>
      <c r="N681" s="6"/>
      <c r="O681" s="6"/>
    </row>
    <row r="682" spans="1:15" ht="17">
      <c r="A682" s="6"/>
      <c r="B682" s="95" t="str">
        <f t="shared" si="11"/>
        <v/>
      </c>
      <c r="C682" s="95"/>
      <c r="D682" s="96"/>
      <c r="E682" s="97"/>
      <c r="F682" s="99"/>
      <c r="G682" s="95"/>
      <c r="H682" s="95"/>
      <c r="I682" s="95"/>
      <c r="J682" s="96"/>
      <c r="K682" s="95"/>
      <c r="L682" s="43" t="str">
        <f t="shared" si="12"/>
        <v/>
      </c>
      <c r="M682" s="42" t="str">
        <f>IF(AND(C682="",D682="",E682="",F682=""),"",IF(OR(C682="",D682="",E682="",F682="",G682=""),"EKSİK",IF(COUNTIF(MUSTERILER!$B$7:$B$156,C682)=0,"TANIMSIZ MÜŞTERİ","UYGUN")))</f>
        <v/>
      </c>
      <c r="N682" s="6"/>
      <c r="O682" s="6"/>
    </row>
    <row r="683" spans="1:15" ht="17">
      <c r="A683" s="6"/>
      <c r="B683" s="95" t="str">
        <f t="shared" si="11"/>
        <v/>
      </c>
      <c r="C683" s="95"/>
      <c r="D683" s="96"/>
      <c r="E683" s="97"/>
      <c r="F683" s="99"/>
      <c r="G683" s="95"/>
      <c r="H683" s="95"/>
      <c r="I683" s="95"/>
      <c r="J683" s="96"/>
      <c r="K683" s="95"/>
      <c r="L683" s="43" t="str">
        <f t="shared" si="12"/>
        <v/>
      </c>
      <c r="M683" s="42" t="str">
        <f>IF(AND(C683="",D683="",E683="",F683=""),"",IF(OR(C683="",D683="",E683="",F683="",G683=""),"EKSİK",IF(COUNTIF(MUSTERILER!$B$7:$B$156,C683)=0,"TANIMSIZ MÜŞTERİ","UYGUN")))</f>
        <v/>
      </c>
      <c r="N683" s="6"/>
      <c r="O683" s="6"/>
    </row>
    <row r="684" spans="1:15" ht="17">
      <c r="A684" s="6"/>
      <c r="B684" s="95" t="str">
        <f t="shared" si="11"/>
        <v/>
      </c>
      <c r="C684" s="95"/>
      <c r="D684" s="96"/>
      <c r="E684" s="97"/>
      <c r="F684" s="99"/>
      <c r="G684" s="95"/>
      <c r="H684" s="95"/>
      <c r="I684" s="95"/>
      <c r="J684" s="96"/>
      <c r="K684" s="95"/>
      <c r="L684" s="43" t="str">
        <f t="shared" si="12"/>
        <v/>
      </c>
      <c r="M684" s="42" t="str">
        <f>IF(AND(C684="",D684="",E684="",F684=""),"",IF(OR(C684="",D684="",E684="",F684="",G684=""),"EKSİK",IF(COUNTIF(MUSTERILER!$B$7:$B$156,C684)=0,"TANIMSIZ MÜŞTERİ","UYGUN")))</f>
        <v/>
      </c>
      <c r="N684" s="6"/>
      <c r="O684" s="6"/>
    </row>
    <row r="685" spans="1:15" ht="17">
      <c r="A685" s="6"/>
      <c r="B685" s="95" t="str">
        <f t="shared" si="11"/>
        <v/>
      </c>
      <c r="C685" s="95"/>
      <c r="D685" s="96"/>
      <c r="E685" s="97"/>
      <c r="F685" s="99"/>
      <c r="G685" s="95"/>
      <c r="H685" s="95"/>
      <c r="I685" s="95"/>
      <c r="J685" s="96"/>
      <c r="K685" s="95"/>
      <c r="L685" s="43" t="str">
        <f t="shared" si="12"/>
        <v/>
      </c>
      <c r="M685" s="42" t="str">
        <f>IF(AND(C685="",D685="",E685="",F685=""),"",IF(OR(C685="",D685="",E685="",F685="",G685=""),"EKSİK",IF(COUNTIF(MUSTERILER!$B$7:$B$156,C685)=0,"TANIMSIZ MÜŞTERİ","UYGUN")))</f>
        <v/>
      </c>
      <c r="N685" s="6"/>
      <c r="O685" s="6"/>
    </row>
    <row r="686" spans="1:15" ht="17">
      <c r="A686" s="6"/>
      <c r="B686" s="95" t="str">
        <f t="shared" ref="B686:B749" si="13">IF(E686="","","T"&amp;TEXT(ROW()-6,"00000"))</f>
        <v/>
      </c>
      <c r="C686" s="95"/>
      <c r="D686" s="96"/>
      <c r="E686" s="97"/>
      <c r="F686" s="99"/>
      <c r="G686" s="95"/>
      <c r="H686" s="95"/>
      <c r="I686" s="95"/>
      <c r="J686" s="96"/>
      <c r="K686" s="95"/>
      <c r="L686" s="43" t="str">
        <f t="shared" si="12"/>
        <v/>
      </c>
      <c r="M686" s="42" t="str">
        <f>IF(AND(C686="",D686="",E686="",F686=""),"",IF(OR(C686="",D686="",E686="",F686="",G686=""),"EKSİK",IF(COUNTIF(MUSTERILER!$B$7:$B$156,C686)=0,"TANIMSIZ MÜŞTERİ","UYGUN")))</f>
        <v/>
      </c>
      <c r="N686" s="6"/>
      <c r="O686" s="6"/>
    </row>
    <row r="687" spans="1:15" ht="17">
      <c r="A687" s="6"/>
      <c r="B687" s="95" t="str">
        <f t="shared" si="13"/>
        <v/>
      </c>
      <c r="C687" s="95"/>
      <c r="D687" s="96"/>
      <c r="E687" s="97"/>
      <c r="F687" s="99"/>
      <c r="G687" s="95"/>
      <c r="H687" s="95"/>
      <c r="I687" s="95"/>
      <c r="J687" s="96"/>
      <c r="K687" s="95"/>
      <c r="L687" s="43" t="str">
        <f t="shared" si="12"/>
        <v/>
      </c>
      <c r="M687" s="42" t="str">
        <f>IF(AND(C687="",D687="",E687="",F687=""),"",IF(OR(C687="",D687="",E687="",F687="",G687=""),"EKSİK",IF(COUNTIF(MUSTERILER!$B$7:$B$156,C687)=0,"TANIMSIZ MÜŞTERİ","UYGUN")))</f>
        <v/>
      </c>
      <c r="N687" s="6"/>
      <c r="O687" s="6"/>
    </row>
    <row r="688" spans="1:15" ht="17">
      <c r="A688" s="6"/>
      <c r="B688" s="95" t="str">
        <f t="shared" si="13"/>
        <v/>
      </c>
      <c r="C688" s="95"/>
      <c r="D688" s="96"/>
      <c r="E688" s="97"/>
      <c r="F688" s="99"/>
      <c r="G688" s="95"/>
      <c r="H688" s="95"/>
      <c r="I688" s="95"/>
      <c r="J688" s="96"/>
      <c r="K688" s="95"/>
      <c r="L688" s="43" t="str">
        <f t="shared" si="12"/>
        <v/>
      </c>
      <c r="M688" s="42" t="str">
        <f>IF(AND(C688="",D688="",E688="",F688=""),"",IF(OR(C688="",D688="",E688="",F688="",G688=""),"EKSİK",IF(COUNTIF(MUSTERILER!$B$7:$B$156,C688)=0,"TANIMSIZ MÜŞTERİ","UYGUN")))</f>
        <v/>
      </c>
      <c r="N688" s="6"/>
      <c r="O688" s="6"/>
    </row>
    <row r="689" spans="1:15" ht="17">
      <c r="A689" s="6"/>
      <c r="B689" s="95" t="str">
        <f t="shared" si="13"/>
        <v/>
      </c>
      <c r="C689" s="95"/>
      <c r="D689" s="96"/>
      <c r="E689" s="97"/>
      <c r="F689" s="99"/>
      <c r="G689" s="95"/>
      <c r="H689" s="95"/>
      <c r="I689" s="95"/>
      <c r="J689" s="96"/>
      <c r="K689" s="95"/>
      <c r="L689" s="43" t="str">
        <f t="shared" si="12"/>
        <v/>
      </c>
      <c r="M689" s="42" t="str">
        <f>IF(AND(C689="",D689="",E689="",F689=""),"",IF(OR(C689="",D689="",E689="",F689="",G689=""),"EKSİK",IF(COUNTIF(MUSTERILER!$B$7:$B$156,C689)=0,"TANIMSIZ MÜŞTERİ","UYGUN")))</f>
        <v/>
      </c>
      <c r="N689" s="6"/>
      <c r="O689" s="6"/>
    </row>
    <row r="690" spans="1:15" ht="17">
      <c r="A690" s="6"/>
      <c r="B690" s="95" t="str">
        <f t="shared" si="13"/>
        <v/>
      </c>
      <c r="C690" s="95"/>
      <c r="D690" s="96"/>
      <c r="E690" s="97"/>
      <c r="F690" s="99"/>
      <c r="G690" s="95"/>
      <c r="H690" s="95"/>
      <c r="I690" s="95"/>
      <c r="J690" s="96"/>
      <c r="K690" s="95"/>
      <c r="L690" s="43" t="str">
        <f t="shared" si="12"/>
        <v/>
      </c>
      <c r="M690" s="42" t="str">
        <f>IF(AND(C690="",D690="",E690="",F690=""),"",IF(OR(C690="",D690="",E690="",F690="",G690=""),"EKSİK",IF(COUNTIF(MUSTERILER!$B$7:$B$156,C690)=0,"TANIMSIZ MÜŞTERİ","UYGUN")))</f>
        <v/>
      </c>
      <c r="N690" s="6"/>
      <c r="O690" s="6"/>
    </row>
    <row r="691" spans="1:15" ht="17">
      <c r="A691" s="6"/>
      <c r="B691" s="95" t="str">
        <f t="shared" si="13"/>
        <v/>
      </c>
      <c r="C691" s="95"/>
      <c r="D691" s="96"/>
      <c r="E691" s="97"/>
      <c r="F691" s="99"/>
      <c r="G691" s="95"/>
      <c r="H691" s="95"/>
      <c r="I691" s="95"/>
      <c r="J691" s="96"/>
      <c r="K691" s="95"/>
      <c r="L691" s="43" t="str">
        <f t="shared" si="12"/>
        <v/>
      </c>
      <c r="M691" s="42" t="str">
        <f>IF(AND(C691="",D691="",E691="",F691=""),"",IF(OR(C691="",D691="",E691="",F691="",G691=""),"EKSİK",IF(COUNTIF(MUSTERILER!$B$7:$B$156,C691)=0,"TANIMSIZ MÜŞTERİ","UYGUN")))</f>
        <v/>
      </c>
      <c r="N691" s="6"/>
      <c r="O691" s="6"/>
    </row>
    <row r="692" spans="1:15" ht="17">
      <c r="A692" s="6"/>
      <c r="B692" s="95" t="str">
        <f t="shared" si="13"/>
        <v/>
      </c>
      <c r="C692" s="95"/>
      <c r="D692" s="96"/>
      <c r="E692" s="97"/>
      <c r="F692" s="99"/>
      <c r="G692" s="95"/>
      <c r="H692" s="95"/>
      <c r="I692" s="95"/>
      <c r="J692" s="96"/>
      <c r="K692" s="95"/>
      <c r="L692" s="43" t="str">
        <f t="shared" si="12"/>
        <v/>
      </c>
      <c r="M692" s="42" t="str">
        <f>IF(AND(C692="",D692="",E692="",F692=""),"",IF(OR(C692="",D692="",E692="",F692="",G692=""),"EKSİK",IF(COUNTIF(MUSTERILER!$B$7:$B$156,C692)=0,"TANIMSIZ MÜŞTERİ","UYGUN")))</f>
        <v/>
      </c>
      <c r="N692" s="6"/>
      <c r="O692" s="6"/>
    </row>
    <row r="693" spans="1:15" ht="17">
      <c r="A693" s="6"/>
      <c r="B693" s="95" t="str">
        <f t="shared" si="13"/>
        <v/>
      </c>
      <c r="C693" s="95"/>
      <c r="D693" s="96"/>
      <c r="E693" s="97"/>
      <c r="F693" s="99"/>
      <c r="G693" s="95"/>
      <c r="H693" s="95"/>
      <c r="I693" s="95"/>
      <c r="J693" s="96"/>
      <c r="K693" s="95"/>
      <c r="L693" s="43" t="str">
        <f t="shared" si="12"/>
        <v/>
      </c>
      <c r="M693" s="42" t="str">
        <f>IF(AND(C693="",D693="",E693="",F693=""),"",IF(OR(C693="",D693="",E693="",F693="",G693=""),"EKSİK",IF(COUNTIF(MUSTERILER!$B$7:$B$156,C693)=0,"TANIMSIZ MÜŞTERİ","UYGUN")))</f>
        <v/>
      </c>
      <c r="N693" s="6"/>
      <c r="O693" s="6"/>
    </row>
    <row r="694" spans="1:15" ht="17">
      <c r="A694" s="6"/>
      <c r="B694" s="95" t="str">
        <f t="shared" si="13"/>
        <v/>
      </c>
      <c r="C694" s="95"/>
      <c r="D694" s="96"/>
      <c r="E694" s="97"/>
      <c r="F694" s="99"/>
      <c r="G694" s="95"/>
      <c r="H694" s="95"/>
      <c r="I694" s="95"/>
      <c r="J694" s="96"/>
      <c r="K694" s="95"/>
      <c r="L694" s="43" t="str">
        <f t="shared" si="12"/>
        <v/>
      </c>
      <c r="M694" s="42" t="str">
        <f>IF(AND(C694="",D694="",E694="",F694=""),"",IF(OR(C694="",D694="",E694="",F694="",G694=""),"EKSİK",IF(COUNTIF(MUSTERILER!$B$7:$B$156,C694)=0,"TANIMSIZ MÜŞTERİ","UYGUN")))</f>
        <v/>
      </c>
      <c r="N694" s="6"/>
      <c r="O694" s="6"/>
    </row>
    <row r="695" spans="1:15" ht="17">
      <c r="A695" s="6"/>
      <c r="B695" s="95" t="str">
        <f t="shared" si="13"/>
        <v/>
      </c>
      <c r="C695" s="95"/>
      <c r="D695" s="96"/>
      <c r="E695" s="97"/>
      <c r="F695" s="99"/>
      <c r="G695" s="95"/>
      <c r="H695" s="95"/>
      <c r="I695" s="95"/>
      <c r="J695" s="96"/>
      <c r="K695" s="95"/>
      <c r="L695" s="43" t="str">
        <f t="shared" si="12"/>
        <v/>
      </c>
      <c r="M695" s="42" t="str">
        <f>IF(AND(C695="",D695="",E695="",F695=""),"",IF(OR(C695="",D695="",E695="",F695="",G695=""),"EKSİK",IF(COUNTIF(MUSTERILER!$B$7:$B$156,C695)=0,"TANIMSIZ MÜŞTERİ","UYGUN")))</f>
        <v/>
      </c>
      <c r="N695" s="6"/>
      <c r="O695" s="6"/>
    </row>
    <row r="696" spans="1:15" ht="17">
      <c r="A696" s="6"/>
      <c r="B696" s="95" t="str">
        <f t="shared" si="13"/>
        <v/>
      </c>
      <c r="C696" s="95"/>
      <c r="D696" s="96"/>
      <c r="E696" s="97"/>
      <c r="F696" s="99"/>
      <c r="G696" s="95"/>
      <c r="H696" s="95"/>
      <c r="I696" s="95"/>
      <c r="J696" s="96"/>
      <c r="K696" s="95"/>
      <c r="L696" s="43" t="str">
        <f t="shared" si="12"/>
        <v/>
      </c>
      <c r="M696" s="42" t="str">
        <f>IF(AND(C696="",D696="",E696="",F696=""),"",IF(OR(C696="",D696="",E696="",F696="",G696=""),"EKSİK",IF(COUNTIF(MUSTERILER!$B$7:$B$156,C696)=0,"TANIMSIZ MÜŞTERİ","UYGUN")))</f>
        <v/>
      </c>
      <c r="N696" s="6"/>
      <c r="O696" s="6"/>
    </row>
    <row r="697" spans="1:15" ht="17">
      <c r="A697" s="6"/>
      <c r="B697" s="95" t="str">
        <f t="shared" si="13"/>
        <v/>
      </c>
      <c r="C697" s="95"/>
      <c r="D697" s="96"/>
      <c r="E697" s="97"/>
      <c r="F697" s="99"/>
      <c r="G697" s="95"/>
      <c r="H697" s="95"/>
      <c r="I697" s="95"/>
      <c r="J697" s="96"/>
      <c r="K697" s="95"/>
      <c r="L697" s="43" t="str">
        <f t="shared" si="12"/>
        <v/>
      </c>
      <c r="M697" s="42" t="str">
        <f>IF(AND(C697="",D697="",E697="",F697=""),"",IF(OR(C697="",D697="",E697="",F697="",G697=""),"EKSİK",IF(COUNTIF(MUSTERILER!$B$7:$B$156,C697)=0,"TANIMSIZ MÜŞTERİ","UYGUN")))</f>
        <v/>
      </c>
      <c r="N697" s="6"/>
      <c r="O697" s="6"/>
    </row>
    <row r="698" spans="1:15" ht="17">
      <c r="A698" s="6"/>
      <c r="B698" s="95" t="str">
        <f t="shared" si="13"/>
        <v/>
      </c>
      <c r="C698" s="95"/>
      <c r="D698" s="96"/>
      <c r="E698" s="97"/>
      <c r="F698" s="99"/>
      <c r="G698" s="95"/>
      <c r="H698" s="95"/>
      <c r="I698" s="95"/>
      <c r="J698" s="96"/>
      <c r="K698" s="95"/>
      <c r="L698" s="43" t="str">
        <f t="shared" si="12"/>
        <v/>
      </c>
      <c r="M698" s="42" t="str">
        <f>IF(AND(C698="",D698="",E698="",F698=""),"",IF(OR(C698="",D698="",E698="",F698="",G698=""),"EKSİK",IF(COUNTIF(MUSTERILER!$B$7:$B$156,C698)=0,"TANIMSIZ MÜŞTERİ","UYGUN")))</f>
        <v/>
      </c>
      <c r="N698" s="6"/>
      <c r="O698" s="6"/>
    </row>
    <row r="699" spans="1:15" ht="17">
      <c r="A699" s="6"/>
      <c r="B699" s="95" t="str">
        <f t="shared" si="13"/>
        <v/>
      </c>
      <c r="C699" s="95"/>
      <c r="D699" s="96"/>
      <c r="E699" s="97"/>
      <c r="F699" s="99"/>
      <c r="G699" s="95"/>
      <c r="H699" s="95"/>
      <c r="I699" s="95"/>
      <c r="J699" s="96"/>
      <c r="K699" s="95"/>
      <c r="L699" s="43" t="str">
        <f t="shared" si="12"/>
        <v/>
      </c>
      <c r="M699" s="42" t="str">
        <f>IF(AND(C699="",D699="",E699="",F699=""),"",IF(OR(C699="",D699="",E699="",F699="",G699=""),"EKSİK",IF(COUNTIF(MUSTERILER!$B$7:$B$156,C699)=0,"TANIMSIZ MÜŞTERİ","UYGUN")))</f>
        <v/>
      </c>
      <c r="N699" s="6"/>
      <c r="O699" s="6"/>
    </row>
    <row r="700" spans="1:15" ht="17">
      <c r="A700" s="6"/>
      <c r="B700" s="95" t="str">
        <f t="shared" si="13"/>
        <v/>
      </c>
      <c r="C700" s="95"/>
      <c r="D700" s="96"/>
      <c r="E700" s="97"/>
      <c r="F700" s="99"/>
      <c r="G700" s="95"/>
      <c r="H700" s="95"/>
      <c r="I700" s="95"/>
      <c r="J700" s="96"/>
      <c r="K700" s="95"/>
      <c r="L700" s="43" t="str">
        <f t="shared" si="12"/>
        <v/>
      </c>
      <c r="M700" s="42" t="str">
        <f>IF(AND(C700="",D700="",E700="",F700=""),"",IF(OR(C700="",D700="",E700="",F700="",G700=""),"EKSİK",IF(COUNTIF(MUSTERILER!$B$7:$B$156,C700)=0,"TANIMSIZ MÜŞTERİ","UYGUN")))</f>
        <v/>
      </c>
      <c r="N700" s="6"/>
      <c r="O700" s="6"/>
    </row>
    <row r="701" spans="1:15" ht="17">
      <c r="A701" s="6"/>
      <c r="B701" s="95" t="str">
        <f t="shared" si="13"/>
        <v/>
      </c>
      <c r="C701" s="95"/>
      <c r="D701" s="96"/>
      <c r="E701" s="97"/>
      <c r="F701" s="99"/>
      <c r="G701" s="95"/>
      <c r="H701" s="95"/>
      <c r="I701" s="95"/>
      <c r="J701" s="96"/>
      <c r="K701" s="95"/>
      <c r="L701" s="43" t="str">
        <f t="shared" si="12"/>
        <v/>
      </c>
      <c r="M701" s="42" t="str">
        <f>IF(AND(C701="",D701="",E701="",F701=""),"",IF(OR(C701="",D701="",E701="",F701="",G701=""),"EKSİK",IF(COUNTIF(MUSTERILER!$B$7:$B$156,C701)=0,"TANIMSIZ MÜŞTERİ","UYGUN")))</f>
        <v/>
      </c>
      <c r="N701" s="6"/>
      <c r="O701" s="6"/>
    </row>
    <row r="702" spans="1:15" ht="17">
      <c r="A702" s="6"/>
      <c r="B702" s="95" t="str">
        <f t="shared" si="13"/>
        <v/>
      </c>
      <c r="C702" s="95"/>
      <c r="D702" s="96"/>
      <c r="E702" s="97"/>
      <c r="F702" s="99"/>
      <c r="G702" s="95"/>
      <c r="H702" s="95"/>
      <c r="I702" s="95"/>
      <c r="J702" s="96"/>
      <c r="K702" s="95"/>
      <c r="L702" s="43" t="str">
        <f t="shared" si="12"/>
        <v/>
      </c>
      <c r="M702" s="42" t="str">
        <f>IF(AND(C702="",D702="",E702="",F702=""),"",IF(OR(C702="",D702="",E702="",F702="",G702=""),"EKSİK",IF(COUNTIF(MUSTERILER!$B$7:$B$156,C702)=0,"TANIMSIZ MÜŞTERİ","UYGUN")))</f>
        <v/>
      </c>
      <c r="N702" s="6"/>
      <c r="O702" s="6"/>
    </row>
    <row r="703" spans="1:15" ht="17">
      <c r="A703" s="6"/>
      <c r="B703" s="95" t="str">
        <f t="shared" si="13"/>
        <v/>
      </c>
      <c r="C703" s="95"/>
      <c r="D703" s="96"/>
      <c r="E703" s="97"/>
      <c r="F703" s="99"/>
      <c r="G703" s="95"/>
      <c r="H703" s="95"/>
      <c r="I703" s="95"/>
      <c r="J703" s="96"/>
      <c r="K703" s="95"/>
      <c r="L703" s="43" t="str">
        <f t="shared" si="12"/>
        <v/>
      </c>
      <c r="M703" s="42" t="str">
        <f>IF(AND(C703="",D703="",E703="",F703=""),"",IF(OR(C703="",D703="",E703="",F703="",G703=""),"EKSİK",IF(COUNTIF(MUSTERILER!$B$7:$B$156,C703)=0,"TANIMSIZ MÜŞTERİ","UYGUN")))</f>
        <v/>
      </c>
      <c r="N703" s="6"/>
      <c r="O703" s="6"/>
    </row>
    <row r="704" spans="1:15" ht="17">
      <c r="A704" s="6"/>
      <c r="B704" s="95" t="str">
        <f t="shared" si="13"/>
        <v/>
      </c>
      <c r="C704" s="95"/>
      <c r="D704" s="96"/>
      <c r="E704" s="97"/>
      <c r="F704" s="99"/>
      <c r="G704" s="95"/>
      <c r="H704" s="95"/>
      <c r="I704" s="95"/>
      <c r="J704" s="96"/>
      <c r="K704" s="95"/>
      <c r="L704" s="43" t="str">
        <f t="shared" si="12"/>
        <v/>
      </c>
      <c r="M704" s="42" t="str">
        <f>IF(AND(C704="",D704="",E704="",F704=""),"",IF(OR(C704="",D704="",E704="",F704="",G704=""),"EKSİK",IF(COUNTIF(MUSTERILER!$B$7:$B$156,C704)=0,"TANIMSIZ MÜŞTERİ","UYGUN")))</f>
        <v/>
      </c>
      <c r="N704" s="6"/>
      <c r="O704" s="6"/>
    </row>
    <row r="705" spans="1:15" ht="17">
      <c r="A705" s="6"/>
      <c r="B705" s="95" t="str">
        <f t="shared" si="13"/>
        <v/>
      </c>
      <c r="C705" s="95"/>
      <c r="D705" s="96"/>
      <c r="E705" s="97"/>
      <c r="F705" s="99"/>
      <c r="G705" s="95"/>
      <c r="H705" s="95"/>
      <c r="I705" s="95"/>
      <c r="J705" s="96"/>
      <c r="K705" s="95"/>
      <c r="L705" s="43" t="str">
        <f t="shared" si="12"/>
        <v/>
      </c>
      <c r="M705" s="42" t="str">
        <f>IF(AND(C705="",D705="",E705="",F705=""),"",IF(OR(C705="",D705="",E705="",F705="",G705=""),"EKSİK",IF(COUNTIF(MUSTERILER!$B$7:$B$156,C705)=0,"TANIMSIZ MÜŞTERİ","UYGUN")))</f>
        <v/>
      </c>
      <c r="N705" s="6"/>
      <c r="O705" s="6"/>
    </row>
    <row r="706" spans="1:15" ht="17">
      <c r="A706" s="6"/>
      <c r="B706" s="95" t="str">
        <f t="shared" si="13"/>
        <v/>
      </c>
      <c r="C706" s="95"/>
      <c r="D706" s="96"/>
      <c r="E706" s="97"/>
      <c r="F706" s="99"/>
      <c r="G706" s="95"/>
      <c r="H706" s="95"/>
      <c r="I706" s="95"/>
      <c r="J706" s="96"/>
      <c r="K706" s="95"/>
      <c r="L706" s="43" t="str">
        <f t="shared" si="12"/>
        <v/>
      </c>
      <c r="M706" s="42" t="str">
        <f>IF(AND(C706="",D706="",E706="",F706=""),"",IF(OR(C706="",D706="",E706="",F706="",G706=""),"EKSİK",IF(COUNTIF(MUSTERILER!$B$7:$B$156,C706)=0,"TANIMSIZ MÜŞTERİ","UYGUN")))</f>
        <v/>
      </c>
      <c r="N706" s="6"/>
      <c r="O706" s="6"/>
    </row>
    <row r="707" spans="1:15" ht="17">
      <c r="A707" s="6"/>
      <c r="B707" s="95" t="str">
        <f t="shared" si="13"/>
        <v/>
      </c>
      <c r="C707" s="95"/>
      <c r="D707" s="96"/>
      <c r="E707" s="97"/>
      <c r="F707" s="99"/>
      <c r="G707" s="95"/>
      <c r="H707" s="95"/>
      <c r="I707" s="95"/>
      <c r="J707" s="96"/>
      <c r="K707" s="95"/>
      <c r="L707" s="43" t="str">
        <f t="shared" si="12"/>
        <v/>
      </c>
      <c r="M707" s="42" t="str">
        <f>IF(AND(C707="",D707="",E707="",F707=""),"",IF(OR(C707="",D707="",E707="",F707="",G707=""),"EKSİK",IF(COUNTIF(MUSTERILER!$B$7:$B$156,C707)=0,"TANIMSIZ MÜŞTERİ","UYGUN")))</f>
        <v/>
      </c>
      <c r="N707" s="6"/>
      <c r="O707" s="6"/>
    </row>
    <row r="708" spans="1:15" ht="17">
      <c r="A708" s="6"/>
      <c r="B708" s="95" t="str">
        <f t="shared" si="13"/>
        <v/>
      </c>
      <c r="C708" s="95"/>
      <c r="D708" s="96"/>
      <c r="E708" s="97"/>
      <c r="F708" s="99"/>
      <c r="G708" s="95"/>
      <c r="H708" s="95"/>
      <c r="I708" s="95"/>
      <c r="J708" s="96"/>
      <c r="K708" s="95"/>
      <c r="L708" s="43" t="str">
        <f t="shared" si="12"/>
        <v/>
      </c>
      <c r="M708" s="42" t="str">
        <f>IF(AND(C708="",D708="",E708="",F708=""),"",IF(OR(C708="",D708="",E708="",F708="",G708=""),"EKSİK",IF(COUNTIF(MUSTERILER!$B$7:$B$156,C708)=0,"TANIMSIZ MÜŞTERİ","UYGUN")))</f>
        <v/>
      </c>
      <c r="N708" s="6"/>
      <c r="O708" s="6"/>
    </row>
    <row r="709" spans="1:15" ht="17">
      <c r="A709" s="6"/>
      <c r="B709" s="95" t="str">
        <f t="shared" si="13"/>
        <v/>
      </c>
      <c r="C709" s="95"/>
      <c r="D709" s="96"/>
      <c r="E709" s="97"/>
      <c r="F709" s="99"/>
      <c r="G709" s="95"/>
      <c r="H709" s="95"/>
      <c r="I709" s="95"/>
      <c r="J709" s="96"/>
      <c r="K709" s="95"/>
      <c r="L709" s="43" t="str">
        <f t="shared" si="12"/>
        <v/>
      </c>
      <c r="M709" s="42" t="str">
        <f>IF(AND(C709="",D709="",E709="",F709=""),"",IF(OR(C709="",D709="",E709="",F709="",G709=""),"EKSİK",IF(COUNTIF(MUSTERILER!$B$7:$B$156,C709)=0,"TANIMSIZ MÜŞTERİ","UYGUN")))</f>
        <v/>
      </c>
      <c r="N709" s="6"/>
      <c r="O709" s="6"/>
    </row>
    <row r="710" spans="1:15" ht="17">
      <c r="A710" s="6"/>
      <c r="B710" s="95" t="str">
        <f t="shared" si="13"/>
        <v/>
      </c>
      <c r="C710" s="95"/>
      <c r="D710" s="96"/>
      <c r="E710" s="97"/>
      <c r="F710" s="99"/>
      <c r="G710" s="95"/>
      <c r="H710" s="95"/>
      <c r="I710" s="95"/>
      <c r="J710" s="96"/>
      <c r="K710" s="95"/>
      <c r="L710" s="43" t="str">
        <f t="shared" si="12"/>
        <v/>
      </c>
      <c r="M710" s="42" t="str">
        <f>IF(AND(C710="",D710="",E710="",F710=""),"",IF(OR(C710="",D710="",E710="",F710="",G710=""),"EKSİK",IF(COUNTIF(MUSTERILER!$B$7:$B$156,C710)=0,"TANIMSIZ MÜŞTERİ","UYGUN")))</f>
        <v/>
      </c>
      <c r="N710" s="6"/>
      <c r="O710" s="6"/>
    </row>
    <row r="711" spans="1:15" ht="17">
      <c r="A711" s="6"/>
      <c r="B711" s="95" t="str">
        <f t="shared" si="13"/>
        <v/>
      </c>
      <c r="C711" s="95"/>
      <c r="D711" s="96"/>
      <c r="E711" s="97"/>
      <c r="F711" s="99"/>
      <c r="G711" s="95"/>
      <c r="H711" s="95"/>
      <c r="I711" s="95"/>
      <c r="J711" s="96"/>
      <c r="K711" s="95"/>
      <c r="L711" s="43" t="str">
        <f t="shared" ref="L711:L774" si="14">IF(E711="","",DATE(YEAR(E711),MONTH(E711),1))</f>
        <v/>
      </c>
      <c r="M711" s="42" t="str">
        <f>IF(AND(C711="",D711="",E711="",F711=""),"",IF(OR(C711="",D711="",E711="",F711="",G711=""),"EKSİK",IF(COUNTIF(MUSTERILER!$B$7:$B$156,C711)=0,"TANIMSIZ MÜŞTERİ","UYGUN")))</f>
        <v/>
      </c>
      <c r="N711" s="6"/>
      <c r="O711" s="6"/>
    </row>
    <row r="712" spans="1:15" ht="17">
      <c r="A712" s="6"/>
      <c r="B712" s="95" t="str">
        <f t="shared" si="13"/>
        <v/>
      </c>
      <c r="C712" s="95"/>
      <c r="D712" s="96"/>
      <c r="E712" s="97"/>
      <c r="F712" s="99"/>
      <c r="G712" s="95"/>
      <c r="H712" s="95"/>
      <c r="I712" s="95"/>
      <c r="J712" s="96"/>
      <c r="K712" s="95"/>
      <c r="L712" s="43" t="str">
        <f t="shared" si="14"/>
        <v/>
      </c>
      <c r="M712" s="42" t="str">
        <f>IF(AND(C712="",D712="",E712="",F712=""),"",IF(OR(C712="",D712="",E712="",F712="",G712=""),"EKSİK",IF(COUNTIF(MUSTERILER!$B$7:$B$156,C712)=0,"TANIMSIZ MÜŞTERİ","UYGUN")))</f>
        <v/>
      </c>
      <c r="N712" s="6"/>
      <c r="O712" s="6"/>
    </row>
    <row r="713" spans="1:15" ht="17">
      <c r="A713" s="6"/>
      <c r="B713" s="95" t="str">
        <f t="shared" si="13"/>
        <v/>
      </c>
      <c r="C713" s="95"/>
      <c r="D713" s="96"/>
      <c r="E713" s="97"/>
      <c r="F713" s="99"/>
      <c r="G713" s="95"/>
      <c r="H713" s="95"/>
      <c r="I713" s="95"/>
      <c r="J713" s="96"/>
      <c r="K713" s="95"/>
      <c r="L713" s="43" t="str">
        <f t="shared" si="14"/>
        <v/>
      </c>
      <c r="M713" s="42" t="str">
        <f>IF(AND(C713="",D713="",E713="",F713=""),"",IF(OR(C713="",D713="",E713="",F713="",G713=""),"EKSİK",IF(COUNTIF(MUSTERILER!$B$7:$B$156,C713)=0,"TANIMSIZ MÜŞTERİ","UYGUN")))</f>
        <v/>
      </c>
      <c r="N713" s="6"/>
      <c r="O713" s="6"/>
    </row>
    <row r="714" spans="1:15" ht="17">
      <c r="A714" s="6"/>
      <c r="B714" s="95" t="str">
        <f t="shared" si="13"/>
        <v/>
      </c>
      <c r="C714" s="95"/>
      <c r="D714" s="96"/>
      <c r="E714" s="97"/>
      <c r="F714" s="99"/>
      <c r="G714" s="95"/>
      <c r="H714" s="95"/>
      <c r="I714" s="95"/>
      <c r="J714" s="96"/>
      <c r="K714" s="95"/>
      <c r="L714" s="43" t="str">
        <f t="shared" si="14"/>
        <v/>
      </c>
      <c r="M714" s="42" t="str">
        <f>IF(AND(C714="",D714="",E714="",F714=""),"",IF(OR(C714="",D714="",E714="",F714="",G714=""),"EKSİK",IF(COUNTIF(MUSTERILER!$B$7:$B$156,C714)=0,"TANIMSIZ MÜŞTERİ","UYGUN")))</f>
        <v/>
      </c>
      <c r="N714" s="6"/>
      <c r="O714" s="6"/>
    </row>
    <row r="715" spans="1:15" ht="17">
      <c r="A715" s="6"/>
      <c r="B715" s="95" t="str">
        <f t="shared" si="13"/>
        <v/>
      </c>
      <c r="C715" s="95"/>
      <c r="D715" s="96"/>
      <c r="E715" s="97"/>
      <c r="F715" s="99"/>
      <c r="G715" s="95"/>
      <c r="H715" s="95"/>
      <c r="I715" s="95"/>
      <c r="J715" s="96"/>
      <c r="K715" s="95"/>
      <c r="L715" s="43" t="str">
        <f t="shared" si="14"/>
        <v/>
      </c>
      <c r="M715" s="42" t="str">
        <f>IF(AND(C715="",D715="",E715="",F715=""),"",IF(OR(C715="",D715="",E715="",F715="",G715=""),"EKSİK",IF(COUNTIF(MUSTERILER!$B$7:$B$156,C715)=0,"TANIMSIZ MÜŞTERİ","UYGUN")))</f>
        <v/>
      </c>
      <c r="N715" s="6"/>
      <c r="O715" s="6"/>
    </row>
    <row r="716" spans="1:15" ht="17">
      <c r="A716" s="6"/>
      <c r="B716" s="95" t="str">
        <f t="shared" si="13"/>
        <v/>
      </c>
      <c r="C716" s="95"/>
      <c r="D716" s="96"/>
      <c r="E716" s="97"/>
      <c r="F716" s="99"/>
      <c r="G716" s="95"/>
      <c r="H716" s="95"/>
      <c r="I716" s="95"/>
      <c r="J716" s="96"/>
      <c r="K716" s="95"/>
      <c r="L716" s="43" t="str">
        <f t="shared" si="14"/>
        <v/>
      </c>
      <c r="M716" s="42" t="str">
        <f>IF(AND(C716="",D716="",E716="",F716=""),"",IF(OR(C716="",D716="",E716="",F716="",G716=""),"EKSİK",IF(COUNTIF(MUSTERILER!$B$7:$B$156,C716)=0,"TANIMSIZ MÜŞTERİ","UYGUN")))</f>
        <v/>
      </c>
      <c r="N716" s="6"/>
      <c r="O716" s="6"/>
    </row>
    <row r="717" spans="1:15" ht="17">
      <c r="A717" s="6"/>
      <c r="B717" s="95" t="str">
        <f t="shared" si="13"/>
        <v/>
      </c>
      <c r="C717" s="95"/>
      <c r="D717" s="96"/>
      <c r="E717" s="97"/>
      <c r="F717" s="99"/>
      <c r="G717" s="95"/>
      <c r="H717" s="95"/>
      <c r="I717" s="95"/>
      <c r="J717" s="96"/>
      <c r="K717" s="95"/>
      <c r="L717" s="43" t="str">
        <f t="shared" si="14"/>
        <v/>
      </c>
      <c r="M717" s="42" t="str">
        <f>IF(AND(C717="",D717="",E717="",F717=""),"",IF(OR(C717="",D717="",E717="",F717="",G717=""),"EKSİK",IF(COUNTIF(MUSTERILER!$B$7:$B$156,C717)=0,"TANIMSIZ MÜŞTERİ","UYGUN")))</f>
        <v/>
      </c>
      <c r="N717" s="6"/>
      <c r="O717" s="6"/>
    </row>
    <row r="718" spans="1:15" ht="17">
      <c r="A718" s="6"/>
      <c r="B718" s="95" t="str">
        <f t="shared" si="13"/>
        <v/>
      </c>
      <c r="C718" s="95"/>
      <c r="D718" s="96"/>
      <c r="E718" s="97"/>
      <c r="F718" s="99"/>
      <c r="G718" s="95"/>
      <c r="H718" s="95"/>
      <c r="I718" s="95"/>
      <c r="J718" s="96"/>
      <c r="K718" s="95"/>
      <c r="L718" s="43" t="str">
        <f t="shared" si="14"/>
        <v/>
      </c>
      <c r="M718" s="42" t="str">
        <f>IF(AND(C718="",D718="",E718="",F718=""),"",IF(OR(C718="",D718="",E718="",F718="",G718=""),"EKSİK",IF(COUNTIF(MUSTERILER!$B$7:$B$156,C718)=0,"TANIMSIZ MÜŞTERİ","UYGUN")))</f>
        <v/>
      </c>
      <c r="N718" s="6"/>
      <c r="O718" s="6"/>
    </row>
    <row r="719" spans="1:15" ht="17">
      <c r="A719" s="6"/>
      <c r="B719" s="95" t="str">
        <f t="shared" si="13"/>
        <v/>
      </c>
      <c r="C719" s="95"/>
      <c r="D719" s="96"/>
      <c r="E719" s="97"/>
      <c r="F719" s="99"/>
      <c r="G719" s="95"/>
      <c r="H719" s="95"/>
      <c r="I719" s="95"/>
      <c r="J719" s="96"/>
      <c r="K719" s="95"/>
      <c r="L719" s="43" t="str">
        <f t="shared" si="14"/>
        <v/>
      </c>
      <c r="M719" s="42" t="str">
        <f>IF(AND(C719="",D719="",E719="",F719=""),"",IF(OR(C719="",D719="",E719="",F719="",G719=""),"EKSİK",IF(COUNTIF(MUSTERILER!$B$7:$B$156,C719)=0,"TANIMSIZ MÜŞTERİ","UYGUN")))</f>
        <v/>
      </c>
      <c r="N719" s="6"/>
      <c r="O719" s="6"/>
    </row>
    <row r="720" spans="1:15" ht="17">
      <c r="A720" s="6"/>
      <c r="B720" s="95" t="str">
        <f t="shared" si="13"/>
        <v/>
      </c>
      <c r="C720" s="95"/>
      <c r="D720" s="96"/>
      <c r="E720" s="97"/>
      <c r="F720" s="99"/>
      <c r="G720" s="95"/>
      <c r="H720" s="95"/>
      <c r="I720" s="95"/>
      <c r="J720" s="96"/>
      <c r="K720" s="95"/>
      <c r="L720" s="43" t="str">
        <f t="shared" si="14"/>
        <v/>
      </c>
      <c r="M720" s="42" t="str">
        <f>IF(AND(C720="",D720="",E720="",F720=""),"",IF(OR(C720="",D720="",E720="",F720="",G720=""),"EKSİK",IF(COUNTIF(MUSTERILER!$B$7:$B$156,C720)=0,"TANIMSIZ MÜŞTERİ","UYGUN")))</f>
        <v/>
      </c>
      <c r="N720" s="6"/>
      <c r="O720" s="6"/>
    </row>
    <row r="721" spans="1:15" ht="17">
      <c r="A721" s="6"/>
      <c r="B721" s="95" t="str">
        <f t="shared" si="13"/>
        <v/>
      </c>
      <c r="C721" s="95"/>
      <c r="D721" s="96"/>
      <c r="E721" s="97"/>
      <c r="F721" s="99"/>
      <c r="G721" s="95"/>
      <c r="H721" s="95"/>
      <c r="I721" s="95"/>
      <c r="J721" s="96"/>
      <c r="K721" s="95"/>
      <c r="L721" s="43" t="str">
        <f t="shared" si="14"/>
        <v/>
      </c>
      <c r="M721" s="42" t="str">
        <f>IF(AND(C721="",D721="",E721="",F721=""),"",IF(OR(C721="",D721="",E721="",F721="",G721=""),"EKSİK",IF(COUNTIF(MUSTERILER!$B$7:$B$156,C721)=0,"TANIMSIZ MÜŞTERİ","UYGUN")))</f>
        <v/>
      </c>
      <c r="N721" s="6"/>
      <c r="O721" s="6"/>
    </row>
    <row r="722" spans="1:15" ht="17">
      <c r="A722" s="6"/>
      <c r="B722" s="95" t="str">
        <f t="shared" si="13"/>
        <v/>
      </c>
      <c r="C722" s="95"/>
      <c r="D722" s="96"/>
      <c r="E722" s="97"/>
      <c r="F722" s="99"/>
      <c r="G722" s="95"/>
      <c r="H722" s="95"/>
      <c r="I722" s="95"/>
      <c r="J722" s="96"/>
      <c r="K722" s="95"/>
      <c r="L722" s="43" t="str">
        <f t="shared" si="14"/>
        <v/>
      </c>
      <c r="M722" s="42" t="str">
        <f>IF(AND(C722="",D722="",E722="",F722=""),"",IF(OR(C722="",D722="",E722="",F722="",G722=""),"EKSİK",IF(COUNTIF(MUSTERILER!$B$7:$B$156,C722)=0,"TANIMSIZ MÜŞTERİ","UYGUN")))</f>
        <v/>
      </c>
      <c r="N722" s="6"/>
      <c r="O722" s="6"/>
    </row>
    <row r="723" spans="1:15" ht="17">
      <c r="A723" s="6"/>
      <c r="B723" s="95" t="str">
        <f t="shared" si="13"/>
        <v/>
      </c>
      <c r="C723" s="95"/>
      <c r="D723" s="96"/>
      <c r="E723" s="97"/>
      <c r="F723" s="99"/>
      <c r="G723" s="95"/>
      <c r="H723" s="95"/>
      <c r="I723" s="95"/>
      <c r="J723" s="96"/>
      <c r="K723" s="95"/>
      <c r="L723" s="43" t="str">
        <f t="shared" si="14"/>
        <v/>
      </c>
      <c r="M723" s="42" t="str">
        <f>IF(AND(C723="",D723="",E723="",F723=""),"",IF(OR(C723="",D723="",E723="",F723="",G723=""),"EKSİK",IF(COUNTIF(MUSTERILER!$B$7:$B$156,C723)=0,"TANIMSIZ MÜŞTERİ","UYGUN")))</f>
        <v/>
      </c>
      <c r="N723" s="6"/>
      <c r="O723" s="6"/>
    </row>
    <row r="724" spans="1:15" ht="17">
      <c r="A724" s="6"/>
      <c r="B724" s="95" t="str">
        <f t="shared" si="13"/>
        <v/>
      </c>
      <c r="C724" s="95"/>
      <c r="D724" s="96"/>
      <c r="E724" s="97"/>
      <c r="F724" s="99"/>
      <c r="G724" s="95"/>
      <c r="H724" s="95"/>
      <c r="I724" s="95"/>
      <c r="J724" s="96"/>
      <c r="K724" s="95"/>
      <c r="L724" s="43" t="str">
        <f t="shared" si="14"/>
        <v/>
      </c>
      <c r="M724" s="42" t="str">
        <f>IF(AND(C724="",D724="",E724="",F724=""),"",IF(OR(C724="",D724="",E724="",F724="",G724=""),"EKSİK",IF(COUNTIF(MUSTERILER!$B$7:$B$156,C724)=0,"TANIMSIZ MÜŞTERİ","UYGUN")))</f>
        <v/>
      </c>
      <c r="N724" s="6"/>
      <c r="O724" s="6"/>
    </row>
    <row r="725" spans="1:15" ht="17">
      <c r="A725" s="6"/>
      <c r="B725" s="95" t="str">
        <f t="shared" si="13"/>
        <v/>
      </c>
      <c r="C725" s="95"/>
      <c r="D725" s="96"/>
      <c r="E725" s="97"/>
      <c r="F725" s="99"/>
      <c r="G725" s="95"/>
      <c r="H725" s="95"/>
      <c r="I725" s="95"/>
      <c r="J725" s="96"/>
      <c r="K725" s="95"/>
      <c r="L725" s="43" t="str">
        <f t="shared" si="14"/>
        <v/>
      </c>
      <c r="M725" s="42" t="str">
        <f>IF(AND(C725="",D725="",E725="",F725=""),"",IF(OR(C725="",D725="",E725="",F725="",G725=""),"EKSİK",IF(COUNTIF(MUSTERILER!$B$7:$B$156,C725)=0,"TANIMSIZ MÜŞTERİ","UYGUN")))</f>
        <v/>
      </c>
      <c r="N725" s="6"/>
      <c r="O725" s="6"/>
    </row>
    <row r="726" spans="1:15" ht="17">
      <c r="A726" s="6"/>
      <c r="B726" s="95" t="str">
        <f t="shared" si="13"/>
        <v/>
      </c>
      <c r="C726" s="95"/>
      <c r="D726" s="96"/>
      <c r="E726" s="97"/>
      <c r="F726" s="99"/>
      <c r="G726" s="95"/>
      <c r="H726" s="95"/>
      <c r="I726" s="95"/>
      <c r="J726" s="96"/>
      <c r="K726" s="95"/>
      <c r="L726" s="43" t="str">
        <f t="shared" si="14"/>
        <v/>
      </c>
      <c r="M726" s="42" t="str">
        <f>IF(AND(C726="",D726="",E726="",F726=""),"",IF(OR(C726="",D726="",E726="",F726="",G726=""),"EKSİK",IF(COUNTIF(MUSTERILER!$B$7:$B$156,C726)=0,"TANIMSIZ MÜŞTERİ","UYGUN")))</f>
        <v/>
      </c>
      <c r="N726" s="6"/>
      <c r="O726" s="6"/>
    </row>
    <row r="727" spans="1:15" ht="17">
      <c r="A727" s="6"/>
      <c r="B727" s="95" t="str">
        <f t="shared" si="13"/>
        <v/>
      </c>
      <c r="C727" s="95"/>
      <c r="D727" s="96"/>
      <c r="E727" s="97"/>
      <c r="F727" s="99"/>
      <c r="G727" s="95"/>
      <c r="H727" s="95"/>
      <c r="I727" s="95"/>
      <c r="J727" s="96"/>
      <c r="K727" s="95"/>
      <c r="L727" s="43" t="str">
        <f t="shared" si="14"/>
        <v/>
      </c>
      <c r="M727" s="42" t="str">
        <f>IF(AND(C727="",D727="",E727="",F727=""),"",IF(OR(C727="",D727="",E727="",F727="",G727=""),"EKSİK",IF(COUNTIF(MUSTERILER!$B$7:$B$156,C727)=0,"TANIMSIZ MÜŞTERİ","UYGUN")))</f>
        <v/>
      </c>
      <c r="N727" s="6"/>
      <c r="O727" s="6"/>
    </row>
    <row r="728" spans="1:15" ht="17">
      <c r="A728" s="6"/>
      <c r="B728" s="95" t="str">
        <f t="shared" si="13"/>
        <v/>
      </c>
      <c r="C728" s="95"/>
      <c r="D728" s="96"/>
      <c r="E728" s="97"/>
      <c r="F728" s="99"/>
      <c r="G728" s="95"/>
      <c r="H728" s="95"/>
      <c r="I728" s="95"/>
      <c r="J728" s="96"/>
      <c r="K728" s="95"/>
      <c r="L728" s="43" t="str">
        <f t="shared" si="14"/>
        <v/>
      </c>
      <c r="M728" s="42" t="str">
        <f>IF(AND(C728="",D728="",E728="",F728=""),"",IF(OR(C728="",D728="",E728="",F728="",G728=""),"EKSİK",IF(COUNTIF(MUSTERILER!$B$7:$B$156,C728)=0,"TANIMSIZ MÜŞTERİ","UYGUN")))</f>
        <v/>
      </c>
      <c r="N728" s="6"/>
      <c r="O728" s="6"/>
    </row>
    <row r="729" spans="1:15" ht="17">
      <c r="A729" s="6"/>
      <c r="B729" s="95" t="str">
        <f t="shared" si="13"/>
        <v/>
      </c>
      <c r="C729" s="95"/>
      <c r="D729" s="96"/>
      <c r="E729" s="97"/>
      <c r="F729" s="99"/>
      <c r="G729" s="95"/>
      <c r="H729" s="95"/>
      <c r="I729" s="95"/>
      <c r="J729" s="96"/>
      <c r="K729" s="95"/>
      <c r="L729" s="43" t="str">
        <f t="shared" si="14"/>
        <v/>
      </c>
      <c r="M729" s="42" t="str">
        <f>IF(AND(C729="",D729="",E729="",F729=""),"",IF(OR(C729="",D729="",E729="",F729="",G729=""),"EKSİK",IF(COUNTIF(MUSTERILER!$B$7:$B$156,C729)=0,"TANIMSIZ MÜŞTERİ","UYGUN")))</f>
        <v/>
      </c>
      <c r="N729" s="6"/>
      <c r="O729" s="6"/>
    </row>
    <row r="730" spans="1:15" ht="17">
      <c r="A730" s="6"/>
      <c r="B730" s="95" t="str">
        <f t="shared" si="13"/>
        <v/>
      </c>
      <c r="C730" s="95"/>
      <c r="D730" s="96"/>
      <c r="E730" s="97"/>
      <c r="F730" s="99"/>
      <c r="G730" s="95"/>
      <c r="H730" s="95"/>
      <c r="I730" s="95"/>
      <c r="J730" s="96"/>
      <c r="K730" s="95"/>
      <c r="L730" s="43" t="str">
        <f t="shared" si="14"/>
        <v/>
      </c>
      <c r="M730" s="42" t="str">
        <f>IF(AND(C730="",D730="",E730="",F730=""),"",IF(OR(C730="",D730="",E730="",F730="",G730=""),"EKSİK",IF(COUNTIF(MUSTERILER!$B$7:$B$156,C730)=0,"TANIMSIZ MÜŞTERİ","UYGUN")))</f>
        <v/>
      </c>
      <c r="N730" s="6"/>
      <c r="O730" s="6"/>
    </row>
    <row r="731" spans="1:15" ht="17">
      <c r="A731" s="6"/>
      <c r="B731" s="95" t="str">
        <f t="shared" si="13"/>
        <v/>
      </c>
      <c r="C731" s="95"/>
      <c r="D731" s="96"/>
      <c r="E731" s="97"/>
      <c r="F731" s="99"/>
      <c r="G731" s="95"/>
      <c r="H731" s="95"/>
      <c r="I731" s="95"/>
      <c r="J731" s="96"/>
      <c r="K731" s="95"/>
      <c r="L731" s="43" t="str">
        <f t="shared" si="14"/>
        <v/>
      </c>
      <c r="M731" s="42" t="str">
        <f>IF(AND(C731="",D731="",E731="",F731=""),"",IF(OR(C731="",D731="",E731="",F731="",G731=""),"EKSİK",IF(COUNTIF(MUSTERILER!$B$7:$B$156,C731)=0,"TANIMSIZ MÜŞTERİ","UYGUN")))</f>
        <v/>
      </c>
      <c r="N731" s="6"/>
      <c r="O731" s="6"/>
    </row>
    <row r="732" spans="1:15" ht="17">
      <c r="A732" s="6"/>
      <c r="B732" s="95" t="str">
        <f t="shared" si="13"/>
        <v/>
      </c>
      <c r="C732" s="95"/>
      <c r="D732" s="96"/>
      <c r="E732" s="97"/>
      <c r="F732" s="99"/>
      <c r="G732" s="95"/>
      <c r="H732" s="95"/>
      <c r="I732" s="95"/>
      <c r="J732" s="96"/>
      <c r="K732" s="95"/>
      <c r="L732" s="43" t="str">
        <f t="shared" si="14"/>
        <v/>
      </c>
      <c r="M732" s="42" t="str">
        <f>IF(AND(C732="",D732="",E732="",F732=""),"",IF(OR(C732="",D732="",E732="",F732="",G732=""),"EKSİK",IF(COUNTIF(MUSTERILER!$B$7:$B$156,C732)=0,"TANIMSIZ MÜŞTERİ","UYGUN")))</f>
        <v/>
      </c>
      <c r="N732" s="6"/>
      <c r="O732" s="6"/>
    </row>
    <row r="733" spans="1:15" ht="17">
      <c r="A733" s="6"/>
      <c r="B733" s="95" t="str">
        <f t="shared" si="13"/>
        <v/>
      </c>
      <c r="C733" s="95"/>
      <c r="D733" s="96"/>
      <c r="E733" s="97"/>
      <c r="F733" s="99"/>
      <c r="G733" s="95"/>
      <c r="H733" s="95"/>
      <c r="I733" s="95"/>
      <c r="J733" s="96"/>
      <c r="K733" s="95"/>
      <c r="L733" s="43" t="str">
        <f t="shared" si="14"/>
        <v/>
      </c>
      <c r="M733" s="42" t="str">
        <f>IF(AND(C733="",D733="",E733="",F733=""),"",IF(OR(C733="",D733="",E733="",F733="",G733=""),"EKSİK",IF(COUNTIF(MUSTERILER!$B$7:$B$156,C733)=0,"TANIMSIZ MÜŞTERİ","UYGUN")))</f>
        <v/>
      </c>
      <c r="N733" s="6"/>
      <c r="O733" s="6"/>
    </row>
    <row r="734" spans="1:15" ht="17">
      <c r="A734" s="6"/>
      <c r="B734" s="95" t="str">
        <f t="shared" si="13"/>
        <v/>
      </c>
      <c r="C734" s="95"/>
      <c r="D734" s="96"/>
      <c r="E734" s="97"/>
      <c r="F734" s="99"/>
      <c r="G734" s="95"/>
      <c r="H734" s="95"/>
      <c r="I734" s="95"/>
      <c r="J734" s="96"/>
      <c r="K734" s="95"/>
      <c r="L734" s="43" t="str">
        <f t="shared" si="14"/>
        <v/>
      </c>
      <c r="M734" s="42" t="str">
        <f>IF(AND(C734="",D734="",E734="",F734=""),"",IF(OR(C734="",D734="",E734="",F734="",G734=""),"EKSİK",IF(COUNTIF(MUSTERILER!$B$7:$B$156,C734)=0,"TANIMSIZ MÜŞTERİ","UYGUN")))</f>
        <v/>
      </c>
      <c r="N734" s="6"/>
      <c r="O734" s="6"/>
    </row>
    <row r="735" spans="1:15" ht="17">
      <c r="A735" s="6"/>
      <c r="B735" s="95" t="str">
        <f t="shared" si="13"/>
        <v/>
      </c>
      <c r="C735" s="95"/>
      <c r="D735" s="96"/>
      <c r="E735" s="97"/>
      <c r="F735" s="99"/>
      <c r="G735" s="95"/>
      <c r="H735" s="95"/>
      <c r="I735" s="95"/>
      <c r="J735" s="96"/>
      <c r="K735" s="95"/>
      <c r="L735" s="43" t="str">
        <f t="shared" si="14"/>
        <v/>
      </c>
      <c r="M735" s="42" t="str">
        <f>IF(AND(C735="",D735="",E735="",F735=""),"",IF(OR(C735="",D735="",E735="",F735="",G735=""),"EKSİK",IF(COUNTIF(MUSTERILER!$B$7:$B$156,C735)=0,"TANIMSIZ MÜŞTERİ","UYGUN")))</f>
        <v/>
      </c>
      <c r="N735" s="6"/>
      <c r="O735" s="6"/>
    </row>
    <row r="736" spans="1:15" ht="17">
      <c r="A736" s="6"/>
      <c r="B736" s="95" t="str">
        <f t="shared" si="13"/>
        <v/>
      </c>
      <c r="C736" s="95"/>
      <c r="D736" s="96"/>
      <c r="E736" s="97"/>
      <c r="F736" s="99"/>
      <c r="G736" s="95"/>
      <c r="H736" s="95"/>
      <c r="I736" s="95"/>
      <c r="J736" s="96"/>
      <c r="K736" s="95"/>
      <c r="L736" s="43" t="str">
        <f t="shared" si="14"/>
        <v/>
      </c>
      <c r="M736" s="42" t="str">
        <f>IF(AND(C736="",D736="",E736="",F736=""),"",IF(OR(C736="",D736="",E736="",F736="",G736=""),"EKSİK",IF(COUNTIF(MUSTERILER!$B$7:$B$156,C736)=0,"TANIMSIZ MÜŞTERİ","UYGUN")))</f>
        <v/>
      </c>
      <c r="N736" s="6"/>
      <c r="O736" s="6"/>
    </row>
    <row r="737" spans="1:15" ht="17">
      <c r="A737" s="6"/>
      <c r="B737" s="95" t="str">
        <f t="shared" si="13"/>
        <v/>
      </c>
      <c r="C737" s="95"/>
      <c r="D737" s="96"/>
      <c r="E737" s="97"/>
      <c r="F737" s="99"/>
      <c r="G737" s="95"/>
      <c r="H737" s="95"/>
      <c r="I737" s="95"/>
      <c r="J737" s="96"/>
      <c r="K737" s="95"/>
      <c r="L737" s="43" t="str">
        <f t="shared" si="14"/>
        <v/>
      </c>
      <c r="M737" s="42" t="str">
        <f>IF(AND(C737="",D737="",E737="",F737=""),"",IF(OR(C737="",D737="",E737="",F737="",G737=""),"EKSİK",IF(COUNTIF(MUSTERILER!$B$7:$B$156,C737)=0,"TANIMSIZ MÜŞTERİ","UYGUN")))</f>
        <v/>
      </c>
      <c r="N737" s="6"/>
      <c r="O737" s="6"/>
    </row>
    <row r="738" spans="1:15" ht="17">
      <c r="A738" s="6"/>
      <c r="B738" s="95" t="str">
        <f t="shared" si="13"/>
        <v/>
      </c>
      <c r="C738" s="95"/>
      <c r="D738" s="96"/>
      <c r="E738" s="97"/>
      <c r="F738" s="99"/>
      <c r="G738" s="95"/>
      <c r="H738" s="95"/>
      <c r="I738" s="95"/>
      <c r="J738" s="96"/>
      <c r="K738" s="95"/>
      <c r="L738" s="43" t="str">
        <f t="shared" si="14"/>
        <v/>
      </c>
      <c r="M738" s="42" t="str">
        <f>IF(AND(C738="",D738="",E738="",F738=""),"",IF(OR(C738="",D738="",E738="",F738="",G738=""),"EKSİK",IF(COUNTIF(MUSTERILER!$B$7:$B$156,C738)=0,"TANIMSIZ MÜŞTERİ","UYGUN")))</f>
        <v/>
      </c>
      <c r="N738" s="6"/>
      <c r="O738" s="6"/>
    </row>
    <row r="739" spans="1:15" ht="17">
      <c r="A739" s="6"/>
      <c r="B739" s="95" t="str">
        <f t="shared" si="13"/>
        <v/>
      </c>
      <c r="C739" s="95"/>
      <c r="D739" s="96"/>
      <c r="E739" s="97"/>
      <c r="F739" s="99"/>
      <c r="G739" s="95"/>
      <c r="H739" s="95"/>
      <c r="I739" s="95"/>
      <c r="J739" s="96"/>
      <c r="K739" s="95"/>
      <c r="L739" s="43" t="str">
        <f t="shared" si="14"/>
        <v/>
      </c>
      <c r="M739" s="42" t="str">
        <f>IF(AND(C739="",D739="",E739="",F739=""),"",IF(OR(C739="",D739="",E739="",F739="",G739=""),"EKSİK",IF(COUNTIF(MUSTERILER!$B$7:$B$156,C739)=0,"TANIMSIZ MÜŞTERİ","UYGUN")))</f>
        <v/>
      </c>
      <c r="N739" s="6"/>
      <c r="O739" s="6"/>
    </row>
    <row r="740" spans="1:15" ht="17">
      <c r="A740" s="6"/>
      <c r="B740" s="95" t="str">
        <f t="shared" si="13"/>
        <v/>
      </c>
      <c r="C740" s="95"/>
      <c r="D740" s="96"/>
      <c r="E740" s="97"/>
      <c r="F740" s="99"/>
      <c r="G740" s="95"/>
      <c r="H740" s="95"/>
      <c r="I740" s="95"/>
      <c r="J740" s="96"/>
      <c r="K740" s="95"/>
      <c r="L740" s="43" t="str">
        <f t="shared" si="14"/>
        <v/>
      </c>
      <c r="M740" s="42" t="str">
        <f>IF(AND(C740="",D740="",E740="",F740=""),"",IF(OR(C740="",D740="",E740="",F740="",G740=""),"EKSİK",IF(COUNTIF(MUSTERILER!$B$7:$B$156,C740)=0,"TANIMSIZ MÜŞTERİ","UYGUN")))</f>
        <v/>
      </c>
      <c r="N740" s="6"/>
      <c r="O740" s="6"/>
    </row>
    <row r="741" spans="1:15" ht="17">
      <c r="A741" s="6"/>
      <c r="B741" s="95" t="str">
        <f t="shared" si="13"/>
        <v/>
      </c>
      <c r="C741" s="95"/>
      <c r="D741" s="96"/>
      <c r="E741" s="97"/>
      <c r="F741" s="99"/>
      <c r="G741" s="95"/>
      <c r="H741" s="95"/>
      <c r="I741" s="95"/>
      <c r="J741" s="96"/>
      <c r="K741" s="95"/>
      <c r="L741" s="43" t="str">
        <f t="shared" si="14"/>
        <v/>
      </c>
      <c r="M741" s="42" t="str">
        <f>IF(AND(C741="",D741="",E741="",F741=""),"",IF(OR(C741="",D741="",E741="",F741="",G741=""),"EKSİK",IF(COUNTIF(MUSTERILER!$B$7:$B$156,C741)=0,"TANIMSIZ MÜŞTERİ","UYGUN")))</f>
        <v/>
      </c>
      <c r="N741" s="6"/>
      <c r="O741" s="6"/>
    </row>
    <row r="742" spans="1:15" ht="17">
      <c r="A742" s="6"/>
      <c r="B742" s="95" t="str">
        <f t="shared" si="13"/>
        <v/>
      </c>
      <c r="C742" s="95"/>
      <c r="D742" s="96"/>
      <c r="E742" s="97"/>
      <c r="F742" s="99"/>
      <c r="G742" s="95"/>
      <c r="H742" s="95"/>
      <c r="I742" s="95"/>
      <c r="J742" s="96"/>
      <c r="K742" s="95"/>
      <c r="L742" s="43" t="str">
        <f t="shared" si="14"/>
        <v/>
      </c>
      <c r="M742" s="42" t="str">
        <f>IF(AND(C742="",D742="",E742="",F742=""),"",IF(OR(C742="",D742="",E742="",F742="",G742=""),"EKSİK",IF(COUNTIF(MUSTERILER!$B$7:$B$156,C742)=0,"TANIMSIZ MÜŞTERİ","UYGUN")))</f>
        <v/>
      </c>
      <c r="N742" s="6"/>
      <c r="O742" s="6"/>
    </row>
    <row r="743" spans="1:15" ht="17">
      <c r="A743" s="6"/>
      <c r="B743" s="95" t="str">
        <f t="shared" si="13"/>
        <v/>
      </c>
      <c r="C743" s="95"/>
      <c r="D743" s="96"/>
      <c r="E743" s="97"/>
      <c r="F743" s="99"/>
      <c r="G743" s="95"/>
      <c r="H743" s="95"/>
      <c r="I743" s="95"/>
      <c r="J743" s="96"/>
      <c r="K743" s="95"/>
      <c r="L743" s="43" t="str">
        <f t="shared" si="14"/>
        <v/>
      </c>
      <c r="M743" s="42" t="str">
        <f>IF(AND(C743="",D743="",E743="",F743=""),"",IF(OR(C743="",D743="",E743="",F743="",G743=""),"EKSİK",IF(COUNTIF(MUSTERILER!$B$7:$B$156,C743)=0,"TANIMSIZ MÜŞTERİ","UYGUN")))</f>
        <v/>
      </c>
      <c r="N743" s="6"/>
      <c r="O743" s="6"/>
    </row>
    <row r="744" spans="1:15" ht="17">
      <c r="A744" s="6"/>
      <c r="B744" s="95" t="str">
        <f t="shared" si="13"/>
        <v/>
      </c>
      <c r="C744" s="95"/>
      <c r="D744" s="96"/>
      <c r="E744" s="97"/>
      <c r="F744" s="99"/>
      <c r="G744" s="95"/>
      <c r="H744" s="95"/>
      <c r="I744" s="95"/>
      <c r="J744" s="96"/>
      <c r="K744" s="95"/>
      <c r="L744" s="43" t="str">
        <f t="shared" si="14"/>
        <v/>
      </c>
      <c r="M744" s="42" t="str">
        <f>IF(AND(C744="",D744="",E744="",F744=""),"",IF(OR(C744="",D744="",E744="",F744="",G744=""),"EKSİK",IF(COUNTIF(MUSTERILER!$B$7:$B$156,C744)=0,"TANIMSIZ MÜŞTERİ","UYGUN")))</f>
        <v/>
      </c>
      <c r="N744" s="6"/>
      <c r="O744" s="6"/>
    </row>
    <row r="745" spans="1:15" ht="17">
      <c r="A745" s="6"/>
      <c r="B745" s="95" t="str">
        <f t="shared" si="13"/>
        <v/>
      </c>
      <c r="C745" s="95"/>
      <c r="D745" s="96"/>
      <c r="E745" s="97"/>
      <c r="F745" s="99"/>
      <c r="G745" s="95"/>
      <c r="H745" s="95"/>
      <c r="I745" s="95"/>
      <c r="J745" s="96"/>
      <c r="K745" s="95"/>
      <c r="L745" s="43" t="str">
        <f t="shared" si="14"/>
        <v/>
      </c>
      <c r="M745" s="42" t="str">
        <f>IF(AND(C745="",D745="",E745="",F745=""),"",IF(OR(C745="",D745="",E745="",F745="",G745=""),"EKSİK",IF(COUNTIF(MUSTERILER!$B$7:$B$156,C745)=0,"TANIMSIZ MÜŞTERİ","UYGUN")))</f>
        <v/>
      </c>
      <c r="N745" s="6"/>
      <c r="O745" s="6"/>
    </row>
    <row r="746" spans="1:15" ht="17">
      <c r="A746" s="6"/>
      <c r="B746" s="95" t="str">
        <f t="shared" si="13"/>
        <v/>
      </c>
      <c r="C746" s="95"/>
      <c r="D746" s="96"/>
      <c r="E746" s="97"/>
      <c r="F746" s="99"/>
      <c r="G746" s="95"/>
      <c r="H746" s="95"/>
      <c r="I746" s="95"/>
      <c r="J746" s="96"/>
      <c r="K746" s="95"/>
      <c r="L746" s="43" t="str">
        <f t="shared" si="14"/>
        <v/>
      </c>
      <c r="M746" s="42" t="str">
        <f>IF(AND(C746="",D746="",E746="",F746=""),"",IF(OR(C746="",D746="",E746="",F746="",G746=""),"EKSİK",IF(COUNTIF(MUSTERILER!$B$7:$B$156,C746)=0,"TANIMSIZ MÜŞTERİ","UYGUN")))</f>
        <v/>
      </c>
      <c r="N746" s="6"/>
      <c r="O746" s="6"/>
    </row>
    <row r="747" spans="1:15" ht="17">
      <c r="A747" s="6"/>
      <c r="B747" s="95" t="str">
        <f t="shared" si="13"/>
        <v/>
      </c>
      <c r="C747" s="95"/>
      <c r="D747" s="96"/>
      <c r="E747" s="97"/>
      <c r="F747" s="99"/>
      <c r="G747" s="95"/>
      <c r="H747" s="95"/>
      <c r="I747" s="95"/>
      <c r="J747" s="96"/>
      <c r="K747" s="95"/>
      <c r="L747" s="43" t="str">
        <f t="shared" si="14"/>
        <v/>
      </c>
      <c r="M747" s="42" t="str">
        <f>IF(AND(C747="",D747="",E747="",F747=""),"",IF(OR(C747="",D747="",E747="",F747="",G747=""),"EKSİK",IF(COUNTIF(MUSTERILER!$B$7:$B$156,C747)=0,"TANIMSIZ MÜŞTERİ","UYGUN")))</f>
        <v/>
      </c>
      <c r="N747" s="6"/>
      <c r="O747" s="6"/>
    </row>
    <row r="748" spans="1:15" ht="17">
      <c r="A748" s="6"/>
      <c r="B748" s="95" t="str">
        <f t="shared" si="13"/>
        <v/>
      </c>
      <c r="C748" s="95"/>
      <c r="D748" s="96"/>
      <c r="E748" s="97"/>
      <c r="F748" s="99"/>
      <c r="G748" s="95"/>
      <c r="H748" s="95"/>
      <c r="I748" s="95"/>
      <c r="J748" s="96"/>
      <c r="K748" s="95"/>
      <c r="L748" s="43" t="str">
        <f t="shared" si="14"/>
        <v/>
      </c>
      <c r="M748" s="42" t="str">
        <f>IF(AND(C748="",D748="",E748="",F748=""),"",IF(OR(C748="",D748="",E748="",F748="",G748=""),"EKSİK",IF(COUNTIF(MUSTERILER!$B$7:$B$156,C748)=0,"TANIMSIZ MÜŞTERİ","UYGUN")))</f>
        <v/>
      </c>
      <c r="N748" s="6"/>
      <c r="O748" s="6"/>
    </row>
    <row r="749" spans="1:15" ht="17">
      <c r="A749" s="6"/>
      <c r="B749" s="95" t="str">
        <f t="shared" si="13"/>
        <v/>
      </c>
      <c r="C749" s="95"/>
      <c r="D749" s="96"/>
      <c r="E749" s="97"/>
      <c r="F749" s="99"/>
      <c r="G749" s="95"/>
      <c r="H749" s="95"/>
      <c r="I749" s="95"/>
      <c r="J749" s="96"/>
      <c r="K749" s="95"/>
      <c r="L749" s="43" t="str">
        <f t="shared" si="14"/>
        <v/>
      </c>
      <c r="M749" s="42" t="str">
        <f>IF(AND(C749="",D749="",E749="",F749=""),"",IF(OR(C749="",D749="",E749="",F749="",G749=""),"EKSİK",IF(COUNTIF(MUSTERILER!$B$7:$B$156,C749)=0,"TANIMSIZ MÜŞTERİ","UYGUN")))</f>
        <v/>
      </c>
      <c r="N749" s="6"/>
      <c r="O749" s="6"/>
    </row>
    <row r="750" spans="1:15" ht="17">
      <c r="A750" s="6"/>
      <c r="B750" s="95" t="str">
        <f t="shared" ref="B750:B813" si="15">IF(E750="","","T"&amp;TEXT(ROW()-6,"00000"))</f>
        <v/>
      </c>
      <c r="C750" s="95"/>
      <c r="D750" s="96"/>
      <c r="E750" s="97"/>
      <c r="F750" s="99"/>
      <c r="G750" s="95"/>
      <c r="H750" s="95"/>
      <c r="I750" s="95"/>
      <c r="J750" s="96"/>
      <c r="K750" s="95"/>
      <c r="L750" s="43" t="str">
        <f t="shared" si="14"/>
        <v/>
      </c>
      <c r="M750" s="42" t="str">
        <f>IF(AND(C750="",D750="",E750="",F750=""),"",IF(OR(C750="",D750="",E750="",F750="",G750=""),"EKSİK",IF(COUNTIF(MUSTERILER!$B$7:$B$156,C750)=0,"TANIMSIZ MÜŞTERİ","UYGUN")))</f>
        <v/>
      </c>
      <c r="N750" s="6"/>
      <c r="O750" s="6"/>
    </row>
    <row r="751" spans="1:15" ht="17">
      <c r="A751" s="6"/>
      <c r="B751" s="95" t="str">
        <f t="shared" si="15"/>
        <v/>
      </c>
      <c r="C751" s="95"/>
      <c r="D751" s="96"/>
      <c r="E751" s="97"/>
      <c r="F751" s="99"/>
      <c r="G751" s="95"/>
      <c r="H751" s="95"/>
      <c r="I751" s="95"/>
      <c r="J751" s="96"/>
      <c r="K751" s="95"/>
      <c r="L751" s="43" t="str">
        <f t="shared" si="14"/>
        <v/>
      </c>
      <c r="M751" s="42" t="str">
        <f>IF(AND(C751="",D751="",E751="",F751=""),"",IF(OR(C751="",D751="",E751="",F751="",G751=""),"EKSİK",IF(COUNTIF(MUSTERILER!$B$7:$B$156,C751)=0,"TANIMSIZ MÜŞTERİ","UYGUN")))</f>
        <v/>
      </c>
      <c r="N751" s="6"/>
      <c r="O751" s="6"/>
    </row>
    <row r="752" spans="1:15" ht="17">
      <c r="A752" s="6"/>
      <c r="B752" s="95" t="str">
        <f t="shared" si="15"/>
        <v/>
      </c>
      <c r="C752" s="95"/>
      <c r="D752" s="96"/>
      <c r="E752" s="97"/>
      <c r="F752" s="99"/>
      <c r="G752" s="95"/>
      <c r="H752" s="95"/>
      <c r="I752" s="95"/>
      <c r="J752" s="96"/>
      <c r="K752" s="95"/>
      <c r="L752" s="43" t="str">
        <f t="shared" si="14"/>
        <v/>
      </c>
      <c r="M752" s="42" t="str">
        <f>IF(AND(C752="",D752="",E752="",F752=""),"",IF(OR(C752="",D752="",E752="",F752="",G752=""),"EKSİK",IF(COUNTIF(MUSTERILER!$B$7:$B$156,C752)=0,"TANIMSIZ MÜŞTERİ","UYGUN")))</f>
        <v/>
      </c>
      <c r="N752" s="6"/>
      <c r="O752" s="6"/>
    </row>
    <row r="753" spans="1:15" ht="17">
      <c r="A753" s="6"/>
      <c r="B753" s="95" t="str">
        <f t="shared" si="15"/>
        <v/>
      </c>
      <c r="C753" s="95"/>
      <c r="D753" s="96"/>
      <c r="E753" s="97"/>
      <c r="F753" s="99"/>
      <c r="G753" s="95"/>
      <c r="H753" s="95"/>
      <c r="I753" s="95"/>
      <c r="J753" s="96"/>
      <c r="K753" s="95"/>
      <c r="L753" s="43" t="str">
        <f t="shared" si="14"/>
        <v/>
      </c>
      <c r="M753" s="42" t="str">
        <f>IF(AND(C753="",D753="",E753="",F753=""),"",IF(OR(C753="",D753="",E753="",F753="",G753=""),"EKSİK",IF(COUNTIF(MUSTERILER!$B$7:$B$156,C753)=0,"TANIMSIZ MÜŞTERİ","UYGUN")))</f>
        <v/>
      </c>
      <c r="N753" s="6"/>
      <c r="O753" s="6"/>
    </row>
    <row r="754" spans="1:15" ht="17">
      <c r="A754" s="6"/>
      <c r="B754" s="95" t="str">
        <f t="shared" si="15"/>
        <v/>
      </c>
      <c r="C754" s="95"/>
      <c r="D754" s="96"/>
      <c r="E754" s="97"/>
      <c r="F754" s="99"/>
      <c r="G754" s="95"/>
      <c r="H754" s="95"/>
      <c r="I754" s="95"/>
      <c r="J754" s="96"/>
      <c r="K754" s="95"/>
      <c r="L754" s="43" t="str">
        <f t="shared" si="14"/>
        <v/>
      </c>
      <c r="M754" s="42" t="str">
        <f>IF(AND(C754="",D754="",E754="",F754=""),"",IF(OR(C754="",D754="",E754="",F754="",G754=""),"EKSİK",IF(COUNTIF(MUSTERILER!$B$7:$B$156,C754)=0,"TANIMSIZ MÜŞTERİ","UYGUN")))</f>
        <v/>
      </c>
      <c r="N754" s="6"/>
      <c r="O754" s="6"/>
    </row>
    <row r="755" spans="1:15" ht="17">
      <c r="A755" s="6"/>
      <c r="B755" s="95" t="str">
        <f t="shared" si="15"/>
        <v/>
      </c>
      <c r="C755" s="95"/>
      <c r="D755" s="96"/>
      <c r="E755" s="97"/>
      <c r="F755" s="99"/>
      <c r="G755" s="95"/>
      <c r="H755" s="95"/>
      <c r="I755" s="95"/>
      <c r="J755" s="96"/>
      <c r="K755" s="95"/>
      <c r="L755" s="43" t="str">
        <f t="shared" si="14"/>
        <v/>
      </c>
      <c r="M755" s="42" t="str">
        <f>IF(AND(C755="",D755="",E755="",F755=""),"",IF(OR(C755="",D755="",E755="",F755="",G755=""),"EKSİK",IF(COUNTIF(MUSTERILER!$B$7:$B$156,C755)=0,"TANIMSIZ MÜŞTERİ","UYGUN")))</f>
        <v/>
      </c>
      <c r="N755" s="6"/>
      <c r="O755" s="6"/>
    </row>
    <row r="756" spans="1:15" ht="17">
      <c r="A756" s="6"/>
      <c r="B756" s="95" t="str">
        <f t="shared" si="15"/>
        <v/>
      </c>
      <c r="C756" s="95"/>
      <c r="D756" s="96"/>
      <c r="E756" s="97"/>
      <c r="F756" s="99"/>
      <c r="G756" s="95"/>
      <c r="H756" s="95"/>
      <c r="I756" s="95"/>
      <c r="J756" s="96"/>
      <c r="K756" s="95"/>
      <c r="L756" s="43" t="str">
        <f t="shared" si="14"/>
        <v/>
      </c>
      <c r="M756" s="42" t="str">
        <f>IF(AND(C756="",D756="",E756="",F756=""),"",IF(OR(C756="",D756="",E756="",F756="",G756=""),"EKSİK",IF(COUNTIF(MUSTERILER!$B$7:$B$156,C756)=0,"TANIMSIZ MÜŞTERİ","UYGUN")))</f>
        <v/>
      </c>
      <c r="N756" s="6"/>
      <c r="O756" s="6"/>
    </row>
    <row r="757" spans="1:15" ht="17">
      <c r="A757" s="6"/>
      <c r="B757" s="95" t="str">
        <f t="shared" si="15"/>
        <v/>
      </c>
      <c r="C757" s="95"/>
      <c r="D757" s="96"/>
      <c r="E757" s="97"/>
      <c r="F757" s="99"/>
      <c r="G757" s="95"/>
      <c r="H757" s="95"/>
      <c r="I757" s="95"/>
      <c r="J757" s="96"/>
      <c r="K757" s="95"/>
      <c r="L757" s="43" t="str">
        <f t="shared" si="14"/>
        <v/>
      </c>
      <c r="M757" s="42" t="str">
        <f>IF(AND(C757="",D757="",E757="",F757=""),"",IF(OR(C757="",D757="",E757="",F757="",G757=""),"EKSİK",IF(COUNTIF(MUSTERILER!$B$7:$B$156,C757)=0,"TANIMSIZ MÜŞTERİ","UYGUN")))</f>
        <v/>
      </c>
      <c r="N757" s="6"/>
      <c r="O757" s="6"/>
    </row>
    <row r="758" spans="1:15" ht="17">
      <c r="A758" s="6"/>
      <c r="B758" s="95" t="str">
        <f t="shared" si="15"/>
        <v/>
      </c>
      <c r="C758" s="95"/>
      <c r="D758" s="96"/>
      <c r="E758" s="97"/>
      <c r="F758" s="99"/>
      <c r="G758" s="95"/>
      <c r="H758" s="95"/>
      <c r="I758" s="95"/>
      <c r="J758" s="96"/>
      <c r="K758" s="95"/>
      <c r="L758" s="43" t="str">
        <f t="shared" si="14"/>
        <v/>
      </c>
      <c r="M758" s="42" t="str">
        <f>IF(AND(C758="",D758="",E758="",F758=""),"",IF(OR(C758="",D758="",E758="",F758="",G758=""),"EKSİK",IF(COUNTIF(MUSTERILER!$B$7:$B$156,C758)=0,"TANIMSIZ MÜŞTERİ","UYGUN")))</f>
        <v/>
      </c>
      <c r="N758" s="6"/>
      <c r="O758" s="6"/>
    </row>
    <row r="759" spans="1:15" ht="17">
      <c r="A759" s="6"/>
      <c r="B759" s="95" t="str">
        <f t="shared" si="15"/>
        <v/>
      </c>
      <c r="C759" s="95"/>
      <c r="D759" s="96"/>
      <c r="E759" s="97"/>
      <c r="F759" s="99"/>
      <c r="G759" s="95"/>
      <c r="H759" s="95"/>
      <c r="I759" s="95"/>
      <c r="J759" s="96"/>
      <c r="K759" s="95"/>
      <c r="L759" s="43" t="str">
        <f t="shared" si="14"/>
        <v/>
      </c>
      <c r="M759" s="42" t="str">
        <f>IF(AND(C759="",D759="",E759="",F759=""),"",IF(OR(C759="",D759="",E759="",F759="",G759=""),"EKSİK",IF(COUNTIF(MUSTERILER!$B$7:$B$156,C759)=0,"TANIMSIZ MÜŞTERİ","UYGUN")))</f>
        <v/>
      </c>
      <c r="N759" s="6"/>
      <c r="O759" s="6"/>
    </row>
    <row r="760" spans="1:15" ht="17">
      <c r="A760" s="6"/>
      <c r="B760" s="95" t="str">
        <f t="shared" si="15"/>
        <v/>
      </c>
      <c r="C760" s="95"/>
      <c r="D760" s="96"/>
      <c r="E760" s="97"/>
      <c r="F760" s="99"/>
      <c r="G760" s="95"/>
      <c r="H760" s="95"/>
      <c r="I760" s="95"/>
      <c r="J760" s="96"/>
      <c r="K760" s="95"/>
      <c r="L760" s="43" t="str">
        <f t="shared" si="14"/>
        <v/>
      </c>
      <c r="M760" s="42" t="str">
        <f>IF(AND(C760="",D760="",E760="",F760=""),"",IF(OR(C760="",D760="",E760="",F760="",G760=""),"EKSİK",IF(COUNTIF(MUSTERILER!$B$7:$B$156,C760)=0,"TANIMSIZ MÜŞTERİ","UYGUN")))</f>
        <v/>
      </c>
      <c r="N760" s="6"/>
      <c r="O760" s="6"/>
    </row>
    <row r="761" spans="1:15" ht="17">
      <c r="A761" s="6"/>
      <c r="B761" s="95" t="str">
        <f t="shared" si="15"/>
        <v/>
      </c>
      <c r="C761" s="95"/>
      <c r="D761" s="96"/>
      <c r="E761" s="97"/>
      <c r="F761" s="99"/>
      <c r="G761" s="95"/>
      <c r="H761" s="95"/>
      <c r="I761" s="95"/>
      <c r="J761" s="96"/>
      <c r="K761" s="95"/>
      <c r="L761" s="43" t="str">
        <f t="shared" si="14"/>
        <v/>
      </c>
      <c r="M761" s="42" t="str">
        <f>IF(AND(C761="",D761="",E761="",F761=""),"",IF(OR(C761="",D761="",E761="",F761="",G761=""),"EKSİK",IF(COUNTIF(MUSTERILER!$B$7:$B$156,C761)=0,"TANIMSIZ MÜŞTERİ","UYGUN")))</f>
        <v/>
      </c>
      <c r="N761" s="6"/>
      <c r="O761" s="6"/>
    </row>
    <row r="762" spans="1:15" ht="17">
      <c r="A762" s="6"/>
      <c r="B762" s="95" t="str">
        <f t="shared" si="15"/>
        <v/>
      </c>
      <c r="C762" s="95"/>
      <c r="D762" s="96"/>
      <c r="E762" s="97"/>
      <c r="F762" s="99"/>
      <c r="G762" s="95"/>
      <c r="H762" s="95"/>
      <c r="I762" s="95"/>
      <c r="J762" s="96"/>
      <c r="K762" s="95"/>
      <c r="L762" s="43" t="str">
        <f t="shared" si="14"/>
        <v/>
      </c>
      <c r="M762" s="42" t="str">
        <f>IF(AND(C762="",D762="",E762="",F762=""),"",IF(OR(C762="",D762="",E762="",F762="",G762=""),"EKSİK",IF(COUNTIF(MUSTERILER!$B$7:$B$156,C762)=0,"TANIMSIZ MÜŞTERİ","UYGUN")))</f>
        <v/>
      </c>
      <c r="N762" s="6"/>
      <c r="O762" s="6"/>
    </row>
    <row r="763" spans="1:15" ht="17">
      <c r="A763" s="6"/>
      <c r="B763" s="95" t="str">
        <f t="shared" si="15"/>
        <v/>
      </c>
      <c r="C763" s="95"/>
      <c r="D763" s="96"/>
      <c r="E763" s="97"/>
      <c r="F763" s="99"/>
      <c r="G763" s="95"/>
      <c r="H763" s="95"/>
      <c r="I763" s="95"/>
      <c r="J763" s="96"/>
      <c r="K763" s="95"/>
      <c r="L763" s="43" t="str">
        <f t="shared" si="14"/>
        <v/>
      </c>
      <c r="M763" s="42" t="str">
        <f>IF(AND(C763="",D763="",E763="",F763=""),"",IF(OR(C763="",D763="",E763="",F763="",G763=""),"EKSİK",IF(COUNTIF(MUSTERILER!$B$7:$B$156,C763)=0,"TANIMSIZ MÜŞTERİ","UYGUN")))</f>
        <v/>
      </c>
      <c r="N763" s="6"/>
      <c r="O763" s="6"/>
    </row>
    <row r="764" spans="1:15" ht="17">
      <c r="A764" s="6"/>
      <c r="B764" s="95" t="str">
        <f t="shared" si="15"/>
        <v/>
      </c>
      <c r="C764" s="95"/>
      <c r="D764" s="96"/>
      <c r="E764" s="97"/>
      <c r="F764" s="99"/>
      <c r="G764" s="95"/>
      <c r="H764" s="95"/>
      <c r="I764" s="95"/>
      <c r="J764" s="96"/>
      <c r="K764" s="95"/>
      <c r="L764" s="43" t="str">
        <f t="shared" si="14"/>
        <v/>
      </c>
      <c r="M764" s="42" t="str">
        <f>IF(AND(C764="",D764="",E764="",F764=""),"",IF(OR(C764="",D764="",E764="",F764="",G764=""),"EKSİK",IF(COUNTIF(MUSTERILER!$B$7:$B$156,C764)=0,"TANIMSIZ MÜŞTERİ","UYGUN")))</f>
        <v/>
      </c>
      <c r="N764" s="6"/>
      <c r="O764" s="6"/>
    </row>
    <row r="765" spans="1:15" ht="17">
      <c r="A765" s="6"/>
      <c r="B765" s="95" t="str">
        <f t="shared" si="15"/>
        <v/>
      </c>
      <c r="C765" s="95"/>
      <c r="D765" s="96"/>
      <c r="E765" s="97"/>
      <c r="F765" s="99"/>
      <c r="G765" s="95"/>
      <c r="H765" s="95"/>
      <c r="I765" s="95"/>
      <c r="J765" s="96"/>
      <c r="K765" s="95"/>
      <c r="L765" s="43" t="str">
        <f t="shared" si="14"/>
        <v/>
      </c>
      <c r="M765" s="42" t="str">
        <f>IF(AND(C765="",D765="",E765="",F765=""),"",IF(OR(C765="",D765="",E765="",F765="",G765=""),"EKSİK",IF(COUNTIF(MUSTERILER!$B$7:$B$156,C765)=0,"TANIMSIZ MÜŞTERİ","UYGUN")))</f>
        <v/>
      </c>
      <c r="N765" s="6"/>
      <c r="O765" s="6"/>
    </row>
    <row r="766" spans="1:15" ht="17">
      <c r="A766" s="6"/>
      <c r="B766" s="95" t="str">
        <f t="shared" si="15"/>
        <v/>
      </c>
      <c r="C766" s="95"/>
      <c r="D766" s="96"/>
      <c r="E766" s="97"/>
      <c r="F766" s="99"/>
      <c r="G766" s="95"/>
      <c r="H766" s="95"/>
      <c r="I766" s="95"/>
      <c r="J766" s="96"/>
      <c r="K766" s="95"/>
      <c r="L766" s="43" t="str">
        <f t="shared" si="14"/>
        <v/>
      </c>
      <c r="M766" s="42" t="str">
        <f>IF(AND(C766="",D766="",E766="",F766=""),"",IF(OR(C766="",D766="",E766="",F766="",G766=""),"EKSİK",IF(COUNTIF(MUSTERILER!$B$7:$B$156,C766)=0,"TANIMSIZ MÜŞTERİ","UYGUN")))</f>
        <v/>
      </c>
      <c r="N766" s="6"/>
      <c r="O766" s="6"/>
    </row>
    <row r="767" spans="1:15" ht="17">
      <c r="A767" s="6"/>
      <c r="B767" s="95" t="str">
        <f t="shared" si="15"/>
        <v/>
      </c>
      <c r="C767" s="95"/>
      <c r="D767" s="96"/>
      <c r="E767" s="97"/>
      <c r="F767" s="99"/>
      <c r="G767" s="95"/>
      <c r="H767" s="95"/>
      <c r="I767" s="95"/>
      <c r="J767" s="96"/>
      <c r="K767" s="95"/>
      <c r="L767" s="43" t="str">
        <f t="shared" si="14"/>
        <v/>
      </c>
      <c r="M767" s="42" t="str">
        <f>IF(AND(C767="",D767="",E767="",F767=""),"",IF(OR(C767="",D767="",E767="",F767="",G767=""),"EKSİK",IF(COUNTIF(MUSTERILER!$B$7:$B$156,C767)=0,"TANIMSIZ MÜŞTERİ","UYGUN")))</f>
        <v/>
      </c>
      <c r="N767" s="6"/>
      <c r="O767" s="6"/>
    </row>
    <row r="768" spans="1:15" ht="17">
      <c r="A768" s="6"/>
      <c r="B768" s="95" t="str">
        <f t="shared" si="15"/>
        <v/>
      </c>
      <c r="C768" s="95"/>
      <c r="D768" s="96"/>
      <c r="E768" s="97"/>
      <c r="F768" s="99"/>
      <c r="G768" s="95"/>
      <c r="H768" s="95"/>
      <c r="I768" s="95"/>
      <c r="J768" s="96"/>
      <c r="K768" s="95"/>
      <c r="L768" s="43" t="str">
        <f t="shared" si="14"/>
        <v/>
      </c>
      <c r="M768" s="42" t="str">
        <f>IF(AND(C768="",D768="",E768="",F768=""),"",IF(OR(C768="",D768="",E768="",F768="",G768=""),"EKSİK",IF(COUNTIF(MUSTERILER!$B$7:$B$156,C768)=0,"TANIMSIZ MÜŞTERİ","UYGUN")))</f>
        <v/>
      </c>
      <c r="N768" s="6"/>
      <c r="O768" s="6"/>
    </row>
    <row r="769" spans="1:15" ht="17">
      <c r="A769" s="6"/>
      <c r="B769" s="95" t="str">
        <f t="shared" si="15"/>
        <v/>
      </c>
      <c r="C769" s="95"/>
      <c r="D769" s="96"/>
      <c r="E769" s="97"/>
      <c r="F769" s="99"/>
      <c r="G769" s="95"/>
      <c r="H769" s="95"/>
      <c r="I769" s="95"/>
      <c r="J769" s="96"/>
      <c r="K769" s="95"/>
      <c r="L769" s="43" t="str">
        <f t="shared" si="14"/>
        <v/>
      </c>
      <c r="M769" s="42" t="str">
        <f>IF(AND(C769="",D769="",E769="",F769=""),"",IF(OR(C769="",D769="",E769="",F769="",G769=""),"EKSİK",IF(COUNTIF(MUSTERILER!$B$7:$B$156,C769)=0,"TANIMSIZ MÜŞTERİ","UYGUN")))</f>
        <v/>
      </c>
      <c r="N769" s="6"/>
      <c r="O769" s="6"/>
    </row>
    <row r="770" spans="1:15" ht="17">
      <c r="A770" s="6"/>
      <c r="B770" s="95" t="str">
        <f t="shared" si="15"/>
        <v/>
      </c>
      <c r="C770" s="95"/>
      <c r="D770" s="96"/>
      <c r="E770" s="97"/>
      <c r="F770" s="99"/>
      <c r="G770" s="95"/>
      <c r="H770" s="95"/>
      <c r="I770" s="95"/>
      <c r="J770" s="96"/>
      <c r="K770" s="95"/>
      <c r="L770" s="43" t="str">
        <f t="shared" si="14"/>
        <v/>
      </c>
      <c r="M770" s="42" t="str">
        <f>IF(AND(C770="",D770="",E770="",F770=""),"",IF(OR(C770="",D770="",E770="",F770="",G770=""),"EKSİK",IF(COUNTIF(MUSTERILER!$B$7:$B$156,C770)=0,"TANIMSIZ MÜŞTERİ","UYGUN")))</f>
        <v/>
      </c>
      <c r="N770" s="6"/>
      <c r="O770" s="6"/>
    </row>
    <row r="771" spans="1:15" ht="17">
      <c r="A771" s="6"/>
      <c r="B771" s="95" t="str">
        <f t="shared" si="15"/>
        <v/>
      </c>
      <c r="C771" s="95"/>
      <c r="D771" s="96"/>
      <c r="E771" s="97"/>
      <c r="F771" s="99"/>
      <c r="G771" s="95"/>
      <c r="H771" s="95"/>
      <c r="I771" s="95"/>
      <c r="J771" s="96"/>
      <c r="K771" s="95"/>
      <c r="L771" s="43" t="str">
        <f t="shared" si="14"/>
        <v/>
      </c>
      <c r="M771" s="42" t="str">
        <f>IF(AND(C771="",D771="",E771="",F771=""),"",IF(OR(C771="",D771="",E771="",F771="",G771=""),"EKSİK",IF(COUNTIF(MUSTERILER!$B$7:$B$156,C771)=0,"TANIMSIZ MÜŞTERİ","UYGUN")))</f>
        <v/>
      </c>
      <c r="N771" s="6"/>
      <c r="O771" s="6"/>
    </row>
    <row r="772" spans="1:15" ht="17">
      <c r="A772" s="6"/>
      <c r="B772" s="95" t="str">
        <f t="shared" si="15"/>
        <v/>
      </c>
      <c r="C772" s="95"/>
      <c r="D772" s="96"/>
      <c r="E772" s="97"/>
      <c r="F772" s="99"/>
      <c r="G772" s="95"/>
      <c r="H772" s="95"/>
      <c r="I772" s="95"/>
      <c r="J772" s="96"/>
      <c r="K772" s="95"/>
      <c r="L772" s="43" t="str">
        <f t="shared" si="14"/>
        <v/>
      </c>
      <c r="M772" s="42" t="str">
        <f>IF(AND(C772="",D772="",E772="",F772=""),"",IF(OR(C772="",D772="",E772="",F772="",G772=""),"EKSİK",IF(COUNTIF(MUSTERILER!$B$7:$B$156,C772)=0,"TANIMSIZ MÜŞTERİ","UYGUN")))</f>
        <v/>
      </c>
      <c r="N772" s="6"/>
      <c r="O772" s="6"/>
    </row>
    <row r="773" spans="1:15" ht="17">
      <c r="A773" s="6"/>
      <c r="B773" s="95" t="str">
        <f t="shared" si="15"/>
        <v/>
      </c>
      <c r="C773" s="95"/>
      <c r="D773" s="96"/>
      <c r="E773" s="97"/>
      <c r="F773" s="99"/>
      <c r="G773" s="95"/>
      <c r="H773" s="95"/>
      <c r="I773" s="95"/>
      <c r="J773" s="96"/>
      <c r="K773" s="95"/>
      <c r="L773" s="43" t="str">
        <f t="shared" si="14"/>
        <v/>
      </c>
      <c r="M773" s="42" t="str">
        <f>IF(AND(C773="",D773="",E773="",F773=""),"",IF(OR(C773="",D773="",E773="",F773="",G773=""),"EKSİK",IF(COUNTIF(MUSTERILER!$B$7:$B$156,C773)=0,"TANIMSIZ MÜŞTERİ","UYGUN")))</f>
        <v/>
      </c>
      <c r="N773" s="6"/>
      <c r="O773" s="6"/>
    </row>
    <row r="774" spans="1:15" ht="17">
      <c r="A774" s="6"/>
      <c r="B774" s="95" t="str">
        <f t="shared" si="15"/>
        <v/>
      </c>
      <c r="C774" s="95"/>
      <c r="D774" s="96"/>
      <c r="E774" s="97"/>
      <c r="F774" s="99"/>
      <c r="G774" s="95"/>
      <c r="H774" s="95"/>
      <c r="I774" s="95"/>
      <c r="J774" s="96"/>
      <c r="K774" s="95"/>
      <c r="L774" s="43" t="str">
        <f t="shared" si="14"/>
        <v/>
      </c>
      <c r="M774" s="42" t="str">
        <f>IF(AND(C774="",D774="",E774="",F774=""),"",IF(OR(C774="",D774="",E774="",F774="",G774=""),"EKSİK",IF(COUNTIF(MUSTERILER!$B$7:$B$156,C774)=0,"TANIMSIZ MÜŞTERİ","UYGUN")))</f>
        <v/>
      </c>
      <c r="N774" s="6"/>
      <c r="O774" s="6"/>
    </row>
    <row r="775" spans="1:15" ht="17">
      <c r="A775" s="6"/>
      <c r="B775" s="95" t="str">
        <f t="shared" si="15"/>
        <v/>
      </c>
      <c r="C775" s="95"/>
      <c r="D775" s="96"/>
      <c r="E775" s="97"/>
      <c r="F775" s="99"/>
      <c r="G775" s="95"/>
      <c r="H775" s="95"/>
      <c r="I775" s="95"/>
      <c r="J775" s="96"/>
      <c r="K775" s="95"/>
      <c r="L775" s="43" t="str">
        <f t="shared" ref="L775:L838" si="16">IF(E775="","",DATE(YEAR(E775),MONTH(E775),1))</f>
        <v/>
      </c>
      <c r="M775" s="42" t="str">
        <f>IF(AND(C775="",D775="",E775="",F775=""),"",IF(OR(C775="",D775="",E775="",F775="",G775=""),"EKSİK",IF(COUNTIF(MUSTERILER!$B$7:$B$156,C775)=0,"TANIMSIZ MÜŞTERİ","UYGUN")))</f>
        <v/>
      </c>
      <c r="N775" s="6"/>
      <c r="O775" s="6"/>
    </row>
    <row r="776" spans="1:15" ht="17">
      <c r="A776" s="6"/>
      <c r="B776" s="95" t="str">
        <f t="shared" si="15"/>
        <v/>
      </c>
      <c r="C776" s="95"/>
      <c r="D776" s="96"/>
      <c r="E776" s="97"/>
      <c r="F776" s="99"/>
      <c r="G776" s="95"/>
      <c r="H776" s="95"/>
      <c r="I776" s="95"/>
      <c r="J776" s="96"/>
      <c r="K776" s="95"/>
      <c r="L776" s="43" t="str">
        <f t="shared" si="16"/>
        <v/>
      </c>
      <c r="M776" s="42" t="str">
        <f>IF(AND(C776="",D776="",E776="",F776=""),"",IF(OR(C776="",D776="",E776="",F776="",G776=""),"EKSİK",IF(COUNTIF(MUSTERILER!$B$7:$B$156,C776)=0,"TANIMSIZ MÜŞTERİ","UYGUN")))</f>
        <v/>
      </c>
      <c r="N776" s="6"/>
      <c r="O776" s="6"/>
    </row>
    <row r="777" spans="1:15" ht="17">
      <c r="A777" s="6"/>
      <c r="B777" s="95" t="str">
        <f t="shared" si="15"/>
        <v/>
      </c>
      <c r="C777" s="95"/>
      <c r="D777" s="96"/>
      <c r="E777" s="97"/>
      <c r="F777" s="99"/>
      <c r="G777" s="95"/>
      <c r="H777" s="95"/>
      <c r="I777" s="95"/>
      <c r="J777" s="96"/>
      <c r="K777" s="95"/>
      <c r="L777" s="43" t="str">
        <f t="shared" si="16"/>
        <v/>
      </c>
      <c r="M777" s="42" t="str">
        <f>IF(AND(C777="",D777="",E777="",F777=""),"",IF(OR(C777="",D777="",E777="",F777="",G777=""),"EKSİK",IF(COUNTIF(MUSTERILER!$B$7:$B$156,C777)=0,"TANIMSIZ MÜŞTERİ","UYGUN")))</f>
        <v/>
      </c>
      <c r="N777" s="6"/>
      <c r="O777" s="6"/>
    </row>
    <row r="778" spans="1:15" ht="17">
      <c r="A778" s="6"/>
      <c r="B778" s="95" t="str">
        <f t="shared" si="15"/>
        <v/>
      </c>
      <c r="C778" s="95"/>
      <c r="D778" s="96"/>
      <c r="E778" s="97"/>
      <c r="F778" s="99"/>
      <c r="G778" s="95"/>
      <c r="H778" s="95"/>
      <c r="I778" s="95"/>
      <c r="J778" s="96"/>
      <c r="K778" s="95"/>
      <c r="L778" s="43" t="str">
        <f t="shared" si="16"/>
        <v/>
      </c>
      <c r="M778" s="42" t="str">
        <f>IF(AND(C778="",D778="",E778="",F778=""),"",IF(OR(C778="",D778="",E778="",F778="",G778=""),"EKSİK",IF(COUNTIF(MUSTERILER!$B$7:$B$156,C778)=0,"TANIMSIZ MÜŞTERİ","UYGUN")))</f>
        <v/>
      </c>
      <c r="N778" s="6"/>
      <c r="O778" s="6"/>
    </row>
    <row r="779" spans="1:15" ht="17">
      <c r="A779" s="6"/>
      <c r="B779" s="95" t="str">
        <f t="shared" si="15"/>
        <v/>
      </c>
      <c r="C779" s="95"/>
      <c r="D779" s="96"/>
      <c r="E779" s="97"/>
      <c r="F779" s="99"/>
      <c r="G779" s="95"/>
      <c r="H779" s="95"/>
      <c r="I779" s="95"/>
      <c r="J779" s="96"/>
      <c r="K779" s="95"/>
      <c r="L779" s="43" t="str">
        <f t="shared" si="16"/>
        <v/>
      </c>
      <c r="M779" s="42" t="str">
        <f>IF(AND(C779="",D779="",E779="",F779=""),"",IF(OR(C779="",D779="",E779="",F779="",G779=""),"EKSİK",IF(COUNTIF(MUSTERILER!$B$7:$B$156,C779)=0,"TANIMSIZ MÜŞTERİ","UYGUN")))</f>
        <v/>
      </c>
      <c r="N779" s="6"/>
      <c r="O779" s="6"/>
    </row>
    <row r="780" spans="1:15" ht="17">
      <c r="A780" s="6"/>
      <c r="B780" s="95" t="str">
        <f t="shared" si="15"/>
        <v/>
      </c>
      <c r="C780" s="95"/>
      <c r="D780" s="96"/>
      <c r="E780" s="97"/>
      <c r="F780" s="99"/>
      <c r="G780" s="95"/>
      <c r="H780" s="95"/>
      <c r="I780" s="95"/>
      <c r="J780" s="96"/>
      <c r="K780" s="95"/>
      <c r="L780" s="43" t="str">
        <f t="shared" si="16"/>
        <v/>
      </c>
      <c r="M780" s="42" t="str">
        <f>IF(AND(C780="",D780="",E780="",F780=""),"",IF(OR(C780="",D780="",E780="",F780="",G780=""),"EKSİK",IF(COUNTIF(MUSTERILER!$B$7:$B$156,C780)=0,"TANIMSIZ MÜŞTERİ","UYGUN")))</f>
        <v/>
      </c>
      <c r="N780" s="6"/>
      <c r="O780" s="6"/>
    </row>
    <row r="781" spans="1:15" ht="17">
      <c r="A781" s="6"/>
      <c r="B781" s="95" t="str">
        <f t="shared" si="15"/>
        <v/>
      </c>
      <c r="C781" s="95"/>
      <c r="D781" s="96"/>
      <c r="E781" s="97"/>
      <c r="F781" s="99"/>
      <c r="G781" s="95"/>
      <c r="H781" s="95"/>
      <c r="I781" s="95"/>
      <c r="J781" s="96"/>
      <c r="K781" s="95"/>
      <c r="L781" s="43" t="str">
        <f t="shared" si="16"/>
        <v/>
      </c>
      <c r="M781" s="42" t="str">
        <f>IF(AND(C781="",D781="",E781="",F781=""),"",IF(OR(C781="",D781="",E781="",F781="",G781=""),"EKSİK",IF(COUNTIF(MUSTERILER!$B$7:$B$156,C781)=0,"TANIMSIZ MÜŞTERİ","UYGUN")))</f>
        <v/>
      </c>
      <c r="N781" s="6"/>
      <c r="O781" s="6"/>
    </row>
    <row r="782" spans="1:15" ht="17">
      <c r="A782" s="6"/>
      <c r="B782" s="95" t="str">
        <f t="shared" si="15"/>
        <v/>
      </c>
      <c r="C782" s="95"/>
      <c r="D782" s="96"/>
      <c r="E782" s="97"/>
      <c r="F782" s="99"/>
      <c r="G782" s="95"/>
      <c r="H782" s="95"/>
      <c r="I782" s="95"/>
      <c r="J782" s="96"/>
      <c r="K782" s="95"/>
      <c r="L782" s="43" t="str">
        <f t="shared" si="16"/>
        <v/>
      </c>
      <c r="M782" s="42" t="str">
        <f>IF(AND(C782="",D782="",E782="",F782=""),"",IF(OR(C782="",D782="",E782="",F782="",G782=""),"EKSİK",IF(COUNTIF(MUSTERILER!$B$7:$B$156,C782)=0,"TANIMSIZ MÜŞTERİ","UYGUN")))</f>
        <v/>
      </c>
      <c r="N782" s="6"/>
      <c r="O782" s="6"/>
    </row>
    <row r="783" spans="1:15" ht="17">
      <c r="A783" s="6"/>
      <c r="B783" s="95" t="str">
        <f t="shared" si="15"/>
        <v/>
      </c>
      <c r="C783" s="95"/>
      <c r="D783" s="96"/>
      <c r="E783" s="97"/>
      <c r="F783" s="99"/>
      <c r="G783" s="95"/>
      <c r="H783" s="95"/>
      <c r="I783" s="95"/>
      <c r="J783" s="96"/>
      <c r="K783" s="95"/>
      <c r="L783" s="43" t="str">
        <f t="shared" si="16"/>
        <v/>
      </c>
      <c r="M783" s="42" t="str">
        <f>IF(AND(C783="",D783="",E783="",F783=""),"",IF(OR(C783="",D783="",E783="",F783="",G783=""),"EKSİK",IF(COUNTIF(MUSTERILER!$B$7:$B$156,C783)=0,"TANIMSIZ MÜŞTERİ","UYGUN")))</f>
        <v/>
      </c>
      <c r="N783" s="6"/>
      <c r="O783" s="6"/>
    </row>
    <row r="784" spans="1:15" ht="17">
      <c r="A784" s="6"/>
      <c r="B784" s="95" t="str">
        <f t="shared" si="15"/>
        <v/>
      </c>
      <c r="C784" s="95"/>
      <c r="D784" s="96"/>
      <c r="E784" s="97"/>
      <c r="F784" s="99"/>
      <c r="G784" s="95"/>
      <c r="H784" s="95"/>
      <c r="I784" s="95"/>
      <c r="J784" s="96"/>
      <c r="K784" s="95"/>
      <c r="L784" s="43" t="str">
        <f t="shared" si="16"/>
        <v/>
      </c>
      <c r="M784" s="42" t="str">
        <f>IF(AND(C784="",D784="",E784="",F784=""),"",IF(OR(C784="",D784="",E784="",F784="",G784=""),"EKSİK",IF(COUNTIF(MUSTERILER!$B$7:$B$156,C784)=0,"TANIMSIZ MÜŞTERİ","UYGUN")))</f>
        <v/>
      </c>
      <c r="N784" s="6"/>
      <c r="O784" s="6"/>
    </row>
    <row r="785" spans="1:15" ht="17">
      <c r="A785" s="6"/>
      <c r="B785" s="95" t="str">
        <f t="shared" si="15"/>
        <v/>
      </c>
      <c r="C785" s="95"/>
      <c r="D785" s="96"/>
      <c r="E785" s="97"/>
      <c r="F785" s="99"/>
      <c r="G785" s="95"/>
      <c r="H785" s="95"/>
      <c r="I785" s="95"/>
      <c r="J785" s="96"/>
      <c r="K785" s="95"/>
      <c r="L785" s="43" t="str">
        <f t="shared" si="16"/>
        <v/>
      </c>
      <c r="M785" s="42" t="str">
        <f>IF(AND(C785="",D785="",E785="",F785=""),"",IF(OR(C785="",D785="",E785="",F785="",G785=""),"EKSİK",IF(COUNTIF(MUSTERILER!$B$7:$B$156,C785)=0,"TANIMSIZ MÜŞTERİ","UYGUN")))</f>
        <v/>
      </c>
      <c r="N785" s="6"/>
      <c r="O785" s="6"/>
    </row>
    <row r="786" spans="1:15" ht="17">
      <c r="A786" s="6"/>
      <c r="B786" s="95" t="str">
        <f t="shared" si="15"/>
        <v/>
      </c>
      <c r="C786" s="95"/>
      <c r="D786" s="96"/>
      <c r="E786" s="97"/>
      <c r="F786" s="99"/>
      <c r="G786" s="95"/>
      <c r="H786" s="95"/>
      <c r="I786" s="95"/>
      <c r="J786" s="96"/>
      <c r="K786" s="95"/>
      <c r="L786" s="43" t="str">
        <f t="shared" si="16"/>
        <v/>
      </c>
      <c r="M786" s="42" t="str">
        <f>IF(AND(C786="",D786="",E786="",F786=""),"",IF(OR(C786="",D786="",E786="",F786="",G786=""),"EKSİK",IF(COUNTIF(MUSTERILER!$B$7:$B$156,C786)=0,"TANIMSIZ MÜŞTERİ","UYGUN")))</f>
        <v/>
      </c>
      <c r="N786" s="6"/>
      <c r="O786" s="6"/>
    </row>
    <row r="787" spans="1:15" ht="17">
      <c r="A787" s="6"/>
      <c r="B787" s="95" t="str">
        <f t="shared" si="15"/>
        <v/>
      </c>
      <c r="C787" s="95"/>
      <c r="D787" s="96"/>
      <c r="E787" s="97"/>
      <c r="F787" s="99"/>
      <c r="G787" s="95"/>
      <c r="H787" s="95"/>
      <c r="I787" s="95"/>
      <c r="J787" s="96"/>
      <c r="K787" s="95"/>
      <c r="L787" s="43" t="str">
        <f t="shared" si="16"/>
        <v/>
      </c>
      <c r="M787" s="42" t="str">
        <f>IF(AND(C787="",D787="",E787="",F787=""),"",IF(OR(C787="",D787="",E787="",F787="",G787=""),"EKSİK",IF(COUNTIF(MUSTERILER!$B$7:$B$156,C787)=0,"TANIMSIZ MÜŞTERİ","UYGUN")))</f>
        <v/>
      </c>
      <c r="N787" s="6"/>
      <c r="O787" s="6"/>
    </row>
    <row r="788" spans="1:15" ht="17">
      <c r="A788" s="6"/>
      <c r="B788" s="95" t="str">
        <f t="shared" si="15"/>
        <v/>
      </c>
      <c r="C788" s="95"/>
      <c r="D788" s="96"/>
      <c r="E788" s="97"/>
      <c r="F788" s="99"/>
      <c r="G788" s="95"/>
      <c r="H788" s="95"/>
      <c r="I788" s="95"/>
      <c r="J788" s="96"/>
      <c r="K788" s="95"/>
      <c r="L788" s="43" t="str">
        <f t="shared" si="16"/>
        <v/>
      </c>
      <c r="M788" s="42" t="str">
        <f>IF(AND(C788="",D788="",E788="",F788=""),"",IF(OR(C788="",D788="",E788="",F788="",G788=""),"EKSİK",IF(COUNTIF(MUSTERILER!$B$7:$B$156,C788)=0,"TANIMSIZ MÜŞTERİ","UYGUN")))</f>
        <v/>
      </c>
      <c r="N788" s="6"/>
      <c r="O788" s="6"/>
    </row>
    <row r="789" spans="1:15" ht="17">
      <c r="A789" s="6"/>
      <c r="B789" s="95" t="str">
        <f t="shared" si="15"/>
        <v/>
      </c>
      <c r="C789" s="95"/>
      <c r="D789" s="96"/>
      <c r="E789" s="97"/>
      <c r="F789" s="99"/>
      <c r="G789" s="95"/>
      <c r="H789" s="95"/>
      <c r="I789" s="95"/>
      <c r="J789" s="96"/>
      <c r="K789" s="95"/>
      <c r="L789" s="43" t="str">
        <f t="shared" si="16"/>
        <v/>
      </c>
      <c r="M789" s="42" t="str">
        <f>IF(AND(C789="",D789="",E789="",F789=""),"",IF(OR(C789="",D789="",E789="",F789="",G789=""),"EKSİK",IF(COUNTIF(MUSTERILER!$B$7:$B$156,C789)=0,"TANIMSIZ MÜŞTERİ","UYGUN")))</f>
        <v/>
      </c>
      <c r="N789" s="6"/>
      <c r="O789" s="6"/>
    </row>
    <row r="790" spans="1:15" ht="17">
      <c r="A790" s="6"/>
      <c r="B790" s="95" t="str">
        <f t="shared" si="15"/>
        <v/>
      </c>
      <c r="C790" s="95"/>
      <c r="D790" s="96"/>
      <c r="E790" s="97"/>
      <c r="F790" s="99"/>
      <c r="G790" s="95"/>
      <c r="H790" s="95"/>
      <c r="I790" s="95"/>
      <c r="J790" s="96"/>
      <c r="K790" s="95"/>
      <c r="L790" s="43" t="str">
        <f t="shared" si="16"/>
        <v/>
      </c>
      <c r="M790" s="42" t="str">
        <f>IF(AND(C790="",D790="",E790="",F790=""),"",IF(OR(C790="",D790="",E790="",F790="",G790=""),"EKSİK",IF(COUNTIF(MUSTERILER!$B$7:$B$156,C790)=0,"TANIMSIZ MÜŞTERİ","UYGUN")))</f>
        <v/>
      </c>
      <c r="N790" s="6"/>
      <c r="O790" s="6"/>
    </row>
    <row r="791" spans="1:15" ht="17">
      <c r="A791" s="6"/>
      <c r="B791" s="95" t="str">
        <f t="shared" si="15"/>
        <v/>
      </c>
      <c r="C791" s="95"/>
      <c r="D791" s="96"/>
      <c r="E791" s="97"/>
      <c r="F791" s="99"/>
      <c r="G791" s="95"/>
      <c r="H791" s="95"/>
      <c r="I791" s="95"/>
      <c r="J791" s="96"/>
      <c r="K791" s="95"/>
      <c r="L791" s="43" t="str">
        <f t="shared" si="16"/>
        <v/>
      </c>
      <c r="M791" s="42" t="str">
        <f>IF(AND(C791="",D791="",E791="",F791=""),"",IF(OR(C791="",D791="",E791="",F791="",G791=""),"EKSİK",IF(COUNTIF(MUSTERILER!$B$7:$B$156,C791)=0,"TANIMSIZ MÜŞTERİ","UYGUN")))</f>
        <v/>
      </c>
      <c r="N791" s="6"/>
      <c r="O791" s="6"/>
    </row>
    <row r="792" spans="1:15" ht="17">
      <c r="A792" s="6"/>
      <c r="B792" s="95" t="str">
        <f t="shared" si="15"/>
        <v/>
      </c>
      <c r="C792" s="95"/>
      <c r="D792" s="96"/>
      <c r="E792" s="97"/>
      <c r="F792" s="99"/>
      <c r="G792" s="95"/>
      <c r="H792" s="95"/>
      <c r="I792" s="95"/>
      <c r="J792" s="96"/>
      <c r="K792" s="95"/>
      <c r="L792" s="43" t="str">
        <f t="shared" si="16"/>
        <v/>
      </c>
      <c r="M792" s="42" t="str">
        <f>IF(AND(C792="",D792="",E792="",F792=""),"",IF(OR(C792="",D792="",E792="",F792="",G792=""),"EKSİK",IF(COUNTIF(MUSTERILER!$B$7:$B$156,C792)=0,"TANIMSIZ MÜŞTERİ","UYGUN")))</f>
        <v/>
      </c>
      <c r="N792" s="6"/>
      <c r="O792" s="6"/>
    </row>
    <row r="793" spans="1:15" ht="17">
      <c r="A793" s="6"/>
      <c r="B793" s="95" t="str">
        <f t="shared" si="15"/>
        <v/>
      </c>
      <c r="C793" s="95"/>
      <c r="D793" s="96"/>
      <c r="E793" s="97"/>
      <c r="F793" s="99"/>
      <c r="G793" s="95"/>
      <c r="H793" s="95"/>
      <c r="I793" s="95"/>
      <c r="J793" s="96"/>
      <c r="K793" s="95"/>
      <c r="L793" s="43" t="str">
        <f t="shared" si="16"/>
        <v/>
      </c>
      <c r="M793" s="42" t="str">
        <f>IF(AND(C793="",D793="",E793="",F793=""),"",IF(OR(C793="",D793="",E793="",F793="",G793=""),"EKSİK",IF(COUNTIF(MUSTERILER!$B$7:$B$156,C793)=0,"TANIMSIZ MÜŞTERİ","UYGUN")))</f>
        <v/>
      </c>
      <c r="N793" s="6"/>
      <c r="O793" s="6"/>
    </row>
    <row r="794" spans="1:15" ht="17">
      <c r="A794" s="6"/>
      <c r="B794" s="95" t="str">
        <f t="shared" si="15"/>
        <v/>
      </c>
      <c r="C794" s="95"/>
      <c r="D794" s="96"/>
      <c r="E794" s="97"/>
      <c r="F794" s="99"/>
      <c r="G794" s="95"/>
      <c r="H794" s="95"/>
      <c r="I794" s="95"/>
      <c r="J794" s="96"/>
      <c r="K794" s="95"/>
      <c r="L794" s="43" t="str">
        <f t="shared" si="16"/>
        <v/>
      </c>
      <c r="M794" s="42" t="str">
        <f>IF(AND(C794="",D794="",E794="",F794=""),"",IF(OR(C794="",D794="",E794="",F794="",G794=""),"EKSİK",IF(COUNTIF(MUSTERILER!$B$7:$B$156,C794)=0,"TANIMSIZ MÜŞTERİ","UYGUN")))</f>
        <v/>
      </c>
      <c r="N794" s="6"/>
      <c r="O794" s="6"/>
    </row>
    <row r="795" spans="1:15" ht="17">
      <c r="A795" s="6"/>
      <c r="B795" s="95" t="str">
        <f t="shared" si="15"/>
        <v/>
      </c>
      <c r="C795" s="95"/>
      <c r="D795" s="96"/>
      <c r="E795" s="97"/>
      <c r="F795" s="99"/>
      <c r="G795" s="95"/>
      <c r="H795" s="95"/>
      <c r="I795" s="95"/>
      <c r="J795" s="96"/>
      <c r="K795" s="95"/>
      <c r="L795" s="43" t="str">
        <f t="shared" si="16"/>
        <v/>
      </c>
      <c r="M795" s="42" t="str">
        <f>IF(AND(C795="",D795="",E795="",F795=""),"",IF(OR(C795="",D795="",E795="",F795="",G795=""),"EKSİK",IF(COUNTIF(MUSTERILER!$B$7:$B$156,C795)=0,"TANIMSIZ MÜŞTERİ","UYGUN")))</f>
        <v/>
      </c>
      <c r="N795" s="6"/>
      <c r="O795" s="6"/>
    </row>
    <row r="796" spans="1:15" ht="17">
      <c r="A796" s="6"/>
      <c r="B796" s="95" t="str">
        <f t="shared" si="15"/>
        <v/>
      </c>
      <c r="C796" s="95"/>
      <c r="D796" s="96"/>
      <c r="E796" s="97"/>
      <c r="F796" s="99"/>
      <c r="G796" s="95"/>
      <c r="H796" s="95"/>
      <c r="I796" s="95"/>
      <c r="J796" s="96"/>
      <c r="K796" s="95"/>
      <c r="L796" s="43" t="str">
        <f t="shared" si="16"/>
        <v/>
      </c>
      <c r="M796" s="42" t="str">
        <f>IF(AND(C796="",D796="",E796="",F796=""),"",IF(OR(C796="",D796="",E796="",F796="",G796=""),"EKSİK",IF(COUNTIF(MUSTERILER!$B$7:$B$156,C796)=0,"TANIMSIZ MÜŞTERİ","UYGUN")))</f>
        <v/>
      </c>
      <c r="N796" s="6"/>
      <c r="O796" s="6"/>
    </row>
    <row r="797" spans="1:15" ht="17">
      <c r="A797" s="6"/>
      <c r="B797" s="95" t="str">
        <f t="shared" si="15"/>
        <v/>
      </c>
      <c r="C797" s="95"/>
      <c r="D797" s="96"/>
      <c r="E797" s="97"/>
      <c r="F797" s="99"/>
      <c r="G797" s="95"/>
      <c r="H797" s="95"/>
      <c r="I797" s="95"/>
      <c r="J797" s="96"/>
      <c r="K797" s="95"/>
      <c r="L797" s="43" t="str">
        <f t="shared" si="16"/>
        <v/>
      </c>
      <c r="M797" s="42" t="str">
        <f>IF(AND(C797="",D797="",E797="",F797=""),"",IF(OR(C797="",D797="",E797="",F797="",G797=""),"EKSİK",IF(COUNTIF(MUSTERILER!$B$7:$B$156,C797)=0,"TANIMSIZ MÜŞTERİ","UYGUN")))</f>
        <v/>
      </c>
      <c r="N797" s="6"/>
      <c r="O797" s="6"/>
    </row>
    <row r="798" spans="1:15" ht="17">
      <c r="A798" s="6"/>
      <c r="B798" s="95" t="str">
        <f t="shared" si="15"/>
        <v/>
      </c>
      <c r="C798" s="95"/>
      <c r="D798" s="96"/>
      <c r="E798" s="97"/>
      <c r="F798" s="99"/>
      <c r="G798" s="95"/>
      <c r="H798" s="95"/>
      <c r="I798" s="95"/>
      <c r="J798" s="96"/>
      <c r="K798" s="95"/>
      <c r="L798" s="43" t="str">
        <f t="shared" si="16"/>
        <v/>
      </c>
      <c r="M798" s="42" t="str">
        <f>IF(AND(C798="",D798="",E798="",F798=""),"",IF(OR(C798="",D798="",E798="",F798="",G798=""),"EKSİK",IF(COUNTIF(MUSTERILER!$B$7:$B$156,C798)=0,"TANIMSIZ MÜŞTERİ","UYGUN")))</f>
        <v/>
      </c>
      <c r="N798" s="6"/>
      <c r="O798" s="6"/>
    </row>
    <row r="799" spans="1:15" ht="17">
      <c r="A799" s="6"/>
      <c r="B799" s="95" t="str">
        <f t="shared" si="15"/>
        <v/>
      </c>
      <c r="C799" s="95"/>
      <c r="D799" s="96"/>
      <c r="E799" s="97"/>
      <c r="F799" s="99"/>
      <c r="G799" s="95"/>
      <c r="H799" s="95"/>
      <c r="I799" s="95"/>
      <c r="J799" s="96"/>
      <c r="K799" s="95"/>
      <c r="L799" s="43" t="str">
        <f t="shared" si="16"/>
        <v/>
      </c>
      <c r="M799" s="42" t="str">
        <f>IF(AND(C799="",D799="",E799="",F799=""),"",IF(OR(C799="",D799="",E799="",F799="",G799=""),"EKSİK",IF(COUNTIF(MUSTERILER!$B$7:$B$156,C799)=0,"TANIMSIZ MÜŞTERİ","UYGUN")))</f>
        <v/>
      </c>
      <c r="N799" s="6"/>
      <c r="O799" s="6"/>
    </row>
    <row r="800" spans="1:15" ht="17">
      <c r="A800" s="6"/>
      <c r="B800" s="95" t="str">
        <f t="shared" si="15"/>
        <v/>
      </c>
      <c r="C800" s="95"/>
      <c r="D800" s="96"/>
      <c r="E800" s="97"/>
      <c r="F800" s="99"/>
      <c r="G800" s="95"/>
      <c r="H800" s="95"/>
      <c r="I800" s="95"/>
      <c r="J800" s="96"/>
      <c r="K800" s="95"/>
      <c r="L800" s="43" t="str">
        <f t="shared" si="16"/>
        <v/>
      </c>
      <c r="M800" s="42" t="str">
        <f>IF(AND(C800="",D800="",E800="",F800=""),"",IF(OR(C800="",D800="",E800="",F800="",G800=""),"EKSİK",IF(COUNTIF(MUSTERILER!$B$7:$B$156,C800)=0,"TANIMSIZ MÜŞTERİ","UYGUN")))</f>
        <v/>
      </c>
      <c r="N800" s="6"/>
      <c r="O800" s="6"/>
    </row>
    <row r="801" spans="1:15" ht="17">
      <c r="A801" s="6"/>
      <c r="B801" s="95" t="str">
        <f t="shared" si="15"/>
        <v/>
      </c>
      <c r="C801" s="95"/>
      <c r="D801" s="96"/>
      <c r="E801" s="97"/>
      <c r="F801" s="99"/>
      <c r="G801" s="95"/>
      <c r="H801" s="95"/>
      <c r="I801" s="95"/>
      <c r="J801" s="96"/>
      <c r="K801" s="95"/>
      <c r="L801" s="43" t="str">
        <f t="shared" si="16"/>
        <v/>
      </c>
      <c r="M801" s="42" t="str">
        <f>IF(AND(C801="",D801="",E801="",F801=""),"",IF(OR(C801="",D801="",E801="",F801="",G801=""),"EKSİK",IF(COUNTIF(MUSTERILER!$B$7:$B$156,C801)=0,"TANIMSIZ MÜŞTERİ","UYGUN")))</f>
        <v/>
      </c>
      <c r="N801" s="6"/>
      <c r="O801" s="6"/>
    </row>
    <row r="802" spans="1:15" ht="17">
      <c r="A802" s="6"/>
      <c r="B802" s="95" t="str">
        <f t="shared" si="15"/>
        <v/>
      </c>
      <c r="C802" s="95"/>
      <c r="D802" s="96"/>
      <c r="E802" s="97"/>
      <c r="F802" s="99"/>
      <c r="G802" s="95"/>
      <c r="H802" s="95"/>
      <c r="I802" s="95"/>
      <c r="J802" s="96"/>
      <c r="K802" s="95"/>
      <c r="L802" s="43" t="str">
        <f t="shared" si="16"/>
        <v/>
      </c>
      <c r="M802" s="42" t="str">
        <f>IF(AND(C802="",D802="",E802="",F802=""),"",IF(OR(C802="",D802="",E802="",F802="",G802=""),"EKSİK",IF(COUNTIF(MUSTERILER!$B$7:$B$156,C802)=0,"TANIMSIZ MÜŞTERİ","UYGUN")))</f>
        <v/>
      </c>
      <c r="N802" s="6"/>
      <c r="O802" s="6"/>
    </row>
    <row r="803" spans="1:15" ht="17">
      <c r="A803" s="6"/>
      <c r="B803" s="95" t="str">
        <f t="shared" si="15"/>
        <v/>
      </c>
      <c r="C803" s="95"/>
      <c r="D803" s="96"/>
      <c r="E803" s="97"/>
      <c r="F803" s="99"/>
      <c r="G803" s="95"/>
      <c r="H803" s="95"/>
      <c r="I803" s="95"/>
      <c r="J803" s="96"/>
      <c r="K803" s="95"/>
      <c r="L803" s="43" t="str">
        <f t="shared" si="16"/>
        <v/>
      </c>
      <c r="M803" s="42" t="str">
        <f>IF(AND(C803="",D803="",E803="",F803=""),"",IF(OR(C803="",D803="",E803="",F803="",G803=""),"EKSİK",IF(COUNTIF(MUSTERILER!$B$7:$B$156,C803)=0,"TANIMSIZ MÜŞTERİ","UYGUN")))</f>
        <v/>
      </c>
      <c r="N803" s="6"/>
      <c r="O803" s="6"/>
    </row>
    <row r="804" spans="1:15" ht="17">
      <c r="A804" s="6"/>
      <c r="B804" s="95" t="str">
        <f t="shared" si="15"/>
        <v/>
      </c>
      <c r="C804" s="95"/>
      <c r="D804" s="96"/>
      <c r="E804" s="97"/>
      <c r="F804" s="99"/>
      <c r="G804" s="95"/>
      <c r="H804" s="95"/>
      <c r="I804" s="95"/>
      <c r="J804" s="96"/>
      <c r="K804" s="95"/>
      <c r="L804" s="43" t="str">
        <f t="shared" si="16"/>
        <v/>
      </c>
      <c r="M804" s="42" t="str">
        <f>IF(AND(C804="",D804="",E804="",F804=""),"",IF(OR(C804="",D804="",E804="",F804="",G804=""),"EKSİK",IF(COUNTIF(MUSTERILER!$B$7:$B$156,C804)=0,"TANIMSIZ MÜŞTERİ","UYGUN")))</f>
        <v/>
      </c>
      <c r="N804" s="6"/>
      <c r="O804" s="6"/>
    </row>
    <row r="805" spans="1:15" ht="17">
      <c r="A805" s="6"/>
      <c r="B805" s="95" t="str">
        <f t="shared" si="15"/>
        <v/>
      </c>
      <c r="C805" s="95"/>
      <c r="D805" s="96"/>
      <c r="E805" s="97"/>
      <c r="F805" s="99"/>
      <c r="G805" s="95"/>
      <c r="H805" s="95"/>
      <c r="I805" s="95"/>
      <c r="J805" s="96"/>
      <c r="K805" s="95"/>
      <c r="L805" s="43" t="str">
        <f t="shared" si="16"/>
        <v/>
      </c>
      <c r="M805" s="42" t="str">
        <f>IF(AND(C805="",D805="",E805="",F805=""),"",IF(OR(C805="",D805="",E805="",F805="",G805=""),"EKSİK",IF(COUNTIF(MUSTERILER!$B$7:$B$156,C805)=0,"TANIMSIZ MÜŞTERİ","UYGUN")))</f>
        <v/>
      </c>
      <c r="N805" s="6"/>
      <c r="O805" s="6"/>
    </row>
    <row r="806" spans="1:15" ht="17">
      <c r="A806" s="6"/>
      <c r="B806" s="95" t="str">
        <f t="shared" si="15"/>
        <v/>
      </c>
      <c r="C806" s="95"/>
      <c r="D806" s="96"/>
      <c r="E806" s="97"/>
      <c r="F806" s="99"/>
      <c r="G806" s="95"/>
      <c r="H806" s="95"/>
      <c r="I806" s="95"/>
      <c r="J806" s="96"/>
      <c r="K806" s="95"/>
      <c r="L806" s="43" t="str">
        <f t="shared" si="16"/>
        <v/>
      </c>
      <c r="M806" s="42" t="str">
        <f>IF(AND(C806="",D806="",E806="",F806=""),"",IF(OR(C806="",D806="",E806="",F806="",G806=""),"EKSİK",IF(COUNTIF(MUSTERILER!$B$7:$B$156,C806)=0,"TANIMSIZ MÜŞTERİ","UYGUN")))</f>
        <v/>
      </c>
      <c r="N806" s="6"/>
      <c r="O806" s="6"/>
    </row>
    <row r="807" spans="1:15" ht="17">
      <c r="A807" s="6"/>
      <c r="B807" s="95" t="str">
        <f t="shared" si="15"/>
        <v/>
      </c>
      <c r="C807" s="95"/>
      <c r="D807" s="96"/>
      <c r="E807" s="97"/>
      <c r="F807" s="99"/>
      <c r="G807" s="95"/>
      <c r="H807" s="95"/>
      <c r="I807" s="95"/>
      <c r="J807" s="96"/>
      <c r="K807" s="95"/>
      <c r="L807" s="43" t="str">
        <f t="shared" si="16"/>
        <v/>
      </c>
      <c r="M807" s="42" t="str">
        <f>IF(AND(C807="",D807="",E807="",F807=""),"",IF(OR(C807="",D807="",E807="",F807="",G807=""),"EKSİK",IF(COUNTIF(MUSTERILER!$B$7:$B$156,C807)=0,"TANIMSIZ MÜŞTERİ","UYGUN")))</f>
        <v/>
      </c>
      <c r="N807" s="6"/>
      <c r="O807" s="6"/>
    </row>
    <row r="808" spans="1:15" ht="17">
      <c r="A808" s="6"/>
      <c r="B808" s="95" t="str">
        <f t="shared" si="15"/>
        <v/>
      </c>
      <c r="C808" s="95"/>
      <c r="D808" s="96"/>
      <c r="E808" s="97"/>
      <c r="F808" s="99"/>
      <c r="G808" s="95"/>
      <c r="H808" s="95"/>
      <c r="I808" s="95"/>
      <c r="J808" s="96"/>
      <c r="K808" s="95"/>
      <c r="L808" s="43" t="str">
        <f t="shared" si="16"/>
        <v/>
      </c>
      <c r="M808" s="42" t="str">
        <f>IF(AND(C808="",D808="",E808="",F808=""),"",IF(OR(C808="",D808="",E808="",F808="",G808=""),"EKSİK",IF(COUNTIF(MUSTERILER!$B$7:$B$156,C808)=0,"TANIMSIZ MÜŞTERİ","UYGUN")))</f>
        <v/>
      </c>
      <c r="N808" s="6"/>
      <c r="O808" s="6"/>
    </row>
    <row r="809" spans="1:15" ht="17">
      <c r="A809" s="6"/>
      <c r="B809" s="95" t="str">
        <f t="shared" si="15"/>
        <v/>
      </c>
      <c r="C809" s="95"/>
      <c r="D809" s="96"/>
      <c r="E809" s="97"/>
      <c r="F809" s="99"/>
      <c r="G809" s="95"/>
      <c r="H809" s="95"/>
      <c r="I809" s="95"/>
      <c r="J809" s="96"/>
      <c r="K809" s="95"/>
      <c r="L809" s="43" t="str">
        <f t="shared" si="16"/>
        <v/>
      </c>
      <c r="M809" s="42" t="str">
        <f>IF(AND(C809="",D809="",E809="",F809=""),"",IF(OR(C809="",D809="",E809="",F809="",G809=""),"EKSİK",IF(COUNTIF(MUSTERILER!$B$7:$B$156,C809)=0,"TANIMSIZ MÜŞTERİ","UYGUN")))</f>
        <v/>
      </c>
      <c r="N809" s="6"/>
      <c r="O809" s="6"/>
    </row>
    <row r="810" spans="1:15" ht="17">
      <c r="A810" s="6"/>
      <c r="B810" s="95" t="str">
        <f t="shared" si="15"/>
        <v/>
      </c>
      <c r="C810" s="95"/>
      <c r="D810" s="96"/>
      <c r="E810" s="97"/>
      <c r="F810" s="99"/>
      <c r="G810" s="95"/>
      <c r="H810" s="95"/>
      <c r="I810" s="95"/>
      <c r="J810" s="96"/>
      <c r="K810" s="95"/>
      <c r="L810" s="43" t="str">
        <f t="shared" si="16"/>
        <v/>
      </c>
      <c r="M810" s="42" t="str">
        <f>IF(AND(C810="",D810="",E810="",F810=""),"",IF(OR(C810="",D810="",E810="",F810="",G810=""),"EKSİK",IF(COUNTIF(MUSTERILER!$B$7:$B$156,C810)=0,"TANIMSIZ MÜŞTERİ","UYGUN")))</f>
        <v/>
      </c>
      <c r="N810" s="6"/>
      <c r="O810" s="6"/>
    </row>
    <row r="811" spans="1:15" ht="17">
      <c r="A811" s="6"/>
      <c r="B811" s="95" t="str">
        <f t="shared" si="15"/>
        <v/>
      </c>
      <c r="C811" s="95"/>
      <c r="D811" s="96"/>
      <c r="E811" s="97"/>
      <c r="F811" s="99"/>
      <c r="G811" s="95"/>
      <c r="H811" s="95"/>
      <c r="I811" s="95"/>
      <c r="J811" s="96"/>
      <c r="K811" s="95"/>
      <c r="L811" s="43" t="str">
        <f t="shared" si="16"/>
        <v/>
      </c>
      <c r="M811" s="42" t="str">
        <f>IF(AND(C811="",D811="",E811="",F811=""),"",IF(OR(C811="",D811="",E811="",F811="",G811=""),"EKSİK",IF(COUNTIF(MUSTERILER!$B$7:$B$156,C811)=0,"TANIMSIZ MÜŞTERİ","UYGUN")))</f>
        <v/>
      </c>
      <c r="N811" s="6"/>
      <c r="O811" s="6"/>
    </row>
    <row r="812" spans="1:15" ht="17">
      <c r="A812" s="6"/>
      <c r="B812" s="95" t="str">
        <f t="shared" si="15"/>
        <v/>
      </c>
      <c r="C812" s="95"/>
      <c r="D812" s="96"/>
      <c r="E812" s="97"/>
      <c r="F812" s="99"/>
      <c r="G812" s="95"/>
      <c r="H812" s="95"/>
      <c r="I812" s="95"/>
      <c r="J812" s="96"/>
      <c r="K812" s="95"/>
      <c r="L812" s="43" t="str">
        <f t="shared" si="16"/>
        <v/>
      </c>
      <c r="M812" s="42" t="str">
        <f>IF(AND(C812="",D812="",E812="",F812=""),"",IF(OR(C812="",D812="",E812="",F812="",G812=""),"EKSİK",IF(COUNTIF(MUSTERILER!$B$7:$B$156,C812)=0,"TANIMSIZ MÜŞTERİ","UYGUN")))</f>
        <v/>
      </c>
      <c r="N812" s="6"/>
      <c r="O812" s="6"/>
    </row>
    <row r="813" spans="1:15" ht="17">
      <c r="A813" s="6"/>
      <c r="B813" s="95" t="str">
        <f t="shared" si="15"/>
        <v/>
      </c>
      <c r="C813" s="95"/>
      <c r="D813" s="96"/>
      <c r="E813" s="97"/>
      <c r="F813" s="99"/>
      <c r="G813" s="95"/>
      <c r="H813" s="95"/>
      <c r="I813" s="95"/>
      <c r="J813" s="96"/>
      <c r="K813" s="95"/>
      <c r="L813" s="43" t="str">
        <f t="shared" si="16"/>
        <v/>
      </c>
      <c r="M813" s="42" t="str">
        <f>IF(AND(C813="",D813="",E813="",F813=""),"",IF(OR(C813="",D813="",E813="",F813="",G813=""),"EKSİK",IF(COUNTIF(MUSTERILER!$B$7:$B$156,C813)=0,"TANIMSIZ MÜŞTERİ","UYGUN")))</f>
        <v/>
      </c>
      <c r="N813" s="6"/>
      <c r="O813" s="6"/>
    </row>
    <row r="814" spans="1:15" ht="17">
      <c r="A814" s="6"/>
      <c r="B814" s="95" t="str">
        <f t="shared" ref="B814:B877" si="17">IF(E814="","","T"&amp;TEXT(ROW()-6,"00000"))</f>
        <v/>
      </c>
      <c r="C814" s="95"/>
      <c r="D814" s="96"/>
      <c r="E814" s="97"/>
      <c r="F814" s="99"/>
      <c r="G814" s="95"/>
      <c r="H814" s="95"/>
      <c r="I814" s="95"/>
      <c r="J814" s="96"/>
      <c r="K814" s="95"/>
      <c r="L814" s="43" t="str">
        <f t="shared" si="16"/>
        <v/>
      </c>
      <c r="M814" s="42" t="str">
        <f>IF(AND(C814="",D814="",E814="",F814=""),"",IF(OR(C814="",D814="",E814="",F814="",G814=""),"EKSİK",IF(COUNTIF(MUSTERILER!$B$7:$B$156,C814)=0,"TANIMSIZ MÜŞTERİ","UYGUN")))</f>
        <v/>
      </c>
      <c r="N814" s="6"/>
      <c r="O814" s="6"/>
    </row>
    <row r="815" spans="1:15" ht="17">
      <c r="A815" s="6"/>
      <c r="B815" s="95" t="str">
        <f t="shared" si="17"/>
        <v/>
      </c>
      <c r="C815" s="95"/>
      <c r="D815" s="96"/>
      <c r="E815" s="97"/>
      <c r="F815" s="99"/>
      <c r="G815" s="95"/>
      <c r="H815" s="95"/>
      <c r="I815" s="95"/>
      <c r="J815" s="96"/>
      <c r="K815" s="95"/>
      <c r="L815" s="43" t="str">
        <f t="shared" si="16"/>
        <v/>
      </c>
      <c r="M815" s="42" t="str">
        <f>IF(AND(C815="",D815="",E815="",F815=""),"",IF(OR(C815="",D815="",E815="",F815="",G815=""),"EKSİK",IF(COUNTIF(MUSTERILER!$B$7:$B$156,C815)=0,"TANIMSIZ MÜŞTERİ","UYGUN")))</f>
        <v/>
      </c>
      <c r="N815" s="6"/>
      <c r="O815" s="6"/>
    </row>
    <row r="816" spans="1:15" ht="17">
      <c r="A816" s="6"/>
      <c r="B816" s="95" t="str">
        <f t="shared" si="17"/>
        <v/>
      </c>
      <c r="C816" s="95"/>
      <c r="D816" s="96"/>
      <c r="E816" s="97"/>
      <c r="F816" s="99"/>
      <c r="G816" s="95"/>
      <c r="H816" s="95"/>
      <c r="I816" s="95"/>
      <c r="J816" s="96"/>
      <c r="K816" s="95"/>
      <c r="L816" s="43" t="str">
        <f t="shared" si="16"/>
        <v/>
      </c>
      <c r="M816" s="42" t="str">
        <f>IF(AND(C816="",D816="",E816="",F816=""),"",IF(OR(C816="",D816="",E816="",F816="",G816=""),"EKSİK",IF(COUNTIF(MUSTERILER!$B$7:$B$156,C816)=0,"TANIMSIZ MÜŞTERİ","UYGUN")))</f>
        <v/>
      </c>
      <c r="N816" s="6"/>
      <c r="O816" s="6"/>
    </row>
    <row r="817" spans="1:15" ht="17">
      <c r="A817" s="6"/>
      <c r="B817" s="95" t="str">
        <f t="shared" si="17"/>
        <v/>
      </c>
      <c r="C817" s="95"/>
      <c r="D817" s="96"/>
      <c r="E817" s="97"/>
      <c r="F817" s="99"/>
      <c r="G817" s="95"/>
      <c r="H817" s="95"/>
      <c r="I817" s="95"/>
      <c r="J817" s="96"/>
      <c r="K817" s="95"/>
      <c r="L817" s="43" t="str">
        <f t="shared" si="16"/>
        <v/>
      </c>
      <c r="M817" s="42" t="str">
        <f>IF(AND(C817="",D817="",E817="",F817=""),"",IF(OR(C817="",D817="",E817="",F817="",G817=""),"EKSİK",IF(COUNTIF(MUSTERILER!$B$7:$B$156,C817)=0,"TANIMSIZ MÜŞTERİ","UYGUN")))</f>
        <v/>
      </c>
      <c r="N817" s="6"/>
      <c r="O817" s="6"/>
    </row>
    <row r="818" spans="1:15" ht="17">
      <c r="A818" s="6"/>
      <c r="B818" s="95" t="str">
        <f t="shared" si="17"/>
        <v/>
      </c>
      <c r="C818" s="95"/>
      <c r="D818" s="96"/>
      <c r="E818" s="97"/>
      <c r="F818" s="99"/>
      <c r="G818" s="95"/>
      <c r="H818" s="95"/>
      <c r="I818" s="95"/>
      <c r="J818" s="96"/>
      <c r="K818" s="95"/>
      <c r="L818" s="43" t="str">
        <f t="shared" si="16"/>
        <v/>
      </c>
      <c r="M818" s="42" t="str">
        <f>IF(AND(C818="",D818="",E818="",F818=""),"",IF(OR(C818="",D818="",E818="",F818="",G818=""),"EKSİK",IF(COUNTIF(MUSTERILER!$B$7:$B$156,C818)=0,"TANIMSIZ MÜŞTERİ","UYGUN")))</f>
        <v/>
      </c>
      <c r="N818" s="6"/>
      <c r="O818" s="6"/>
    </row>
    <row r="819" spans="1:15" ht="17">
      <c r="A819" s="6"/>
      <c r="B819" s="95" t="str">
        <f t="shared" si="17"/>
        <v/>
      </c>
      <c r="C819" s="95"/>
      <c r="D819" s="96"/>
      <c r="E819" s="97"/>
      <c r="F819" s="99"/>
      <c r="G819" s="95"/>
      <c r="H819" s="95"/>
      <c r="I819" s="95"/>
      <c r="J819" s="96"/>
      <c r="K819" s="95"/>
      <c r="L819" s="43" t="str">
        <f t="shared" si="16"/>
        <v/>
      </c>
      <c r="M819" s="42" t="str">
        <f>IF(AND(C819="",D819="",E819="",F819=""),"",IF(OR(C819="",D819="",E819="",F819="",G819=""),"EKSİK",IF(COUNTIF(MUSTERILER!$B$7:$B$156,C819)=0,"TANIMSIZ MÜŞTERİ","UYGUN")))</f>
        <v/>
      </c>
      <c r="N819" s="6"/>
      <c r="O819" s="6"/>
    </row>
    <row r="820" spans="1:15" ht="17">
      <c r="A820" s="6"/>
      <c r="B820" s="95" t="str">
        <f t="shared" si="17"/>
        <v/>
      </c>
      <c r="C820" s="95"/>
      <c r="D820" s="96"/>
      <c r="E820" s="97"/>
      <c r="F820" s="99"/>
      <c r="G820" s="95"/>
      <c r="H820" s="95"/>
      <c r="I820" s="95"/>
      <c r="J820" s="96"/>
      <c r="K820" s="95"/>
      <c r="L820" s="43" t="str">
        <f t="shared" si="16"/>
        <v/>
      </c>
      <c r="M820" s="42" t="str">
        <f>IF(AND(C820="",D820="",E820="",F820=""),"",IF(OR(C820="",D820="",E820="",F820="",G820=""),"EKSİK",IF(COUNTIF(MUSTERILER!$B$7:$B$156,C820)=0,"TANIMSIZ MÜŞTERİ","UYGUN")))</f>
        <v/>
      </c>
      <c r="N820" s="6"/>
      <c r="O820" s="6"/>
    </row>
    <row r="821" spans="1:15" ht="17">
      <c r="A821" s="6"/>
      <c r="B821" s="95" t="str">
        <f t="shared" si="17"/>
        <v/>
      </c>
      <c r="C821" s="95"/>
      <c r="D821" s="96"/>
      <c r="E821" s="97"/>
      <c r="F821" s="99"/>
      <c r="G821" s="95"/>
      <c r="H821" s="95"/>
      <c r="I821" s="95"/>
      <c r="J821" s="96"/>
      <c r="K821" s="95"/>
      <c r="L821" s="43" t="str">
        <f t="shared" si="16"/>
        <v/>
      </c>
      <c r="M821" s="42" t="str">
        <f>IF(AND(C821="",D821="",E821="",F821=""),"",IF(OR(C821="",D821="",E821="",F821="",G821=""),"EKSİK",IF(COUNTIF(MUSTERILER!$B$7:$B$156,C821)=0,"TANIMSIZ MÜŞTERİ","UYGUN")))</f>
        <v/>
      </c>
      <c r="N821" s="6"/>
      <c r="O821" s="6"/>
    </row>
    <row r="822" spans="1:15" ht="17">
      <c r="A822" s="6"/>
      <c r="B822" s="95" t="str">
        <f t="shared" si="17"/>
        <v/>
      </c>
      <c r="C822" s="95"/>
      <c r="D822" s="96"/>
      <c r="E822" s="97"/>
      <c r="F822" s="99"/>
      <c r="G822" s="95"/>
      <c r="H822" s="95"/>
      <c r="I822" s="95"/>
      <c r="J822" s="96"/>
      <c r="K822" s="95"/>
      <c r="L822" s="43" t="str">
        <f t="shared" si="16"/>
        <v/>
      </c>
      <c r="M822" s="42" t="str">
        <f>IF(AND(C822="",D822="",E822="",F822=""),"",IF(OR(C822="",D822="",E822="",F822="",G822=""),"EKSİK",IF(COUNTIF(MUSTERILER!$B$7:$B$156,C822)=0,"TANIMSIZ MÜŞTERİ","UYGUN")))</f>
        <v/>
      </c>
      <c r="N822" s="6"/>
      <c r="O822" s="6"/>
    </row>
    <row r="823" spans="1:15" ht="17">
      <c r="A823" s="6"/>
      <c r="B823" s="95" t="str">
        <f t="shared" si="17"/>
        <v/>
      </c>
      <c r="C823" s="95"/>
      <c r="D823" s="96"/>
      <c r="E823" s="97"/>
      <c r="F823" s="99"/>
      <c r="G823" s="95"/>
      <c r="H823" s="95"/>
      <c r="I823" s="95"/>
      <c r="J823" s="96"/>
      <c r="K823" s="95"/>
      <c r="L823" s="43" t="str">
        <f t="shared" si="16"/>
        <v/>
      </c>
      <c r="M823" s="42" t="str">
        <f>IF(AND(C823="",D823="",E823="",F823=""),"",IF(OR(C823="",D823="",E823="",F823="",G823=""),"EKSİK",IF(COUNTIF(MUSTERILER!$B$7:$B$156,C823)=0,"TANIMSIZ MÜŞTERİ","UYGUN")))</f>
        <v/>
      </c>
      <c r="N823" s="6"/>
      <c r="O823" s="6"/>
    </row>
    <row r="824" spans="1:15" ht="17">
      <c r="A824" s="6"/>
      <c r="B824" s="95" t="str">
        <f t="shared" si="17"/>
        <v/>
      </c>
      <c r="C824" s="95"/>
      <c r="D824" s="96"/>
      <c r="E824" s="97"/>
      <c r="F824" s="99"/>
      <c r="G824" s="95"/>
      <c r="H824" s="95"/>
      <c r="I824" s="95"/>
      <c r="J824" s="96"/>
      <c r="K824" s="95"/>
      <c r="L824" s="43" t="str">
        <f t="shared" si="16"/>
        <v/>
      </c>
      <c r="M824" s="42" t="str">
        <f>IF(AND(C824="",D824="",E824="",F824=""),"",IF(OR(C824="",D824="",E824="",F824="",G824=""),"EKSİK",IF(COUNTIF(MUSTERILER!$B$7:$B$156,C824)=0,"TANIMSIZ MÜŞTERİ","UYGUN")))</f>
        <v/>
      </c>
      <c r="N824" s="6"/>
      <c r="O824" s="6"/>
    </row>
    <row r="825" spans="1:15" ht="17">
      <c r="A825" s="6"/>
      <c r="B825" s="95" t="str">
        <f t="shared" si="17"/>
        <v/>
      </c>
      <c r="C825" s="95"/>
      <c r="D825" s="96"/>
      <c r="E825" s="97"/>
      <c r="F825" s="99"/>
      <c r="G825" s="95"/>
      <c r="H825" s="95"/>
      <c r="I825" s="95"/>
      <c r="J825" s="96"/>
      <c r="K825" s="95"/>
      <c r="L825" s="43" t="str">
        <f t="shared" si="16"/>
        <v/>
      </c>
      <c r="M825" s="42" t="str">
        <f>IF(AND(C825="",D825="",E825="",F825=""),"",IF(OR(C825="",D825="",E825="",F825="",G825=""),"EKSİK",IF(COUNTIF(MUSTERILER!$B$7:$B$156,C825)=0,"TANIMSIZ MÜŞTERİ","UYGUN")))</f>
        <v/>
      </c>
      <c r="N825" s="6"/>
      <c r="O825" s="6"/>
    </row>
    <row r="826" spans="1:15" ht="17">
      <c r="A826" s="6"/>
      <c r="B826" s="95" t="str">
        <f t="shared" si="17"/>
        <v/>
      </c>
      <c r="C826" s="95"/>
      <c r="D826" s="96"/>
      <c r="E826" s="97"/>
      <c r="F826" s="99"/>
      <c r="G826" s="95"/>
      <c r="H826" s="95"/>
      <c r="I826" s="95"/>
      <c r="J826" s="96"/>
      <c r="K826" s="95"/>
      <c r="L826" s="43" t="str">
        <f t="shared" si="16"/>
        <v/>
      </c>
      <c r="M826" s="42" t="str">
        <f>IF(AND(C826="",D826="",E826="",F826=""),"",IF(OR(C826="",D826="",E826="",F826="",G826=""),"EKSİK",IF(COUNTIF(MUSTERILER!$B$7:$B$156,C826)=0,"TANIMSIZ MÜŞTERİ","UYGUN")))</f>
        <v/>
      </c>
      <c r="N826" s="6"/>
      <c r="O826" s="6"/>
    </row>
    <row r="827" spans="1:15" ht="17">
      <c r="A827" s="6"/>
      <c r="B827" s="95" t="str">
        <f t="shared" si="17"/>
        <v/>
      </c>
      <c r="C827" s="95"/>
      <c r="D827" s="96"/>
      <c r="E827" s="97"/>
      <c r="F827" s="99"/>
      <c r="G827" s="95"/>
      <c r="H827" s="95"/>
      <c r="I827" s="95"/>
      <c r="J827" s="96"/>
      <c r="K827" s="95"/>
      <c r="L827" s="43" t="str">
        <f t="shared" si="16"/>
        <v/>
      </c>
      <c r="M827" s="42" t="str">
        <f>IF(AND(C827="",D827="",E827="",F827=""),"",IF(OR(C827="",D827="",E827="",F827="",G827=""),"EKSİK",IF(COUNTIF(MUSTERILER!$B$7:$B$156,C827)=0,"TANIMSIZ MÜŞTERİ","UYGUN")))</f>
        <v/>
      </c>
      <c r="N827" s="6"/>
      <c r="O827" s="6"/>
    </row>
    <row r="828" spans="1:15" ht="17">
      <c r="A828" s="6"/>
      <c r="B828" s="95" t="str">
        <f t="shared" si="17"/>
        <v/>
      </c>
      <c r="C828" s="95"/>
      <c r="D828" s="96"/>
      <c r="E828" s="97"/>
      <c r="F828" s="99"/>
      <c r="G828" s="95"/>
      <c r="H828" s="95"/>
      <c r="I828" s="95"/>
      <c r="J828" s="96"/>
      <c r="K828" s="95"/>
      <c r="L828" s="43" t="str">
        <f t="shared" si="16"/>
        <v/>
      </c>
      <c r="M828" s="42" t="str">
        <f>IF(AND(C828="",D828="",E828="",F828=""),"",IF(OR(C828="",D828="",E828="",F828="",G828=""),"EKSİK",IF(COUNTIF(MUSTERILER!$B$7:$B$156,C828)=0,"TANIMSIZ MÜŞTERİ","UYGUN")))</f>
        <v/>
      </c>
      <c r="N828" s="6"/>
      <c r="O828" s="6"/>
    </row>
    <row r="829" spans="1:15" ht="17">
      <c r="A829" s="6"/>
      <c r="B829" s="95" t="str">
        <f t="shared" si="17"/>
        <v/>
      </c>
      <c r="C829" s="95"/>
      <c r="D829" s="96"/>
      <c r="E829" s="97"/>
      <c r="F829" s="99"/>
      <c r="G829" s="95"/>
      <c r="H829" s="95"/>
      <c r="I829" s="95"/>
      <c r="J829" s="96"/>
      <c r="K829" s="95"/>
      <c r="L829" s="43" t="str">
        <f t="shared" si="16"/>
        <v/>
      </c>
      <c r="M829" s="42" t="str">
        <f>IF(AND(C829="",D829="",E829="",F829=""),"",IF(OR(C829="",D829="",E829="",F829="",G829=""),"EKSİK",IF(COUNTIF(MUSTERILER!$B$7:$B$156,C829)=0,"TANIMSIZ MÜŞTERİ","UYGUN")))</f>
        <v/>
      </c>
      <c r="N829" s="6"/>
      <c r="O829" s="6"/>
    </row>
    <row r="830" spans="1:15" ht="17">
      <c r="A830" s="6"/>
      <c r="B830" s="95" t="str">
        <f t="shared" si="17"/>
        <v/>
      </c>
      <c r="C830" s="95"/>
      <c r="D830" s="96"/>
      <c r="E830" s="97"/>
      <c r="F830" s="99"/>
      <c r="G830" s="95"/>
      <c r="H830" s="95"/>
      <c r="I830" s="95"/>
      <c r="J830" s="96"/>
      <c r="K830" s="95"/>
      <c r="L830" s="43" t="str">
        <f t="shared" si="16"/>
        <v/>
      </c>
      <c r="M830" s="42" t="str">
        <f>IF(AND(C830="",D830="",E830="",F830=""),"",IF(OR(C830="",D830="",E830="",F830="",G830=""),"EKSİK",IF(COUNTIF(MUSTERILER!$B$7:$B$156,C830)=0,"TANIMSIZ MÜŞTERİ","UYGUN")))</f>
        <v/>
      </c>
      <c r="N830" s="6"/>
      <c r="O830" s="6"/>
    </row>
    <row r="831" spans="1:15" ht="17">
      <c r="A831" s="6"/>
      <c r="B831" s="95" t="str">
        <f t="shared" si="17"/>
        <v/>
      </c>
      <c r="C831" s="95"/>
      <c r="D831" s="96"/>
      <c r="E831" s="97"/>
      <c r="F831" s="99"/>
      <c r="G831" s="95"/>
      <c r="H831" s="95"/>
      <c r="I831" s="95"/>
      <c r="J831" s="96"/>
      <c r="K831" s="95"/>
      <c r="L831" s="43" t="str">
        <f t="shared" si="16"/>
        <v/>
      </c>
      <c r="M831" s="42" t="str">
        <f>IF(AND(C831="",D831="",E831="",F831=""),"",IF(OR(C831="",D831="",E831="",F831="",G831=""),"EKSİK",IF(COUNTIF(MUSTERILER!$B$7:$B$156,C831)=0,"TANIMSIZ MÜŞTERİ","UYGUN")))</f>
        <v/>
      </c>
      <c r="N831" s="6"/>
      <c r="O831" s="6"/>
    </row>
    <row r="832" spans="1:15" ht="17">
      <c r="A832" s="6"/>
      <c r="B832" s="95" t="str">
        <f t="shared" si="17"/>
        <v/>
      </c>
      <c r="C832" s="95"/>
      <c r="D832" s="96"/>
      <c r="E832" s="97"/>
      <c r="F832" s="99"/>
      <c r="G832" s="95"/>
      <c r="H832" s="95"/>
      <c r="I832" s="95"/>
      <c r="J832" s="96"/>
      <c r="K832" s="95"/>
      <c r="L832" s="43" t="str">
        <f t="shared" si="16"/>
        <v/>
      </c>
      <c r="M832" s="42" t="str">
        <f>IF(AND(C832="",D832="",E832="",F832=""),"",IF(OR(C832="",D832="",E832="",F832="",G832=""),"EKSİK",IF(COUNTIF(MUSTERILER!$B$7:$B$156,C832)=0,"TANIMSIZ MÜŞTERİ","UYGUN")))</f>
        <v/>
      </c>
      <c r="N832" s="6"/>
      <c r="O832" s="6"/>
    </row>
    <row r="833" spans="1:15" ht="17">
      <c r="A833" s="6"/>
      <c r="B833" s="95" t="str">
        <f t="shared" si="17"/>
        <v/>
      </c>
      <c r="C833" s="95"/>
      <c r="D833" s="96"/>
      <c r="E833" s="97"/>
      <c r="F833" s="99"/>
      <c r="G833" s="95"/>
      <c r="H833" s="95"/>
      <c r="I833" s="95"/>
      <c r="J833" s="96"/>
      <c r="K833" s="95"/>
      <c r="L833" s="43" t="str">
        <f t="shared" si="16"/>
        <v/>
      </c>
      <c r="M833" s="42" t="str">
        <f>IF(AND(C833="",D833="",E833="",F833=""),"",IF(OR(C833="",D833="",E833="",F833="",G833=""),"EKSİK",IF(COUNTIF(MUSTERILER!$B$7:$B$156,C833)=0,"TANIMSIZ MÜŞTERİ","UYGUN")))</f>
        <v/>
      </c>
      <c r="N833" s="6"/>
      <c r="O833" s="6"/>
    </row>
    <row r="834" spans="1:15" ht="17">
      <c r="A834" s="6"/>
      <c r="B834" s="95" t="str">
        <f t="shared" si="17"/>
        <v/>
      </c>
      <c r="C834" s="95"/>
      <c r="D834" s="96"/>
      <c r="E834" s="97"/>
      <c r="F834" s="99"/>
      <c r="G834" s="95"/>
      <c r="H834" s="95"/>
      <c r="I834" s="95"/>
      <c r="J834" s="96"/>
      <c r="K834" s="95"/>
      <c r="L834" s="43" t="str">
        <f t="shared" si="16"/>
        <v/>
      </c>
      <c r="M834" s="42" t="str">
        <f>IF(AND(C834="",D834="",E834="",F834=""),"",IF(OR(C834="",D834="",E834="",F834="",G834=""),"EKSİK",IF(COUNTIF(MUSTERILER!$B$7:$B$156,C834)=0,"TANIMSIZ MÜŞTERİ","UYGUN")))</f>
        <v/>
      </c>
      <c r="N834" s="6"/>
      <c r="O834" s="6"/>
    </row>
    <row r="835" spans="1:15" ht="17">
      <c r="A835" s="6"/>
      <c r="B835" s="95" t="str">
        <f t="shared" si="17"/>
        <v/>
      </c>
      <c r="C835" s="95"/>
      <c r="D835" s="96"/>
      <c r="E835" s="97"/>
      <c r="F835" s="99"/>
      <c r="G835" s="95"/>
      <c r="H835" s="95"/>
      <c r="I835" s="95"/>
      <c r="J835" s="96"/>
      <c r="K835" s="95"/>
      <c r="L835" s="43" t="str">
        <f t="shared" si="16"/>
        <v/>
      </c>
      <c r="M835" s="42" t="str">
        <f>IF(AND(C835="",D835="",E835="",F835=""),"",IF(OR(C835="",D835="",E835="",F835="",G835=""),"EKSİK",IF(COUNTIF(MUSTERILER!$B$7:$B$156,C835)=0,"TANIMSIZ MÜŞTERİ","UYGUN")))</f>
        <v/>
      </c>
      <c r="N835" s="6"/>
      <c r="O835" s="6"/>
    </row>
    <row r="836" spans="1:15" ht="17">
      <c r="A836" s="6"/>
      <c r="B836" s="95" t="str">
        <f t="shared" si="17"/>
        <v/>
      </c>
      <c r="C836" s="95"/>
      <c r="D836" s="96"/>
      <c r="E836" s="97"/>
      <c r="F836" s="99"/>
      <c r="G836" s="95"/>
      <c r="H836" s="95"/>
      <c r="I836" s="95"/>
      <c r="J836" s="96"/>
      <c r="K836" s="95"/>
      <c r="L836" s="43" t="str">
        <f t="shared" si="16"/>
        <v/>
      </c>
      <c r="M836" s="42" t="str">
        <f>IF(AND(C836="",D836="",E836="",F836=""),"",IF(OR(C836="",D836="",E836="",F836="",G836=""),"EKSİK",IF(COUNTIF(MUSTERILER!$B$7:$B$156,C836)=0,"TANIMSIZ MÜŞTERİ","UYGUN")))</f>
        <v/>
      </c>
      <c r="N836" s="6"/>
      <c r="O836" s="6"/>
    </row>
    <row r="837" spans="1:15" ht="17">
      <c r="A837" s="6"/>
      <c r="B837" s="95" t="str">
        <f t="shared" si="17"/>
        <v/>
      </c>
      <c r="C837" s="95"/>
      <c r="D837" s="96"/>
      <c r="E837" s="97"/>
      <c r="F837" s="99"/>
      <c r="G837" s="95"/>
      <c r="H837" s="95"/>
      <c r="I837" s="95"/>
      <c r="J837" s="96"/>
      <c r="K837" s="95"/>
      <c r="L837" s="43" t="str">
        <f t="shared" si="16"/>
        <v/>
      </c>
      <c r="M837" s="42" t="str">
        <f>IF(AND(C837="",D837="",E837="",F837=""),"",IF(OR(C837="",D837="",E837="",F837="",G837=""),"EKSİK",IF(COUNTIF(MUSTERILER!$B$7:$B$156,C837)=0,"TANIMSIZ MÜŞTERİ","UYGUN")))</f>
        <v/>
      </c>
      <c r="N837" s="6"/>
      <c r="O837" s="6"/>
    </row>
    <row r="838" spans="1:15" ht="17">
      <c r="A838" s="6"/>
      <c r="B838" s="95" t="str">
        <f t="shared" si="17"/>
        <v/>
      </c>
      <c r="C838" s="95"/>
      <c r="D838" s="96"/>
      <c r="E838" s="97"/>
      <c r="F838" s="99"/>
      <c r="G838" s="95"/>
      <c r="H838" s="95"/>
      <c r="I838" s="95"/>
      <c r="J838" s="96"/>
      <c r="K838" s="95"/>
      <c r="L838" s="43" t="str">
        <f t="shared" si="16"/>
        <v/>
      </c>
      <c r="M838" s="42" t="str">
        <f>IF(AND(C838="",D838="",E838="",F838=""),"",IF(OR(C838="",D838="",E838="",F838="",G838=""),"EKSİK",IF(COUNTIF(MUSTERILER!$B$7:$B$156,C838)=0,"TANIMSIZ MÜŞTERİ","UYGUN")))</f>
        <v/>
      </c>
      <c r="N838" s="6"/>
      <c r="O838" s="6"/>
    </row>
    <row r="839" spans="1:15" ht="17">
      <c r="A839" s="6"/>
      <c r="B839" s="95" t="str">
        <f t="shared" si="17"/>
        <v/>
      </c>
      <c r="C839" s="95"/>
      <c r="D839" s="96"/>
      <c r="E839" s="97"/>
      <c r="F839" s="99"/>
      <c r="G839" s="95"/>
      <c r="H839" s="95"/>
      <c r="I839" s="95"/>
      <c r="J839" s="96"/>
      <c r="K839" s="95"/>
      <c r="L839" s="43" t="str">
        <f t="shared" ref="L839:L902" si="18">IF(E839="","",DATE(YEAR(E839),MONTH(E839),1))</f>
        <v/>
      </c>
      <c r="M839" s="42" t="str">
        <f>IF(AND(C839="",D839="",E839="",F839=""),"",IF(OR(C839="",D839="",E839="",F839="",G839=""),"EKSİK",IF(COUNTIF(MUSTERILER!$B$7:$B$156,C839)=0,"TANIMSIZ MÜŞTERİ","UYGUN")))</f>
        <v/>
      </c>
      <c r="N839" s="6"/>
      <c r="O839" s="6"/>
    </row>
    <row r="840" spans="1:15" ht="17">
      <c r="A840" s="6"/>
      <c r="B840" s="95" t="str">
        <f t="shared" si="17"/>
        <v/>
      </c>
      <c r="C840" s="95"/>
      <c r="D840" s="96"/>
      <c r="E840" s="97"/>
      <c r="F840" s="99"/>
      <c r="G840" s="95"/>
      <c r="H840" s="95"/>
      <c r="I840" s="95"/>
      <c r="J840" s="96"/>
      <c r="K840" s="95"/>
      <c r="L840" s="43" t="str">
        <f t="shared" si="18"/>
        <v/>
      </c>
      <c r="M840" s="42" t="str">
        <f>IF(AND(C840="",D840="",E840="",F840=""),"",IF(OR(C840="",D840="",E840="",F840="",G840=""),"EKSİK",IF(COUNTIF(MUSTERILER!$B$7:$B$156,C840)=0,"TANIMSIZ MÜŞTERİ","UYGUN")))</f>
        <v/>
      </c>
      <c r="N840" s="6"/>
      <c r="O840" s="6"/>
    </row>
    <row r="841" spans="1:15" ht="17">
      <c r="A841" s="6"/>
      <c r="B841" s="95" t="str">
        <f t="shared" si="17"/>
        <v/>
      </c>
      <c r="C841" s="95"/>
      <c r="D841" s="96"/>
      <c r="E841" s="97"/>
      <c r="F841" s="99"/>
      <c r="G841" s="95"/>
      <c r="H841" s="95"/>
      <c r="I841" s="95"/>
      <c r="J841" s="96"/>
      <c r="K841" s="95"/>
      <c r="L841" s="43" t="str">
        <f t="shared" si="18"/>
        <v/>
      </c>
      <c r="M841" s="42" t="str">
        <f>IF(AND(C841="",D841="",E841="",F841=""),"",IF(OR(C841="",D841="",E841="",F841="",G841=""),"EKSİK",IF(COUNTIF(MUSTERILER!$B$7:$B$156,C841)=0,"TANIMSIZ MÜŞTERİ","UYGUN")))</f>
        <v/>
      </c>
      <c r="N841" s="6"/>
      <c r="O841" s="6"/>
    </row>
    <row r="842" spans="1:15" ht="17">
      <c r="A842" s="6"/>
      <c r="B842" s="95" t="str">
        <f t="shared" si="17"/>
        <v/>
      </c>
      <c r="C842" s="95"/>
      <c r="D842" s="96"/>
      <c r="E842" s="97"/>
      <c r="F842" s="99"/>
      <c r="G842" s="95"/>
      <c r="H842" s="95"/>
      <c r="I842" s="95"/>
      <c r="J842" s="96"/>
      <c r="K842" s="95"/>
      <c r="L842" s="43" t="str">
        <f t="shared" si="18"/>
        <v/>
      </c>
      <c r="M842" s="42" t="str">
        <f>IF(AND(C842="",D842="",E842="",F842=""),"",IF(OR(C842="",D842="",E842="",F842="",G842=""),"EKSİK",IF(COUNTIF(MUSTERILER!$B$7:$B$156,C842)=0,"TANIMSIZ MÜŞTERİ","UYGUN")))</f>
        <v/>
      </c>
      <c r="N842" s="6"/>
      <c r="O842" s="6"/>
    </row>
    <row r="843" spans="1:15" ht="17">
      <c r="A843" s="6"/>
      <c r="B843" s="95" t="str">
        <f t="shared" si="17"/>
        <v/>
      </c>
      <c r="C843" s="95"/>
      <c r="D843" s="96"/>
      <c r="E843" s="97"/>
      <c r="F843" s="99"/>
      <c r="G843" s="95"/>
      <c r="H843" s="95"/>
      <c r="I843" s="95"/>
      <c r="J843" s="96"/>
      <c r="K843" s="95"/>
      <c r="L843" s="43" t="str">
        <f t="shared" si="18"/>
        <v/>
      </c>
      <c r="M843" s="42" t="str">
        <f>IF(AND(C843="",D843="",E843="",F843=""),"",IF(OR(C843="",D843="",E843="",F843="",G843=""),"EKSİK",IF(COUNTIF(MUSTERILER!$B$7:$B$156,C843)=0,"TANIMSIZ MÜŞTERİ","UYGUN")))</f>
        <v/>
      </c>
      <c r="N843" s="6"/>
      <c r="O843" s="6"/>
    </row>
    <row r="844" spans="1:15" ht="17">
      <c r="A844" s="6"/>
      <c r="B844" s="95" t="str">
        <f t="shared" si="17"/>
        <v/>
      </c>
      <c r="C844" s="95"/>
      <c r="D844" s="96"/>
      <c r="E844" s="97"/>
      <c r="F844" s="99"/>
      <c r="G844" s="95"/>
      <c r="H844" s="95"/>
      <c r="I844" s="95"/>
      <c r="J844" s="96"/>
      <c r="K844" s="95"/>
      <c r="L844" s="43" t="str">
        <f t="shared" si="18"/>
        <v/>
      </c>
      <c r="M844" s="42" t="str">
        <f>IF(AND(C844="",D844="",E844="",F844=""),"",IF(OR(C844="",D844="",E844="",F844="",G844=""),"EKSİK",IF(COUNTIF(MUSTERILER!$B$7:$B$156,C844)=0,"TANIMSIZ MÜŞTERİ","UYGUN")))</f>
        <v/>
      </c>
      <c r="N844" s="6"/>
      <c r="O844" s="6"/>
    </row>
    <row r="845" spans="1:15" ht="17">
      <c r="A845" s="6"/>
      <c r="B845" s="95" t="str">
        <f t="shared" si="17"/>
        <v/>
      </c>
      <c r="C845" s="95"/>
      <c r="D845" s="96"/>
      <c r="E845" s="97"/>
      <c r="F845" s="99"/>
      <c r="G845" s="95"/>
      <c r="H845" s="95"/>
      <c r="I845" s="95"/>
      <c r="J845" s="96"/>
      <c r="K845" s="95"/>
      <c r="L845" s="43" t="str">
        <f t="shared" si="18"/>
        <v/>
      </c>
      <c r="M845" s="42" t="str">
        <f>IF(AND(C845="",D845="",E845="",F845=""),"",IF(OR(C845="",D845="",E845="",F845="",G845=""),"EKSİK",IF(COUNTIF(MUSTERILER!$B$7:$B$156,C845)=0,"TANIMSIZ MÜŞTERİ","UYGUN")))</f>
        <v/>
      </c>
      <c r="N845" s="6"/>
      <c r="O845" s="6"/>
    </row>
    <row r="846" spans="1:15" ht="17">
      <c r="A846" s="6"/>
      <c r="B846" s="95" t="str">
        <f t="shared" si="17"/>
        <v/>
      </c>
      <c r="C846" s="95"/>
      <c r="D846" s="96"/>
      <c r="E846" s="97"/>
      <c r="F846" s="99"/>
      <c r="G846" s="95"/>
      <c r="H846" s="95"/>
      <c r="I846" s="95"/>
      <c r="J846" s="96"/>
      <c r="K846" s="95"/>
      <c r="L846" s="43" t="str">
        <f t="shared" si="18"/>
        <v/>
      </c>
      <c r="M846" s="42" t="str">
        <f>IF(AND(C846="",D846="",E846="",F846=""),"",IF(OR(C846="",D846="",E846="",F846="",G846=""),"EKSİK",IF(COUNTIF(MUSTERILER!$B$7:$B$156,C846)=0,"TANIMSIZ MÜŞTERİ","UYGUN")))</f>
        <v/>
      </c>
      <c r="N846" s="6"/>
      <c r="O846" s="6"/>
    </row>
    <row r="847" spans="1:15" ht="17">
      <c r="A847" s="6"/>
      <c r="B847" s="95" t="str">
        <f t="shared" si="17"/>
        <v/>
      </c>
      <c r="C847" s="95"/>
      <c r="D847" s="96"/>
      <c r="E847" s="97"/>
      <c r="F847" s="99"/>
      <c r="G847" s="95"/>
      <c r="H847" s="95"/>
      <c r="I847" s="95"/>
      <c r="J847" s="96"/>
      <c r="K847" s="95"/>
      <c r="L847" s="43" t="str">
        <f t="shared" si="18"/>
        <v/>
      </c>
      <c r="M847" s="42" t="str">
        <f>IF(AND(C847="",D847="",E847="",F847=""),"",IF(OR(C847="",D847="",E847="",F847="",G847=""),"EKSİK",IF(COUNTIF(MUSTERILER!$B$7:$B$156,C847)=0,"TANIMSIZ MÜŞTERİ","UYGUN")))</f>
        <v/>
      </c>
      <c r="N847" s="6"/>
      <c r="O847" s="6"/>
    </row>
    <row r="848" spans="1:15" ht="17">
      <c r="A848" s="6"/>
      <c r="B848" s="95" t="str">
        <f t="shared" si="17"/>
        <v/>
      </c>
      <c r="C848" s="95"/>
      <c r="D848" s="96"/>
      <c r="E848" s="97"/>
      <c r="F848" s="99"/>
      <c r="G848" s="95"/>
      <c r="H848" s="95"/>
      <c r="I848" s="95"/>
      <c r="J848" s="96"/>
      <c r="K848" s="95"/>
      <c r="L848" s="43" t="str">
        <f t="shared" si="18"/>
        <v/>
      </c>
      <c r="M848" s="42" t="str">
        <f>IF(AND(C848="",D848="",E848="",F848=""),"",IF(OR(C848="",D848="",E848="",F848="",G848=""),"EKSİK",IF(COUNTIF(MUSTERILER!$B$7:$B$156,C848)=0,"TANIMSIZ MÜŞTERİ","UYGUN")))</f>
        <v/>
      </c>
      <c r="N848" s="6"/>
      <c r="O848" s="6"/>
    </row>
    <row r="849" spans="1:15" ht="17">
      <c r="A849" s="6"/>
      <c r="B849" s="95" t="str">
        <f t="shared" si="17"/>
        <v/>
      </c>
      <c r="C849" s="95"/>
      <c r="D849" s="96"/>
      <c r="E849" s="97"/>
      <c r="F849" s="99"/>
      <c r="G849" s="95"/>
      <c r="H849" s="95"/>
      <c r="I849" s="95"/>
      <c r="J849" s="96"/>
      <c r="K849" s="95"/>
      <c r="L849" s="43" t="str">
        <f t="shared" si="18"/>
        <v/>
      </c>
      <c r="M849" s="42" t="str">
        <f>IF(AND(C849="",D849="",E849="",F849=""),"",IF(OR(C849="",D849="",E849="",F849="",G849=""),"EKSİK",IF(COUNTIF(MUSTERILER!$B$7:$B$156,C849)=0,"TANIMSIZ MÜŞTERİ","UYGUN")))</f>
        <v/>
      </c>
      <c r="N849" s="6"/>
      <c r="O849" s="6"/>
    </row>
    <row r="850" spans="1:15" ht="17">
      <c r="A850" s="6"/>
      <c r="B850" s="95" t="str">
        <f t="shared" si="17"/>
        <v/>
      </c>
      <c r="C850" s="95"/>
      <c r="D850" s="96"/>
      <c r="E850" s="97"/>
      <c r="F850" s="99"/>
      <c r="G850" s="95"/>
      <c r="H850" s="95"/>
      <c r="I850" s="95"/>
      <c r="J850" s="96"/>
      <c r="K850" s="95"/>
      <c r="L850" s="43" t="str">
        <f t="shared" si="18"/>
        <v/>
      </c>
      <c r="M850" s="42" t="str">
        <f>IF(AND(C850="",D850="",E850="",F850=""),"",IF(OR(C850="",D850="",E850="",F850="",G850=""),"EKSİK",IF(COUNTIF(MUSTERILER!$B$7:$B$156,C850)=0,"TANIMSIZ MÜŞTERİ","UYGUN")))</f>
        <v/>
      </c>
      <c r="N850" s="6"/>
      <c r="O850" s="6"/>
    </row>
    <row r="851" spans="1:15" ht="17">
      <c r="A851" s="6"/>
      <c r="B851" s="95" t="str">
        <f t="shared" si="17"/>
        <v/>
      </c>
      <c r="C851" s="95"/>
      <c r="D851" s="96"/>
      <c r="E851" s="97"/>
      <c r="F851" s="99"/>
      <c r="G851" s="95"/>
      <c r="H851" s="95"/>
      <c r="I851" s="95"/>
      <c r="J851" s="96"/>
      <c r="K851" s="95"/>
      <c r="L851" s="43" t="str">
        <f t="shared" si="18"/>
        <v/>
      </c>
      <c r="M851" s="42" t="str">
        <f>IF(AND(C851="",D851="",E851="",F851=""),"",IF(OR(C851="",D851="",E851="",F851="",G851=""),"EKSİK",IF(COUNTIF(MUSTERILER!$B$7:$B$156,C851)=0,"TANIMSIZ MÜŞTERİ","UYGUN")))</f>
        <v/>
      </c>
      <c r="N851" s="6"/>
      <c r="O851" s="6"/>
    </row>
    <row r="852" spans="1:15" ht="17">
      <c r="A852" s="6"/>
      <c r="B852" s="95" t="str">
        <f t="shared" si="17"/>
        <v/>
      </c>
      <c r="C852" s="95"/>
      <c r="D852" s="96"/>
      <c r="E852" s="97"/>
      <c r="F852" s="99"/>
      <c r="G852" s="95"/>
      <c r="H852" s="95"/>
      <c r="I852" s="95"/>
      <c r="J852" s="96"/>
      <c r="K852" s="95"/>
      <c r="L852" s="43" t="str">
        <f t="shared" si="18"/>
        <v/>
      </c>
      <c r="M852" s="42" t="str">
        <f>IF(AND(C852="",D852="",E852="",F852=""),"",IF(OR(C852="",D852="",E852="",F852="",G852=""),"EKSİK",IF(COUNTIF(MUSTERILER!$B$7:$B$156,C852)=0,"TANIMSIZ MÜŞTERİ","UYGUN")))</f>
        <v/>
      </c>
      <c r="N852" s="6"/>
      <c r="O852" s="6"/>
    </row>
    <row r="853" spans="1:15" ht="17">
      <c r="A853" s="6"/>
      <c r="B853" s="95" t="str">
        <f t="shared" si="17"/>
        <v/>
      </c>
      <c r="C853" s="95"/>
      <c r="D853" s="96"/>
      <c r="E853" s="97"/>
      <c r="F853" s="99"/>
      <c r="G853" s="95"/>
      <c r="H853" s="95"/>
      <c r="I853" s="95"/>
      <c r="J853" s="96"/>
      <c r="K853" s="95"/>
      <c r="L853" s="43" t="str">
        <f t="shared" si="18"/>
        <v/>
      </c>
      <c r="M853" s="42" t="str">
        <f>IF(AND(C853="",D853="",E853="",F853=""),"",IF(OR(C853="",D853="",E853="",F853="",G853=""),"EKSİK",IF(COUNTIF(MUSTERILER!$B$7:$B$156,C853)=0,"TANIMSIZ MÜŞTERİ","UYGUN")))</f>
        <v/>
      </c>
      <c r="N853" s="6"/>
      <c r="O853" s="6"/>
    </row>
    <row r="854" spans="1:15" ht="17">
      <c r="A854" s="6"/>
      <c r="B854" s="95" t="str">
        <f t="shared" si="17"/>
        <v/>
      </c>
      <c r="C854" s="95"/>
      <c r="D854" s="96"/>
      <c r="E854" s="97"/>
      <c r="F854" s="99"/>
      <c r="G854" s="95"/>
      <c r="H854" s="95"/>
      <c r="I854" s="95"/>
      <c r="J854" s="96"/>
      <c r="K854" s="95"/>
      <c r="L854" s="43" t="str">
        <f t="shared" si="18"/>
        <v/>
      </c>
      <c r="M854" s="42" t="str">
        <f>IF(AND(C854="",D854="",E854="",F854=""),"",IF(OR(C854="",D854="",E854="",F854="",G854=""),"EKSİK",IF(COUNTIF(MUSTERILER!$B$7:$B$156,C854)=0,"TANIMSIZ MÜŞTERİ","UYGUN")))</f>
        <v/>
      </c>
      <c r="N854" s="6"/>
      <c r="O854" s="6"/>
    </row>
    <row r="855" spans="1:15" ht="17">
      <c r="A855" s="6"/>
      <c r="B855" s="95" t="str">
        <f t="shared" si="17"/>
        <v/>
      </c>
      <c r="C855" s="95"/>
      <c r="D855" s="96"/>
      <c r="E855" s="97"/>
      <c r="F855" s="99"/>
      <c r="G855" s="95"/>
      <c r="H855" s="95"/>
      <c r="I855" s="95"/>
      <c r="J855" s="96"/>
      <c r="K855" s="95"/>
      <c r="L855" s="43" t="str">
        <f t="shared" si="18"/>
        <v/>
      </c>
      <c r="M855" s="42" t="str">
        <f>IF(AND(C855="",D855="",E855="",F855=""),"",IF(OR(C855="",D855="",E855="",F855="",G855=""),"EKSİK",IF(COUNTIF(MUSTERILER!$B$7:$B$156,C855)=0,"TANIMSIZ MÜŞTERİ","UYGUN")))</f>
        <v/>
      </c>
      <c r="N855" s="6"/>
      <c r="O855" s="6"/>
    </row>
    <row r="856" spans="1:15" ht="17">
      <c r="A856" s="6"/>
      <c r="B856" s="95" t="str">
        <f t="shared" si="17"/>
        <v/>
      </c>
      <c r="C856" s="95"/>
      <c r="D856" s="96"/>
      <c r="E856" s="97"/>
      <c r="F856" s="99"/>
      <c r="G856" s="95"/>
      <c r="H856" s="95"/>
      <c r="I856" s="95"/>
      <c r="J856" s="96"/>
      <c r="K856" s="95"/>
      <c r="L856" s="43" t="str">
        <f t="shared" si="18"/>
        <v/>
      </c>
      <c r="M856" s="42" t="str">
        <f>IF(AND(C856="",D856="",E856="",F856=""),"",IF(OR(C856="",D856="",E856="",F856="",G856=""),"EKSİK",IF(COUNTIF(MUSTERILER!$B$7:$B$156,C856)=0,"TANIMSIZ MÜŞTERİ","UYGUN")))</f>
        <v/>
      </c>
      <c r="N856" s="6"/>
      <c r="O856" s="6"/>
    </row>
    <row r="857" spans="1:15" ht="17">
      <c r="A857" s="6"/>
      <c r="B857" s="95" t="str">
        <f t="shared" si="17"/>
        <v/>
      </c>
      <c r="C857" s="95"/>
      <c r="D857" s="96"/>
      <c r="E857" s="97"/>
      <c r="F857" s="99"/>
      <c r="G857" s="95"/>
      <c r="H857" s="95"/>
      <c r="I857" s="95"/>
      <c r="J857" s="96"/>
      <c r="K857" s="95"/>
      <c r="L857" s="43" t="str">
        <f t="shared" si="18"/>
        <v/>
      </c>
      <c r="M857" s="42" t="str">
        <f>IF(AND(C857="",D857="",E857="",F857=""),"",IF(OR(C857="",D857="",E857="",F857="",G857=""),"EKSİK",IF(COUNTIF(MUSTERILER!$B$7:$B$156,C857)=0,"TANIMSIZ MÜŞTERİ","UYGUN")))</f>
        <v/>
      </c>
      <c r="N857" s="6"/>
      <c r="O857" s="6"/>
    </row>
    <row r="858" spans="1:15" ht="17">
      <c r="A858" s="6"/>
      <c r="B858" s="95" t="str">
        <f t="shared" si="17"/>
        <v/>
      </c>
      <c r="C858" s="95"/>
      <c r="D858" s="96"/>
      <c r="E858" s="97"/>
      <c r="F858" s="99"/>
      <c r="G858" s="95"/>
      <c r="H858" s="95"/>
      <c r="I858" s="95"/>
      <c r="J858" s="96"/>
      <c r="K858" s="95"/>
      <c r="L858" s="43" t="str">
        <f t="shared" si="18"/>
        <v/>
      </c>
      <c r="M858" s="42" t="str">
        <f>IF(AND(C858="",D858="",E858="",F858=""),"",IF(OR(C858="",D858="",E858="",F858="",G858=""),"EKSİK",IF(COUNTIF(MUSTERILER!$B$7:$B$156,C858)=0,"TANIMSIZ MÜŞTERİ","UYGUN")))</f>
        <v/>
      </c>
      <c r="N858" s="6"/>
      <c r="O858" s="6"/>
    </row>
    <row r="859" spans="1:15" ht="17">
      <c r="A859" s="6"/>
      <c r="B859" s="95" t="str">
        <f t="shared" si="17"/>
        <v/>
      </c>
      <c r="C859" s="95"/>
      <c r="D859" s="96"/>
      <c r="E859" s="97"/>
      <c r="F859" s="99"/>
      <c r="G859" s="95"/>
      <c r="H859" s="95"/>
      <c r="I859" s="95"/>
      <c r="J859" s="96"/>
      <c r="K859" s="95"/>
      <c r="L859" s="43" t="str">
        <f t="shared" si="18"/>
        <v/>
      </c>
      <c r="M859" s="42" t="str">
        <f>IF(AND(C859="",D859="",E859="",F859=""),"",IF(OR(C859="",D859="",E859="",F859="",G859=""),"EKSİK",IF(COUNTIF(MUSTERILER!$B$7:$B$156,C859)=0,"TANIMSIZ MÜŞTERİ","UYGUN")))</f>
        <v/>
      </c>
      <c r="N859" s="6"/>
      <c r="O859" s="6"/>
    </row>
    <row r="860" spans="1:15" ht="17">
      <c r="A860" s="6"/>
      <c r="B860" s="95" t="str">
        <f t="shared" si="17"/>
        <v/>
      </c>
      <c r="C860" s="95"/>
      <c r="D860" s="96"/>
      <c r="E860" s="97"/>
      <c r="F860" s="99"/>
      <c r="G860" s="95"/>
      <c r="H860" s="95"/>
      <c r="I860" s="95"/>
      <c r="J860" s="96"/>
      <c r="K860" s="95"/>
      <c r="L860" s="43" t="str">
        <f t="shared" si="18"/>
        <v/>
      </c>
      <c r="M860" s="42" t="str">
        <f>IF(AND(C860="",D860="",E860="",F860=""),"",IF(OR(C860="",D860="",E860="",F860="",G860=""),"EKSİK",IF(COUNTIF(MUSTERILER!$B$7:$B$156,C860)=0,"TANIMSIZ MÜŞTERİ","UYGUN")))</f>
        <v/>
      </c>
      <c r="N860" s="6"/>
      <c r="O860" s="6"/>
    </row>
    <row r="861" spans="1:15" ht="17">
      <c r="A861" s="6"/>
      <c r="B861" s="95" t="str">
        <f t="shared" si="17"/>
        <v/>
      </c>
      <c r="C861" s="95"/>
      <c r="D861" s="96"/>
      <c r="E861" s="97"/>
      <c r="F861" s="99"/>
      <c r="G861" s="95"/>
      <c r="H861" s="95"/>
      <c r="I861" s="95"/>
      <c r="J861" s="96"/>
      <c r="K861" s="95"/>
      <c r="L861" s="43" t="str">
        <f t="shared" si="18"/>
        <v/>
      </c>
      <c r="M861" s="42" t="str">
        <f>IF(AND(C861="",D861="",E861="",F861=""),"",IF(OR(C861="",D861="",E861="",F861="",G861=""),"EKSİK",IF(COUNTIF(MUSTERILER!$B$7:$B$156,C861)=0,"TANIMSIZ MÜŞTERİ","UYGUN")))</f>
        <v/>
      </c>
      <c r="N861" s="6"/>
      <c r="O861" s="6"/>
    </row>
    <row r="862" spans="1:15" ht="17">
      <c r="A862" s="6"/>
      <c r="B862" s="95" t="str">
        <f t="shared" si="17"/>
        <v/>
      </c>
      <c r="C862" s="95"/>
      <c r="D862" s="96"/>
      <c r="E862" s="97"/>
      <c r="F862" s="99"/>
      <c r="G862" s="95"/>
      <c r="H862" s="95"/>
      <c r="I862" s="95"/>
      <c r="J862" s="96"/>
      <c r="K862" s="95"/>
      <c r="L862" s="43" t="str">
        <f t="shared" si="18"/>
        <v/>
      </c>
      <c r="M862" s="42" t="str">
        <f>IF(AND(C862="",D862="",E862="",F862=""),"",IF(OR(C862="",D862="",E862="",F862="",G862=""),"EKSİK",IF(COUNTIF(MUSTERILER!$B$7:$B$156,C862)=0,"TANIMSIZ MÜŞTERİ","UYGUN")))</f>
        <v/>
      </c>
      <c r="N862" s="6"/>
      <c r="O862" s="6"/>
    </row>
    <row r="863" spans="1:15" ht="17">
      <c r="A863" s="6"/>
      <c r="B863" s="95" t="str">
        <f t="shared" si="17"/>
        <v/>
      </c>
      <c r="C863" s="95"/>
      <c r="D863" s="96"/>
      <c r="E863" s="97"/>
      <c r="F863" s="99"/>
      <c r="G863" s="95"/>
      <c r="H863" s="95"/>
      <c r="I863" s="95"/>
      <c r="J863" s="96"/>
      <c r="K863" s="95"/>
      <c r="L863" s="43" t="str">
        <f t="shared" si="18"/>
        <v/>
      </c>
      <c r="M863" s="42" t="str">
        <f>IF(AND(C863="",D863="",E863="",F863=""),"",IF(OR(C863="",D863="",E863="",F863="",G863=""),"EKSİK",IF(COUNTIF(MUSTERILER!$B$7:$B$156,C863)=0,"TANIMSIZ MÜŞTERİ","UYGUN")))</f>
        <v/>
      </c>
      <c r="N863" s="6"/>
      <c r="O863" s="6"/>
    </row>
    <row r="864" spans="1:15" ht="17">
      <c r="A864" s="6"/>
      <c r="B864" s="95" t="str">
        <f t="shared" si="17"/>
        <v/>
      </c>
      <c r="C864" s="95"/>
      <c r="D864" s="96"/>
      <c r="E864" s="97"/>
      <c r="F864" s="99"/>
      <c r="G864" s="95"/>
      <c r="H864" s="95"/>
      <c r="I864" s="95"/>
      <c r="J864" s="96"/>
      <c r="K864" s="95"/>
      <c r="L864" s="43" t="str">
        <f t="shared" si="18"/>
        <v/>
      </c>
      <c r="M864" s="42" t="str">
        <f>IF(AND(C864="",D864="",E864="",F864=""),"",IF(OR(C864="",D864="",E864="",F864="",G864=""),"EKSİK",IF(COUNTIF(MUSTERILER!$B$7:$B$156,C864)=0,"TANIMSIZ MÜŞTERİ","UYGUN")))</f>
        <v/>
      </c>
      <c r="N864" s="6"/>
      <c r="O864" s="6"/>
    </row>
    <row r="865" spans="1:15" ht="17">
      <c r="A865" s="6"/>
      <c r="B865" s="95" t="str">
        <f t="shared" si="17"/>
        <v/>
      </c>
      <c r="C865" s="95"/>
      <c r="D865" s="96"/>
      <c r="E865" s="97"/>
      <c r="F865" s="99"/>
      <c r="G865" s="95"/>
      <c r="H865" s="95"/>
      <c r="I865" s="95"/>
      <c r="J865" s="96"/>
      <c r="K865" s="95"/>
      <c r="L865" s="43" t="str">
        <f t="shared" si="18"/>
        <v/>
      </c>
      <c r="M865" s="42" t="str">
        <f>IF(AND(C865="",D865="",E865="",F865=""),"",IF(OR(C865="",D865="",E865="",F865="",G865=""),"EKSİK",IF(COUNTIF(MUSTERILER!$B$7:$B$156,C865)=0,"TANIMSIZ MÜŞTERİ","UYGUN")))</f>
        <v/>
      </c>
      <c r="N865" s="6"/>
      <c r="O865" s="6"/>
    </row>
    <row r="866" spans="1:15" ht="17">
      <c r="A866" s="6"/>
      <c r="B866" s="95" t="str">
        <f t="shared" si="17"/>
        <v/>
      </c>
      <c r="C866" s="95"/>
      <c r="D866" s="96"/>
      <c r="E866" s="97"/>
      <c r="F866" s="99"/>
      <c r="G866" s="95"/>
      <c r="H866" s="95"/>
      <c r="I866" s="95"/>
      <c r="J866" s="96"/>
      <c r="K866" s="95"/>
      <c r="L866" s="43" t="str">
        <f t="shared" si="18"/>
        <v/>
      </c>
      <c r="M866" s="42" t="str">
        <f>IF(AND(C866="",D866="",E866="",F866=""),"",IF(OR(C866="",D866="",E866="",F866="",G866=""),"EKSİK",IF(COUNTIF(MUSTERILER!$B$7:$B$156,C866)=0,"TANIMSIZ MÜŞTERİ","UYGUN")))</f>
        <v/>
      </c>
      <c r="N866" s="6"/>
      <c r="O866" s="6"/>
    </row>
    <row r="867" spans="1:15" ht="17">
      <c r="A867" s="6"/>
      <c r="B867" s="95" t="str">
        <f t="shared" si="17"/>
        <v/>
      </c>
      <c r="C867" s="95"/>
      <c r="D867" s="96"/>
      <c r="E867" s="97"/>
      <c r="F867" s="99"/>
      <c r="G867" s="95"/>
      <c r="H867" s="95"/>
      <c r="I867" s="95"/>
      <c r="J867" s="96"/>
      <c r="K867" s="95"/>
      <c r="L867" s="43" t="str">
        <f t="shared" si="18"/>
        <v/>
      </c>
      <c r="M867" s="42" t="str">
        <f>IF(AND(C867="",D867="",E867="",F867=""),"",IF(OR(C867="",D867="",E867="",F867="",G867=""),"EKSİK",IF(COUNTIF(MUSTERILER!$B$7:$B$156,C867)=0,"TANIMSIZ MÜŞTERİ","UYGUN")))</f>
        <v/>
      </c>
      <c r="N867" s="6"/>
      <c r="O867" s="6"/>
    </row>
    <row r="868" spans="1:15" ht="17">
      <c r="A868" s="6"/>
      <c r="B868" s="95" t="str">
        <f t="shared" si="17"/>
        <v/>
      </c>
      <c r="C868" s="95"/>
      <c r="D868" s="96"/>
      <c r="E868" s="97"/>
      <c r="F868" s="99"/>
      <c r="G868" s="95"/>
      <c r="H868" s="95"/>
      <c r="I868" s="95"/>
      <c r="J868" s="96"/>
      <c r="K868" s="95"/>
      <c r="L868" s="43" t="str">
        <f t="shared" si="18"/>
        <v/>
      </c>
      <c r="M868" s="42" t="str">
        <f>IF(AND(C868="",D868="",E868="",F868=""),"",IF(OR(C868="",D868="",E868="",F868="",G868=""),"EKSİK",IF(COUNTIF(MUSTERILER!$B$7:$B$156,C868)=0,"TANIMSIZ MÜŞTERİ","UYGUN")))</f>
        <v/>
      </c>
      <c r="N868" s="6"/>
      <c r="O868" s="6"/>
    </row>
    <row r="869" spans="1:15" ht="17">
      <c r="A869" s="6"/>
      <c r="B869" s="95" t="str">
        <f t="shared" si="17"/>
        <v/>
      </c>
      <c r="C869" s="95"/>
      <c r="D869" s="96"/>
      <c r="E869" s="97"/>
      <c r="F869" s="99"/>
      <c r="G869" s="95"/>
      <c r="H869" s="95"/>
      <c r="I869" s="95"/>
      <c r="J869" s="96"/>
      <c r="K869" s="95"/>
      <c r="L869" s="43" t="str">
        <f t="shared" si="18"/>
        <v/>
      </c>
      <c r="M869" s="42" t="str">
        <f>IF(AND(C869="",D869="",E869="",F869=""),"",IF(OR(C869="",D869="",E869="",F869="",G869=""),"EKSİK",IF(COUNTIF(MUSTERILER!$B$7:$B$156,C869)=0,"TANIMSIZ MÜŞTERİ","UYGUN")))</f>
        <v/>
      </c>
      <c r="N869" s="6"/>
      <c r="O869" s="6"/>
    </row>
    <row r="870" spans="1:15" ht="17">
      <c r="A870" s="6"/>
      <c r="B870" s="95" t="str">
        <f t="shared" si="17"/>
        <v/>
      </c>
      <c r="C870" s="95"/>
      <c r="D870" s="96"/>
      <c r="E870" s="97"/>
      <c r="F870" s="99"/>
      <c r="G870" s="95"/>
      <c r="H870" s="95"/>
      <c r="I870" s="95"/>
      <c r="J870" s="96"/>
      <c r="K870" s="95"/>
      <c r="L870" s="43" t="str">
        <f t="shared" si="18"/>
        <v/>
      </c>
      <c r="M870" s="42" t="str">
        <f>IF(AND(C870="",D870="",E870="",F870=""),"",IF(OR(C870="",D870="",E870="",F870="",G870=""),"EKSİK",IF(COUNTIF(MUSTERILER!$B$7:$B$156,C870)=0,"TANIMSIZ MÜŞTERİ","UYGUN")))</f>
        <v/>
      </c>
      <c r="N870" s="6"/>
      <c r="O870" s="6"/>
    </row>
    <row r="871" spans="1:15" ht="17">
      <c r="A871" s="6"/>
      <c r="B871" s="95" t="str">
        <f t="shared" si="17"/>
        <v/>
      </c>
      <c r="C871" s="95"/>
      <c r="D871" s="96"/>
      <c r="E871" s="97"/>
      <c r="F871" s="99"/>
      <c r="G871" s="95"/>
      <c r="H871" s="95"/>
      <c r="I871" s="95"/>
      <c r="J871" s="96"/>
      <c r="K871" s="95"/>
      <c r="L871" s="43" t="str">
        <f t="shared" si="18"/>
        <v/>
      </c>
      <c r="M871" s="42" t="str">
        <f>IF(AND(C871="",D871="",E871="",F871=""),"",IF(OR(C871="",D871="",E871="",F871="",G871=""),"EKSİK",IF(COUNTIF(MUSTERILER!$B$7:$B$156,C871)=0,"TANIMSIZ MÜŞTERİ","UYGUN")))</f>
        <v/>
      </c>
      <c r="N871" s="6"/>
      <c r="O871" s="6"/>
    </row>
    <row r="872" spans="1:15" ht="17">
      <c r="A872" s="6"/>
      <c r="B872" s="95" t="str">
        <f t="shared" si="17"/>
        <v/>
      </c>
      <c r="C872" s="95"/>
      <c r="D872" s="96"/>
      <c r="E872" s="97"/>
      <c r="F872" s="99"/>
      <c r="G872" s="95"/>
      <c r="H872" s="95"/>
      <c r="I872" s="95"/>
      <c r="J872" s="96"/>
      <c r="K872" s="95"/>
      <c r="L872" s="43" t="str">
        <f t="shared" si="18"/>
        <v/>
      </c>
      <c r="M872" s="42" t="str">
        <f>IF(AND(C872="",D872="",E872="",F872=""),"",IF(OR(C872="",D872="",E872="",F872="",G872=""),"EKSİK",IF(COUNTIF(MUSTERILER!$B$7:$B$156,C872)=0,"TANIMSIZ MÜŞTERİ","UYGUN")))</f>
        <v/>
      </c>
      <c r="N872" s="6"/>
      <c r="O872" s="6"/>
    </row>
    <row r="873" spans="1:15" ht="17">
      <c r="A873" s="6"/>
      <c r="B873" s="95" t="str">
        <f t="shared" si="17"/>
        <v/>
      </c>
      <c r="C873" s="95"/>
      <c r="D873" s="96"/>
      <c r="E873" s="97"/>
      <c r="F873" s="99"/>
      <c r="G873" s="95"/>
      <c r="H873" s="95"/>
      <c r="I873" s="95"/>
      <c r="J873" s="96"/>
      <c r="K873" s="95"/>
      <c r="L873" s="43" t="str">
        <f t="shared" si="18"/>
        <v/>
      </c>
      <c r="M873" s="42" t="str">
        <f>IF(AND(C873="",D873="",E873="",F873=""),"",IF(OR(C873="",D873="",E873="",F873="",G873=""),"EKSİK",IF(COUNTIF(MUSTERILER!$B$7:$B$156,C873)=0,"TANIMSIZ MÜŞTERİ","UYGUN")))</f>
        <v/>
      </c>
      <c r="N873" s="6"/>
      <c r="O873" s="6"/>
    </row>
    <row r="874" spans="1:15" ht="17">
      <c r="A874" s="6"/>
      <c r="B874" s="95" t="str">
        <f t="shared" si="17"/>
        <v/>
      </c>
      <c r="C874" s="95"/>
      <c r="D874" s="96"/>
      <c r="E874" s="97"/>
      <c r="F874" s="99"/>
      <c r="G874" s="95"/>
      <c r="H874" s="95"/>
      <c r="I874" s="95"/>
      <c r="J874" s="96"/>
      <c r="K874" s="95"/>
      <c r="L874" s="43" t="str">
        <f t="shared" si="18"/>
        <v/>
      </c>
      <c r="M874" s="42" t="str">
        <f>IF(AND(C874="",D874="",E874="",F874=""),"",IF(OR(C874="",D874="",E874="",F874="",G874=""),"EKSİK",IF(COUNTIF(MUSTERILER!$B$7:$B$156,C874)=0,"TANIMSIZ MÜŞTERİ","UYGUN")))</f>
        <v/>
      </c>
      <c r="N874" s="6"/>
      <c r="O874" s="6"/>
    </row>
    <row r="875" spans="1:15" ht="17">
      <c r="A875" s="6"/>
      <c r="B875" s="95" t="str">
        <f t="shared" si="17"/>
        <v/>
      </c>
      <c r="C875" s="95"/>
      <c r="D875" s="96"/>
      <c r="E875" s="97"/>
      <c r="F875" s="99"/>
      <c r="G875" s="95"/>
      <c r="H875" s="95"/>
      <c r="I875" s="95"/>
      <c r="J875" s="96"/>
      <c r="K875" s="95"/>
      <c r="L875" s="43" t="str">
        <f t="shared" si="18"/>
        <v/>
      </c>
      <c r="M875" s="42" t="str">
        <f>IF(AND(C875="",D875="",E875="",F875=""),"",IF(OR(C875="",D875="",E875="",F875="",G875=""),"EKSİK",IF(COUNTIF(MUSTERILER!$B$7:$B$156,C875)=0,"TANIMSIZ MÜŞTERİ","UYGUN")))</f>
        <v/>
      </c>
      <c r="N875" s="6"/>
      <c r="O875" s="6"/>
    </row>
    <row r="876" spans="1:15" ht="17">
      <c r="A876" s="6"/>
      <c r="B876" s="95" t="str">
        <f t="shared" si="17"/>
        <v/>
      </c>
      <c r="C876" s="95"/>
      <c r="D876" s="96"/>
      <c r="E876" s="97"/>
      <c r="F876" s="99"/>
      <c r="G876" s="95"/>
      <c r="H876" s="95"/>
      <c r="I876" s="95"/>
      <c r="J876" s="96"/>
      <c r="K876" s="95"/>
      <c r="L876" s="43" t="str">
        <f t="shared" si="18"/>
        <v/>
      </c>
      <c r="M876" s="42" t="str">
        <f>IF(AND(C876="",D876="",E876="",F876=""),"",IF(OR(C876="",D876="",E876="",F876="",G876=""),"EKSİK",IF(COUNTIF(MUSTERILER!$B$7:$B$156,C876)=0,"TANIMSIZ MÜŞTERİ","UYGUN")))</f>
        <v/>
      </c>
      <c r="N876" s="6"/>
      <c r="O876" s="6"/>
    </row>
    <row r="877" spans="1:15" ht="17">
      <c r="A877" s="6"/>
      <c r="B877" s="95" t="str">
        <f t="shared" si="17"/>
        <v/>
      </c>
      <c r="C877" s="95"/>
      <c r="D877" s="96"/>
      <c r="E877" s="97"/>
      <c r="F877" s="99"/>
      <c r="G877" s="95"/>
      <c r="H877" s="95"/>
      <c r="I877" s="95"/>
      <c r="J877" s="96"/>
      <c r="K877" s="95"/>
      <c r="L877" s="43" t="str">
        <f t="shared" si="18"/>
        <v/>
      </c>
      <c r="M877" s="42" t="str">
        <f>IF(AND(C877="",D877="",E877="",F877=""),"",IF(OR(C877="",D877="",E877="",F877="",G877=""),"EKSİK",IF(COUNTIF(MUSTERILER!$B$7:$B$156,C877)=0,"TANIMSIZ MÜŞTERİ","UYGUN")))</f>
        <v/>
      </c>
      <c r="N877" s="6"/>
      <c r="O877" s="6"/>
    </row>
    <row r="878" spans="1:15" ht="17">
      <c r="A878" s="6"/>
      <c r="B878" s="95" t="str">
        <f t="shared" ref="B878:B941" si="19">IF(E878="","","T"&amp;TEXT(ROW()-6,"00000"))</f>
        <v/>
      </c>
      <c r="C878" s="95"/>
      <c r="D878" s="96"/>
      <c r="E878" s="97"/>
      <c r="F878" s="99"/>
      <c r="G878" s="95"/>
      <c r="H878" s="95"/>
      <c r="I878" s="95"/>
      <c r="J878" s="96"/>
      <c r="K878" s="95"/>
      <c r="L878" s="43" t="str">
        <f t="shared" si="18"/>
        <v/>
      </c>
      <c r="M878" s="42" t="str">
        <f>IF(AND(C878="",D878="",E878="",F878=""),"",IF(OR(C878="",D878="",E878="",F878="",G878=""),"EKSİK",IF(COUNTIF(MUSTERILER!$B$7:$B$156,C878)=0,"TANIMSIZ MÜŞTERİ","UYGUN")))</f>
        <v/>
      </c>
      <c r="N878" s="6"/>
      <c r="O878" s="6"/>
    </row>
    <row r="879" spans="1:15" ht="17">
      <c r="A879" s="6"/>
      <c r="B879" s="95" t="str">
        <f t="shared" si="19"/>
        <v/>
      </c>
      <c r="C879" s="95"/>
      <c r="D879" s="96"/>
      <c r="E879" s="97"/>
      <c r="F879" s="99"/>
      <c r="G879" s="95"/>
      <c r="H879" s="95"/>
      <c r="I879" s="95"/>
      <c r="J879" s="96"/>
      <c r="K879" s="95"/>
      <c r="L879" s="43" t="str">
        <f t="shared" si="18"/>
        <v/>
      </c>
      <c r="M879" s="42" t="str">
        <f>IF(AND(C879="",D879="",E879="",F879=""),"",IF(OR(C879="",D879="",E879="",F879="",G879=""),"EKSİK",IF(COUNTIF(MUSTERILER!$B$7:$B$156,C879)=0,"TANIMSIZ MÜŞTERİ","UYGUN")))</f>
        <v/>
      </c>
      <c r="N879" s="6"/>
      <c r="O879" s="6"/>
    </row>
    <row r="880" spans="1:15" ht="17">
      <c r="A880" s="6"/>
      <c r="B880" s="95" t="str">
        <f t="shared" si="19"/>
        <v/>
      </c>
      <c r="C880" s="95"/>
      <c r="D880" s="96"/>
      <c r="E880" s="97"/>
      <c r="F880" s="99"/>
      <c r="G880" s="95"/>
      <c r="H880" s="95"/>
      <c r="I880" s="95"/>
      <c r="J880" s="96"/>
      <c r="K880" s="95"/>
      <c r="L880" s="43" t="str">
        <f t="shared" si="18"/>
        <v/>
      </c>
      <c r="M880" s="42" t="str">
        <f>IF(AND(C880="",D880="",E880="",F880=""),"",IF(OR(C880="",D880="",E880="",F880="",G880=""),"EKSİK",IF(COUNTIF(MUSTERILER!$B$7:$B$156,C880)=0,"TANIMSIZ MÜŞTERİ","UYGUN")))</f>
        <v/>
      </c>
      <c r="N880" s="6"/>
      <c r="O880" s="6"/>
    </row>
    <row r="881" spans="1:15" ht="17">
      <c r="A881" s="6"/>
      <c r="B881" s="95" t="str">
        <f t="shared" si="19"/>
        <v/>
      </c>
      <c r="C881" s="95"/>
      <c r="D881" s="96"/>
      <c r="E881" s="97"/>
      <c r="F881" s="99"/>
      <c r="G881" s="95"/>
      <c r="H881" s="95"/>
      <c r="I881" s="95"/>
      <c r="J881" s="96"/>
      <c r="K881" s="95"/>
      <c r="L881" s="43" t="str">
        <f t="shared" si="18"/>
        <v/>
      </c>
      <c r="M881" s="42" t="str">
        <f>IF(AND(C881="",D881="",E881="",F881=""),"",IF(OR(C881="",D881="",E881="",F881="",G881=""),"EKSİK",IF(COUNTIF(MUSTERILER!$B$7:$B$156,C881)=0,"TANIMSIZ MÜŞTERİ","UYGUN")))</f>
        <v/>
      </c>
      <c r="N881" s="6"/>
      <c r="O881" s="6"/>
    </row>
    <row r="882" spans="1:15" ht="17">
      <c r="A882" s="6"/>
      <c r="B882" s="95" t="str">
        <f t="shared" si="19"/>
        <v/>
      </c>
      <c r="C882" s="95"/>
      <c r="D882" s="96"/>
      <c r="E882" s="97"/>
      <c r="F882" s="99"/>
      <c r="G882" s="95"/>
      <c r="H882" s="95"/>
      <c r="I882" s="95"/>
      <c r="J882" s="96"/>
      <c r="K882" s="95"/>
      <c r="L882" s="43" t="str">
        <f t="shared" si="18"/>
        <v/>
      </c>
      <c r="M882" s="42" t="str">
        <f>IF(AND(C882="",D882="",E882="",F882=""),"",IF(OR(C882="",D882="",E882="",F882="",G882=""),"EKSİK",IF(COUNTIF(MUSTERILER!$B$7:$B$156,C882)=0,"TANIMSIZ MÜŞTERİ","UYGUN")))</f>
        <v/>
      </c>
      <c r="N882" s="6"/>
      <c r="O882" s="6"/>
    </row>
    <row r="883" spans="1:15" ht="17">
      <c r="A883" s="6"/>
      <c r="B883" s="95" t="str">
        <f t="shared" si="19"/>
        <v/>
      </c>
      <c r="C883" s="95"/>
      <c r="D883" s="96"/>
      <c r="E883" s="97"/>
      <c r="F883" s="99"/>
      <c r="G883" s="95"/>
      <c r="H883" s="95"/>
      <c r="I883" s="95"/>
      <c r="J883" s="96"/>
      <c r="K883" s="95"/>
      <c r="L883" s="43" t="str">
        <f t="shared" si="18"/>
        <v/>
      </c>
      <c r="M883" s="42" t="str">
        <f>IF(AND(C883="",D883="",E883="",F883=""),"",IF(OR(C883="",D883="",E883="",F883="",G883=""),"EKSİK",IF(COUNTIF(MUSTERILER!$B$7:$B$156,C883)=0,"TANIMSIZ MÜŞTERİ","UYGUN")))</f>
        <v/>
      </c>
      <c r="N883" s="6"/>
      <c r="O883" s="6"/>
    </row>
    <row r="884" spans="1:15" ht="17">
      <c r="A884" s="6"/>
      <c r="B884" s="95" t="str">
        <f t="shared" si="19"/>
        <v/>
      </c>
      <c r="C884" s="95"/>
      <c r="D884" s="96"/>
      <c r="E884" s="97"/>
      <c r="F884" s="99"/>
      <c r="G884" s="95"/>
      <c r="H884" s="95"/>
      <c r="I884" s="95"/>
      <c r="J884" s="96"/>
      <c r="K884" s="95"/>
      <c r="L884" s="43" t="str">
        <f t="shared" si="18"/>
        <v/>
      </c>
      <c r="M884" s="42" t="str">
        <f>IF(AND(C884="",D884="",E884="",F884=""),"",IF(OR(C884="",D884="",E884="",F884="",G884=""),"EKSİK",IF(COUNTIF(MUSTERILER!$B$7:$B$156,C884)=0,"TANIMSIZ MÜŞTERİ","UYGUN")))</f>
        <v/>
      </c>
      <c r="N884" s="6"/>
      <c r="O884" s="6"/>
    </row>
    <row r="885" spans="1:15" ht="17">
      <c r="A885" s="6"/>
      <c r="B885" s="95" t="str">
        <f t="shared" si="19"/>
        <v/>
      </c>
      <c r="C885" s="95"/>
      <c r="D885" s="96"/>
      <c r="E885" s="97"/>
      <c r="F885" s="99"/>
      <c r="G885" s="95"/>
      <c r="H885" s="95"/>
      <c r="I885" s="95"/>
      <c r="J885" s="96"/>
      <c r="K885" s="95"/>
      <c r="L885" s="43" t="str">
        <f t="shared" si="18"/>
        <v/>
      </c>
      <c r="M885" s="42" t="str">
        <f>IF(AND(C885="",D885="",E885="",F885=""),"",IF(OR(C885="",D885="",E885="",F885="",G885=""),"EKSİK",IF(COUNTIF(MUSTERILER!$B$7:$B$156,C885)=0,"TANIMSIZ MÜŞTERİ","UYGUN")))</f>
        <v/>
      </c>
      <c r="N885" s="6"/>
      <c r="O885" s="6"/>
    </row>
    <row r="886" spans="1:15" ht="17">
      <c r="A886" s="6"/>
      <c r="B886" s="95" t="str">
        <f t="shared" si="19"/>
        <v/>
      </c>
      <c r="C886" s="95"/>
      <c r="D886" s="96"/>
      <c r="E886" s="97"/>
      <c r="F886" s="99"/>
      <c r="G886" s="95"/>
      <c r="H886" s="95"/>
      <c r="I886" s="95"/>
      <c r="J886" s="96"/>
      <c r="K886" s="95"/>
      <c r="L886" s="43" t="str">
        <f t="shared" si="18"/>
        <v/>
      </c>
      <c r="M886" s="42" t="str">
        <f>IF(AND(C886="",D886="",E886="",F886=""),"",IF(OR(C886="",D886="",E886="",F886="",G886=""),"EKSİK",IF(COUNTIF(MUSTERILER!$B$7:$B$156,C886)=0,"TANIMSIZ MÜŞTERİ","UYGUN")))</f>
        <v/>
      </c>
      <c r="N886" s="6"/>
      <c r="O886" s="6"/>
    </row>
    <row r="887" spans="1:15" ht="17">
      <c r="A887" s="6"/>
      <c r="B887" s="95" t="str">
        <f t="shared" si="19"/>
        <v/>
      </c>
      <c r="C887" s="95"/>
      <c r="D887" s="96"/>
      <c r="E887" s="97"/>
      <c r="F887" s="99"/>
      <c r="G887" s="95"/>
      <c r="H887" s="95"/>
      <c r="I887" s="95"/>
      <c r="J887" s="96"/>
      <c r="K887" s="95"/>
      <c r="L887" s="43" t="str">
        <f t="shared" si="18"/>
        <v/>
      </c>
      <c r="M887" s="42" t="str">
        <f>IF(AND(C887="",D887="",E887="",F887=""),"",IF(OR(C887="",D887="",E887="",F887="",G887=""),"EKSİK",IF(COUNTIF(MUSTERILER!$B$7:$B$156,C887)=0,"TANIMSIZ MÜŞTERİ","UYGUN")))</f>
        <v/>
      </c>
      <c r="N887" s="6"/>
      <c r="O887" s="6"/>
    </row>
    <row r="888" spans="1:15" ht="17">
      <c r="A888" s="6"/>
      <c r="B888" s="95" t="str">
        <f t="shared" si="19"/>
        <v/>
      </c>
      <c r="C888" s="95"/>
      <c r="D888" s="96"/>
      <c r="E888" s="97"/>
      <c r="F888" s="99"/>
      <c r="G888" s="95"/>
      <c r="H888" s="95"/>
      <c r="I888" s="95"/>
      <c r="J888" s="96"/>
      <c r="K888" s="95"/>
      <c r="L888" s="43" t="str">
        <f t="shared" si="18"/>
        <v/>
      </c>
      <c r="M888" s="42" t="str">
        <f>IF(AND(C888="",D888="",E888="",F888=""),"",IF(OR(C888="",D888="",E888="",F888="",G888=""),"EKSİK",IF(COUNTIF(MUSTERILER!$B$7:$B$156,C888)=0,"TANIMSIZ MÜŞTERİ","UYGUN")))</f>
        <v/>
      </c>
      <c r="N888" s="6"/>
      <c r="O888" s="6"/>
    </row>
    <row r="889" spans="1:15" ht="17">
      <c r="A889" s="6"/>
      <c r="B889" s="95" t="str">
        <f t="shared" si="19"/>
        <v/>
      </c>
      <c r="C889" s="95"/>
      <c r="D889" s="96"/>
      <c r="E889" s="97"/>
      <c r="F889" s="99"/>
      <c r="G889" s="95"/>
      <c r="H889" s="95"/>
      <c r="I889" s="95"/>
      <c r="J889" s="96"/>
      <c r="K889" s="95"/>
      <c r="L889" s="43" t="str">
        <f t="shared" si="18"/>
        <v/>
      </c>
      <c r="M889" s="42" t="str">
        <f>IF(AND(C889="",D889="",E889="",F889=""),"",IF(OR(C889="",D889="",E889="",F889="",G889=""),"EKSİK",IF(COUNTIF(MUSTERILER!$B$7:$B$156,C889)=0,"TANIMSIZ MÜŞTERİ","UYGUN")))</f>
        <v/>
      </c>
      <c r="N889" s="6"/>
      <c r="O889" s="6"/>
    </row>
    <row r="890" spans="1:15" ht="17">
      <c r="A890" s="6"/>
      <c r="B890" s="95" t="str">
        <f t="shared" si="19"/>
        <v/>
      </c>
      <c r="C890" s="95"/>
      <c r="D890" s="96"/>
      <c r="E890" s="97"/>
      <c r="F890" s="99"/>
      <c r="G890" s="95"/>
      <c r="H890" s="95"/>
      <c r="I890" s="95"/>
      <c r="J890" s="96"/>
      <c r="K890" s="95"/>
      <c r="L890" s="43" t="str">
        <f t="shared" si="18"/>
        <v/>
      </c>
      <c r="M890" s="42" t="str">
        <f>IF(AND(C890="",D890="",E890="",F890=""),"",IF(OR(C890="",D890="",E890="",F890="",G890=""),"EKSİK",IF(COUNTIF(MUSTERILER!$B$7:$B$156,C890)=0,"TANIMSIZ MÜŞTERİ","UYGUN")))</f>
        <v/>
      </c>
      <c r="N890" s="6"/>
      <c r="O890" s="6"/>
    </row>
    <row r="891" spans="1:15" ht="17">
      <c r="A891" s="6"/>
      <c r="B891" s="95" t="str">
        <f t="shared" si="19"/>
        <v/>
      </c>
      <c r="C891" s="95"/>
      <c r="D891" s="96"/>
      <c r="E891" s="97"/>
      <c r="F891" s="99"/>
      <c r="G891" s="95"/>
      <c r="H891" s="95"/>
      <c r="I891" s="95"/>
      <c r="J891" s="96"/>
      <c r="K891" s="95"/>
      <c r="L891" s="43" t="str">
        <f t="shared" si="18"/>
        <v/>
      </c>
      <c r="M891" s="42" t="str">
        <f>IF(AND(C891="",D891="",E891="",F891=""),"",IF(OR(C891="",D891="",E891="",F891="",G891=""),"EKSİK",IF(COUNTIF(MUSTERILER!$B$7:$B$156,C891)=0,"TANIMSIZ MÜŞTERİ","UYGUN")))</f>
        <v/>
      </c>
      <c r="N891" s="6"/>
      <c r="O891" s="6"/>
    </row>
    <row r="892" spans="1:15" ht="17">
      <c r="A892" s="6"/>
      <c r="B892" s="95" t="str">
        <f t="shared" si="19"/>
        <v/>
      </c>
      <c r="C892" s="95"/>
      <c r="D892" s="96"/>
      <c r="E892" s="97"/>
      <c r="F892" s="99"/>
      <c r="G892" s="95"/>
      <c r="H892" s="95"/>
      <c r="I892" s="95"/>
      <c r="J892" s="96"/>
      <c r="K892" s="95"/>
      <c r="L892" s="43" t="str">
        <f t="shared" si="18"/>
        <v/>
      </c>
      <c r="M892" s="42" t="str">
        <f>IF(AND(C892="",D892="",E892="",F892=""),"",IF(OR(C892="",D892="",E892="",F892="",G892=""),"EKSİK",IF(COUNTIF(MUSTERILER!$B$7:$B$156,C892)=0,"TANIMSIZ MÜŞTERİ","UYGUN")))</f>
        <v/>
      </c>
      <c r="N892" s="6"/>
      <c r="O892" s="6"/>
    </row>
    <row r="893" spans="1:15" ht="17">
      <c r="A893" s="6"/>
      <c r="B893" s="95" t="str">
        <f t="shared" si="19"/>
        <v/>
      </c>
      <c r="C893" s="95"/>
      <c r="D893" s="96"/>
      <c r="E893" s="97"/>
      <c r="F893" s="99"/>
      <c r="G893" s="95"/>
      <c r="H893" s="95"/>
      <c r="I893" s="95"/>
      <c r="J893" s="96"/>
      <c r="K893" s="95"/>
      <c r="L893" s="43" t="str">
        <f t="shared" si="18"/>
        <v/>
      </c>
      <c r="M893" s="42" t="str">
        <f>IF(AND(C893="",D893="",E893="",F893=""),"",IF(OR(C893="",D893="",E893="",F893="",G893=""),"EKSİK",IF(COUNTIF(MUSTERILER!$B$7:$B$156,C893)=0,"TANIMSIZ MÜŞTERİ","UYGUN")))</f>
        <v/>
      </c>
      <c r="N893" s="6"/>
      <c r="O893" s="6"/>
    </row>
    <row r="894" spans="1:15" ht="17">
      <c r="A894" s="6"/>
      <c r="B894" s="95" t="str">
        <f t="shared" si="19"/>
        <v/>
      </c>
      <c r="C894" s="95"/>
      <c r="D894" s="96"/>
      <c r="E894" s="97"/>
      <c r="F894" s="99"/>
      <c r="G894" s="95"/>
      <c r="H894" s="95"/>
      <c r="I894" s="95"/>
      <c r="J894" s="96"/>
      <c r="K894" s="95"/>
      <c r="L894" s="43" t="str">
        <f t="shared" si="18"/>
        <v/>
      </c>
      <c r="M894" s="42" t="str">
        <f>IF(AND(C894="",D894="",E894="",F894=""),"",IF(OR(C894="",D894="",E894="",F894="",G894=""),"EKSİK",IF(COUNTIF(MUSTERILER!$B$7:$B$156,C894)=0,"TANIMSIZ MÜŞTERİ","UYGUN")))</f>
        <v/>
      </c>
      <c r="N894" s="6"/>
      <c r="O894" s="6"/>
    </row>
    <row r="895" spans="1:15" ht="17">
      <c r="A895" s="6"/>
      <c r="B895" s="95" t="str">
        <f t="shared" si="19"/>
        <v/>
      </c>
      <c r="C895" s="95"/>
      <c r="D895" s="96"/>
      <c r="E895" s="97"/>
      <c r="F895" s="99"/>
      <c r="G895" s="95"/>
      <c r="H895" s="95"/>
      <c r="I895" s="95"/>
      <c r="J895" s="96"/>
      <c r="K895" s="95"/>
      <c r="L895" s="43" t="str">
        <f t="shared" si="18"/>
        <v/>
      </c>
      <c r="M895" s="42" t="str">
        <f>IF(AND(C895="",D895="",E895="",F895=""),"",IF(OR(C895="",D895="",E895="",F895="",G895=""),"EKSİK",IF(COUNTIF(MUSTERILER!$B$7:$B$156,C895)=0,"TANIMSIZ MÜŞTERİ","UYGUN")))</f>
        <v/>
      </c>
      <c r="N895" s="6"/>
      <c r="O895" s="6"/>
    </row>
    <row r="896" spans="1:15" ht="17">
      <c r="A896" s="6"/>
      <c r="B896" s="95" t="str">
        <f t="shared" si="19"/>
        <v/>
      </c>
      <c r="C896" s="95"/>
      <c r="D896" s="96"/>
      <c r="E896" s="97"/>
      <c r="F896" s="99"/>
      <c r="G896" s="95"/>
      <c r="H896" s="95"/>
      <c r="I896" s="95"/>
      <c r="J896" s="96"/>
      <c r="K896" s="95"/>
      <c r="L896" s="43" t="str">
        <f t="shared" si="18"/>
        <v/>
      </c>
      <c r="M896" s="42" t="str">
        <f>IF(AND(C896="",D896="",E896="",F896=""),"",IF(OR(C896="",D896="",E896="",F896="",G896=""),"EKSİK",IF(COUNTIF(MUSTERILER!$B$7:$B$156,C896)=0,"TANIMSIZ MÜŞTERİ","UYGUN")))</f>
        <v/>
      </c>
      <c r="N896" s="6"/>
      <c r="O896" s="6"/>
    </row>
    <row r="897" spans="1:15" ht="17">
      <c r="A897" s="6"/>
      <c r="B897" s="95" t="str">
        <f t="shared" si="19"/>
        <v/>
      </c>
      <c r="C897" s="95"/>
      <c r="D897" s="96"/>
      <c r="E897" s="97"/>
      <c r="F897" s="99"/>
      <c r="G897" s="95"/>
      <c r="H897" s="95"/>
      <c r="I897" s="95"/>
      <c r="J897" s="96"/>
      <c r="K897" s="95"/>
      <c r="L897" s="43" t="str">
        <f t="shared" si="18"/>
        <v/>
      </c>
      <c r="M897" s="42" t="str">
        <f>IF(AND(C897="",D897="",E897="",F897=""),"",IF(OR(C897="",D897="",E897="",F897="",G897=""),"EKSİK",IF(COUNTIF(MUSTERILER!$B$7:$B$156,C897)=0,"TANIMSIZ MÜŞTERİ","UYGUN")))</f>
        <v/>
      </c>
      <c r="N897" s="6"/>
      <c r="O897" s="6"/>
    </row>
    <row r="898" spans="1:15" ht="17">
      <c r="A898" s="6"/>
      <c r="B898" s="95" t="str">
        <f t="shared" si="19"/>
        <v/>
      </c>
      <c r="C898" s="95"/>
      <c r="D898" s="96"/>
      <c r="E898" s="97"/>
      <c r="F898" s="99"/>
      <c r="G898" s="95"/>
      <c r="H898" s="95"/>
      <c r="I898" s="95"/>
      <c r="J898" s="96"/>
      <c r="K898" s="95"/>
      <c r="L898" s="43" t="str">
        <f t="shared" si="18"/>
        <v/>
      </c>
      <c r="M898" s="42" t="str">
        <f>IF(AND(C898="",D898="",E898="",F898=""),"",IF(OR(C898="",D898="",E898="",F898="",G898=""),"EKSİK",IF(COUNTIF(MUSTERILER!$B$7:$B$156,C898)=0,"TANIMSIZ MÜŞTERİ","UYGUN")))</f>
        <v/>
      </c>
      <c r="N898" s="6"/>
      <c r="O898" s="6"/>
    </row>
    <row r="899" spans="1:15" ht="17">
      <c r="A899" s="6"/>
      <c r="B899" s="95" t="str">
        <f t="shared" si="19"/>
        <v/>
      </c>
      <c r="C899" s="95"/>
      <c r="D899" s="96"/>
      <c r="E899" s="97"/>
      <c r="F899" s="99"/>
      <c r="G899" s="95"/>
      <c r="H899" s="95"/>
      <c r="I899" s="95"/>
      <c r="J899" s="96"/>
      <c r="K899" s="95"/>
      <c r="L899" s="43" t="str">
        <f t="shared" si="18"/>
        <v/>
      </c>
      <c r="M899" s="42" t="str">
        <f>IF(AND(C899="",D899="",E899="",F899=""),"",IF(OR(C899="",D899="",E899="",F899="",G899=""),"EKSİK",IF(COUNTIF(MUSTERILER!$B$7:$B$156,C899)=0,"TANIMSIZ MÜŞTERİ","UYGUN")))</f>
        <v/>
      </c>
      <c r="N899" s="6"/>
      <c r="O899" s="6"/>
    </row>
    <row r="900" spans="1:15" ht="17">
      <c r="A900" s="6"/>
      <c r="B900" s="95" t="str">
        <f t="shared" si="19"/>
        <v/>
      </c>
      <c r="C900" s="95"/>
      <c r="D900" s="96"/>
      <c r="E900" s="97"/>
      <c r="F900" s="99"/>
      <c r="G900" s="95"/>
      <c r="H900" s="95"/>
      <c r="I900" s="95"/>
      <c r="J900" s="96"/>
      <c r="K900" s="95"/>
      <c r="L900" s="43" t="str">
        <f t="shared" si="18"/>
        <v/>
      </c>
      <c r="M900" s="42" t="str">
        <f>IF(AND(C900="",D900="",E900="",F900=""),"",IF(OR(C900="",D900="",E900="",F900="",G900=""),"EKSİK",IF(COUNTIF(MUSTERILER!$B$7:$B$156,C900)=0,"TANIMSIZ MÜŞTERİ","UYGUN")))</f>
        <v/>
      </c>
      <c r="N900" s="6"/>
      <c r="O900" s="6"/>
    </row>
    <row r="901" spans="1:15" ht="17">
      <c r="A901" s="6"/>
      <c r="B901" s="95" t="str">
        <f t="shared" si="19"/>
        <v/>
      </c>
      <c r="C901" s="95"/>
      <c r="D901" s="96"/>
      <c r="E901" s="97"/>
      <c r="F901" s="99"/>
      <c r="G901" s="95"/>
      <c r="H901" s="95"/>
      <c r="I901" s="95"/>
      <c r="J901" s="96"/>
      <c r="K901" s="95"/>
      <c r="L901" s="43" t="str">
        <f t="shared" si="18"/>
        <v/>
      </c>
      <c r="M901" s="42" t="str">
        <f>IF(AND(C901="",D901="",E901="",F901=""),"",IF(OR(C901="",D901="",E901="",F901="",G901=""),"EKSİK",IF(COUNTIF(MUSTERILER!$B$7:$B$156,C901)=0,"TANIMSIZ MÜŞTERİ","UYGUN")))</f>
        <v/>
      </c>
      <c r="N901" s="6"/>
      <c r="O901" s="6"/>
    </row>
    <row r="902" spans="1:15" ht="17">
      <c r="A902" s="6"/>
      <c r="B902" s="95" t="str">
        <f t="shared" si="19"/>
        <v/>
      </c>
      <c r="C902" s="95"/>
      <c r="D902" s="96"/>
      <c r="E902" s="97"/>
      <c r="F902" s="99"/>
      <c r="G902" s="95"/>
      <c r="H902" s="95"/>
      <c r="I902" s="95"/>
      <c r="J902" s="96"/>
      <c r="K902" s="95"/>
      <c r="L902" s="43" t="str">
        <f t="shared" si="18"/>
        <v/>
      </c>
      <c r="M902" s="42" t="str">
        <f>IF(AND(C902="",D902="",E902="",F902=""),"",IF(OR(C902="",D902="",E902="",F902="",G902=""),"EKSİK",IF(COUNTIF(MUSTERILER!$B$7:$B$156,C902)=0,"TANIMSIZ MÜŞTERİ","UYGUN")))</f>
        <v/>
      </c>
      <c r="N902" s="6"/>
      <c r="O902" s="6"/>
    </row>
    <row r="903" spans="1:15" ht="17">
      <c r="A903" s="6"/>
      <c r="B903" s="95" t="str">
        <f t="shared" si="19"/>
        <v/>
      </c>
      <c r="C903" s="95"/>
      <c r="D903" s="96"/>
      <c r="E903" s="97"/>
      <c r="F903" s="99"/>
      <c r="G903" s="95"/>
      <c r="H903" s="95"/>
      <c r="I903" s="95"/>
      <c r="J903" s="96"/>
      <c r="K903" s="95"/>
      <c r="L903" s="43" t="str">
        <f t="shared" ref="L903:L966" si="20">IF(E903="","",DATE(YEAR(E903),MONTH(E903),1))</f>
        <v/>
      </c>
      <c r="M903" s="42" t="str">
        <f>IF(AND(C903="",D903="",E903="",F903=""),"",IF(OR(C903="",D903="",E903="",F903="",G903=""),"EKSİK",IF(COUNTIF(MUSTERILER!$B$7:$B$156,C903)=0,"TANIMSIZ MÜŞTERİ","UYGUN")))</f>
        <v/>
      </c>
      <c r="N903" s="6"/>
      <c r="O903" s="6"/>
    </row>
    <row r="904" spans="1:15" ht="17">
      <c r="A904" s="6"/>
      <c r="B904" s="95" t="str">
        <f t="shared" si="19"/>
        <v/>
      </c>
      <c r="C904" s="95"/>
      <c r="D904" s="96"/>
      <c r="E904" s="97"/>
      <c r="F904" s="99"/>
      <c r="G904" s="95"/>
      <c r="H904" s="95"/>
      <c r="I904" s="95"/>
      <c r="J904" s="96"/>
      <c r="K904" s="95"/>
      <c r="L904" s="43" t="str">
        <f t="shared" si="20"/>
        <v/>
      </c>
      <c r="M904" s="42" t="str">
        <f>IF(AND(C904="",D904="",E904="",F904=""),"",IF(OR(C904="",D904="",E904="",F904="",G904=""),"EKSİK",IF(COUNTIF(MUSTERILER!$B$7:$B$156,C904)=0,"TANIMSIZ MÜŞTERİ","UYGUN")))</f>
        <v/>
      </c>
      <c r="N904" s="6"/>
      <c r="O904" s="6"/>
    </row>
    <row r="905" spans="1:15" ht="17">
      <c r="A905" s="6"/>
      <c r="B905" s="95" t="str">
        <f t="shared" si="19"/>
        <v/>
      </c>
      <c r="C905" s="95"/>
      <c r="D905" s="96"/>
      <c r="E905" s="97"/>
      <c r="F905" s="99"/>
      <c r="G905" s="95"/>
      <c r="H905" s="95"/>
      <c r="I905" s="95"/>
      <c r="J905" s="96"/>
      <c r="K905" s="95"/>
      <c r="L905" s="43" t="str">
        <f t="shared" si="20"/>
        <v/>
      </c>
      <c r="M905" s="42" t="str">
        <f>IF(AND(C905="",D905="",E905="",F905=""),"",IF(OR(C905="",D905="",E905="",F905="",G905=""),"EKSİK",IF(COUNTIF(MUSTERILER!$B$7:$B$156,C905)=0,"TANIMSIZ MÜŞTERİ","UYGUN")))</f>
        <v/>
      </c>
      <c r="N905" s="6"/>
      <c r="O905" s="6"/>
    </row>
    <row r="906" spans="1:15" ht="17">
      <c r="A906" s="6"/>
      <c r="B906" s="95" t="str">
        <f t="shared" si="19"/>
        <v/>
      </c>
      <c r="C906" s="95"/>
      <c r="D906" s="96"/>
      <c r="E906" s="97"/>
      <c r="F906" s="99"/>
      <c r="G906" s="95"/>
      <c r="H906" s="95"/>
      <c r="I906" s="95"/>
      <c r="J906" s="96"/>
      <c r="K906" s="95"/>
      <c r="L906" s="43" t="str">
        <f t="shared" si="20"/>
        <v/>
      </c>
      <c r="M906" s="42" t="str">
        <f>IF(AND(C906="",D906="",E906="",F906=""),"",IF(OR(C906="",D906="",E906="",F906="",G906=""),"EKSİK",IF(COUNTIF(MUSTERILER!$B$7:$B$156,C906)=0,"TANIMSIZ MÜŞTERİ","UYGUN")))</f>
        <v/>
      </c>
      <c r="N906" s="6"/>
      <c r="O906" s="6"/>
    </row>
    <row r="907" spans="1:15" ht="17">
      <c r="A907" s="6"/>
      <c r="B907" s="95" t="str">
        <f t="shared" si="19"/>
        <v/>
      </c>
      <c r="C907" s="95"/>
      <c r="D907" s="96"/>
      <c r="E907" s="97"/>
      <c r="F907" s="99"/>
      <c r="G907" s="95"/>
      <c r="H907" s="95"/>
      <c r="I907" s="95"/>
      <c r="J907" s="96"/>
      <c r="K907" s="95"/>
      <c r="L907" s="43" t="str">
        <f t="shared" si="20"/>
        <v/>
      </c>
      <c r="M907" s="42" t="str">
        <f>IF(AND(C907="",D907="",E907="",F907=""),"",IF(OR(C907="",D907="",E907="",F907="",G907=""),"EKSİK",IF(COUNTIF(MUSTERILER!$B$7:$B$156,C907)=0,"TANIMSIZ MÜŞTERİ","UYGUN")))</f>
        <v/>
      </c>
      <c r="N907" s="6"/>
      <c r="O907" s="6"/>
    </row>
    <row r="908" spans="1:15" ht="17">
      <c r="A908" s="6"/>
      <c r="B908" s="95" t="str">
        <f t="shared" si="19"/>
        <v/>
      </c>
      <c r="C908" s="95"/>
      <c r="D908" s="96"/>
      <c r="E908" s="97"/>
      <c r="F908" s="99"/>
      <c r="G908" s="95"/>
      <c r="H908" s="95"/>
      <c r="I908" s="95"/>
      <c r="J908" s="96"/>
      <c r="K908" s="95"/>
      <c r="L908" s="43" t="str">
        <f t="shared" si="20"/>
        <v/>
      </c>
      <c r="M908" s="42" t="str">
        <f>IF(AND(C908="",D908="",E908="",F908=""),"",IF(OR(C908="",D908="",E908="",F908="",G908=""),"EKSİK",IF(COUNTIF(MUSTERILER!$B$7:$B$156,C908)=0,"TANIMSIZ MÜŞTERİ","UYGUN")))</f>
        <v/>
      </c>
      <c r="N908" s="6"/>
      <c r="O908" s="6"/>
    </row>
    <row r="909" spans="1:15" ht="17">
      <c r="A909" s="6"/>
      <c r="B909" s="95" t="str">
        <f t="shared" si="19"/>
        <v/>
      </c>
      <c r="C909" s="95"/>
      <c r="D909" s="96"/>
      <c r="E909" s="97"/>
      <c r="F909" s="99"/>
      <c r="G909" s="95"/>
      <c r="H909" s="95"/>
      <c r="I909" s="95"/>
      <c r="J909" s="96"/>
      <c r="K909" s="95"/>
      <c r="L909" s="43" t="str">
        <f t="shared" si="20"/>
        <v/>
      </c>
      <c r="M909" s="42" t="str">
        <f>IF(AND(C909="",D909="",E909="",F909=""),"",IF(OR(C909="",D909="",E909="",F909="",G909=""),"EKSİK",IF(COUNTIF(MUSTERILER!$B$7:$B$156,C909)=0,"TANIMSIZ MÜŞTERİ","UYGUN")))</f>
        <v/>
      </c>
      <c r="N909" s="6"/>
      <c r="O909" s="6"/>
    </row>
    <row r="910" spans="1:15" ht="17">
      <c r="A910" s="6"/>
      <c r="B910" s="95" t="str">
        <f t="shared" si="19"/>
        <v/>
      </c>
      <c r="C910" s="95"/>
      <c r="D910" s="96"/>
      <c r="E910" s="97"/>
      <c r="F910" s="99"/>
      <c r="G910" s="95"/>
      <c r="H910" s="95"/>
      <c r="I910" s="95"/>
      <c r="J910" s="96"/>
      <c r="K910" s="95"/>
      <c r="L910" s="43" t="str">
        <f t="shared" si="20"/>
        <v/>
      </c>
      <c r="M910" s="42" t="str">
        <f>IF(AND(C910="",D910="",E910="",F910=""),"",IF(OR(C910="",D910="",E910="",F910="",G910=""),"EKSİK",IF(COUNTIF(MUSTERILER!$B$7:$B$156,C910)=0,"TANIMSIZ MÜŞTERİ","UYGUN")))</f>
        <v/>
      </c>
      <c r="N910" s="6"/>
      <c r="O910" s="6"/>
    </row>
    <row r="911" spans="1:15" ht="17">
      <c r="A911" s="6"/>
      <c r="B911" s="95" t="str">
        <f t="shared" si="19"/>
        <v/>
      </c>
      <c r="C911" s="95"/>
      <c r="D911" s="96"/>
      <c r="E911" s="97"/>
      <c r="F911" s="99"/>
      <c r="G911" s="95"/>
      <c r="H911" s="95"/>
      <c r="I911" s="95"/>
      <c r="J911" s="96"/>
      <c r="K911" s="95"/>
      <c r="L911" s="43" t="str">
        <f t="shared" si="20"/>
        <v/>
      </c>
      <c r="M911" s="42" t="str">
        <f>IF(AND(C911="",D911="",E911="",F911=""),"",IF(OR(C911="",D911="",E911="",F911="",G911=""),"EKSİK",IF(COUNTIF(MUSTERILER!$B$7:$B$156,C911)=0,"TANIMSIZ MÜŞTERİ","UYGUN")))</f>
        <v/>
      </c>
      <c r="N911" s="6"/>
      <c r="O911" s="6"/>
    </row>
    <row r="912" spans="1:15" ht="17">
      <c r="A912" s="6"/>
      <c r="B912" s="95" t="str">
        <f t="shared" si="19"/>
        <v/>
      </c>
      <c r="C912" s="95"/>
      <c r="D912" s="96"/>
      <c r="E912" s="97"/>
      <c r="F912" s="99"/>
      <c r="G912" s="95"/>
      <c r="H912" s="95"/>
      <c r="I912" s="95"/>
      <c r="J912" s="96"/>
      <c r="K912" s="95"/>
      <c r="L912" s="43" t="str">
        <f t="shared" si="20"/>
        <v/>
      </c>
      <c r="M912" s="42" t="str">
        <f>IF(AND(C912="",D912="",E912="",F912=""),"",IF(OR(C912="",D912="",E912="",F912="",G912=""),"EKSİK",IF(COUNTIF(MUSTERILER!$B$7:$B$156,C912)=0,"TANIMSIZ MÜŞTERİ","UYGUN")))</f>
        <v/>
      </c>
      <c r="N912" s="6"/>
      <c r="O912" s="6"/>
    </row>
    <row r="913" spans="1:15" ht="17">
      <c r="A913" s="6"/>
      <c r="B913" s="95" t="str">
        <f t="shared" si="19"/>
        <v/>
      </c>
      <c r="C913" s="95"/>
      <c r="D913" s="96"/>
      <c r="E913" s="97"/>
      <c r="F913" s="99"/>
      <c r="G913" s="95"/>
      <c r="H913" s="95"/>
      <c r="I913" s="95"/>
      <c r="J913" s="96"/>
      <c r="K913" s="95"/>
      <c r="L913" s="43" t="str">
        <f t="shared" si="20"/>
        <v/>
      </c>
      <c r="M913" s="42" t="str">
        <f>IF(AND(C913="",D913="",E913="",F913=""),"",IF(OR(C913="",D913="",E913="",F913="",G913=""),"EKSİK",IF(COUNTIF(MUSTERILER!$B$7:$B$156,C913)=0,"TANIMSIZ MÜŞTERİ","UYGUN")))</f>
        <v/>
      </c>
      <c r="N913" s="6"/>
      <c r="O913" s="6"/>
    </row>
    <row r="914" spans="1:15" ht="17">
      <c r="A914" s="6"/>
      <c r="B914" s="95" t="str">
        <f t="shared" si="19"/>
        <v/>
      </c>
      <c r="C914" s="95"/>
      <c r="D914" s="96"/>
      <c r="E914" s="97"/>
      <c r="F914" s="99"/>
      <c r="G914" s="95"/>
      <c r="H914" s="95"/>
      <c r="I914" s="95"/>
      <c r="J914" s="96"/>
      <c r="K914" s="95"/>
      <c r="L914" s="43" t="str">
        <f t="shared" si="20"/>
        <v/>
      </c>
      <c r="M914" s="42" t="str">
        <f>IF(AND(C914="",D914="",E914="",F914=""),"",IF(OR(C914="",D914="",E914="",F914="",G914=""),"EKSİK",IF(COUNTIF(MUSTERILER!$B$7:$B$156,C914)=0,"TANIMSIZ MÜŞTERİ","UYGUN")))</f>
        <v/>
      </c>
      <c r="N914" s="6"/>
      <c r="O914" s="6"/>
    </row>
    <row r="915" spans="1:15" ht="17">
      <c r="A915" s="6"/>
      <c r="B915" s="95" t="str">
        <f t="shared" si="19"/>
        <v/>
      </c>
      <c r="C915" s="95"/>
      <c r="D915" s="96"/>
      <c r="E915" s="97"/>
      <c r="F915" s="99"/>
      <c r="G915" s="95"/>
      <c r="H915" s="95"/>
      <c r="I915" s="95"/>
      <c r="J915" s="96"/>
      <c r="K915" s="95"/>
      <c r="L915" s="43" t="str">
        <f t="shared" si="20"/>
        <v/>
      </c>
      <c r="M915" s="42" t="str">
        <f>IF(AND(C915="",D915="",E915="",F915=""),"",IF(OR(C915="",D915="",E915="",F915="",G915=""),"EKSİK",IF(COUNTIF(MUSTERILER!$B$7:$B$156,C915)=0,"TANIMSIZ MÜŞTERİ","UYGUN")))</f>
        <v/>
      </c>
      <c r="N915" s="6"/>
      <c r="O915" s="6"/>
    </row>
    <row r="916" spans="1:15" ht="17">
      <c r="A916" s="6"/>
      <c r="B916" s="95" t="str">
        <f t="shared" si="19"/>
        <v/>
      </c>
      <c r="C916" s="95"/>
      <c r="D916" s="96"/>
      <c r="E916" s="97"/>
      <c r="F916" s="99"/>
      <c r="G916" s="95"/>
      <c r="H916" s="95"/>
      <c r="I916" s="95"/>
      <c r="J916" s="96"/>
      <c r="K916" s="95"/>
      <c r="L916" s="43" t="str">
        <f t="shared" si="20"/>
        <v/>
      </c>
      <c r="M916" s="42" t="str">
        <f>IF(AND(C916="",D916="",E916="",F916=""),"",IF(OR(C916="",D916="",E916="",F916="",G916=""),"EKSİK",IF(COUNTIF(MUSTERILER!$B$7:$B$156,C916)=0,"TANIMSIZ MÜŞTERİ","UYGUN")))</f>
        <v/>
      </c>
      <c r="N916" s="6"/>
      <c r="O916" s="6"/>
    </row>
    <row r="917" spans="1:15" ht="17">
      <c r="A917" s="6"/>
      <c r="B917" s="95" t="str">
        <f t="shared" si="19"/>
        <v/>
      </c>
      <c r="C917" s="95"/>
      <c r="D917" s="96"/>
      <c r="E917" s="97"/>
      <c r="F917" s="99"/>
      <c r="G917" s="95"/>
      <c r="H917" s="95"/>
      <c r="I917" s="95"/>
      <c r="J917" s="96"/>
      <c r="K917" s="95"/>
      <c r="L917" s="43" t="str">
        <f t="shared" si="20"/>
        <v/>
      </c>
      <c r="M917" s="42" t="str">
        <f>IF(AND(C917="",D917="",E917="",F917=""),"",IF(OR(C917="",D917="",E917="",F917="",G917=""),"EKSİK",IF(COUNTIF(MUSTERILER!$B$7:$B$156,C917)=0,"TANIMSIZ MÜŞTERİ","UYGUN")))</f>
        <v/>
      </c>
      <c r="N917" s="6"/>
      <c r="O917" s="6"/>
    </row>
    <row r="918" spans="1:15" ht="17">
      <c r="A918" s="6"/>
      <c r="B918" s="95" t="str">
        <f t="shared" si="19"/>
        <v/>
      </c>
      <c r="C918" s="95"/>
      <c r="D918" s="96"/>
      <c r="E918" s="97"/>
      <c r="F918" s="99"/>
      <c r="G918" s="95"/>
      <c r="H918" s="95"/>
      <c r="I918" s="95"/>
      <c r="J918" s="96"/>
      <c r="K918" s="95"/>
      <c r="L918" s="43" t="str">
        <f t="shared" si="20"/>
        <v/>
      </c>
      <c r="M918" s="42" t="str">
        <f>IF(AND(C918="",D918="",E918="",F918=""),"",IF(OR(C918="",D918="",E918="",F918="",G918=""),"EKSİK",IF(COUNTIF(MUSTERILER!$B$7:$B$156,C918)=0,"TANIMSIZ MÜŞTERİ","UYGUN")))</f>
        <v/>
      </c>
      <c r="N918" s="6"/>
      <c r="O918" s="6"/>
    </row>
    <row r="919" spans="1:15" ht="17">
      <c r="A919" s="6"/>
      <c r="B919" s="95" t="str">
        <f t="shared" si="19"/>
        <v/>
      </c>
      <c r="C919" s="95"/>
      <c r="D919" s="96"/>
      <c r="E919" s="97"/>
      <c r="F919" s="99"/>
      <c r="G919" s="95"/>
      <c r="H919" s="95"/>
      <c r="I919" s="95"/>
      <c r="J919" s="96"/>
      <c r="K919" s="95"/>
      <c r="L919" s="43" t="str">
        <f t="shared" si="20"/>
        <v/>
      </c>
      <c r="M919" s="42" t="str">
        <f>IF(AND(C919="",D919="",E919="",F919=""),"",IF(OR(C919="",D919="",E919="",F919="",G919=""),"EKSİK",IF(COUNTIF(MUSTERILER!$B$7:$B$156,C919)=0,"TANIMSIZ MÜŞTERİ","UYGUN")))</f>
        <v/>
      </c>
      <c r="N919" s="6"/>
      <c r="O919" s="6"/>
    </row>
    <row r="920" spans="1:15" ht="17">
      <c r="A920" s="6"/>
      <c r="B920" s="95" t="str">
        <f t="shared" si="19"/>
        <v/>
      </c>
      <c r="C920" s="95"/>
      <c r="D920" s="96"/>
      <c r="E920" s="97"/>
      <c r="F920" s="99"/>
      <c r="G920" s="95"/>
      <c r="H920" s="95"/>
      <c r="I920" s="95"/>
      <c r="J920" s="96"/>
      <c r="K920" s="95"/>
      <c r="L920" s="43" t="str">
        <f t="shared" si="20"/>
        <v/>
      </c>
      <c r="M920" s="42" t="str">
        <f>IF(AND(C920="",D920="",E920="",F920=""),"",IF(OR(C920="",D920="",E920="",F920="",G920=""),"EKSİK",IF(COUNTIF(MUSTERILER!$B$7:$B$156,C920)=0,"TANIMSIZ MÜŞTERİ","UYGUN")))</f>
        <v/>
      </c>
      <c r="N920" s="6"/>
      <c r="O920" s="6"/>
    </row>
    <row r="921" spans="1:15" ht="17">
      <c r="A921" s="6"/>
      <c r="B921" s="95" t="str">
        <f t="shared" si="19"/>
        <v/>
      </c>
      <c r="C921" s="95"/>
      <c r="D921" s="96"/>
      <c r="E921" s="97"/>
      <c r="F921" s="99"/>
      <c r="G921" s="95"/>
      <c r="H921" s="95"/>
      <c r="I921" s="95"/>
      <c r="J921" s="96"/>
      <c r="K921" s="95"/>
      <c r="L921" s="43" t="str">
        <f t="shared" si="20"/>
        <v/>
      </c>
      <c r="M921" s="42" t="str">
        <f>IF(AND(C921="",D921="",E921="",F921=""),"",IF(OR(C921="",D921="",E921="",F921="",G921=""),"EKSİK",IF(COUNTIF(MUSTERILER!$B$7:$B$156,C921)=0,"TANIMSIZ MÜŞTERİ","UYGUN")))</f>
        <v/>
      </c>
      <c r="N921" s="6"/>
      <c r="O921" s="6"/>
    </row>
    <row r="922" spans="1:15" ht="17">
      <c r="A922" s="6"/>
      <c r="B922" s="95" t="str">
        <f t="shared" si="19"/>
        <v/>
      </c>
      <c r="C922" s="95"/>
      <c r="D922" s="96"/>
      <c r="E922" s="97"/>
      <c r="F922" s="99"/>
      <c r="G922" s="95"/>
      <c r="H922" s="95"/>
      <c r="I922" s="95"/>
      <c r="J922" s="96"/>
      <c r="K922" s="95"/>
      <c r="L922" s="43" t="str">
        <f t="shared" si="20"/>
        <v/>
      </c>
      <c r="M922" s="42" t="str">
        <f>IF(AND(C922="",D922="",E922="",F922=""),"",IF(OR(C922="",D922="",E922="",F922="",G922=""),"EKSİK",IF(COUNTIF(MUSTERILER!$B$7:$B$156,C922)=0,"TANIMSIZ MÜŞTERİ","UYGUN")))</f>
        <v/>
      </c>
      <c r="N922" s="6"/>
      <c r="O922" s="6"/>
    </row>
    <row r="923" spans="1:15" ht="17">
      <c r="A923" s="6"/>
      <c r="B923" s="95" t="str">
        <f t="shared" si="19"/>
        <v/>
      </c>
      <c r="C923" s="95"/>
      <c r="D923" s="96"/>
      <c r="E923" s="97"/>
      <c r="F923" s="99"/>
      <c r="G923" s="95"/>
      <c r="H923" s="95"/>
      <c r="I923" s="95"/>
      <c r="J923" s="96"/>
      <c r="K923" s="95"/>
      <c r="L923" s="43" t="str">
        <f t="shared" si="20"/>
        <v/>
      </c>
      <c r="M923" s="42" t="str">
        <f>IF(AND(C923="",D923="",E923="",F923=""),"",IF(OR(C923="",D923="",E923="",F923="",G923=""),"EKSİK",IF(COUNTIF(MUSTERILER!$B$7:$B$156,C923)=0,"TANIMSIZ MÜŞTERİ","UYGUN")))</f>
        <v/>
      </c>
      <c r="N923" s="6"/>
      <c r="O923" s="6"/>
    </row>
    <row r="924" spans="1:15" ht="17">
      <c r="A924" s="6"/>
      <c r="B924" s="95" t="str">
        <f t="shared" si="19"/>
        <v/>
      </c>
      <c r="C924" s="95"/>
      <c r="D924" s="96"/>
      <c r="E924" s="97"/>
      <c r="F924" s="99"/>
      <c r="G924" s="95"/>
      <c r="H924" s="95"/>
      <c r="I924" s="95"/>
      <c r="J924" s="96"/>
      <c r="K924" s="95"/>
      <c r="L924" s="43" t="str">
        <f t="shared" si="20"/>
        <v/>
      </c>
      <c r="M924" s="42" t="str">
        <f>IF(AND(C924="",D924="",E924="",F924=""),"",IF(OR(C924="",D924="",E924="",F924="",G924=""),"EKSİK",IF(COUNTIF(MUSTERILER!$B$7:$B$156,C924)=0,"TANIMSIZ MÜŞTERİ","UYGUN")))</f>
        <v/>
      </c>
      <c r="N924" s="6"/>
      <c r="O924" s="6"/>
    </row>
    <row r="925" spans="1:15" ht="17">
      <c r="A925" s="6"/>
      <c r="B925" s="95" t="str">
        <f t="shared" si="19"/>
        <v/>
      </c>
      <c r="C925" s="95"/>
      <c r="D925" s="96"/>
      <c r="E925" s="97"/>
      <c r="F925" s="99"/>
      <c r="G925" s="95"/>
      <c r="H925" s="95"/>
      <c r="I925" s="95"/>
      <c r="J925" s="96"/>
      <c r="K925" s="95"/>
      <c r="L925" s="43" t="str">
        <f t="shared" si="20"/>
        <v/>
      </c>
      <c r="M925" s="42" t="str">
        <f>IF(AND(C925="",D925="",E925="",F925=""),"",IF(OR(C925="",D925="",E925="",F925="",G925=""),"EKSİK",IF(COUNTIF(MUSTERILER!$B$7:$B$156,C925)=0,"TANIMSIZ MÜŞTERİ","UYGUN")))</f>
        <v/>
      </c>
      <c r="N925" s="6"/>
      <c r="O925" s="6"/>
    </row>
    <row r="926" spans="1:15" ht="17">
      <c r="A926" s="6"/>
      <c r="B926" s="95" t="str">
        <f t="shared" si="19"/>
        <v/>
      </c>
      <c r="C926" s="95"/>
      <c r="D926" s="96"/>
      <c r="E926" s="97"/>
      <c r="F926" s="99"/>
      <c r="G926" s="95"/>
      <c r="H926" s="95"/>
      <c r="I926" s="95"/>
      <c r="J926" s="96"/>
      <c r="K926" s="95"/>
      <c r="L926" s="43" t="str">
        <f t="shared" si="20"/>
        <v/>
      </c>
      <c r="M926" s="42" t="str">
        <f>IF(AND(C926="",D926="",E926="",F926=""),"",IF(OR(C926="",D926="",E926="",F926="",G926=""),"EKSİK",IF(COUNTIF(MUSTERILER!$B$7:$B$156,C926)=0,"TANIMSIZ MÜŞTERİ","UYGUN")))</f>
        <v/>
      </c>
      <c r="N926" s="6"/>
      <c r="O926" s="6"/>
    </row>
    <row r="927" spans="1:15" ht="17">
      <c r="A927" s="6"/>
      <c r="B927" s="95" t="str">
        <f t="shared" si="19"/>
        <v/>
      </c>
      <c r="C927" s="95"/>
      <c r="D927" s="96"/>
      <c r="E927" s="97"/>
      <c r="F927" s="99"/>
      <c r="G927" s="95"/>
      <c r="H927" s="95"/>
      <c r="I927" s="95"/>
      <c r="J927" s="96"/>
      <c r="K927" s="95"/>
      <c r="L927" s="43" t="str">
        <f t="shared" si="20"/>
        <v/>
      </c>
      <c r="M927" s="42" t="str">
        <f>IF(AND(C927="",D927="",E927="",F927=""),"",IF(OR(C927="",D927="",E927="",F927="",G927=""),"EKSİK",IF(COUNTIF(MUSTERILER!$B$7:$B$156,C927)=0,"TANIMSIZ MÜŞTERİ","UYGUN")))</f>
        <v/>
      </c>
      <c r="N927" s="6"/>
      <c r="O927" s="6"/>
    </row>
    <row r="928" spans="1:15" ht="17">
      <c r="A928" s="6"/>
      <c r="B928" s="95" t="str">
        <f t="shared" si="19"/>
        <v/>
      </c>
      <c r="C928" s="95"/>
      <c r="D928" s="96"/>
      <c r="E928" s="97"/>
      <c r="F928" s="99"/>
      <c r="G928" s="95"/>
      <c r="H928" s="95"/>
      <c r="I928" s="95"/>
      <c r="J928" s="96"/>
      <c r="K928" s="95"/>
      <c r="L928" s="43" t="str">
        <f t="shared" si="20"/>
        <v/>
      </c>
      <c r="M928" s="42" t="str">
        <f>IF(AND(C928="",D928="",E928="",F928=""),"",IF(OR(C928="",D928="",E928="",F928="",G928=""),"EKSİK",IF(COUNTIF(MUSTERILER!$B$7:$B$156,C928)=0,"TANIMSIZ MÜŞTERİ","UYGUN")))</f>
        <v/>
      </c>
      <c r="N928" s="6"/>
      <c r="O928" s="6"/>
    </row>
    <row r="929" spans="1:15" ht="17">
      <c r="A929" s="6"/>
      <c r="B929" s="95" t="str">
        <f t="shared" si="19"/>
        <v/>
      </c>
      <c r="C929" s="95"/>
      <c r="D929" s="96"/>
      <c r="E929" s="97"/>
      <c r="F929" s="99"/>
      <c r="G929" s="95"/>
      <c r="H929" s="95"/>
      <c r="I929" s="95"/>
      <c r="J929" s="96"/>
      <c r="K929" s="95"/>
      <c r="L929" s="43" t="str">
        <f t="shared" si="20"/>
        <v/>
      </c>
      <c r="M929" s="42" t="str">
        <f>IF(AND(C929="",D929="",E929="",F929=""),"",IF(OR(C929="",D929="",E929="",F929="",G929=""),"EKSİK",IF(COUNTIF(MUSTERILER!$B$7:$B$156,C929)=0,"TANIMSIZ MÜŞTERİ","UYGUN")))</f>
        <v/>
      </c>
      <c r="N929" s="6"/>
      <c r="O929" s="6"/>
    </row>
    <row r="930" spans="1:15" ht="17">
      <c r="A930" s="6"/>
      <c r="B930" s="95" t="str">
        <f t="shared" si="19"/>
        <v/>
      </c>
      <c r="C930" s="95"/>
      <c r="D930" s="96"/>
      <c r="E930" s="97"/>
      <c r="F930" s="99"/>
      <c r="G930" s="95"/>
      <c r="H930" s="95"/>
      <c r="I930" s="95"/>
      <c r="J930" s="96"/>
      <c r="K930" s="95"/>
      <c r="L930" s="43" t="str">
        <f t="shared" si="20"/>
        <v/>
      </c>
      <c r="M930" s="42" t="str">
        <f>IF(AND(C930="",D930="",E930="",F930=""),"",IF(OR(C930="",D930="",E930="",F930="",G930=""),"EKSİK",IF(COUNTIF(MUSTERILER!$B$7:$B$156,C930)=0,"TANIMSIZ MÜŞTERİ","UYGUN")))</f>
        <v/>
      </c>
      <c r="N930" s="6"/>
      <c r="O930" s="6"/>
    </row>
    <row r="931" spans="1:15" ht="17">
      <c r="A931" s="6"/>
      <c r="B931" s="95" t="str">
        <f t="shared" si="19"/>
        <v/>
      </c>
      <c r="C931" s="95"/>
      <c r="D931" s="96"/>
      <c r="E931" s="97"/>
      <c r="F931" s="99"/>
      <c r="G931" s="95"/>
      <c r="H931" s="95"/>
      <c r="I931" s="95"/>
      <c r="J931" s="96"/>
      <c r="K931" s="95"/>
      <c r="L931" s="43" t="str">
        <f t="shared" si="20"/>
        <v/>
      </c>
      <c r="M931" s="42" t="str">
        <f>IF(AND(C931="",D931="",E931="",F931=""),"",IF(OR(C931="",D931="",E931="",F931="",G931=""),"EKSİK",IF(COUNTIF(MUSTERILER!$B$7:$B$156,C931)=0,"TANIMSIZ MÜŞTERİ","UYGUN")))</f>
        <v/>
      </c>
      <c r="N931" s="6"/>
      <c r="O931" s="6"/>
    </row>
    <row r="932" spans="1:15" ht="17">
      <c r="A932" s="6"/>
      <c r="B932" s="95" t="str">
        <f t="shared" si="19"/>
        <v/>
      </c>
      <c r="C932" s="95"/>
      <c r="D932" s="96"/>
      <c r="E932" s="97"/>
      <c r="F932" s="99"/>
      <c r="G932" s="95"/>
      <c r="H932" s="95"/>
      <c r="I932" s="95"/>
      <c r="J932" s="96"/>
      <c r="K932" s="95"/>
      <c r="L932" s="43" t="str">
        <f t="shared" si="20"/>
        <v/>
      </c>
      <c r="M932" s="42" t="str">
        <f>IF(AND(C932="",D932="",E932="",F932=""),"",IF(OR(C932="",D932="",E932="",F932="",G932=""),"EKSİK",IF(COUNTIF(MUSTERILER!$B$7:$B$156,C932)=0,"TANIMSIZ MÜŞTERİ","UYGUN")))</f>
        <v/>
      </c>
      <c r="N932" s="6"/>
      <c r="O932" s="6"/>
    </row>
    <row r="933" spans="1:15" ht="17">
      <c r="A933" s="6"/>
      <c r="B933" s="95" t="str">
        <f t="shared" si="19"/>
        <v/>
      </c>
      <c r="C933" s="95"/>
      <c r="D933" s="96"/>
      <c r="E933" s="97"/>
      <c r="F933" s="99"/>
      <c r="G933" s="95"/>
      <c r="H933" s="95"/>
      <c r="I933" s="95"/>
      <c r="J933" s="96"/>
      <c r="K933" s="95"/>
      <c r="L933" s="43" t="str">
        <f t="shared" si="20"/>
        <v/>
      </c>
      <c r="M933" s="42" t="str">
        <f>IF(AND(C933="",D933="",E933="",F933=""),"",IF(OR(C933="",D933="",E933="",F933="",G933=""),"EKSİK",IF(COUNTIF(MUSTERILER!$B$7:$B$156,C933)=0,"TANIMSIZ MÜŞTERİ","UYGUN")))</f>
        <v/>
      </c>
      <c r="N933" s="6"/>
      <c r="O933" s="6"/>
    </row>
    <row r="934" spans="1:15" ht="17">
      <c r="A934" s="6"/>
      <c r="B934" s="95" t="str">
        <f t="shared" si="19"/>
        <v/>
      </c>
      <c r="C934" s="95"/>
      <c r="D934" s="96"/>
      <c r="E934" s="97"/>
      <c r="F934" s="99"/>
      <c r="G934" s="95"/>
      <c r="H934" s="95"/>
      <c r="I934" s="95"/>
      <c r="J934" s="96"/>
      <c r="K934" s="95"/>
      <c r="L934" s="43" t="str">
        <f t="shared" si="20"/>
        <v/>
      </c>
      <c r="M934" s="42" t="str">
        <f>IF(AND(C934="",D934="",E934="",F934=""),"",IF(OR(C934="",D934="",E934="",F934="",G934=""),"EKSİK",IF(COUNTIF(MUSTERILER!$B$7:$B$156,C934)=0,"TANIMSIZ MÜŞTERİ","UYGUN")))</f>
        <v/>
      </c>
      <c r="N934" s="6"/>
      <c r="O934" s="6"/>
    </row>
    <row r="935" spans="1:15" ht="17">
      <c r="A935" s="6"/>
      <c r="B935" s="95" t="str">
        <f t="shared" si="19"/>
        <v/>
      </c>
      <c r="C935" s="95"/>
      <c r="D935" s="96"/>
      <c r="E935" s="97"/>
      <c r="F935" s="99"/>
      <c r="G935" s="95"/>
      <c r="H935" s="95"/>
      <c r="I935" s="95"/>
      <c r="J935" s="96"/>
      <c r="K935" s="95"/>
      <c r="L935" s="43" t="str">
        <f t="shared" si="20"/>
        <v/>
      </c>
      <c r="M935" s="42" t="str">
        <f>IF(AND(C935="",D935="",E935="",F935=""),"",IF(OR(C935="",D935="",E935="",F935="",G935=""),"EKSİK",IF(COUNTIF(MUSTERILER!$B$7:$B$156,C935)=0,"TANIMSIZ MÜŞTERİ","UYGUN")))</f>
        <v/>
      </c>
      <c r="N935" s="6"/>
      <c r="O935" s="6"/>
    </row>
    <row r="936" spans="1:15" ht="17">
      <c r="A936" s="6"/>
      <c r="B936" s="95" t="str">
        <f t="shared" si="19"/>
        <v/>
      </c>
      <c r="C936" s="95"/>
      <c r="D936" s="96"/>
      <c r="E936" s="97"/>
      <c r="F936" s="99"/>
      <c r="G936" s="95"/>
      <c r="H936" s="95"/>
      <c r="I936" s="95"/>
      <c r="J936" s="96"/>
      <c r="K936" s="95"/>
      <c r="L936" s="43" t="str">
        <f t="shared" si="20"/>
        <v/>
      </c>
      <c r="M936" s="42" t="str">
        <f>IF(AND(C936="",D936="",E936="",F936=""),"",IF(OR(C936="",D936="",E936="",F936="",G936=""),"EKSİK",IF(COUNTIF(MUSTERILER!$B$7:$B$156,C936)=0,"TANIMSIZ MÜŞTERİ","UYGUN")))</f>
        <v/>
      </c>
      <c r="N936" s="6"/>
      <c r="O936" s="6"/>
    </row>
    <row r="937" spans="1:15" ht="17">
      <c r="A937" s="6"/>
      <c r="B937" s="95" t="str">
        <f t="shared" si="19"/>
        <v/>
      </c>
      <c r="C937" s="95"/>
      <c r="D937" s="96"/>
      <c r="E937" s="97"/>
      <c r="F937" s="99"/>
      <c r="G937" s="95"/>
      <c r="H937" s="95"/>
      <c r="I937" s="95"/>
      <c r="J937" s="96"/>
      <c r="K937" s="95"/>
      <c r="L937" s="43" t="str">
        <f t="shared" si="20"/>
        <v/>
      </c>
      <c r="M937" s="42" t="str">
        <f>IF(AND(C937="",D937="",E937="",F937=""),"",IF(OR(C937="",D937="",E937="",F937="",G937=""),"EKSİK",IF(COUNTIF(MUSTERILER!$B$7:$B$156,C937)=0,"TANIMSIZ MÜŞTERİ","UYGUN")))</f>
        <v/>
      </c>
      <c r="N937" s="6"/>
      <c r="O937" s="6"/>
    </row>
    <row r="938" spans="1:15" ht="17">
      <c r="A938" s="6"/>
      <c r="B938" s="95" t="str">
        <f t="shared" si="19"/>
        <v/>
      </c>
      <c r="C938" s="95"/>
      <c r="D938" s="96"/>
      <c r="E938" s="97"/>
      <c r="F938" s="99"/>
      <c r="G938" s="95"/>
      <c r="H938" s="95"/>
      <c r="I938" s="95"/>
      <c r="J938" s="96"/>
      <c r="K938" s="95"/>
      <c r="L938" s="43" t="str">
        <f t="shared" si="20"/>
        <v/>
      </c>
      <c r="M938" s="42" t="str">
        <f>IF(AND(C938="",D938="",E938="",F938=""),"",IF(OR(C938="",D938="",E938="",F938="",G938=""),"EKSİK",IF(COUNTIF(MUSTERILER!$B$7:$B$156,C938)=0,"TANIMSIZ MÜŞTERİ","UYGUN")))</f>
        <v/>
      </c>
      <c r="N938" s="6"/>
      <c r="O938" s="6"/>
    </row>
    <row r="939" spans="1:15" ht="17">
      <c r="A939" s="6"/>
      <c r="B939" s="95" t="str">
        <f t="shared" si="19"/>
        <v/>
      </c>
      <c r="C939" s="95"/>
      <c r="D939" s="96"/>
      <c r="E939" s="97"/>
      <c r="F939" s="99"/>
      <c r="G939" s="95"/>
      <c r="H939" s="95"/>
      <c r="I939" s="95"/>
      <c r="J939" s="96"/>
      <c r="K939" s="95"/>
      <c r="L939" s="43" t="str">
        <f t="shared" si="20"/>
        <v/>
      </c>
      <c r="M939" s="42" t="str">
        <f>IF(AND(C939="",D939="",E939="",F939=""),"",IF(OR(C939="",D939="",E939="",F939="",G939=""),"EKSİK",IF(COUNTIF(MUSTERILER!$B$7:$B$156,C939)=0,"TANIMSIZ MÜŞTERİ","UYGUN")))</f>
        <v/>
      </c>
      <c r="N939" s="6"/>
      <c r="O939" s="6"/>
    </row>
    <row r="940" spans="1:15" ht="17">
      <c r="A940" s="6"/>
      <c r="B940" s="95" t="str">
        <f t="shared" si="19"/>
        <v/>
      </c>
      <c r="C940" s="95"/>
      <c r="D940" s="96"/>
      <c r="E940" s="97"/>
      <c r="F940" s="99"/>
      <c r="G940" s="95"/>
      <c r="H940" s="95"/>
      <c r="I940" s="95"/>
      <c r="J940" s="96"/>
      <c r="K940" s="95"/>
      <c r="L940" s="43" t="str">
        <f t="shared" si="20"/>
        <v/>
      </c>
      <c r="M940" s="42" t="str">
        <f>IF(AND(C940="",D940="",E940="",F940=""),"",IF(OR(C940="",D940="",E940="",F940="",G940=""),"EKSİK",IF(COUNTIF(MUSTERILER!$B$7:$B$156,C940)=0,"TANIMSIZ MÜŞTERİ","UYGUN")))</f>
        <v/>
      </c>
      <c r="N940" s="6"/>
      <c r="O940" s="6"/>
    </row>
    <row r="941" spans="1:15" ht="17">
      <c r="A941" s="6"/>
      <c r="B941" s="95" t="str">
        <f t="shared" si="19"/>
        <v/>
      </c>
      <c r="C941" s="95"/>
      <c r="D941" s="96"/>
      <c r="E941" s="97"/>
      <c r="F941" s="99"/>
      <c r="G941" s="95"/>
      <c r="H941" s="95"/>
      <c r="I941" s="95"/>
      <c r="J941" s="96"/>
      <c r="K941" s="95"/>
      <c r="L941" s="43" t="str">
        <f t="shared" si="20"/>
        <v/>
      </c>
      <c r="M941" s="42" t="str">
        <f>IF(AND(C941="",D941="",E941="",F941=""),"",IF(OR(C941="",D941="",E941="",F941="",G941=""),"EKSİK",IF(COUNTIF(MUSTERILER!$B$7:$B$156,C941)=0,"TANIMSIZ MÜŞTERİ","UYGUN")))</f>
        <v/>
      </c>
      <c r="N941" s="6"/>
      <c r="O941" s="6"/>
    </row>
    <row r="942" spans="1:15" ht="17">
      <c r="A942" s="6"/>
      <c r="B942" s="95" t="str">
        <f t="shared" ref="B942:B1006" si="21">IF(E942="","","T"&amp;TEXT(ROW()-6,"00000"))</f>
        <v/>
      </c>
      <c r="C942" s="95"/>
      <c r="D942" s="96"/>
      <c r="E942" s="97"/>
      <c r="F942" s="99"/>
      <c r="G942" s="95"/>
      <c r="H942" s="95"/>
      <c r="I942" s="95"/>
      <c r="J942" s="96"/>
      <c r="K942" s="95"/>
      <c r="L942" s="43" t="str">
        <f t="shared" si="20"/>
        <v/>
      </c>
      <c r="M942" s="42" t="str">
        <f>IF(AND(C942="",D942="",E942="",F942=""),"",IF(OR(C942="",D942="",E942="",F942="",G942=""),"EKSİK",IF(COUNTIF(MUSTERILER!$B$7:$B$156,C942)=0,"TANIMSIZ MÜŞTERİ","UYGUN")))</f>
        <v/>
      </c>
      <c r="N942" s="6"/>
      <c r="O942" s="6"/>
    </row>
    <row r="943" spans="1:15" ht="17">
      <c r="A943" s="6"/>
      <c r="B943" s="95" t="str">
        <f t="shared" si="21"/>
        <v/>
      </c>
      <c r="C943" s="95"/>
      <c r="D943" s="96"/>
      <c r="E943" s="97"/>
      <c r="F943" s="99"/>
      <c r="G943" s="95"/>
      <c r="H943" s="95"/>
      <c r="I943" s="95"/>
      <c r="J943" s="96"/>
      <c r="K943" s="95"/>
      <c r="L943" s="43" t="str">
        <f t="shared" si="20"/>
        <v/>
      </c>
      <c r="M943" s="42" t="str">
        <f>IF(AND(C943="",D943="",E943="",F943=""),"",IF(OR(C943="",D943="",E943="",F943="",G943=""),"EKSİK",IF(COUNTIF(MUSTERILER!$B$7:$B$156,C943)=0,"TANIMSIZ MÜŞTERİ","UYGUN")))</f>
        <v/>
      </c>
      <c r="N943" s="6"/>
      <c r="O943" s="6"/>
    </row>
    <row r="944" spans="1:15" ht="17">
      <c r="A944" s="6"/>
      <c r="B944" s="95" t="str">
        <f t="shared" si="21"/>
        <v/>
      </c>
      <c r="C944" s="95"/>
      <c r="D944" s="96"/>
      <c r="E944" s="97"/>
      <c r="F944" s="99"/>
      <c r="G944" s="95"/>
      <c r="H944" s="95"/>
      <c r="I944" s="95"/>
      <c r="J944" s="96"/>
      <c r="K944" s="95"/>
      <c r="L944" s="43" t="str">
        <f t="shared" si="20"/>
        <v/>
      </c>
      <c r="M944" s="42" t="str">
        <f>IF(AND(C944="",D944="",E944="",F944=""),"",IF(OR(C944="",D944="",E944="",F944="",G944=""),"EKSİK",IF(COUNTIF(MUSTERILER!$B$7:$B$156,C944)=0,"TANIMSIZ MÜŞTERİ","UYGUN")))</f>
        <v/>
      </c>
      <c r="N944" s="6"/>
      <c r="O944" s="6"/>
    </row>
    <row r="945" spans="1:15" ht="17">
      <c r="A945" s="6"/>
      <c r="B945" s="95" t="str">
        <f t="shared" si="21"/>
        <v/>
      </c>
      <c r="C945" s="95"/>
      <c r="D945" s="96"/>
      <c r="E945" s="97"/>
      <c r="F945" s="99"/>
      <c r="G945" s="95"/>
      <c r="H945" s="95"/>
      <c r="I945" s="95"/>
      <c r="J945" s="96"/>
      <c r="K945" s="95"/>
      <c r="L945" s="43" t="str">
        <f t="shared" si="20"/>
        <v/>
      </c>
      <c r="M945" s="42" t="str">
        <f>IF(AND(C945="",D945="",E945="",F945=""),"",IF(OR(C945="",D945="",E945="",F945="",G945=""),"EKSİK",IF(COUNTIF(MUSTERILER!$B$7:$B$156,C945)=0,"TANIMSIZ MÜŞTERİ","UYGUN")))</f>
        <v/>
      </c>
      <c r="N945" s="6"/>
      <c r="O945" s="6"/>
    </row>
    <row r="946" spans="1:15" ht="17">
      <c r="A946" s="6"/>
      <c r="B946" s="95" t="str">
        <f t="shared" si="21"/>
        <v/>
      </c>
      <c r="C946" s="95"/>
      <c r="D946" s="96"/>
      <c r="E946" s="97"/>
      <c r="F946" s="99"/>
      <c r="G946" s="95"/>
      <c r="H946" s="95"/>
      <c r="I946" s="95"/>
      <c r="J946" s="96"/>
      <c r="K946" s="95"/>
      <c r="L946" s="43" t="str">
        <f t="shared" si="20"/>
        <v/>
      </c>
      <c r="M946" s="42" t="str">
        <f>IF(AND(C946="",D946="",E946="",F946=""),"",IF(OR(C946="",D946="",E946="",F946="",G946=""),"EKSİK",IF(COUNTIF(MUSTERILER!$B$7:$B$156,C946)=0,"TANIMSIZ MÜŞTERİ","UYGUN")))</f>
        <v/>
      </c>
      <c r="N946" s="6"/>
      <c r="O946" s="6"/>
    </row>
    <row r="947" spans="1:15" ht="17">
      <c r="A947" s="6"/>
      <c r="B947" s="95" t="str">
        <f t="shared" si="21"/>
        <v/>
      </c>
      <c r="C947" s="95"/>
      <c r="D947" s="96"/>
      <c r="E947" s="97"/>
      <c r="F947" s="99"/>
      <c r="G947" s="95"/>
      <c r="H947" s="95"/>
      <c r="I947" s="95"/>
      <c r="J947" s="96"/>
      <c r="K947" s="95"/>
      <c r="L947" s="43" t="str">
        <f t="shared" si="20"/>
        <v/>
      </c>
      <c r="M947" s="42" t="str">
        <f>IF(AND(C947="",D947="",E947="",F947=""),"",IF(OR(C947="",D947="",E947="",F947="",G947=""),"EKSİK",IF(COUNTIF(MUSTERILER!$B$7:$B$156,C947)=0,"TANIMSIZ MÜŞTERİ","UYGUN")))</f>
        <v/>
      </c>
      <c r="N947" s="6"/>
      <c r="O947" s="6"/>
    </row>
    <row r="948" spans="1:15" ht="17">
      <c r="A948" s="6"/>
      <c r="B948" s="95" t="str">
        <f t="shared" si="21"/>
        <v/>
      </c>
      <c r="C948" s="95"/>
      <c r="D948" s="96"/>
      <c r="E948" s="97"/>
      <c r="F948" s="99"/>
      <c r="G948" s="95"/>
      <c r="H948" s="95"/>
      <c r="I948" s="95"/>
      <c r="J948" s="96"/>
      <c r="K948" s="95"/>
      <c r="L948" s="43" t="str">
        <f t="shared" si="20"/>
        <v/>
      </c>
      <c r="M948" s="42" t="str">
        <f>IF(AND(C948="",D948="",E948="",F948=""),"",IF(OR(C948="",D948="",E948="",F948="",G948=""),"EKSİK",IF(COUNTIF(MUSTERILER!$B$7:$B$156,C948)=0,"TANIMSIZ MÜŞTERİ","UYGUN")))</f>
        <v/>
      </c>
      <c r="N948" s="6"/>
      <c r="O948" s="6"/>
    </row>
    <row r="949" spans="1:15" ht="17">
      <c r="A949" s="6"/>
      <c r="B949" s="95" t="str">
        <f t="shared" si="21"/>
        <v/>
      </c>
      <c r="C949" s="95"/>
      <c r="D949" s="96"/>
      <c r="E949" s="97"/>
      <c r="F949" s="99"/>
      <c r="G949" s="95"/>
      <c r="H949" s="95"/>
      <c r="I949" s="95"/>
      <c r="J949" s="96"/>
      <c r="K949" s="95"/>
      <c r="L949" s="43" t="str">
        <f t="shared" si="20"/>
        <v/>
      </c>
      <c r="M949" s="42" t="str">
        <f>IF(AND(C949="",D949="",E949="",F949=""),"",IF(OR(C949="",D949="",E949="",F949="",G949=""),"EKSİK",IF(COUNTIF(MUSTERILER!$B$7:$B$156,C949)=0,"TANIMSIZ MÜŞTERİ","UYGUN")))</f>
        <v/>
      </c>
      <c r="N949" s="6"/>
      <c r="O949" s="6"/>
    </row>
    <row r="950" spans="1:15" ht="17">
      <c r="A950" s="6"/>
      <c r="B950" s="95" t="str">
        <f t="shared" si="21"/>
        <v/>
      </c>
      <c r="C950" s="95"/>
      <c r="D950" s="96"/>
      <c r="E950" s="97"/>
      <c r="F950" s="99"/>
      <c r="G950" s="95"/>
      <c r="H950" s="95"/>
      <c r="I950" s="95"/>
      <c r="J950" s="96"/>
      <c r="K950" s="95"/>
      <c r="L950" s="43" t="str">
        <f t="shared" si="20"/>
        <v/>
      </c>
      <c r="M950" s="42" t="str">
        <f>IF(AND(C950="",D950="",E950="",F950=""),"",IF(OR(C950="",D950="",E950="",F950="",G950=""),"EKSİK",IF(COUNTIF(MUSTERILER!$B$7:$B$156,C950)=0,"TANIMSIZ MÜŞTERİ","UYGUN")))</f>
        <v/>
      </c>
      <c r="N950" s="6"/>
      <c r="O950" s="6"/>
    </row>
    <row r="951" spans="1:15" ht="17">
      <c r="A951" s="6"/>
      <c r="B951" s="95" t="str">
        <f t="shared" si="21"/>
        <v/>
      </c>
      <c r="C951" s="95"/>
      <c r="D951" s="96"/>
      <c r="E951" s="97"/>
      <c r="F951" s="99"/>
      <c r="G951" s="95"/>
      <c r="H951" s="95"/>
      <c r="I951" s="95"/>
      <c r="J951" s="96"/>
      <c r="K951" s="95"/>
      <c r="L951" s="43" t="str">
        <f t="shared" si="20"/>
        <v/>
      </c>
      <c r="M951" s="42" t="str">
        <f>IF(AND(C951="",D951="",E951="",F951=""),"",IF(OR(C951="",D951="",E951="",F951="",G951=""),"EKSİK",IF(COUNTIF(MUSTERILER!$B$7:$B$156,C951)=0,"TANIMSIZ MÜŞTERİ","UYGUN")))</f>
        <v/>
      </c>
      <c r="N951" s="6"/>
      <c r="O951" s="6"/>
    </row>
    <row r="952" spans="1:15" ht="17">
      <c r="A952" s="6"/>
      <c r="B952" s="95" t="str">
        <f t="shared" si="21"/>
        <v/>
      </c>
      <c r="C952" s="95"/>
      <c r="D952" s="96"/>
      <c r="E952" s="97"/>
      <c r="F952" s="99"/>
      <c r="G952" s="95"/>
      <c r="H952" s="95"/>
      <c r="I952" s="95"/>
      <c r="J952" s="96"/>
      <c r="K952" s="95"/>
      <c r="L952" s="43" t="str">
        <f t="shared" si="20"/>
        <v/>
      </c>
      <c r="M952" s="42" t="str">
        <f>IF(AND(C952="",D952="",E952="",F952=""),"",IF(OR(C952="",D952="",E952="",F952="",G952=""),"EKSİK",IF(COUNTIF(MUSTERILER!$B$7:$B$156,C952)=0,"TANIMSIZ MÜŞTERİ","UYGUN")))</f>
        <v/>
      </c>
      <c r="N952" s="6"/>
      <c r="O952" s="6"/>
    </row>
    <row r="953" spans="1:15" ht="17">
      <c r="A953" s="6"/>
      <c r="B953" s="95" t="str">
        <f t="shared" si="21"/>
        <v/>
      </c>
      <c r="C953" s="95"/>
      <c r="D953" s="96"/>
      <c r="E953" s="97"/>
      <c r="F953" s="99"/>
      <c r="G953" s="95"/>
      <c r="H953" s="95"/>
      <c r="I953" s="95"/>
      <c r="J953" s="96"/>
      <c r="K953" s="95"/>
      <c r="L953" s="43" t="str">
        <f t="shared" si="20"/>
        <v/>
      </c>
      <c r="M953" s="42" t="str">
        <f>IF(AND(C953="",D953="",E953="",F953=""),"",IF(OR(C953="",D953="",E953="",F953="",G953=""),"EKSİK",IF(COUNTIF(MUSTERILER!$B$7:$B$156,C953)=0,"TANIMSIZ MÜŞTERİ","UYGUN")))</f>
        <v/>
      </c>
      <c r="N953" s="6"/>
      <c r="O953" s="6"/>
    </row>
    <row r="954" spans="1:15" ht="17">
      <c r="A954" s="6"/>
      <c r="B954" s="95" t="str">
        <f t="shared" si="21"/>
        <v/>
      </c>
      <c r="C954" s="95"/>
      <c r="D954" s="96"/>
      <c r="E954" s="97"/>
      <c r="F954" s="99"/>
      <c r="G954" s="95"/>
      <c r="H954" s="95"/>
      <c r="I954" s="95"/>
      <c r="J954" s="96"/>
      <c r="K954" s="95"/>
      <c r="L954" s="43" t="str">
        <f t="shared" si="20"/>
        <v/>
      </c>
      <c r="M954" s="42" t="str">
        <f>IF(AND(C954="",D954="",E954="",F954=""),"",IF(OR(C954="",D954="",E954="",F954="",G954=""),"EKSİK",IF(COUNTIF(MUSTERILER!$B$7:$B$156,C954)=0,"TANIMSIZ MÜŞTERİ","UYGUN")))</f>
        <v/>
      </c>
      <c r="N954" s="6"/>
      <c r="O954" s="6"/>
    </row>
    <row r="955" spans="1:15" ht="17">
      <c r="A955" s="6"/>
      <c r="B955" s="95" t="str">
        <f t="shared" si="21"/>
        <v/>
      </c>
      <c r="C955" s="95"/>
      <c r="D955" s="96"/>
      <c r="E955" s="97"/>
      <c r="F955" s="99"/>
      <c r="G955" s="95"/>
      <c r="H955" s="95"/>
      <c r="I955" s="95"/>
      <c r="J955" s="96"/>
      <c r="K955" s="95"/>
      <c r="L955" s="43" t="str">
        <f t="shared" si="20"/>
        <v/>
      </c>
      <c r="M955" s="42" t="str">
        <f>IF(AND(C955="",D955="",E955="",F955=""),"",IF(OR(C955="",D955="",E955="",F955="",G955=""),"EKSİK",IF(COUNTIF(MUSTERILER!$B$7:$B$156,C955)=0,"TANIMSIZ MÜŞTERİ","UYGUN")))</f>
        <v/>
      </c>
      <c r="N955" s="6"/>
      <c r="O955" s="6"/>
    </row>
    <row r="956" spans="1:15" ht="17">
      <c r="A956" s="6"/>
      <c r="B956" s="95" t="str">
        <f t="shared" si="21"/>
        <v/>
      </c>
      <c r="C956" s="95"/>
      <c r="D956" s="96"/>
      <c r="E956" s="97"/>
      <c r="F956" s="99"/>
      <c r="G956" s="95"/>
      <c r="H956" s="95"/>
      <c r="I956" s="95"/>
      <c r="J956" s="96"/>
      <c r="K956" s="95"/>
      <c r="L956" s="43" t="str">
        <f t="shared" si="20"/>
        <v/>
      </c>
      <c r="M956" s="42" t="str">
        <f>IF(AND(C956="",D956="",E956="",F956=""),"",IF(OR(C956="",D956="",E956="",F956="",G956=""),"EKSİK",IF(COUNTIF(MUSTERILER!$B$7:$B$156,C956)=0,"TANIMSIZ MÜŞTERİ","UYGUN")))</f>
        <v/>
      </c>
      <c r="N956" s="6"/>
      <c r="O956" s="6"/>
    </row>
    <row r="957" spans="1:15" ht="17">
      <c r="A957" s="6"/>
      <c r="B957" s="95" t="str">
        <f t="shared" si="21"/>
        <v/>
      </c>
      <c r="C957" s="95"/>
      <c r="D957" s="96"/>
      <c r="E957" s="97"/>
      <c r="F957" s="99"/>
      <c r="G957" s="95"/>
      <c r="H957" s="95"/>
      <c r="I957" s="95"/>
      <c r="J957" s="96"/>
      <c r="K957" s="95"/>
      <c r="L957" s="43" t="str">
        <f t="shared" si="20"/>
        <v/>
      </c>
      <c r="M957" s="42" t="str">
        <f>IF(AND(C957="",D957="",E957="",F957=""),"",IF(OR(C957="",D957="",E957="",F957="",G957=""),"EKSİK",IF(COUNTIF(MUSTERILER!$B$7:$B$156,C957)=0,"TANIMSIZ MÜŞTERİ","UYGUN")))</f>
        <v/>
      </c>
      <c r="N957" s="6"/>
      <c r="O957" s="6"/>
    </row>
    <row r="958" spans="1:15" ht="17">
      <c r="A958" s="6"/>
      <c r="B958" s="95" t="str">
        <f t="shared" si="21"/>
        <v/>
      </c>
      <c r="C958" s="95"/>
      <c r="D958" s="96"/>
      <c r="E958" s="97"/>
      <c r="F958" s="99"/>
      <c r="G958" s="95"/>
      <c r="H958" s="95"/>
      <c r="I958" s="95"/>
      <c r="J958" s="96"/>
      <c r="K958" s="95"/>
      <c r="L958" s="43" t="str">
        <f t="shared" si="20"/>
        <v/>
      </c>
      <c r="M958" s="42" t="str">
        <f>IF(AND(C958="",D958="",E958="",F958=""),"",IF(OR(C958="",D958="",E958="",F958="",G958=""),"EKSİK",IF(COUNTIF(MUSTERILER!$B$7:$B$156,C958)=0,"TANIMSIZ MÜŞTERİ","UYGUN")))</f>
        <v/>
      </c>
      <c r="N958" s="6"/>
      <c r="O958" s="6"/>
    </row>
    <row r="959" spans="1:15" ht="17">
      <c r="A959" s="6"/>
      <c r="B959" s="95" t="str">
        <f t="shared" si="21"/>
        <v/>
      </c>
      <c r="C959" s="95"/>
      <c r="D959" s="96"/>
      <c r="E959" s="97"/>
      <c r="F959" s="99"/>
      <c r="G959" s="95"/>
      <c r="H959" s="95"/>
      <c r="I959" s="95"/>
      <c r="J959" s="96"/>
      <c r="K959" s="95"/>
      <c r="L959" s="43" t="str">
        <f t="shared" si="20"/>
        <v/>
      </c>
      <c r="M959" s="42" t="str">
        <f>IF(AND(C959="",D959="",E959="",F959=""),"",IF(OR(C959="",D959="",E959="",F959="",G959=""),"EKSİK",IF(COUNTIF(MUSTERILER!$B$7:$B$156,C959)=0,"TANIMSIZ MÜŞTERİ","UYGUN")))</f>
        <v/>
      </c>
      <c r="N959" s="6"/>
      <c r="O959" s="6"/>
    </row>
    <row r="960" spans="1:15" ht="17">
      <c r="A960" s="6"/>
      <c r="B960" s="95" t="str">
        <f t="shared" si="21"/>
        <v/>
      </c>
      <c r="C960" s="95"/>
      <c r="D960" s="96"/>
      <c r="E960" s="97"/>
      <c r="F960" s="99"/>
      <c r="G960" s="95"/>
      <c r="H960" s="95"/>
      <c r="I960" s="95"/>
      <c r="J960" s="96"/>
      <c r="K960" s="95"/>
      <c r="L960" s="43" t="str">
        <f t="shared" si="20"/>
        <v/>
      </c>
      <c r="M960" s="42" t="str">
        <f>IF(AND(C960="",D960="",E960="",F960=""),"",IF(OR(C960="",D960="",E960="",F960="",G960=""),"EKSİK",IF(COUNTIF(MUSTERILER!$B$7:$B$156,C960)=0,"TANIMSIZ MÜŞTERİ","UYGUN")))</f>
        <v/>
      </c>
      <c r="N960" s="6"/>
      <c r="O960" s="6"/>
    </row>
    <row r="961" spans="1:15" ht="17">
      <c r="A961" s="6"/>
      <c r="B961" s="95" t="str">
        <f t="shared" si="21"/>
        <v/>
      </c>
      <c r="C961" s="95"/>
      <c r="D961" s="96"/>
      <c r="E961" s="97"/>
      <c r="F961" s="99"/>
      <c r="G961" s="95"/>
      <c r="H961" s="95"/>
      <c r="I961" s="95"/>
      <c r="J961" s="96"/>
      <c r="K961" s="95"/>
      <c r="L961" s="43" t="str">
        <f t="shared" si="20"/>
        <v/>
      </c>
      <c r="M961" s="42" t="str">
        <f>IF(AND(C961="",D961="",E961="",F961=""),"",IF(OR(C961="",D961="",E961="",F961="",G961=""),"EKSİK",IF(COUNTIF(MUSTERILER!$B$7:$B$156,C961)=0,"TANIMSIZ MÜŞTERİ","UYGUN")))</f>
        <v/>
      </c>
      <c r="N961" s="6"/>
      <c r="O961" s="6"/>
    </row>
    <row r="962" spans="1:15" ht="17">
      <c r="A962" s="6"/>
      <c r="B962" s="95" t="str">
        <f t="shared" si="21"/>
        <v/>
      </c>
      <c r="C962" s="95"/>
      <c r="D962" s="96"/>
      <c r="E962" s="97"/>
      <c r="F962" s="99"/>
      <c r="G962" s="95"/>
      <c r="H962" s="95"/>
      <c r="I962" s="95"/>
      <c r="J962" s="96"/>
      <c r="K962" s="95"/>
      <c r="L962" s="43" t="str">
        <f t="shared" si="20"/>
        <v/>
      </c>
      <c r="M962" s="42" t="str">
        <f>IF(AND(C962="",D962="",E962="",F962=""),"",IF(OR(C962="",D962="",E962="",F962="",G962=""),"EKSİK",IF(COUNTIF(MUSTERILER!$B$7:$B$156,C962)=0,"TANIMSIZ MÜŞTERİ","UYGUN")))</f>
        <v/>
      </c>
      <c r="N962" s="6"/>
      <c r="O962" s="6"/>
    </row>
    <row r="963" spans="1:15" ht="17">
      <c r="A963" s="6"/>
      <c r="B963" s="95" t="str">
        <f t="shared" si="21"/>
        <v/>
      </c>
      <c r="C963" s="95"/>
      <c r="D963" s="96"/>
      <c r="E963" s="97"/>
      <c r="F963" s="99"/>
      <c r="G963" s="95"/>
      <c r="H963" s="95"/>
      <c r="I963" s="95"/>
      <c r="J963" s="96"/>
      <c r="K963" s="95"/>
      <c r="L963" s="43" t="str">
        <f t="shared" si="20"/>
        <v/>
      </c>
      <c r="M963" s="42" t="str">
        <f>IF(AND(C963="",D963="",E963="",F963=""),"",IF(OR(C963="",D963="",E963="",F963="",G963=""),"EKSİK",IF(COUNTIF(MUSTERILER!$B$7:$B$156,C963)=0,"TANIMSIZ MÜŞTERİ","UYGUN")))</f>
        <v/>
      </c>
      <c r="N963" s="6"/>
      <c r="O963" s="6"/>
    </row>
    <row r="964" spans="1:15" ht="17">
      <c r="A964" s="6"/>
      <c r="B964" s="95" t="str">
        <f t="shared" si="21"/>
        <v/>
      </c>
      <c r="C964" s="95"/>
      <c r="D964" s="96"/>
      <c r="E964" s="97"/>
      <c r="F964" s="99"/>
      <c r="G964" s="95"/>
      <c r="H964" s="95"/>
      <c r="I964" s="95"/>
      <c r="J964" s="96"/>
      <c r="K964" s="95"/>
      <c r="L964" s="43" t="str">
        <f t="shared" si="20"/>
        <v/>
      </c>
      <c r="M964" s="42" t="str">
        <f>IF(AND(C964="",D964="",E964="",F964=""),"",IF(OR(C964="",D964="",E964="",F964="",G964=""),"EKSİK",IF(COUNTIF(MUSTERILER!$B$7:$B$156,C964)=0,"TANIMSIZ MÜŞTERİ","UYGUN")))</f>
        <v/>
      </c>
      <c r="N964" s="6"/>
      <c r="O964" s="6"/>
    </row>
    <row r="965" spans="1:15" ht="17">
      <c r="A965" s="6"/>
      <c r="B965" s="95" t="str">
        <f t="shared" si="21"/>
        <v/>
      </c>
      <c r="C965" s="95"/>
      <c r="D965" s="96"/>
      <c r="E965" s="97"/>
      <c r="F965" s="99"/>
      <c r="G965" s="95"/>
      <c r="H965" s="95"/>
      <c r="I965" s="95"/>
      <c r="J965" s="96"/>
      <c r="K965" s="95"/>
      <c r="L965" s="43" t="str">
        <f t="shared" si="20"/>
        <v/>
      </c>
      <c r="M965" s="42" t="str">
        <f>IF(AND(C965="",D965="",E965="",F965=""),"",IF(OR(C965="",D965="",E965="",F965="",G965=""),"EKSİK",IF(COUNTIF(MUSTERILER!$B$7:$B$156,C965)=0,"TANIMSIZ MÜŞTERİ","UYGUN")))</f>
        <v/>
      </c>
      <c r="N965" s="6"/>
      <c r="O965" s="6"/>
    </row>
    <row r="966" spans="1:15" ht="17">
      <c r="A966" s="6"/>
      <c r="B966" s="95" t="str">
        <f t="shared" si="21"/>
        <v/>
      </c>
      <c r="C966" s="95"/>
      <c r="D966" s="96"/>
      <c r="E966" s="97"/>
      <c r="F966" s="99"/>
      <c r="G966" s="95"/>
      <c r="H966" s="95"/>
      <c r="I966" s="95"/>
      <c r="J966" s="96"/>
      <c r="K966" s="95"/>
      <c r="L966" s="43" t="str">
        <f t="shared" si="20"/>
        <v/>
      </c>
      <c r="M966" s="42" t="str">
        <f>IF(AND(C966="",D966="",E966="",F966=""),"",IF(OR(C966="",D966="",E966="",F966="",G966=""),"EKSİK",IF(COUNTIF(MUSTERILER!$B$7:$B$156,C966)=0,"TANIMSIZ MÜŞTERİ","UYGUN")))</f>
        <v/>
      </c>
      <c r="N966" s="6"/>
      <c r="O966" s="6"/>
    </row>
    <row r="967" spans="1:15" ht="17">
      <c r="A967" s="6"/>
      <c r="B967" s="95" t="str">
        <f t="shared" si="21"/>
        <v/>
      </c>
      <c r="C967" s="95"/>
      <c r="D967" s="96"/>
      <c r="E967" s="97"/>
      <c r="F967" s="99"/>
      <c r="G967" s="95"/>
      <c r="H967" s="95"/>
      <c r="I967" s="95"/>
      <c r="J967" s="96"/>
      <c r="K967" s="95"/>
      <c r="L967" s="43" t="str">
        <f t="shared" ref="L967:L1006" si="22">IF(E967="","",DATE(YEAR(E967),MONTH(E967),1))</f>
        <v/>
      </c>
      <c r="M967" s="42" t="str">
        <f>IF(AND(C967="",D967="",E967="",F967=""),"",IF(OR(C967="",D967="",E967="",F967="",G967=""),"EKSİK",IF(COUNTIF(MUSTERILER!$B$7:$B$156,C967)=0,"TANIMSIZ MÜŞTERİ","UYGUN")))</f>
        <v/>
      </c>
      <c r="N967" s="6"/>
      <c r="O967" s="6"/>
    </row>
    <row r="968" spans="1:15" ht="17">
      <c r="A968" s="6"/>
      <c r="B968" s="95" t="str">
        <f t="shared" si="21"/>
        <v/>
      </c>
      <c r="C968" s="95"/>
      <c r="D968" s="96"/>
      <c r="E968" s="97"/>
      <c r="F968" s="99"/>
      <c r="G968" s="95"/>
      <c r="H968" s="95"/>
      <c r="I968" s="95"/>
      <c r="J968" s="96"/>
      <c r="K968" s="95"/>
      <c r="L968" s="43" t="str">
        <f t="shared" si="22"/>
        <v/>
      </c>
      <c r="M968" s="42" t="str">
        <f>IF(AND(C968="",D968="",E968="",F968=""),"",IF(OR(C968="",D968="",E968="",F968="",G968=""),"EKSİK",IF(COUNTIF(MUSTERILER!$B$7:$B$156,C968)=0,"TANIMSIZ MÜŞTERİ","UYGUN")))</f>
        <v/>
      </c>
      <c r="N968" s="6"/>
      <c r="O968" s="6"/>
    </row>
    <row r="969" spans="1:15" ht="17">
      <c r="A969" s="6"/>
      <c r="B969" s="95" t="str">
        <f t="shared" si="21"/>
        <v/>
      </c>
      <c r="C969" s="95"/>
      <c r="D969" s="96"/>
      <c r="E969" s="97"/>
      <c r="F969" s="99"/>
      <c r="G969" s="95"/>
      <c r="H969" s="95"/>
      <c r="I969" s="95"/>
      <c r="J969" s="96"/>
      <c r="K969" s="95"/>
      <c r="L969" s="43" t="str">
        <f t="shared" si="22"/>
        <v/>
      </c>
      <c r="M969" s="42" t="str">
        <f>IF(AND(C969="",D969="",E969="",F969=""),"",IF(OR(C969="",D969="",E969="",F969="",G969=""),"EKSİK",IF(COUNTIF(MUSTERILER!$B$7:$B$156,C969)=0,"TANIMSIZ MÜŞTERİ","UYGUN")))</f>
        <v/>
      </c>
      <c r="N969" s="6"/>
      <c r="O969" s="6"/>
    </row>
    <row r="970" spans="1:15" ht="17">
      <c r="A970" s="6"/>
      <c r="B970" s="95" t="str">
        <f t="shared" si="21"/>
        <v/>
      </c>
      <c r="C970" s="95"/>
      <c r="D970" s="96"/>
      <c r="E970" s="97"/>
      <c r="F970" s="99"/>
      <c r="G970" s="95"/>
      <c r="H970" s="95"/>
      <c r="I970" s="95"/>
      <c r="J970" s="96"/>
      <c r="K970" s="95"/>
      <c r="L970" s="43" t="str">
        <f t="shared" si="22"/>
        <v/>
      </c>
      <c r="M970" s="42" t="str">
        <f>IF(AND(C970="",D970="",E970="",F970=""),"",IF(OR(C970="",D970="",E970="",F970="",G970=""),"EKSİK",IF(COUNTIF(MUSTERILER!$B$7:$B$156,C970)=0,"TANIMSIZ MÜŞTERİ","UYGUN")))</f>
        <v/>
      </c>
      <c r="N970" s="6"/>
      <c r="O970" s="6"/>
    </row>
    <row r="971" spans="1:15" ht="17">
      <c r="A971" s="6"/>
      <c r="B971" s="95" t="str">
        <f t="shared" si="21"/>
        <v/>
      </c>
      <c r="C971" s="95"/>
      <c r="D971" s="96"/>
      <c r="E971" s="97"/>
      <c r="F971" s="99"/>
      <c r="G971" s="95"/>
      <c r="H971" s="95"/>
      <c r="I971" s="95"/>
      <c r="J971" s="96"/>
      <c r="K971" s="95"/>
      <c r="L971" s="43" t="str">
        <f t="shared" si="22"/>
        <v/>
      </c>
      <c r="M971" s="42" t="str">
        <f>IF(AND(C971="",D971="",E971="",F971=""),"",IF(OR(C971="",D971="",E971="",F971="",G971=""),"EKSİK",IF(COUNTIF(MUSTERILER!$B$7:$B$156,C971)=0,"TANIMSIZ MÜŞTERİ","UYGUN")))</f>
        <v/>
      </c>
      <c r="N971" s="6"/>
      <c r="O971" s="6"/>
    </row>
    <row r="972" spans="1:15" ht="17">
      <c r="A972" s="6"/>
      <c r="B972" s="95" t="str">
        <f t="shared" si="21"/>
        <v/>
      </c>
      <c r="C972" s="95"/>
      <c r="D972" s="96"/>
      <c r="E972" s="97"/>
      <c r="F972" s="99"/>
      <c r="G972" s="95"/>
      <c r="H972" s="95"/>
      <c r="I972" s="95"/>
      <c r="J972" s="96"/>
      <c r="K972" s="95"/>
      <c r="L972" s="43" t="str">
        <f t="shared" si="22"/>
        <v/>
      </c>
      <c r="M972" s="42" t="str">
        <f>IF(AND(C972="",D972="",E972="",F972=""),"",IF(OR(C972="",D972="",E972="",F972="",G972=""),"EKSİK",IF(COUNTIF(MUSTERILER!$B$7:$B$156,C972)=0,"TANIMSIZ MÜŞTERİ","UYGUN")))</f>
        <v/>
      </c>
      <c r="N972" s="6"/>
      <c r="O972" s="6"/>
    </row>
    <row r="973" spans="1:15" ht="17">
      <c r="A973" s="6"/>
      <c r="B973" s="95" t="str">
        <f t="shared" si="21"/>
        <v/>
      </c>
      <c r="C973" s="95"/>
      <c r="D973" s="96"/>
      <c r="E973" s="97"/>
      <c r="F973" s="99"/>
      <c r="G973" s="95"/>
      <c r="H973" s="95"/>
      <c r="I973" s="95"/>
      <c r="J973" s="96"/>
      <c r="K973" s="95"/>
      <c r="L973" s="43" t="str">
        <f t="shared" si="22"/>
        <v/>
      </c>
      <c r="M973" s="42" t="str">
        <f>IF(AND(C973="",D973="",E973="",F973=""),"",IF(OR(C973="",D973="",E973="",F973="",G973=""),"EKSİK",IF(COUNTIF(MUSTERILER!$B$7:$B$156,C973)=0,"TANIMSIZ MÜŞTERİ","UYGUN")))</f>
        <v/>
      </c>
      <c r="N973" s="6"/>
      <c r="O973" s="6"/>
    </row>
    <row r="974" spans="1:15" ht="17">
      <c r="A974" s="6"/>
      <c r="B974" s="95" t="str">
        <f t="shared" si="21"/>
        <v/>
      </c>
      <c r="C974" s="95"/>
      <c r="D974" s="96"/>
      <c r="E974" s="97"/>
      <c r="F974" s="99"/>
      <c r="G974" s="95"/>
      <c r="H974" s="95"/>
      <c r="I974" s="95"/>
      <c r="J974" s="96"/>
      <c r="K974" s="95"/>
      <c r="L974" s="43" t="str">
        <f t="shared" si="22"/>
        <v/>
      </c>
      <c r="M974" s="42" t="str">
        <f>IF(AND(C974="",D974="",E974="",F974=""),"",IF(OR(C974="",D974="",E974="",F974="",G974=""),"EKSİK",IF(COUNTIF(MUSTERILER!$B$7:$B$156,C974)=0,"TANIMSIZ MÜŞTERİ","UYGUN")))</f>
        <v/>
      </c>
      <c r="N974" s="6"/>
      <c r="O974" s="6"/>
    </row>
    <row r="975" spans="1:15" ht="17">
      <c r="A975" s="6"/>
      <c r="B975" s="95" t="str">
        <f t="shared" si="21"/>
        <v/>
      </c>
      <c r="C975" s="95"/>
      <c r="D975" s="96"/>
      <c r="E975" s="97"/>
      <c r="F975" s="99"/>
      <c r="G975" s="95"/>
      <c r="H975" s="95"/>
      <c r="I975" s="95"/>
      <c r="J975" s="96"/>
      <c r="K975" s="95"/>
      <c r="L975" s="43" t="str">
        <f t="shared" si="22"/>
        <v/>
      </c>
      <c r="M975" s="42" t="str">
        <f>IF(AND(C975="",D975="",E975="",F975=""),"",IF(OR(C975="",D975="",E975="",F975="",G975=""),"EKSİK",IF(COUNTIF(MUSTERILER!$B$7:$B$156,C975)=0,"TANIMSIZ MÜŞTERİ","UYGUN")))</f>
        <v/>
      </c>
      <c r="N975" s="6"/>
      <c r="O975" s="6"/>
    </row>
    <row r="976" spans="1:15" ht="17">
      <c r="A976" s="6"/>
      <c r="B976" s="95" t="str">
        <f t="shared" si="21"/>
        <v/>
      </c>
      <c r="C976" s="95"/>
      <c r="D976" s="96"/>
      <c r="E976" s="97"/>
      <c r="F976" s="99"/>
      <c r="G976" s="95"/>
      <c r="H976" s="95"/>
      <c r="I976" s="95"/>
      <c r="J976" s="96"/>
      <c r="K976" s="95"/>
      <c r="L976" s="43" t="str">
        <f t="shared" si="22"/>
        <v/>
      </c>
      <c r="M976" s="42" t="str">
        <f>IF(AND(C976="",D976="",E976="",F976=""),"",IF(OR(C976="",D976="",E976="",F976="",G976=""),"EKSİK",IF(COUNTIF(MUSTERILER!$B$7:$B$156,C976)=0,"TANIMSIZ MÜŞTERİ","UYGUN")))</f>
        <v/>
      </c>
      <c r="N976" s="6"/>
      <c r="O976" s="6"/>
    </row>
    <row r="977" spans="1:15" ht="17">
      <c r="A977" s="6"/>
      <c r="B977" s="95" t="str">
        <f t="shared" si="21"/>
        <v/>
      </c>
      <c r="C977" s="95"/>
      <c r="D977" s="96"/>
      <c r="E977" s="97"/>
      <c r="F977" s="99"/>
      <c r="G977" s="95"/>
      <c r="H977" s="95"/>
      <c r="I977" s="95"/>
      <c r="J977" s="96"/>
      <c r="K977" s="95"/>
      <c r="L977" s="43" t="str">
        <f t="shared" si="22"/>
        <v/>
      </c>
      <c r="M977" s="42" t="str">
        <f>IF(AND(C977="",D977="",E977="",F977=""),"",IF(OR(C977="",D977="",E977="",F977="",G977=""),"EKSİK",IF(COUNTIF(MUSTERILER!$B$7:$B$156,C977)=0,"TANIMSIZ MÜŞTERİ","UYGUN")))</f>
        <v/>
      </c>
      <c r="N977" s="6"/>
      <c r="O977" s="6"/>
    </row>
    <row r="978" spans="1:15" ht="17">
      <c r="A978" s="6"/>
      <c r="B978" s="95" t="str">
        <f t="shared" si="21"/>
        <v/>
      </c>
      <c r="C978" s="95"/>
      <c r="D978" s="96"/>
      <c r="E978" s="97"/>
      <c r="F978" s="99"/>
      <c r="G978" s="95"/>
      <c r="H978" s="95"/>
      <c r="I978" s="95"/>
      <c r="J978" s="96"/>
      <c r="K978" s="95"/>
      <c r="L978" s="43" t="str">
        <f t="shared" si="22"/>
        <v/>
      </c>
      <c r="M978" s="42" t="str">
        <f>IF(AND(C978="",D978="",E978="",F978=""),"",IF(OR(C978="",D978="",E978="",F978="",G978=""),"EKSİK",IF(COUNTIF(MUSTERILER!$B$7:$B$156,C978)=0,"TANIMSIZ MÜŞTERİ","UYGUN")))</f>
        <v/>
      </c>
      <c r="N978" s="6"/>
      <c r="O978" s="6"/>
    </row>
    <row r="979" spans="1:15" ht="17">
      <c r="A979" s="6"/>
      <c r="B979" s="95" t="str">
        <f t="shared" si="21"/>
        <v/>
      </c>
      <c r="C979" s="95"/>
      <c r="D979" s="96"/>
      <c r="E979" s="97"/>
      <c r="F979" s="99"/>
      <c r="G979" s="95"/>
      <c r="H979" s="95"/>
      <c r="I979" s="95"/>
      <c r="J979" s="96"/>
      <c r="K979" s="95"/>
      <c r="L979" s="43" t="str">
        <f t="shared" si="22"/>
        <v/>
      </c>
      <c r="M979" s="42" t="str">
        <f>IF(AND(C979="",D979="",E979="",F979=""),"",IF(OR(C979="",D979="",E979="",F979="",G979=""),"EKSİK",IF(COUNTIF(MUSTERILER!$B$7:$B$156,C979)=0,"TANIMSIZ MÜŞTERİ","UYGUN")))</f>
        <v/>
      </c>
      <c r="N979" s="6"/>
      <c r="O979" s="6"/>
    </row>
    <row r="980" spans="1:15" ht="17">
      <c r="A980" s="6"/>
      <c r="B980" s="95" t="str">
        <f t="shared" si="21"/>
        <v/>
      </c>
      <c r="C980" s="95"/>
      <c r="D980" s="96"/>
      <c r="E980" s="97"/>
      <c r="F980" s="99"/>
      <c r="G980" s="95"/>
      <c r="H980" s="95"/>
      <c r="I980" s="95"/>
      <c r="J980" s="96"/>
      <c r="K980" s="95"/>
      <c r="L980" s="43" t="str">
        <f t="shared" si="22"/>
        <v/>
      </c>
      <c r="M980" s="42" t="str">
        <f>IF(AND(C980="",D980="",E980="",F980=""),"",IF(OR(C980="",D980="",E980="",F980="",G980=""),"EKSİK",IF(COUNTIF(MUSTERILER!$B$7:$B$156,C980)=0,"TANIMSIZ MÜŞTERİ","UYGUN")))</f>
        <v/>
      </c>
      <c r="N980" s="6"/>
      <c r="O980" s="6"/>
    </row>
    <row r="981" spans="1:15" ht="17">
      <c r="A981" s="6"/>
      <c r="B981" s="95" t="str">
        <f t="shared" si="21"/>
        <v/>
      </c>
      <c r="C981" s="95"/>
      <c r="D981" s="96"/>
      <c r="E981" s="97"/>
      <c r="F981" s="99"/>
      <c r="G981" s="95"/>
      <c r="H981" s="95"/>
      <c r="I981" s="95"/>
      <c r="J981" s="96"/>
      <c r="K981" s="95"/>
      <c r="L981" s="43" t="str">
        <f t="shared" si="22"/>
        <v/>
      </c>
      <c r="M981" s="42" t="str">
        <f>IF(AND(C981="",D981="",E981="",F981=""),"",IF(OR(C981="",D981="",E981="",F981="",G981=""),"EKSİK",IF(COUNTIF(MUSTERILER!$B$7:$B$156,C981)=0,"TANIMSIZ MÜŞTERİ","UYGUN")))</f>
        <v/>
      </c>
      <c r="N981" s="6"/>
      <c r="O981" s="6"/>
    </row>
    <row r="982" spans="1:15" ht="17">
      <c r="A982" s="6"/>
      <c r="B982" s="95" t="str">
        <f t="shared" si="21"/>
        <v/>
      </c>
      <c r="C982" s="95"/>
      <c r="D982" s="96"/>
      <c r="E982" s="97"/>
      <c r="F982" s="99"/>
      <c r="G982" s="95"/>
      <c r="H982" s="95"/>
      <c r="I982" s="95"/>
      <c r="J982" s="96"/>
      <c r="K982" s="95"/>
      <c r="L982" s="43" t="str">
        <f t="shared" si="22"/>
        <v/>
      </c>
      <c r="M982" s="42" t="str">
        <f>IF(AND(C982="",D982="",E982="",F982=""),"",IF(OR(C982="",D982="",E982="",F982="",G982=""),"EKSİK",IF(COUNTIF(MUSTERILER!$B$7:$B$156,C982)=0,"TANIMSIZ MÜŞTERİ","UYGUN")))</f>
        <v/>
      </c>
      <c r="N982" s="6"/>
      <c r="O982" s="6"/>
    </row>
    <row r="983" spans="1:15" ht="17">
      <c r="A983" s="6"/>
      <c r="B983" s="95" t="str">
        <f t="shared" si="21"/>
        <v/>
      </c>
      <c r="C983" s="95"/>
      <c r="D983" s="96"/>
      <c r="E983" s="97"/>
      <c r="F983" s="99"/>
      <c r="G983" s="95"/>
      <c r="H983" s="95"/>
      <c r="I983" s="95"/>
      <c r="J983" s="96"/>
      <c r="K983" s="95"/>
      <c r="L983" s="43" t="str">
        <f t="shared" si="22"/>
        <v/>
      </c>
      <c r="M983" s="42" t="str">
        <f>IF(AND(C983="",D983="",E983="",F983=""),"",IF(OR(C983="",D983="",E983="",F983="",G983=""),"EKSİK",IF(COUNTIF(MUSTERILER!$B$7:$B$156,C983)=0,"TANIMSIZ MÜŞTERİ","UYGUN")))</f>
        <v/>
      </c>
      <c r="N983" s="6"/>
      <c r="O983" s="6"/>
    </row>
    <row r="984" spans="1:15" ht="17">
      <c r="A984" s="6"/>
      <c r="B984" s="95" t="str">
        <f t="shared" si="21"/>
        <v/>
      </c>
      <c r="C984" s="95"/>
      <c r="D984" s="96"/>
      <c r="E984" s="97"/>
      <c r="F984" s="99"/>
      <c r="G984" s="95"/>
      <c r="H984" s="95"/>
      <c r="I984" s="95"/>
      <c r="J984" s="96"/>
      <c r="K984" s="95"/>
      <c r="L984" s="43" t="str">
        <f t="shared" si="22"/>
        <v/>
      </c>
      <c r="M984" s="42" t="str">
        <f>IF(AND(C984="",D984="",E984="",F984=""),"",IF(OR(C984="",D984="",E984="",F984="",G984=""),"EKSİK",IF(COUNTIF(MUSTERILER!$B$7:$B$156,C984)=0,"TANIMSIZ MÜŞTERİ","UYGUN")))</f>
        <v/>
      </c>
      <c r="N984" s="6"/>
      <c r="O984" s="6"/>
    </row>
    <row r="985" spans="1:15" ht="17">
      <c r="A985" s="6"/>
      <c r="B985" s="95" t="str">
        <f t="shared" si="21"/>
        <v/>
      </c>
      <c r="C985" s="95"/>
      <c r="D985" s="96"/>
      <c r="E985" s="97"/>
      <c r="F985" s="99"/>
      <c r="G985" s="95"/>
      <c r="H985" s="95"/>
      <c r="I985" s="95"/>
      <c r="J985" s="96"/>
      <c r="K985" s="95"/>
      <c r="L985" s="43" t="str">
        <f t="shared" si="22"/>
        <v/>
      </c>
      <c r="M985" s="42" t="str">
        <f>IF(AND(C985="",D985="",E985="",F985=""),"",IF(OR(C985="",D985="",E985="",F985="",G985=""),"EKSİK",IF(COUNTIF(MUSTERILER!$B$7:$B$156,C985)=0,"TANIMSIZ MÜŞTERİ","UYGUN")))</f>
        <v/>
      </c>
      <c r="N985" s="6"/>
      <c r="O985" s="6"/>
    </row>
    <row r="986" spans="1:15" ht="17">
      <c r="A986" s="6"/>
      <c r="B986" s="95" t="str">
        <f t="shared" si="21"/>
        <v/>
      </c>
      <c r="C986" s="95"/>
      <c r="D986" s="96"/>
      <c r="E986" s="97"/>
      <c r="F986" s="99"/>
      <c r="G986" s="95"/>
      <c r="H986" s="95"/>
      <c r="I986" s="95"/>
      <c r="J986" s="96"/>
      <c r="K986" s="95"/>
      <c r="L986" s="43" t="str">
        <f t="shared" si="22"/>
        <v/>
      </c>
      <c r="M986" s="42" t="str">
        <f>IF(AND(C986="",D986="",E986="",F986=""),"",IF(OR(C986="",D986="",E986="",F986="",G986=""),"EKSİK",IF(COUNTIF(MUSTERILER!$B$7:$B$156,C986)=0,"TANIMSIZ MÜŞTERİ","UYGUN")))</f>
        <v/>
      </c>
      <c r="N986" s="6"/>
      <c r="O986" s="6"/>
    </row>
    <row r="987" spans="1:15" ht="17">
      <c r="A987" s="6"/>
      <c r="B987" s="95" t="str">
        <f t="shared" si="21"/>
        <v/>
      </c>
      <c r="C987" s="95"/>
      <c r="D987" s="96"/>
      <c r="E987" s="97"/>
      <c r="F987" s="99"/>
      <c r="G987" s="95"/>
      <c r="H987" s="95"/>
      <c r="I987" s="95"/>
      <c r="J987" s="96"/>
      <c r="K987" s="95"/>
      <c r="L987" s="43" t="str">
        <f t="shared" si="22"/>
        <v/>
      </c>
      <c r="M987" s="42" t="str">
        <f>IF(AND(C987="",D987="",E987="",F987=""),"",IF(OR(C987="",D987="",E987="",F987="",G987=""),"EKSİK",IF(COUNTIF(MUSTERILER!$B$7:$B$156,C987)=0,"TANIMSIZ MÜŞTERİ","UYGUN")))</f>
        <v/>
      </c>
      <c r="N987" s="6"/>
      <c r="O987" s="6"/>
    </row>
    <row r="988" spans="1:15" ht="17">
      <c r="A988" s="6"/>
      <c r="B988" s="95" t="str">
        <f t="shared" si="21"/>
        <v/>
      </c>
      <c r="C988" s="95"/>
      <c r="D988" s="96"/>
      <c r="E988" s="97"/>
      <c r="F988" s="99"/>
      <c r="G988" s="95"/>
      <c r="H988" s="95"/>
      <c r="I988" s="95"/>
      <c r="J988" s="96"/>
      <c r="K988" s="95"/>
      <c r="L988" s="43" t="str">
        <f t="shared" si="22"/>
        <v/>
      </c>
      <c r="M988" s="42" t="str">
        <f>IF(AND(C988="",D988="",E988="",F988=""),"",IF(OR(C988="",D988="",E988="",F988="",G988=""),"EKSİK",IF(COUNTIF(MUSTERILER!$B$7:$B$156,C988)=0,"TANIMSIZ MÜŞTERİ","UYGUN")))</f>
        <v/>
      </c>
      <c r="N988" s="6"/>
      <c r="O988" s="6"/>
    </row>
    <row r="989" spans="1:15" ht="17">
      <c r="A989" s="6"/>
      <c r="B989" s="95" t="str">
        <f t="shared" si="21"/>
        <v/>
      </c>
      <c r="C989" s="95"/>
      <c r="D989" s="96"/>
      <c r="E989" s="97"/>
      <c r="F989" s="99"/>
      <c r="G989" s="95"/>
      <c r="H989" s="95"/>
      <c r="I989" s="95"/>
      <c r="J989" s="96"/>
      <c r="K989" s="95"/>
      <c r="L989" s="43" t="str">
        <f t="shared" si="22"/>
        <v/>
      </c>
      <c r="M989" s="42" t="str">
        <f>IF(AND(C989="",D989="",E989="",F989=""),"",IF(OR(C989="",D989="",E989="",F989="",G989=""),"EKSİK",IF(COUNTIF(MUSTERILER!$B$7:$B$156,C989)=0,"TANIMSIZ MÜŞTERİ","UYGUN")))</f>
        <v/>
      </c>
      <c r="N989" s="6"/>
      <c r="O989" s="6"/>
    </row>
    <row r="990" spans="1:15" ht="17">
      <c r="A990" s="6"/>
      <c r="B990" s="95" t="str">
        <f t="shared" si="21"/>
        <v/>
      </c>
      <c r="C990" s="95"/>
      <c r="D990" s="96"/>
      <c r="E990" s="97"/>
      <c r="F990" s="99"/>
      <c r="G990" s="95"/>
      <c r="H990" s="95"/>
      <c r="I990" s="95"/>
      <c r="J990" s="96"/>
      <c r="K990" s="95"/>
      <c r="L990" s="43" t="str">
        <f t="shared" si="22"/>
        <v/>
      </c>
      <c r="M990" s="42" t="str">
        <f>IF(AND(C990="",D990="",E990="",F990=""),"",IF(OR(C990="",D990="",E990="",F990="",G990=""),"EKSİK",IF(COUNTIF(MUSTERILER!$B$7:$B$156,C990)=0,"TANIMSIZ MÜŞTERİ","UYGUN")))</f>
        <v/>
      </c>
      <c r="N990" s="6"/>
      <c r="O990" s="6"/>
    </row>
    <row r="991" spans="1:15" ht="17">
      <c r="A991" s="6"/>
      <c r="B991" s="95" t="str">
        <f t="shared" si="21"/>
        <v/>
      </c>
      <c r="C991" s="95"/>
      <c r="D991" s="96"/>
      <c r="E991" s="97"/>
      <c r="F991" s="99"/>
      <c r="G991" s="95"/>
      <c r="H991" s="95"/>
      <c r="I991" s="95"/>
      <c r="J991" s="96"/>
      <c r="K991" s="95"/>
      <c r="L991" s="43" t="str">
        <f t="shared" si="22"/>
        <v/>
      </c>
      <c r="M991" s="42" t="str">
        <f>IF(AND(C991="",D991="",E991="",F991=""),"",IF(OR(C991="",D991="",E991="",F991="",G991=""),"EKSİK",IF(COUNTIF(MUSTERILER!$B$7:$B$156,C991)=0,"TANIMSIZ MÜŞTERİ","UYGUN")))</f>
        <v/>
      </c>
      <c r="N991" s="6"/>
      <c r="O991" s="6"/>
    </row>
    <row r="992" spans="1:15" ht="17">
      <c r="A992" s="6"/>
      <c r="B992" s="95" t="str">
        <f t="shared" si="21"/>
        <v/>
      </c>
      <c r="C992" s="95"/>
      <c r="D992" s="96"/>
      <c r="E992" s="97"/>
      <c r="F992" s="99"/>
      <c r="G992" s="95"/>
      <c r="H992" s="95"/>
      <c r="I992" s="95"/>
      <c r="J992" s="96"/>
      <c r="K992" s="95"/>
      <c r="L992" s="43" t="str">
        <f t="shared" si="22"/>
        <v/>
      </c>
      <c r="M992" s="42" t="str">
        <f>IF(AND(C992="",D992="",E992="",F992=""),"",IF(OR(C992="",D992="",E992="",F992="",G992=""),"EKSİK",IF(COUNTIF(MUSTERILER!$B$7:$B$156,C992)=0,"TANIMSIZ MÜŞTERİ","UYGUN")))</f>
        <v/>
      </c>
      <c r="N992" s="6"/>
      <c r="O992" s="6"/>
    </row>
    <row r="993" spans="1:15" ht="17">
      <c r="A993" s="6"/>
      <c r="B993" s="95" t="str">
        <f t="shared" si="21"/>
        <v/>
      </c>
      <c r="C993" s="95"/>
      <c r="D993" s="96"/>
      <c r="E993" s="97"/>
      <c r="F993" s="99"/>
      <c r="G993" s="95"/>
      <c r="H993" s="95"/>
      <c r="I993" s="95"/>
      <c r="J993" s="96"/>
      <c r="K993" s="95"/>
      <c r="L993" s="43" t="str">
        <f t="shared" si="22"/>
        <v/>
      </c>
      <c r="M993" s="42" t="str">
        <f>IF(AND(C993="",D993="",E993="",F993=""),"",IF(OR(C993="",D993="",E993="",F993="",G993=""),"EKSİK",IF(COUNTIF(MUSTERILER!$B$7:$B$156,C993)=0,"TANIMSIZ MÜŞTERİ","UYGUN")))</f>
        <v/>
      </c>
      <c r="N993" s="6"/>
      <c r="O993" s="6"/>
    </row>
    <row r="994" spans="1:15" ht="17">
      <c r="A994" s="6"/>
      <c r="B994" s="95" t="str">
        <f t="shared" si="21"/>
        <v/>
      </c>
      <c r="C994" s="95"/>
      <c r="D994" s="96"/>
      <c r="E994" s="97"/>
      <c r="F994" s="99"/>
      <c r="G994" s="95"/>
      <c r="H994" s="95"/>
      <c r="I994" s="95"/>
      <c r="J994" s="96"/>
      <c r="K994" s="95"/>
      <c r="L994" s="43" t="str">
        <f t="shared" si="22"/>
        <v/>
      </c>
      <c r="M994" s="42" t="str">
        <f>IF(AND(C994="",D994="",E994="",F994=""),"",IF(OR(C994="",D994="",E994="",F994="",G994=""),"EKSİK",IF(COUNTIF(MUSTERILER!$B$7:$B$156,C994)=0,"TANIMSIZ MÜŞTERİ","UYGUN")))</f>
        <v/>
      </c>
      <c r="N994" s="6"/>
      <c r="O994" s="6"/>
    </row>
    <row r="995" spans="1:15" ht="17">
      <c r="A995" s="6"/>
      <c r="B995" s="95" t="str">
        <f t="shared" si="21"/>
        <v/>
      </c>
      <c r="C995" s="95"/>
      <c r="D995" s="96"/>
      <c r="E995" s="97"/>
      <c r="F995" s="99"/>
      <c r="G995" s="95"/>
      <c r="H995" s="95"/>
      <c r="I995" s="95"/>
      <c r="J995" s="96"/>
      <c r="K995" s="95"/>
      <c r="L995" s="43" t="str">
        <f t="shared" si="22"/>
        <v/>
      </c>
      <c r="M995" s="42" t="str">
        <f>IF(AND(C995="",D995="",E995="",F995=""),"",IF(OR(C995="",D995="",E995="",F995="",G995=""),"EKSİK",IF(COUNTIF(MUSTERILER!$B$7:$B$156,C995)=0,"TANIMSIZ MÜŞTERİ","UYGUN")))</f>
        <v/>
      </c>
      <c r="N995" s="6"/>
      <c r="O995" s="6"/>
    </row>
    <row r="996" spans="1:15" ht="17">
      <c r="A996" s="6"/>
      <c r="B996" s="95" t="str">
        <f t="shared" si="21"/>
        <v/>
      </c>
      <c r="C996" s="95"/>
      <c r="D996" s="96"/>
      <c r="E996" s="97"/>
      <c r="F996" s="99"/>
      <c r="G996" s="95"/>
      <c r="H996" s="95"/>
      <c r="I996" s="95"/>
      <c r="J996" s="96"/>
      <c r="K996" s="95"/>
      <c r="L996" s="43" t="str">
        <f t="shared" si="22"/>
        <v/>
      </c>
      <c r="M996" s="42" t="str">
        <f>IF(AND(C996="",D996="",E996="",F996=""),"",IF(OR(C996="",D996="",E996="",F996="",G996=""),"EKSİK",IF(COUNTIF(MUSTERILER!$B$7:$B$156,C996)=0,"TANIMSIZ MÜŞTERİ","UYGUN")))</f>
        <v/>
      </c>
      <c r="N996" s="6"/>
      <c r="O996" s="6"/>
    </row>
    <row r="997" spans="1:15" ht="17">
      <c r="A997" s="6"/>
      <c r="B997" s="95" t="str">
        <f t="shared" si="21"/>
        <v/>
      </c>
      <c r="C997" s="95"/>
      <c r="D997" s="96"/>
      <c r="E997" s="97"/>
      <c r="F997" s="99"/>
      <c r="G997" s="95"/>
      <c r="H997" s="95"/>
      <c r="I997" s="95"/>
      <c r="J997" s="96"/>
      <c r="K997" s="95"/>
      <c r="L997" s="43" t="str">
        <f t="shared" si="22"/>
        <v/>
      </c>
      <c r="M997" s="42" t="str">
        <f>IF(AND(C997="",D997="",E997="",F997=""),"",IF(OR(C997="",D997="",E997="",F997="",G997=""),"EKSİK",IF(COUNTIF(MUSTERILER!$B$7:$B$156,C997)=0,"TANIMSIZ MÜŞTERİ","UYGUN")))</f>
        <v/>
      </c>
      <c r="N997" s="6"/>
      <c r="O997" s="6"/>
    </row>
    <row r="998" spans="1:15" ht="17">
      <c r="A998" s="6"/>
      <c r="B998" s="95" t="str">
        <f t="shared" si="21"/>
        <v/>
      </c>
      <c r="C998" s="95"/>
      <c r="D998" s="96"/>
      <c r="E998" s="97"/>
      <c r="F998" s="99"/>
      <c r="G998" s="95"/>
      <c r="H998" s="95"/>
      <c r="I998" s="95"/>
      <c r="J998" s="96"/>
      <c r="K998" s="95"/>
      <c r="L998" s="43" t="str">
        <f t="shared" si="22"/>
        <v/>
      </c>
      <c r="M998" s="42" t="str">
        <f>IF(AND(C998="",D998="",E998="",F998=""),"",IF(OR(C998="",D998="",E998="",F998="",G998=""),"EKSİK",IF(COUNTIF(MUSTERILER!$B$7:$B$156,C998)=0,"TANIMSIZ MÜŞTERİ","UYGUN")))</f>
        <v/>
      </c>
      <c r="N998" s="6"/>
      <c r="O998" s="6"/>
    </row>
    <row r="999" spans="1:15" ht="17">
      <c r="A999" s="6"/>
      <c r="B999" s="95" t="str">
        <f t="shared" si="21"/>
        <v/>
      </c>
      <c r="C999" s="95"/>
      <c r="D999" s="96"/>
      <c r="E999" s="97"/>
      <c r="F999" s="99"/>
      <c r="G999" s="95"/>
      <c r="H999" s="95"/>
      <c r="I999" s="95"/>
      <c r="J999" s="96"/>
      <c r="K999" s="95"/>
      <c r="L999" s="43" t="str">
        <f t="shared" si="22"/>
        <v/>
      </c>
      <c r="M999" s="42" t="str">
        <f>IF(AND(C999="",D999="",E999="",F999=""),"",IF(OR(C999="",D999="",E999="",F999="",G999=""),"EKSİK",IF(COUNTIF(MUSTERILER!$B$7:$B$156,C999)=0,"TANIMSIZ MÜŞTERİ","UYGUN")))</f>
        <v/>
      </c>
      <c r="N999" s="6"/>
      <c r="O999" s="6"/>
    </row>
    <row r="1000" spans="1:15" ht="17">
      <c r="A1000" s="6"/>
      <c r="B1000" s="95" t="str">
        <f t="shared" si="21"/>
        <v/>
      </c>
      <c r="C1000" s="95"/>
      <c r="D1000" s="96"/>
      <c r="E1000" s="97"/>
      <c r="F1000" s="99"/>
      <c r="G1000" s="95"/>
      <c r="H1000" s="95"/>
      <c r="I1000" s="95"/>
      <c r="J1000" s="96"/>
      <c r="K1000" s="95"/>
      <c r="L1000" s="43" t="str">
        <f t="shared" si="22"/>
        <v/>
      </c>
      <c r="M1000" s="42" t="str">
        <f>IF(AND(C1000="",D1000="",E1000="",F1000=""),"",IF(OR(C1000="",D1000="",E1000="",F1000="",G1000=""),"EKSİK",IF(COUNTIF(MUSTERILER!$B$7:$B$156,C1000)=0,"TANIMSIZ MÜŞTERİ","UYGUN")))</f>
        <v/>
      </c>
      <c r="N1000" s="6"/>
      <c r="O1000" s="6"/>
    </row>
    <row r="1001" spans="1:15" ht="17">
      <c r="A1001" s="6"/>
      <c r="B1001" s="95" t="str">
        <f t="shared" si="21"/>
        <v/>
      </c>
      <c r="C1001" s="95"/>
      <c r="D1001" s="96"/>
      <c r="E1001" s="97"/>
      <c r="F1001" s="99"/>
      <c r="G1001" s="95"/>
      <c r="H1001" s="95"/>
      <c r="I1001" s="95"/>
      <c r="J1001" s="96"/>
      <c r="K1001" s="95"/>
      <c r="L1001" s="43" t="str">
        <f t="shared" si="22"/>
        <v/>
      </c>
      <c r="M1001" s="42" t="str">
        <f>IF(AND(C1001="",D1001="",E1001="",F1001=""),"",IF(OR(C1001="",D1001="",E1001="",F1001="",G1001=""),"EKSİK",IF(COUNTIF(MUSTERILER!$B$7:$B$156,C1001)=0,"TANIMSIZ MÜŞTERİ","UYGUN")))</f>
        <v/>
      </c>
      <c r="N1001" s="6"/>
      <c r="O1001" s="6"/>
    </row>
    <row r="1002" spans="1:15" ht="17">
      <c r="A1002" s="6"/>
      <c r="B1002" s="95" t="str">
        <f t="shared" si="21"/>
        <v/>
      </c>
      <c r="C1002" s="95"/>
      <c r="D1002" s="96"/>
      <c r="E1002" s="97"/>
      <c r="F1002" s="99"/>
      <c r="G1002" s="95"/>
      <c r="H1002" s="95"/>
      <c r="I1002" s="95"/>
      <c r="J1002" s="96"/>
      <c r="K1002" s="95"/>
      <c r="L1002" s="43" t="str">
        <f t="shared" si="22"/>
        <v/>
      </c>
      <c r="M1002" s="42" t="str">
        <f>IF(AND(C1002="",D1002="",E1002="",F1002=""),"",IF(OR(C1002="",D1002="",E1002="",F1002="",G1002=""),"EKSİK",IF(COUNTIF(MUSTERILER!$B$7:$B$156,C1002)=0,"TANIMSIZ MÜŞTERİ","UYGUN")))</f>
        <v/>
      </c>
      <c r="N1002" s="6"/>
      <c r="O1002" s="6"/>
    </row>
    <row r="1003" spans="1:15" ht="17">
      <c r="A1003" s="6"/>
      <c r="B1003" s="95" t="str">
        <f t="shared" si="21"/>
        <v/>
      </c>
      <c r="C1003" s="95"/>
      <c r="D1003" s="96"/>
      <c r="E1003" s="97"/>
      <c r="F1003" s="99"/>
      <c r="G1003" s="95"/>
      <c r="H1003" s="95"/>
      <c r="I1003" s="95"/>
      <c r="J1003" s="96"/>
      <c r="K1003" s="95"/>
      <c r="L1003" s="43" t="str">
        <f t="shared" si="22"/>
        <v/>
      </c>
      <c r="M1003" s="42" t="str">
        <f>IF(AND(C1003="",D1003="",E1003="",F1003=""),"",IF(OR(C1003="",D1003="",E1003="",F1003="",G1003=""),"EKSİK",IF(COUNTIF(MUSTERILER!$B$7:$B$156,C1003)=0,"TANIMSIZ MÜŞTERİ","UYGUN")))</f>
        <v/>
      </c>
      <c r="N1003" s="6"/>
      <c r="O1003" s="6"/>
    </row>
    <row r="1004" spans="1:15" ht="17">
      <c r="A1004" s="6"/>
      <c r="B1004" s="95" t="str">
        <f t="shared" si="21"/>
        <v/>
      </c>
      <c r="C1004" s="95"/>
      <c r="D1004" s="96"/>
      <c r="E1004" s="97"/>
      <c r="F1004" s="99"/>
      <c r="G1004" s="95"/>
      <c r="H1004" s="95"/>
      <c r="I1004" s="95"/>
      <c r="J1004" s="96"/>
      <c r="K1004" s="95"/>
      <c r="L1004" s="43" t="str">
        <f t="shared" si="22"/>
        <v/>
      </c>
      <c r="M1004" s="42" t="str">
        <f>IF(AND(C1004="",D1004="",E1004="",F1004=""),"",IF(OR(C1004="",D1004="",E1004="",F1004="",G1004=""),"EKSİK",IF(COUNTIF(MUSTERILER!$B$7:$B$156,C1004)=0,"TANIMSIZ MÜŞTERİ","UYGUN")))</f>
        <v/>
      </c>
      <c r="N1004" s="6"/>
      <c r="O1004" s="6"/>
    </row>
    <row r="1005" spans="1:15" ht="17">
      <c r="A1005" s="6"/>
      <c r="B1005" s="95" t="str">
        <f t="shared" si="21"/>
        <v/>
      </c>
      <c r="C1005" s="95"/>
      <c r="D1005" s="96"/>
      <c r="E1005" s="97"/>
      <c r="F1005" s="99"/>
      <c r="G1005" s="95"/>
      <c r="H1005" s="95"/>
      <c r="I1005" s="95"/>
      <c r="J1005" s="96"/>
      <c r="K1005" s="95"/>
      <c r="L1005" s="43" t="str">
        <f t="shared" si="22"/>
        <v/>
      </c>
      <c r="M1005" s="42" t="str">
        <f>IF(AND(C1005="",D1005="",E1005="",F1005=""),"",IF(OR(C1005="",D1005="",E1005="",F1005="",G1005=""),"EKSİK",IF(COUNTIF(MUSTERILER!$B$7:$B$156,C1005)=0,"TANIMSIZ MÜŞTERİ","UYGUN")))</f>
        <v/>
      </c>
      <c r="N1005" s="6"/>
      <c r="O1005" s="6"/>
    </row>
    <row r="1006" spans="1:15" ht="17">
      <c r="A1006" s="6"/>
      <c r="B1006" s="95" t="str">
        <f t="shared" si="21"/>
        <v/>
      </c>
      <c r="C1006" s="95"/>
      <c r="D1006" s="96"/>
      <c r="E1006" s="97"/>
      <c r="F1006" s="99"/>
      <c r="G1006" s="95"/>
      <c r="H1006" s="95"/>
      <c r="I1006" s="95"/>
      <c r="J1006" s="96"/>
      <c r="K1006" s="95"/>
      <c r="L1006" s="43" t="str">
        <f t="shared" si="22"/>
        <v/>
      </c>
      <c r="M1006" s="42" t="str">
        <f>IF(AND(C1006="",D1006="",E1006="",F1006=""),"",IF(OR(C1006="",D1006="",E1006="",F1006="",G1006=""),"EKSİK",IF(COUNTIF(MUSTERILER!$B$7:$B$156,C1006)=0,"TANIMSIZ MÜŞTERİ","UYGUN")))</f>
        <v/>
      </c>
      <c r="N1006" s="6"/>
      <c r="O1006" s="6"/>
    </row>
  </sheetData>
  <mergeCells count="6">
    <mergeCell ref="A2:B2"/>
    <mergeCell ref="A4:G4"/>
    <mergeCell ref="C1:O1"/>
    <mergeCell ref="J5:M5"/>
    <mergeCell ref="A3:O3"/>
    <mergeCell ref="C2:O2"/>
  </mergeCells>
  <dataValidations count="3">
    <dataValidation type="list" sqref="H7:H1006" xr:uid="{00000000-0002-0000-0600-000002000000}">
      <formula1>"Nakit,Havale/EFT,Kart,Mahsup,Diğer"</formula1>
    </dataValidation>
    <dataValidation type="list" sqref="D7:D650" xr:uid="{00000000-0002-0000-0600-000003000000}">
      <formula1>LST_MUSTERI_ADI</formula1>
    </dataValidation>
    <dataValidation type="list" sqref="G7:G650" xr:uid="{00000000-0002-0000-0600-000004000000}">
      <formula1>LST_HESAP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SISTEM!$M$9:$M$63</xm:f>
          </x14:formula1>
          <xm:sqref>D7:D1006</xm:sqref>
        </x14:dataValidation>
        <x14:dataValidation type="list" xr:uid="{00000000-0002-0000-0600-000001000000}">
          <x14:formula1>
            <xm:f>SISTEM!$N$7:$N$12</xm:f>
          </x14:formula1>
          <xm:sqref>G7:G1006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563EB"/>
  </sheetPr>
  <dimension ref="A1:R1000"/>
  <sheetViews>
    <sheetView showGridLines="0" workbookViewId="0"/>
  </sheetViews>
  <sheetFormatPr baseColWidth="10" defaultColWidth="8.83203125" defaultRowHeight="14"/>
  <cols>
    <col min="1" max="1" width="10" customWidth="1"/>
    <col min="2" max="2" width="16" customWidth="1"/>
    <col min="3" max="3" width="24" customWidth="1"/>
    <col min="4" max="4" width="13" customWidth="1"/>
    <col min="5" max="5" width="24" customWidth="1"/>
    <col min="6" max="6" width="42" customWidth="1"/>
    <col min="7" max="7" width="15" customWidth="1"/>
    <col min="8" max="8" width="18" customWidth="1"/>
    <col min="9" max="9" width="13" customWidth="1"/>
    <col min="10" max="10" width="14" customWidth="1"/>
    <col min="11" max="11" width="16" customWidth="1"/>
    <col min="12" max="12" width="24" customWidth="1"/>
    <col min="13" max="14" width="20" customWidth="1"/>
    <col min="15" max="15" width="14" customWidth="1"/>
    <col min="16" max="16" width="20" customWidth="1"/>
    <col min="17" max="18" width="2.5" hidden="1" customWidth="1"/>
  </cols>
  <sheetData>
    <row r="1" spans="1:18" ht="38" customHeight="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32" t="s">
        <v>1201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6"/>
    </row>
    <row r="2" spans="1:18" ht="28" customHeight="1">
      <c r="A2" s="244" t="s">
        <v>438</v>
      </c>
      <c r="B2" s="245"/>
      <c r="C2" s="213" t="s">
        <v>1202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6"/>
    </row>
    <row r="3" spans="1:18" ht="28" customHeight="1">
      <c r="A3" s="213" t="s">
        <v>1203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6"/>
    </row>
    <row r="4" spans="1:18" ht="24" customHeight="1">
      <c r="A4" s="207" t="str">
        <f>IFERROR(HYPERLINK("#MENU!A1","← MENÜ   │   GELİR / GİDER"),"← MENÜ   │   GELİR / GİDER")</f>
        <v>← MENÜ   │   GELİR / GİDER</v>
      </c>
      <c r="B4" s="208"/>
      <c r="C4" s="208"/>
      <c r="D4" s="208"/>
      <c r="E4" s="208"/>
      <c r="F4" s="208"/>
      <c r="G4" s="209"/>
      <c r="H4" s="79" t="str">
        <f>IFERROR(HYPERLINK("#TAHSILAT!A1","TAHSİLAT"),"TAHSİLAT")</f>
        <v>TAHSİLAT</v>
      </c>
      <c r="I4" s="80"/>
      <c r="J4" s="79" t="str">
        <f>IFERROR(HYPERLINK("#GELIR_GIDER!A1","GELİR / GİDER"),"GELİR / GİDER")</f>
        <v>GELİR / GİDER</v>
      </c>
      <c r="K4" s="80"/>
      <c r="L4" s="79" t="str">
        <f>IFERROR(HYPERLINK("#VIRMAN!A1","VİRMAN"),"VİRMAN")</f>
        <v>VİRMAN</v>
      </c>
      <c r="M4" s="80"/>
      <c r="N4" s="79" t="str">
        <f>IFERROR(HYPERLINK("#RAPOR!A1","RAPOR"),"RAPOR")</f>
        <v>RAPOR</v>
      </c>
      <c r="O4" s="21"/>
      <c r="P4" s="6"/>
    </row>
    <row r="5" spans="1:18" ht="16">
      <c r="A5" s="6"/>
      <c r="B5" s="9" t="s">
        <v>1204</v>
      </c>
      <c r="C5" s="10">
        <f>SUMIFS($G$7:$G$1000,$D$7:$D$1000,"Gelir",$I$7:$I$1000,"Evet")</f>
        <v>483250</v>
      </c>
      <c r="D5" s="9"/>
      <c r="E5" s="9" t="s">
        <v>1205</v>
      </c>
      <c r="F5" s="10">
        <f>SUMIFS($G$7:$G$1000,$D$7:$D$1000,"Gider",$I$7:$I$1000,"Evet")</f>
        <v>1196187.98</v>
      </c>
      <c r="G5" s="9"/>
      <c r="H5" s="9" t="s">
        <v>1206</v>
      </c>
      <c r="I5" s="10">
        <f>SUMIFS($G$7:$G$1000,$D$7:$D$1000,"Gelir",$I$7:$I$1000,"Hayır")</f>
        <v>114000</v>
      </c>
      <c r="J5" s="9"/>
      <c r="K5" s="252" t="s">
        <v>1207</v>
      </c>
      <c r="L5" s="173"/>
      <c r="M5" s="173"/>
      <c r="N5" s="173"/>
      <c r="O5" s="173"/>
      <c r="P5" s="173"/>
    </row>
    <row r="6" spans="1:18" ht="32" customHeight="1">
      <c r="A6" s="6"/>
      <c r="B6" s="88" t="s">
        <v>1208</v>
      </c>
      <c r="C6" s="88" t="s">
        <v>602</v>
      </c>
      <c r="D6" s="88" t="s">
        <v>1209</v>
      </c>
      <c r="E6" s="88" t="s">
        <v>1210</v>
      </c>
      <c r="F6" s="88" t="s">
        <v>607</v>
      </c>
      <c r="G6" s="88" t="s">
        <v>603</v>
      </c>
      <c r="H6" s="88" t="s">
        <v>604</v>
      </c>
      <c r="I6" s="88" t="s">
        <v>1211</v>
      </c>
      <c r="J6" s="88" t="s">
        <v>606</v>
      </c>
      <c r="K6" s="88" t="s">
        <v>1212</v>
      </c>
      <c r="L6" s="88" t="s">
        <v>1213</v>
      </c>
      <c r="M6" s="88" t="s">
        <v>1214</v>
      </c>
      <c r="N6" s="88" t="s">
        <v>1215</v>
      </c>
      <c r="O6" s="88" t="s">
        <v>430</v>
      </c>
      <c r="P6" s="88" t="s">
        <v>458</v>
      </c>
      <c r="Q6" s="89" t="s">
        <v>1216</v>
      </c>
      <c r="R6" s="89" t="s">
        <v>1217</v>
      </c>
    </row>
    <row r="7" spans="1:18" ht="17">
      <c r="A7" s="6"/>
      <c r="B7" s="95" t="s">
        <v>1218</v>
      </c>
      <c r="C7" s="97">
        <v>46023</v>
      </c>
      <c r="D7" s="95" t="s">
        <v>434</v>
      </c>
      <c r="E7" s="96" t="s">
        <v>1219</v>
      </c>
      <c r="F7" s="96" t="s">
        <v>1220</v>
      </c>
      <c r="G7" s="99">
        <v>27000</v>
      </c>
      <c r="H7" s="95"/>
      <c r="I7" s="95" t="s">
        <v>1221</v>
      </c>
      <c r="J7" s="95"/>
      <c r="K7" s="95"/>
      <c r="L7" s="96"/>
      <c r="M7" s="42" t="str">
        <f t="shared" ref="M7:M70" si="0">IF(C7="","",IF(D7="Gider",IF(H7&lt;&gt;"",H7,"CARİ MAHSUP"),IF(L7&lt;&gt;"",L7,H7)))</f>
        <v>CARİ MAHSUP</v>
      </c>
      <c r="N7" s="42" t="str">
        <f t="shared" ref="N7:N70" si="1">IF(C7="","",IF(D7="Gider",E7,IF(H7&lt;&gt;"",H7,E7)))</f>
        <v>Diğer Gider</v>
      </c>
      <c r="O7" s="43">
        <f t="shared" ref="O7:O70" si="2">IF(C7="","",DATE(YEAR(C7),MONTH(C7),1))</f>
        <v>46023</v>
      </c>
      <c r="P7" s="42" t="str">
        <f t="shared" ref="P7:P70" si="3">IF(C7="","",IF(OR(D7="",E7="",G7=""),"EKSİK",IF(AND(D7="Gelir",I7="Hayır",L7&lt;&gt;""),IF(R7,"TAHAKKUK","TANIMSIZ BORÇLU"),IF(AND(D7="Gelir",I7="Evet",L7&lt;&gt;""),"TAHAKKUK NAKİT OLAMAZ",IF(AND(D7="Gelir",I7="Hayır",H7&lt;&gt;""),"NAKİTSİZDE KASA OLMAZ","UYGUN")))))</f>
        <v>UYGUN</v>
      </c>
      <c r="Q7" s="22" t="str">
        <f>IF(AND(L7&lt;&gt;"",D7="Gelir",I7="Hayır"),L7&amp;"|"&amp;TEXT(COUNTIFS($L$7:L7,L7,$D$7:D7,"Gelir",$I$7:I7,"Hayır"),"000"),"")</f>
        <v/>
      </c>
      <c r="R7" s="22" t="b">
        <f>OR(COUNTIF(LST_MUSTERI_ADI,L7)&gt;0,L7=SISTEM!$C$9,L7=SISTEM!$C$10)</f>
        <v>0</v>
      </c>
    </row>
    <row r="8" spans="1:18" ht="17">
      <c r="A8" s="6"/>
      <c r="B8" s="95" t="s">
        <v>1222</v>
      </c>
      <c r="C8" s="97">
        <v>46023</v>
      </c>
      <c r="D8" s="95" t="s">
        <v>434</v>
      </c>
      <c r="E8" s="96" t="s">
        <v>1219</v>
      </c>
      <c r="F8" s="96" t="s">
        <v>1223</v>
      </c>
      <c r="G8" s="99">
        <v>5000</v>
      </c>
      <c r="H8" s="95" t="s">
        <v>618</v>
      </c>
      <c r="I8" s="95" t="s">
        <v>1224</v>
      </c>
      <c r="J8" s="95"/>
      <c r="K8" s="95"/>
      <c r="L8" s="96"/>
      <c r="M8" s="42" t="str">
        <f t="shared" si="0"/>
        <v>MERKEZ KASA</v>
      </c>
      <c r="N8" s="42" t="str">
        <f t="shared" si="1"/>
        <v>Diğer Gider</v>
      </c>
      <c r="O8" s="43">
        <f t="shared" si="2"/>
        <v>46023</v>
      </c>
      <c r="P8" s="42" t="str">
        <f t="shared" si="3"/>
        <v>UYGUN</v>
      </c>
      <c r="Q8" s="22" t="str">
        <f>IF(AND(L8&lt;&gt;"",D8="Gelir",I8="Hayır"),L8&amp;"|"&amp;TEXT(COUNTIFS($L$7:L8,L8,$D$7:D8,"Gelir",$I$7:I8,"Hayır"),"000"),"")</f>
        <v/>
      </c>
      <c r="R8" s="22" t="b">
        <f>OR(COUNTIF(LST_MUSTERI_ADI,L8)&gt;0,L8=SISTEM!$C$9,L8=SISTEM!$C$10)</f>
        <v>0</v>
      </c>
    </row>
    <row r="9" spans="1:18" ht="17">
      <c r="A9" s="6"/>
      <c r="B9" s="95" t="s">
        <v>1225</v>
      </c>
      <c r="C9" s="97">
        <v>46023</v>
      </c>
      <c r="D9" s="95" t="s">
        <v>434</v>
      </c>
      <c r="E9" s="96" t="s">
        <v>1219</v>
      </c>
      <c r="F9" s="96" t="s">
        <v>1226</v>
      </c>
      <c r="G9" s="99">
        <v>3000</v>
      </c>
      <c r="H9" s="95" t="s">
        <v>618</v>
      </c>
      <c r="I9" s="95" t="s">
        <v>1224</v>
      </c>
      <c r="J9" s="95"/>
      <c r="K9" s="95"/>
      <c r="L9" s="96"/>
      <c r="M9" s="42" t="str">
        <f t="shared" si="0"/>
        <v>MERKEZ KASA</v>
      </c>
      <c r="N9" s="42" t="str">
        <f t="shared" si="1"/>
        <v>Diğer Gider</v>
      </c>
      <c r="O9" s="43">
        <f t="shared" si="2"/>
        <v>46023</v>
      </c>
      <c r="P9" s="42" t="str">
        <f t="shared" si="3"/>
        <v>UYGUN</v>
      </c>
      <c r="Q9" s="22" t="str">
        <f>IF(AND(L9&lt;&gt;"",D9="Gelir",I9="Hayır"),L9&amp;"|"&amp;TEXT(COUNTIFS($L$7:L9,L9,$D$7:D9,"Gelir",$I$7:I9,"Hayır"),"000"),"")</f>
        <v/>
      </c>
      <c r="R9" s="22" t="b">
        <f>OR(COUNTIF(LST_MUSTERI_ADI,L9)&gt;0,L9=SISTEM!$C$9,L9=SISTEM!$C$10)</f>
        <v>0</v>
      </c>
    </row>
    <row r="10" spans="1:18" ht="17">
      <c r="A10" s="6"/>
      <c r="B10" s="95" t="s">
        <v>1227</v>
      </c>
      <c r="C10" s="97">
        <v>46023</v>
      </c>
      <c r="D10" s="95" t="s">
        <v>434</v>
      </c>
      <c r="E10" s="96" t="s">
        <v>1219</v>
      </c>
      <c r="F10" s="96" t="s">
        <v>1228</v>
      </c>
      <c r="G10" s="99">
        <v>10000</v>
      </c>
      <c r="H10" s="95" t="s">
        <v>618</v>
      </c>
      <c r="I10" s="95" t="s">
        <v>1224</v>
      </c>
      <c r="J10" s="95"/>
      <c r="K10" s="95"/>
      <c r="L10" s="96"/>
      <c r="M10" s="42" t="str">
        <f t="shared" si="0"/>
        <v>MERKEZ KASA</v>
      </c>
      <c r="N10" s="42" t="str">
        <f t="shared" si="1"/>
        <v>Diğer Gider</v>
      </c>
      <c r="O10" s="43">
        <f t="shared" si="2"/>
        <v>46023</v>
      </c>
      <c r="P10" s="42" t="str">
        <f t="shared" si="3"/>
        <v>UYGUN</v>
      </c>
      <c r="Q10" s="22" t="str">
        <f>IF(AND(L10&lt;&gt;"",D10="Gelir",I10="Hayır"),L10&amp;"|"&amp;TEXT(COUNTIFS($L$7:L10,L10,$D$7:D10,"Gelir",$I$7:I10,"Hayır"),"000"),"")</f>
        <v/>
      </c>
      <c r="R10" s="22" t="b">
        <f>OR(COUNTIF(LST_MUSTERI_ADI,L10)&gt;0,L10=SISTEM!$C$9,L10=SISTEM!$C$10)</f>
        <v>0</v>
      </c>
    </row>
    <row r="11" spans="1:18" ht="17">
      <c r="A11" s="6"/>
      <c r="B11" s="95" t="s">
        <v>1229</v>
      </c>
      <c r="C11" s="97">
        <v>46023</v>
      </c>
      <c r="D11" s="95" t="s">
        <v>434</v>
      </c>
      <c r="E11" s="96" t="s">
        <v>1219</v>
      </c>
      <c r="F11" s="96" t="s">
        <v>1230</v>
      </c>
      <c r="G11" s="99">
        <v>4500</v>
      </c>
      <c r="H11" s="95" t="s">
        <v>618</v>
      </c>
      <c r="I11" s="95" t="s">
        <v>1224</v>
      </c>
      <c r="J11" s="95"/>
      <c r="K11" s="95"/>
      <c r="L11" s="96"/>
      <c r="M11" s="42" t="str">
        <f t="shared" si="0"/>
        <v>MERKEZ KASA</v>
      </c>
      <c r="N11" s="42" t="str">
        <f t="shared" si="1"/>
        <v>Diğer Gider</v>
      </c>
      <c r="O11" s="43">
        <f t="shared" si="2"/>
        <v>46023</v>
      </c>
      <c r="P11" s="42" t="str">
        <f t="shared" si="3"/>
        <v>UYGUN</v>
      </c>
      <c r="Q11" s="22" t="str">
        <f>IF(AND(L11&lt;&gt;"",D11="Gelir",I11="Hayır"),L11&amp;"|"&amp;TEXT(COUNTIFS($L$7:L11,L11,$D$7:D11,"Gelir",$I$7:I11,"Hayır"),"000"),"")</f>
        <v/>
      </c>
      <c r="R11" s="22" t="b">
        <f>OR(COUNTIF(LST_MUSTERI_ADI,L11)&gt;0,L11=SISTEM!$C$9,L11=SISTEM!$C$10)</f>
        <v>0</v>
      </c>
    </row>
    <row r="12" spans="1:18" ht="17">
      <c r="A12" s="6"/>
      <c r="B12" s="95" t="s">
        <v>1231</v>
      </c>
      <c r="C12" s="97">
        <v>46023</v>
      </c>
      <c r="D12" s="95" t="s">
        <v>434</v>
      </c>
      <c r="E12" s="96" t="s">
        <v>1219</v>
      </c>
      <c r="F12" s="96" t="s">
        <v>1232</v>
      </c>
      <c r="G12" s="99">
        <v>15750</v>
      </c>
      <c r="H12" s="95" t="s">
        <v>618</v>
      </c>
      <c r="I12" s="95" t="s">
        <v>1224</v>
      </c>
      <c r="J12" s="95"/>
      <c r="K12" s="95"/>
      <c r="L12" s="96"/>
      <c r="M12" s="42" t="str">
        <f t="shared" si="0"/>
        <v>MERKEZ KASA</v>
      </c>
      <c r="N12" s="42" t="str">
        <f t="shared" si="1"/>
        <v>Diğer Gider</v>
      </c>
      <c r="O12" s="43">
        <f t="shared" si="2"/>
        <v>46023</v>
      </c>
      <c r="P12" s="42" t="str">
        <f t="shared" si="3"/>
        <v>UYGUN</v>
      </c>
      <c r="Q12" s="22" t="str">
        <f>IF(AND(L12&lt;&gt;"",D12="Gelir",I12="Hayır"),L12&amp;"|"&amp;TEXT(COUNTIFS($L$7:L12,L12,$D$7:D12,"Gelir",$I$7:I12,"Hayır"),"000"),"")</f>
        <v/>
      </c>
      <c r="R12" s="22" t="b">
        <f>OR(COUNTIF(LST_MUSTERI_ADI,L12)&gt;0,L12=SISTEM!$C$9,L12=SISTEM!$C$10)</f>
        <v>0</v>
      </c>
    </row>
    <row r="13" spans="1:18" ht="17">
      <c r="A13" s="6"/>
      <c r="B13" s="95" t="s">
        <v>1233</v>
      </c>
      <c r="C13" s="97">
        <v>46035</v>
      </c>
      <c r="D13" s="95" t="s">
        <v>434</v>
      </c>
      <c r="E13" s="96" t="s">
        <v>1234</v>
      </c>
      <c r="F13" s="96" t="s">
        <v>1235</v>
      </c>
      <c r="G13" s="99">
        <v>1060</v>
      </c>
      <c r="H13" s="95" t="s">
        <v>618</v>
      </c>
      <c r="I13" s="95" t="s">
        <v>1224</v>
      </c>
      <c r="J13" s="95"/>
      <c r="K13" s="95"/>
      <c r="L13" s="96"/>
      <c r="M13" s="42" t="str">
        <f t="shared" si="0"/>
        <v>MERKEZ KASA</v>
      </c>
      <c r="N13" s="42" t="str">
        <f t="shared" si="1"/>
        <v>Kırtasiye</v>
      </c>
      <c r="O13" s="43">
        <f t="shared" si="2"/>
        <v>46023</v>
      </c>
      <c r="P13" s="42" t="str">
        <f t="shared" si="3"/>
        <v>UYGUN</v>
      </c>
      <c r="Q13" s="22" t="str">
        <f>IF(AND(L13&lt;&gt;"",D13="Gelir",I13="Hayır"),L13&amp;"|"&amp;TEXT(COUNTIFS($L$7:L13,L13,$D$7:D13,"Gelir",$I$7:I13,"Hayır"),"000"),"")</f>
        <v/>
      </c>
      <c r="R13" s="22" t="b">
        <f>OR(COUNTIF(LST_MUSTERI_ADI,L13)&gt;0,L13=SISTEM!$C$9,L13=SISTEM!$C$10)</f>
        <v>0</v>
      </c>
    </row>
    <row r="14" spans="1:18" ht="17">
      <c r="A14" s="6"/>
      <c r="B14" s="95" t="s">
        <v>1236</v>
      </c>
      <c r="C14" s="97">
        <v>46036</v>
      </c>
      <c r="D14" s="95" t="s">
        <v>434</v>
      </c>
      <c r="E14" s="96" t="s">
        <v>1237</v>
      </c>
      <c r="F14" s="96" t="s">
        <v>1238</v>
      </c>
      <c r="G14" s="99">
        <v>800</v>
      </c>
      <c r="H14" s="95" t="s">
        <v>618</v>
      </c>
      <c r="I14" s="95" t="s">
        <v>1224</v>
      </c>
      <c r="J14" s="95"/>
      <c r="K14" s="95"/>
      <c r="L14" s="96"/>
      <c r="M14" s="42" t="str">
        <f t="shared" si="0"/>
        <v>MERKEZ KASA</v>
      </c>
      <c r="N14" s="42" t="str">
        <f t="shared" si="1"/>
        <v>Telefon / İnternet</v>
      </c>
      <c r="O14" s="43">
        <f t="shared" si="2"/>
        <v>46023</v>
      </c>
      <c r="P14" s="42" t="str">
        <f t="shared" si="3"/>
        <v>UYGUN</v>
      </c>
      <c r="Q14" s="22" t="str">
        <f>IF(AND(L14&lt;&gt;"",D14="Gelir",I14="Hayır"),L14&amp;"|"&amp;TEXT(COUNTIFS($L$7:L14,L14,$D$7:D14,"Gelir",$I$7:I14,"Hayır"),"000"),"")</f>
        <v/>
      </c>
      <c r="R14" s="22" t="b">
        <f>OR(COUNTIF(LST_MUSTERI_ADI,L14)&gt;0,L14=SISTEM!$C$9,L14=SISTEM!$C$10)</f>
        <v>0</v>
      </c>
    </row>
    <row r="15" spans="1:18" ht="17">
      <c r="A15" s="6"/>
      <c r="B15" s="95" t="s">
        <v>1239</v>
      </c>
      <c r="C15" s="97">
        <v>46044</v>
      </c>
      <c r="D15" s="95" t="s">
        <v>434</v>
      </c>
      <c r="E15" s="96" t="s">
        <v>1219</v>
      </c>
      <c r="F15" s="96" t="s">
        <v>1240</v>
      </c>
      <c r="G15" s="99">
        <v>3000</v>
      </c>
      <c r="H15" s="95" t="s">
        <v>618</v>
      </c>
      <c r="I15" s="95" t="s">
        <v>1224</v>
      </c>
      <c r="J15" s="95"/>
      <c r="K15" s="95"/>
      <c r="L15" s="96"/>
      <c r="M15" s="42" t="str">
        <f t="shared" si="0"/>
        <v>MERKEZ KASA</v>
      </c>
      <c r="N15" s="42" t="str">
        <f t="shared" si="1"/>
        <v>Diğer Gider</v>
      </c>
      <c r="O15" s="43">
        <f t="shared" si="2"/>
        <v>46023</v>
      </c>
      <c r="P15" s="42" t="str">
        <f t="shared" si="3"/>
        <v>UYGUN</v>
      </c>
      <c r="Q15" s="22" t="str">
        <f>IF(AND(L15&lt;&gt;"",D15="Gelir",I15="Hayır"),L15&amp;"|"&amp;TEXT(COUNTIFS($L$7:L15,L15,$D$7:D15,"Gelir",$I$7:I15,"Hayır"),"000"),"")</f>
        <v/>
      </c>
      <c r="R15" s="22" t="b">
        <f>OR(COUNTIF(LST_MUSTERI_ADI,L15)&gt;0,L15=SISTEM!$C$9,L15=SISTEM!$C$10)</f>
        <v>0</v>
      </c>
    </row>
    <row r="16" spans="1:18" ht="34">
      <c r="A16" s="6"/>
      <c r="B16" s="95" t="s">
        <v>1241</v>
      </c>
      <c r="C16" s="97">
        <v>46049</v>
      </c>
      <c r="D16" s="95" t="s">
        <v>434</v>
      </c>
      <c r="E16" s="96" t="s">
        <v>1242</v>
      </c>
      <c r="F16" s="96" t="s">
        <v>1243</v>
      </c>
      <c r="G16" s="99">
        <v>1035</v>
      </c>
      <c r="H16" s="95" t="s">
        <v>618</v>
      </c>
      <c r="I16" s="95" t="s">
        <v>1224</v>
      </c>
      <c r="J16" s="95"/>
      <c r="K16" s="95"/>
      <c r="L16" s="96"/>
      <c r="M16" s="42" t="str">
        <f t="shared" si="0"/>
        <v>MERKEZ KASA</v>
      </c>
      <c r="N16" s="42" t="str">
        <f t="shared" si="1"/>
        <v>Elektrik / Su / Doğalgaz</v>
      </c>
      <c r="O16" s="43">
        <f t="shared" si="2"/>
        <v>46023</v>
      </c>
      <c r="P16" s="42" t="str">
        <f t="shared" si="3"/>
        <v>UYGUN</v>
      </c>
      <c r="Q16" s="22" t="str">
        <f>IF(AND(L16&lt;&gt;"",D16="Gelir",I16="Hayır"),L16&amp;"|"&amp;TEXT(COUNTIFS($L$7:L16,L16,$D$7:D16,"Gelir",$I$7:I16,"Hayır"),"000"),"")</f>
        <v/>
      </c>
      <c r="R16" s="22" t="b">
        <f>OR(COUNTIF(LST_MUSTERI_ADI,L16)&gt;0,L16=SISTEM!$C$9,L16=SISTEM!$C$10)</f>
        <v>0</v>
      </c>
    </row>
    <row r="17" spans="1:18" ht="34">
      <c r="A17" s="6"/>
      <c r="B17" s="95" t="s">
        <v>1244</v>
      </c>
      <c r="C17" s="97">
        <v>46049</v>
      </c>
      <c r="D17" s="95" t="s">
        <v>434</v>
      </c>
      <c r="E17" s="96" t="s">
        <v>1242</v>
      </c>
      <c r="F17" s="96" t="s">
        <v>1243</v>
      </c>
      <c r="G17" s="99">
        <v>949.97</v>
      </c>
      <c r="H17" s="95" t="s">
        <v>618</v>
      </c>
      <c r="I17" s="95" t="s">
        <v>1224</v>
      </c>
      <c r="J17" s="95"/>
      <c r="K17" s="95"/>
      <c r="L17" s="96"/>
      <c r="M17" s="42" t="str">
        <f t="shared" si="0"/>
        <v>MERKEZ KASA</v>
      </c>
      <c r="N17" s="42" t="str">
        <f t="shared" si="1"/>
        <v>Elektrik / Su / Doğalgaz</v>
      </c>
      <c r="O17" s="43">
        <f t="shared" si="2"/>
        <v>46023</v>
      </c>
      <c r="P17" s="42" t="str">
        <f t="shared" si="3"/>
        <v>UYGUN</v>
      </c>
      <c r="Q17" s="22" t="str">
        <f>IF(AND(L17&lt;&gt;"",D17="Gelir",I17="Hayır"),L17&amp;"|"&amp;TEXT(COUNTIFS($L$7:L17,L17,$D$7:D17,"Gelir",$I$7:I17,"Hayır"),"000"),"")</f>
        <v/>
      </c>
      <c r="R17" s="22" t="b">
        <f>OR(COUNTIF(LST_MUSTERI_ADI,L17)&gt;0,L17=SISTEM!$C$9,L17=SISTEM!$C$10)</f>
        <v>0</v>
      </c>
    </row>
    <row r="18" spans="1:18" ht="34">
      <c r="A18" s="6"/>
      <c r="B18" s="95" t="s">
        <v>1245</v>
      </c>
      <c r="C18" s="97">
        <v>46049</v>
      </c>
      <c r="D18" s="95" t="s">
        <v>434</v>
      </c>
      <c r="E18" s="96" t="s">
        <v>1242</v>
      </c>
      <c r="F18" s="96" t="s">
        <v>1246</v>
      </c>
      <c r="G18" s="99">
        <v>469.9</v>
      </c>
      <c r="H18" s="95" t="s">
        <v>618</v>
      </c>
      <c r="I18" s="95" t="s">
        <v>1224</v>
      </c>
      <c r="J18" s="95"/>
      <c r="K18" s="95"/>
      <c r="L18" s="96"/>
      <c r="M18" s="42" t="str">
        <f t="shared" si="0"/>
        <v>MERKEZ KASA</v>
      </c>
      <c r="N18" s="42" t="str">
        <f t="shared" si="1"/>
        <v>Elektrik / Su / Doğalgaz</v>
      </c>
      <c r="O18" s="43">
        <f t="shared" si="2"/>
        <v>46023</v>
      </c>
      <c r="P18" s="42" t="str">
        <f t="shared" si="3"/>
        <v>UYGUN</v>
      </c>
      <c r="Q18" s="22" t="str">
        <f>IF(AND(L18&lt;&gt;"",D18="Gelir",I18="Hayır"),L18&amp;"|"&amp;TEXT(COUNTIFS($L$7:L18,L18,$D$7:D18,"Gelir",$I$7:I18,"Hayır"),"000"),"")</f>
        <v/>
      </c>
      <c r="R18" s="22" t="b">
        <f>OR(COUNTIF(LST_MUSTERI_ADI,L18)&gt;0,L18=SISTEM!$C$9,L18=SISTEM!$C$10)</f>
        <v>0</v>
      </c>
    </row>
    <row r="19" spans="1:18" ht="34">
      <c r="A19" s="6"/>
      <c r="B19" s="95" t="s">
        <v>1247</v>
      </c>
      <c r="C19" s="97">
        <v>46049</v>
      </c>
      <c r="D19" s="95" t="s">
        <v>434</v>
      </c>
      <c r="E19" s="96" t="s">
        <v>1242</v>
      </c>
      <c r="F19" s="96" t="s">
        <v>1246</v>
      </c>
      <c r="G19" s="99">
        <v>249.5</v>
      </c>
      <c r="H19" s="95" t="s">
        <v>618</v>
      </c>
      <c r="I19" s="95" t="s">
        <v>1224</v>
      </c>
      <c r="J19" s="95"/>
      <c r="K19" s="95"/>
      <c r="L19" s="96"/>
      <c r="M19" s="42" t="str">
        <f t="shared" si="0"/>
        <v>MERKEZ KASA</v>
      </c>
      <c r="N19" s="42" t="str">
        <f t="shared" si="1"/>
        <v>Elektrik / Su / Doğalgaz</v>
      </c>
      <c r="O19" s="43">
        <f t="shared" si="2"/>
        <v>46023</v>
      </c>
      <c r="P19" s="42" t="str">
        <f t="shared" si="3"/>
        <v>UYGUN</v>
      </c>
      <c r="Q19" s="22" t="str">
        <f>IF(AND(L19&lt;&gt;"",D19="Gelir",I19="Hayır"),L19&amp;"|"&amp;TEXT(COUNTIFS($L$7:L19,L19,$D$7:D19,"Gelir",$I$7:I19,"Hayır"),"000"),"")</f>
        <v/>
      </c>
      <c r="R19" s="22" t="b">
        <f>OR(COUNTIF(LST_MUSTERI_ADI,L19)&gt;0,L19=SISTEM!$C$9,L19=SISTEM!$C$10)</f>
        <v>0</v>
      </c>
    </row>
    <row r="20" spans="1:18" ht="34">
      <c r="A20" s="6"/>
      <c r="B20" s="95" t="s">
        <v>1248</v>
      </c>
      <c r="C20" s="97">
        <v>46049</v>
      </c>
      <c r="D20" s="95" t="s">
        <v>434</v>
      </c>
      <c r="E20" s="96" t="s">
        <v>1242</v>
      </c>
      <c r="F20" s="96" t="s">
        <v>1246</v>
      </c>
      <c r="G20" s="99">
        <v>167.45</v>
      </c>
      <c r="H20" s="95" t="s">
        <v>618</v>
      </c>
      <c r="I20" s="95" t="s">
        <v>1224</v>
      </c>
      <c r="J20" s="95"/>
      <c r="K20" s="95"/>
      <c r="L20" s="96"/>
      <c r="M20" s="42" t="str">
        <f t="shared" si="0"/>
        <v>MERKEZ KASA</v>
      </c>
      <c r="N20" s="42" t="str">
        <f t="shared" si="1"/>
        <v>Elektrik / Su / Doğalgaz</v>
      </c>
      <c r="O20" s="43">
        <f t="shared" si="2"/>
        <v>46023</v>
      </c>
      <c r="P20" s="42" t="str">
        <f t="shared" si="3"/>
        <v>UYGUN</v>
      </c>
      <c r="Q20" s="22" t="str">
        <f>IF(AND(L20&lt;&gt;"",D20="Gelir",I20="Hayır"),L20&amp;"|"&amp;TEXT(COUNTIFS($L$7:L20,L20,$D$7:D20,"Gelir",$I$7:I20,"Hayır"),"000"),"")</f>
        <v/>
      </c>
      <c r="R20" s="22" t="b">
        <f>OR(COUNTIF(LST_MUSTERI_ADI,L20)&gt;0,L20=SISTEM!$C$9,L20=SISTEM!$C$10)</f>
        <v>0</v>
      </c>
    </row>
    <row r="21" spans="1:18" ht="17">
      <c r="A21" s="6"/>
      <c r="B21" s="95" t="s">
        <v>1249</v>
      </c>
      <c r="C21" s="97">
        <v>46049</v>
      </c>
      <c r="D21" s="95" t="s">
        <v>434</v>
      </c>
      <c r="E21" s="96" t="s">
        <v>1237</v>
      </c>
      <c r="F21" s="96" t="s">
        <v>1250</v>
      </c>
      <c r="G21" s="99">
        <v>602</v>
      </c>
      <c r="H21" s="95" t="s">
        <v>618</v>
      </c>
      <c r="I21" s="95" t="s">
        <v>1224</v>
      </c>
      <c r="J21" s="95"/>
      <c r="K21" s="95"/>
      <c r="L21" s="96"/>
      <c r="M21" s="42" t="str">
        <f t="shared" si="0"/>
        <v>MERKEZ KASA</v>
      </c>
      <c r="N21" s="42" t="str">
        <f t="shared" si="1"/>
        <v>Telefon / İnternet</v>
      </c>
      <c r="O21" s="43">
        <f t="shared" si="2"/>
        <v>46023</v>
      </c>
      <c r="P21" s="42" t="str">
        <f t="shared" si="3"/>
        <v>UYGUN</v>
      </c>
      <c r="Q21" s="22" t="str">
        <f>IF(AND(L21&lt;&gt;"",D21="Gelir",I21="Hayır"),L21&amp;"|"&amp;TEXT(COUNTIFS($L$7:L21,L21,$D$7:D21,"Gelir",$I$7:I21,"Hayır"),"000"),"")</f>
        <v/>
      </c>
      <c r="R21" s="22" t="b">
        <f>OR(COUNTIF(LST_MUSTERI_ADI,L21)&gt;0,L21=SISTEM!$C$9,L21=SISTEM!$C$10)</f>
        <v>0</v>
      </c>
    </row>
    <row r="22" spans="1:18" ht="17">
      <c r="A22" s="6"/>
      <c r="B22" s="95" t="s">
        <v>1251</v>
      </c>
      <c r="C22" s="97">
        <v>46053</v>
      </c>
      <c r="D22" s="95" t="s">
        <v>434</v>
      </c>
      <c r="E22" s="96" t="s">
        <v>1252</v>
      </c>
      <c r="F22" s="96" t="s">
        <v>1253</v>
      </c>
      <c r="G22" s="99">
        <v>1750</v>
      </c>
      <c r="H22" s="95" t="s">
        <v>618</v>
      </c>
      <c r="I22" s="95" t="s">
        <v>1224</v>
      </c>
      <c r="J22" s="95"/>
      <c r="K22" s="95"/>
      <c r="L22" s="96"/>
      <c r="M22" s="42" t="str">
        <f t="shared" si="0"/>
        <v>MERKEZ KASA</v>
      </c>
      <c r="N22" s="42" t="str">
        <f t="shared" si="1"/>
        <v>Ulaşım</v>
      </c>
      <c r="O22" s="43">
        <f t="shared" si="2"/>
        <v>46023</v>
      </c>
      <c r="P22" s="42" t="str">
        <f t="shared" si="3"/>
        <v>UYGUN</v>
      </c>
      <c r="Q22" s="22" t="str">
        <f>IF(AND(L22&lt;&gt;"",D22="Gelir",I22="Hayır"),L22&amp;"|"&amp;TEXT(COUNTIFS($L$7:L22,L22,$D$7:D22,"Gelir",$I$7:I22,"Hayır"),"000"),"")</f>
        <v/>
      </c>
      <c r="R22" s="22" t="b">
        <f>OR(COUNTIF(LST_MUSTERI_ADI,L22)&gt;0,L22=SISTEM!$C$9,L22=SISTEM!$C$10)</f>
        <v>0</v>
      </c>
    </row>
    <row r="23" spans="1:18" ht="17">
      <c r="A23" s="6"/>
      <c r="B23" s="95" t="s">
        <v>1254</v>
      </c>
      <c r="C23" s="97">
        <v>46053</v>
      </c>
      <c r="D23" s="95" t="s">
        <v>434</v>
      </c>
      <c r="E23" s="96" t="s">
        <v>1255</v>
      </c>
      <c r="F23" s="96" t="s">
        <v>1256</v>
      </c>
      <c r="G23" s="99">
        <v>2000</v>
      </c>
      <c r="H23" s="95" t="s">
        <v>618</v>
      </c>
      <c r="I23" s="95" t="s">
        <v>1224</v>
      </c>
      <c r="J23" s="95"/>
      <c r="K23" s="95"/>
      <c r="L23" s="96"/>
      <c r="M23" s="42" t="str">
        <f t="shared" si="0"/>
        <v>MERKEZ KASA</v>
      </c>
      <c r="N23" s="42" t="str">
        <f t="shared" si="1"/>
        <v>Temsil / Ağırlama</v>
      </c>
      <c r="O23" s="43">
        <f t="shared" si="2"/>
        <v>46023</v>
      </c>
      <c r="P23" s="42" t="str">
        <f t="shared" si="3"/>
        <v>UYGUN</v>
      </c>
      <c r="Q23" s="22" t="str">
        <f>IF(AND(L23&lt;&gt;"",D23="Gelir",I23="Hayır"),L23&amp;"|"&amp;TEXT(COUNTIFS($L$7:L23,L23,$D$7:D23,"Gelir",$I$7:I23,"Hayır"),"000"),"")</f>
        <v/>
      </c>
      <c r="R23" s="22" t="b">
        <f>OR(COUNTIF(LST_MUSTERI_ADI,L23)&gt;0,L23=SISTEM!$C$9,L23=SISTEM!$C$10)</f>
        <v>0</v>
      </c>
    </row>
    <row r="24" spans="1:18" ht="17">
      <c r="A24" s="6"/>
      <c r="B24" s="95" t="s">
        <v>1257</v>
      </c>
      <c r="C24" s="97">
        <v>46053</v>
      </c>
      <c r="D24" s="95" t="s">
        <v>434</v>
      </c>
      <c r="E24" s="96" t="s">
        <v>1219</v>
      </c>
      <c r="F24" s="96" t="s">
        <v>1258</v>
      </c>
      <c r="G24" s="99">
        <v>31000</v>
      </c>
      <c r="H24" s="95" t="s">
        <v>618</v>
      </c>
      <c r="I24" s="95" t="s">
        <v>1224</v>
      </c>
      <c r="J24" s="95"/>
      <c r="K24" s="95"/>
      <c r="L24" s="96"/>
      <c r="M24" s="42" t="str">
        <f t="shared" si="0"/>
        <v>MERKEZ KASA</v>
      </c>
      <c r="N24" s="42" t="str">
        <f t="shared" si="1"/>
        <v>Diğer Gider</v>
      </c>
      <c r="O24" s="43">
        <f t="shared" si="2"/>
        <v>46023</v>
      </c>
      <c r="P24" s="42" t="str">
        <f t="shared" si="3"/>
        <v>UYGUN</v>
      </c>
      <c r="Q24" s="22" t="str">
        <f>IF(AND(L24&lt;&gt;"",D24="Gelir",I24="Hayır"),L24&amp;"|"&amp;TEXT(COUNTIFS($L$7:L24,L24,$D$7:D24,"Gelir",$I$7:I24,"Hayır"),"000"),"")</f>
        <v/>
      </c>
      <c r="R24" s="22" t="b">
        <f>OR(COUNTIF(LST_MUSTERI_ADI,L24)&gt;0,L24=SISTEM!$C$9,L24=SISTEM!$C$10)</f>
        <v>0</v>
      </c>
    </row>
    <row r="25" spans="1:18" ht="17">
      <c r="A25" s="6"/>
      <c r="B25" s="95" t="s">
        <v>1259</v>
      </c>
      <c r="C25" s="97">
        <v>46053</v>
      </c>
      <c r="D25" s="95" t="s">
        <v>434</v>
      </c>
      <c r="E25" s="96" t="s">
        <v>1260</v>
      </c>
      <c r="F25" s="96" t="s">
        <v>1261</v>
      </c>
      <c r="G25" s="99">
        <v>1000</v>
      </c>
      <c r="H25" s="95" t="s">
        <v>618</v>
      </c>
      <c r="I25" s="95" t="s">
        <v>1224</v>
      </c>
      <c r="J25" s="95"/>
      <c r="K25" s="95"/>
      <c r="L25" s="96"/>
      <c r="M25" s="42" t="str">
        <f t="shared" si="0"/>
        <v>MERKEZ KASA</v>
      </c>
      <c r="N25" s="42" t="str">
        <f t="shared" si="1"/>
        <v>Mehmet Ali Kartal</v>
      </c>
      <c r="O25" s="43">
        <f t="shared" si="2"/>
        <v>46023</v>
      </c>
      <c r="P25" s="42" t="str">
        <f t="shared" si="3"/>
        <v>UYGUN</v>
      </c>
      <c r="Q25" s="22" t="str">
        <f>IF(AND(L25&lt;&gt;"",D25="Gelir",I25="Hayır"),L25&amp;"|"&amp;TEXT(COUNTIFS($L$7:L25,L25,$D$7:D25,"Gelir",$I$7:I25,"Hayır"),"000"),"")</f>
        <v/>
      </c>
      <c r="R25" s="22" t="b">
        <f>OR(COUNTIF(LST_MUSTERI_ADI,L25)&gt;0,L25=SISTEM!$C$9,L25=SISTEM!$C$10)</f>
        <v>0</v>
      </c>
    </row>
    <row r="26" spans="1:18" ht="34">
      <c r="A26" s="6"/>
      <c r="B26" s="95" t="s">
        <v>1262</v>
      </c>
      <c r="C26" s="97">
        <v>46054</v>
      </c>
      <c r="D26" s="95" t="s">
        <v>1263</v>
      </c>
      <c r="E26" s="96" t="s">
        <v>1264</v>
      </c>
      <c r="F26" s="96" t="s">
        <v>1265</v>
      </c>
      <c r="G26" s="99">
        <v>30000</v>
      </c>
      <c r="H26" s="95" t="s">
        <v>628</v>
      </c>
      <c r="I26" s="95" t="s">
        <v>1224</v>
      </c>
      <c r="J26" s="95"/>
      <c r="K26" s="95"/>
      <c r="L26" s="96"/>
      <c r="M26" s="42" t="str">
        <f t="shared" si="0"/>
        <v>ÖMER KARTAL</v>
      </c>
      <c r="N26" s="42" t="str">
        <f t="shared" si="1"/>
        <v>ÖMER KARTAL</v>
      </c>
      <c r="O26" s="43">
        <f t="shared" si="2"/>
        <v>46054</v>
      </c>
      <c r="P26" s="42" t="str">
        <f t="shared" si="3"/>
        <v>UYGUN</v>
      </c>
      <c r="Q26" s="22" t="str">
        <f>IF(AND(L26&lt;&gt;"",D26="Gelir",I26="Hayır"),L26&amp;"|"&amp;TEXT(COUNTIFS($L$7:L26,L26,$D$7:D26,"Gelir",$I$7:I26,"Hayır"),"000"),"")</f>
        <v/>
      </c>
      <c r="R26" s="22" t="b">
        <f>OR(COUNTIF(LST_MUSTERI_ADI,L26)&gt;0,L26=SISTEM!$C$9,L26=SISTEM!$C$10)</f>
        <v>0</v>
      </c>
    </row>
    <row r="27" spans="1:18" ht="17">
      <c r="A27" s="6"/>
      <c r="B27" s="95" t="s">
        <v>1266</v>
      </c>
      <c r="C27" s="97">
        <v>46056</v>
      </c>
      <c r="D27" s="95" t="s">
        <v>434</v>
      </c>
      <c r="E27" s="96" t="s">
        <v>1267</v>
      </c>
      <c r="F27" s="96" t="s">
        <v>1268</v>
      </c>
      <c r="G27" s="99">
        <v>40000</v>
      </c>
      <c r="H27" s="95" t="s">
        <v>618</v>
      </c>
      <c r="I27" s="95" t="s">
        <v>1224</v>
      </c>
      <c r="J27" s="95"/>
      <c r="K27" s="95"/>
      <c r="L27" s="96"/>
      <c r="M27" s="42" t="str">
        <f t="shared" si="0"/>
        <v>MERKEZ KASA</v>
      </c>
      <c r="N27" s="42" t="str">
        <f t="shared" si="1"/>
        <v>Personel</v>
      </c>
      <c r="O27" s="43">
        <f t="shared" si="2"/>
        <v>46054</v>
      </c>
      <c r="P27" s="42" t="str">
        <f t="shared" si="3"/>
        <v>UYGUN</v>
      </c>
      <c r="Q27" s="22" t="str">
        <f>IF(AND(L27&lt;&gt;"",D27="Gelir",I27="Hayır"),L27&amp;"|"&amp;TEXT(COUNTIFS($L$7:L27,L27,$D$7:D27,"Gelir",$I$7:I27,"Hayır"),"000"),"")</f>
        <v/>
      </c>
      <c r="R27" s="22" t="b">
        <f>OR(COUNTIF(LST_MUSTERI_ADI,L27)&gt;0,L27=SISTEM!$C$9,L27=SISTEM!$C$10)</f>
        <v>0</v>
      </c>
    </row>
    <row r="28" spans="1:18" ht="17">
      <c r="A28" s="6"/>
      <c r="B28" s="95" t="s">
        <v>1269</v>
      </c>
      <c r="C28" s="97">
        <v>46056</v>
      </c>
      <c r="D28" s="95" t="s">
        <v>434</v>
      </c>
      <c r="E28" s="96" t="s">
        <v>1267</v>
      </c>
      <c r="F28" s="96" t="s">
        <v>1270</v>
      </c>
      <c r="G28" s="99">
        <v>5000</v>
      </c>
      <c r="H28" s="95" t="s">
        <v>618</v>
      </c>
      <c r="I28" s="95" t="s">
        <v>1224</v>
      </c>
      <c r="J28" s="95"/>
      <c r="K28" s="95"/>
      <c r="L28" s="96"/>
      <c r="M28" s="42" t="str">
        <f t="shared" si="0"/>
        <v>MERKEZ KASA</v>
      </c>
      <c r="N28" s="42" t="str">
        <f t="shared" si="1"/>
        <v>Personel</v>
      </c>
      <c r="O28" s="43">
        <f t="shared" si="2"/>
        <v>46054</v>
      </c>
      <c r="P28" s="42" t="str">
        <f t="shared" si="3"/>
        <v>UYGUN</v>
      </c>
      <c r="Q28" s="22" t="str">
        <f>IF(AND(L28&lt;&gt;"",D28="Gelir",I28="Hayır"),L28&amp;"|"&amp;TEXT(COUNTIFS($L$7:L28,L28,$D$7:D28,"Gelir",$I$7:I28,"Hayır"),"000"),"")</f>
        <v/>
      </c>
      <c r="R28" s="22" t="b">
        <f>OR(COUNTIF(LST_MUSTERI_ADI,L28)&gt;0,L28=SISTEM!$C$9,L28=SISTEM!$C$10)</f>
        <v>0</v>
      </c>
    </row>
    <row r="29" spans="1:18" ht="17">
      <c r="A29" s="6"/>
      <c r="B29" s="95" t="s">
        <v>1271</v>
      </c>
      <c r="C29" s="97">
        <v>46056</v>
      </c>
      <c r="D29" s="95" t="s">
        <v>434</v>
      </c>
      <c r="E29" s="96" t="s">
        <v>1272</v>
      </c>
      <c r="F29" s="96" t="s">
        <v>1273</v>
      </c>
      <c r="G29" s="99">
        <v>9000</v>
      </c>
      <c r="H29" s="95" t="s">
        <v>618</v>
      </c>
      <c r="I29" s="95" t="s">
        <v>1224</v>
      </c>
      <c r="J29" s="95"/>
      <c r="K29" s="95"/>
      <c r="L29" s="96"/>
      <c r="M29" s="42" t="str">
        <f t="shared" si="0"/>
        <v>MERKEZ KASA</v>
      </c>
      <c r="N29" s="42" t="str">
        <f t="shared" si="1"/>
        <v>Vergi / Harç</v>
      </c>
      <c r="O29" s="43">
        <f t="shared" si="2"/>
        <v>46054</v>
      </c>
      <c r="P29" s="42" t="str">
        <f t="shared" si="3"/>
        <v>UYGUN</v>
      </c>
      <c r="Q29" s="22" t="str">
        <f>IF(AND(L29&lt;&gt;"",D29="Gelir",I29="Hayır"),L29&amp;"|"&amp;TEXT(COUNTIFS($L$7:L29,L29,$D$7:D29,"Gelir",$I$7:I29,"Hayır"),"000"),"")</f>
        <v/>
      </c>
      <c r="R29" s="22" t="b">
        <f>OR(COUNTIF(LST_MUSTERI_ADI,L29)&gt;0,L29=SISTEM!$C$9,L29=SISTEM!$C$10)</f>
        <v>0</v>
      </c>
    </row>
    <row r="30" spans="1:18" ht="17">
      <c r="A30" s="6"/>
      <c r="B30" s="95" t="s">
        <v>1274</v>
      </c>
      <c r="C30" s="97">
        <v>46056</v>
      </c>
      <c r="D30" s="95" t="s">
        <v>434</v>
      </c>
      <c r="E30" s="96" t="s">
        <v>1272</v>
      </c>
      <c r="F30" s="96" t="s">
        <v>1275</v>
      </c>
      <c r="G30" s="99">
        <v>11810</v>
      </c>
      <c r="H30" s="95" t="s">
        <v>618</v>
      </c>
      <c r="I30" s="95" t="s">
        <v>1224</v>
      </c>
      <c r="J30" s="95"/>
      <c r="K30" s="95"/>
      <c r="L30" s="96"/>
      <c r="M30" s="42" t="str">
        <f t="shared" si="0"/>
        <v>MERKEZ KASA</v>
      </c>
      <c r="N30" s="42" t="str">
        <f t="shared" si="1"/>
        <v>Vergi / Harç</v>
      </c>
      <c r="O30" s="43">
        <f t="shared" si="2"/>
        <v>46054</v>
      </c>
      <c r="P30" s="42" t="str">
        <f t="shared" si="3"/>
        <v>UYGUN</v>
      </c>
      <c r="Q30" s="22" t="str">
        <f>IF(AND(L30&lt;&gt;"",D30="Gelir",I30="Hayır"),L30&amp;"|"&amp;TEXT(COUNTIFS($L$7:L30,L30,$D$7:D30,"Gelir",$I$7:I30,"Hayır"),"000"),"")</f>
        <v/>
      </c>
      <c r="R30" s="22" t="b">
        <f>OR(COUNTIF(LST_MUSTERI_ADI,L30)&gt;0,L30=SISTEM!$C$9,L30=SISTEM!$C$10)</f>
        <v>0</v>
      </c>
    </row>
    <row r="31" spans="1:18" ht="17">
      <c r="A31" s="6"/>
      <c r="B31" s="95" t="s">
        <v>1276</v>
      </c>
      <c r="C31" s="97">
        <v>46056</v>
      </c>
      <c r="D31" s="95" t="s">
        <v>434</v>
      </c>
      <c r="E31" s="96" t="s">
        <v>1272</v>
      </c>
      <c r="F31" s="96" t="s">
        <v>1277</v>
      </c>
      <c r="G31" s="99">
        <v>6011</v>
      </c>
      <c r="H31" s="95" t="s">
        <v>618</v>
      </c>
      <c r="I31" s="95" t="s">
        <v>1224</v>
      </c>
      <c r="J31" s="95"/>
      <c r="K31" s="95"/>
      <c r="L31" s="96"/>
      <c r="M31" s="42" t="str">
        <f t="shared" si="0"/>
        <v>MERKEZ KASA</v>
      </c>
      <c r="N31" s="42" t="str">
        <f t="shared" si="1"/>
        <v>Vergi / Harç</v>
      </c>
      <c r="O31" s="43">
        <f t="shared" si="2"/>
        <v>46054</v>
      </c>
      <c r="P31" s="42" t="str">
        <f t="shared" si="3"/>
        <v>UYGUN</v>
      </c>
      <c r="Q31" s="22" t="str">
        <f>IF(AND(L31&lt;&gt;"",D31="Gelir",I31="Hayır"),L31&amp;"|"&amp;TEXT(COUNTIFS($L$7:L31,L31,$D$7:D31,"Gelir",$I$7:I31,"Hayır"),"000"),"")</f>
        <v/>
      </c>
      <c r="R31" s="22" t="b">
        <f>OR(COUNTIF(LST_MUSTERI_ADI,L31)&gt;0,L31=SISTEM!$C$9,L31=SISTEM!$C$10)</f>
        <v>0</v>
      </c>
    </row>
    <row r="32" spans="1:18" ht="17">
      <c r="A32" s="6"/>
      <c r="B32" s="95" t="s">
        <v>1278</v>
      </c>
      <c r="C32" s="97">
        <v>46056</v>
      </c>
      <c r="D32" s="95" t="s">
        <v>434</v>
      </c>
      <c r="E32" s="96" t="s">
        <v>1279</v>
      </c>
      <c r="F32" s="96" t="s">
        <v>1280</v>
      </c>
      <c r="G32" s="99">
        <v>14000</v>
      </c>
      <c r="H32" s="95" t="s">
        <v>618</v>
      </c>
      <c r="I32" s="95" t="s">
        <v>1224</v>
      </c>
      <c r="J32" s="95"/>
      <c r="K32" s="95"/>
      <c r="L32" s="96"/>
      <c r="M32" s="42" t="str">
        <f t="shared" si="0"/>
        <v>MERKEZ KASA</v>
      </c>
      <c r="N32" s="42" t="str">
        <f t="shared" si="1"/>
        <v>Ofis Kirası</v>
      </c>
      <c r="O32" s="43">
        <f t="shared" si="2"/>
        <v>46054</v>
      </c>
      <c r="P32" s="42" t="str">
        <f t="shared" si="3"/>
        <v>UYGUN</v>
      </c>
      <c r="Q32" s="22" t="str">
        <f>IF(AND(L32&lt;&gt;"",D32="Gelir",I32="Hayır"),L32&amp;"|"&amp;TEXT(COUNTIFS($L$7:L32,L32,$D$7:D32,"Gelir",$I$7:I32,"Hayır"),"000"),"")</f>
        <v/>
      </c>
      <c r="R32" s="22" t="b">
        <f>OR(COUNTIF(LST_MUSTERI_ADI,L32)&gt;0,L32=SISTEM!$C$9,L32=SISTEM!$C$10)</f>
        <v>0</v>
      </c>
    </row>
    <row r="33" spans="1:18" ht="17">
      <c r="A33" s="6"/>
      <c r="B33" s="95" t="s">
        <v>1281</v>
      </c>
      <c r="C33" s="97">
        <v>46056</v>
      </c>
      <c r="D33" s="95" t="s">
        <v>434</v>
      </c>
      <c r="E33" s="96" t="s">
        <v>1272</v>
      </c>
      <c r="F33" s="96" t="s">
        <v>1282</v>
      </c>
      <c r="G33" s="99">
        <v>10260.16</v>
      </c>
      <c r="H33" s="95" t="s">
        <v>618</v>
      </c>
      <c r="I33" s="95" t="s">
        <v>1224</v>
      </c>
      <c r="J33" s="95"/>
      <c r="K33" s="95"/>
      <c r="L33" s="96"/>
      <c r="M33" s="42" t="str">
        <f t="shared" si="0"/>
        <v>MERKEZ KASA</v>
      </c>
      <c r="N33" s="42" t="str">
        <f t="shared" si="1"/>
        <v>Vergi / Harç</v>
      </c>
      <c r="O33" s="43">
        <f t="shared" si="2"/>
        <v>46054</v>
      </c>
      <c r="P33" s="42" t="str">
        <f t="shared" si="3"/>
        <v>UYGUN</v>
      </c>
      <c r="Q33" s="22" t="str">
        <f>IF(AND(L33&lt;&gt;"",D33="Gelir",I33="Hayır"),L33&amp;"|"&amp;TEXT(COUNTIFS($L$7:L33,L33,$D$7:D33,"Gelir",$I$7:I33,"Hayır"),"000"),"")</f>
        <v/>
      </c>
      <c r="R33" s="22" t="b">
        <f>OR(COUNTIF(LST_MUSTERI_ADI,L33)&gt;0,L33=SISTEM!$C$9,L33=SISTEM!$C$10)</f>
        <v>0</v>
      </c>
    </row>
    <row r="34" spans="1:18" ht="17">
      <c r="A34" s="6"/>
      <c r="B34" s="95" t="s">
        <v>1283</v>
      </c>
      <c r="C34" s="97">
        <v>46056</v>
      </c>
      <c r="D34" s="95" t="s">
        <v>434</v>
      </c>
      <c r="E34" s="96" t="s">
        <v>1279</v>
      </c>
      <c r="F34" s="96" t="s">
        <v>1284</v>
      </c>
      <c r="G34" s="99">
        <v>2000</v>
      </c>
      <c r="H34" s="95" t="s">
        <v>618</v>
      </c>
      <c r="I34" s="95" t="s">
        <v>1224</v>
      </c>
      <c r="J34" s="95"/>
      <c r="K34" s="95"/>
      <c r="L34" s="96"/>
      <c r="M34" s="42" t="str">
        <f t="shared" si="0"/>
        <v>MERKEZ KASA</v>
      </c>
      <c r="N34" s="42" t="str">
        <f t="shared" si="1"/>
        <v>Ofis Kirası</v>
      </c>
      <c r="O34" s="43">
        <f t="shared" si="2"/>
        <v>46054</v>
      </c>
      <c r="P34" s="42" t="str">
        <f t="shared" si="3"/>
        <v>UYGUN</v>
      </c>
      <c r="Q34" s="22" t="str">
        <f>IF(AND(L34&lt;&gt;"",D34="Gelir",I34="Hayır"),L34&amp;"|"&amp;TEXT(COUNTIFS($L$7:L34,L34,$D$7:D34,"Gelir",$I$7:I34,"Hayır"),"000"),"")</f>
        <v/>
      </c>
      <c r="R34" s="22" t="b">
        <f>OR(COUNTIF(LST_MUSTERI_ADI,L34)&gt;0,L34=SISTEM!$C$9,L34=SISTEM!$C$10)</f>
        <v>0</v>
      </c>
    </row>
    <row r="35" spans="1:18" ht="17">
      <c r="A35" s="6"/>
      <c r="B35" s="95" t="s">
        <v>1285</v>
      </c>
      <c r="C35" s="97">
        <v>46056</v>
      </c>
      <c r="D35" s="95" t="s">
        <v>434</v>
      </c>
      <c r="E35" s="96" t="s">
        <v>1267</v>
      </c>
      <c r="F35" s="96" t="s">
        <v>1286</v>
      </c>
      <c r="G35" s="99">
        <v>4000</v>
      </c>
      <c r="H35" s="95" t="s">
        <v>618</v>
      </c>
      <c r="I35" s="95" t="s">
        <v>1224</v>
      </c>
      <c r="J35" s="95"/>
      <c r="K35" s="95"/>
      <c r="L35" s="96"/>
      <c r="M35" s="42" t="str">
        <f t="shared" si="0"/>
        <v>MERKEZ KASA</v>
      </c>
      <c r="N35" s="42" t="str">
        <f t="shared" si="1"/>
        <v>Personel</v>
      </c>
      <c r="O35" s="43">
        <f t="shared" si="2"/>
        <v>46054</v>
      </c>
      <c r="P35" s="42" t="str">
        <f t="shared" si="3"/>
        <v>UYGUN</v>
      </c>
      <c r="Q35" s="22" t="str">
        <f>IF(AND(L35&lt;&gt;"",D35="Gelir",I35="Hayır"),L35&amp;"|"&amp;TEXT(COUNTIFS($L$7:L35,L35,$D$7:D35,"Gelir",$I$7:I35,"Hayır"),"000"),"")</f>
        <v/>
      </c>
      <c r="R35" s="22" t="b">
        <f>OR(COUNTIF(LST_MUSTERI_ADI,L35)&gt;0,L35=SISTEM!$C$9,L35=SISTEM!$C$10)</f>
        <v>0</v>
      </c>
    </row>
    <row r="36" spans="1:18" ht="17">
      <c r="A36" s="6"/>
      <c r="B36" s="95" t="s">
        <v>1287</v>
      </c>
      <c r="C36" s="97">
        <v>46057</v>
      </c>
      <c r="D36" s="95" t="s">
        <v>434</v>
      </c>
      <c r="E36" s="96" t="s">
        <v>1279</v>
      </c>
      <c r="F36" s="96" t="s">
        <v>1288</v>
      </c>
      <c r="G36" s="99">
        <v>14000</v>
      </c>
      <c r="H36" s="95" t="s">
        <v>618</v>
      </c>
      <c r="I36" s="95" t="s">
        <v>1224</v>
      </c>
      <c r="J36" s="95"/>
      <c r="K36" s="95"/>
      <c r="L36" s="96"/>
      <c r="M36" s="42" t="str">
        <f t="shared" si="0"/>
        <v>MERKEZ KASA</v>
      </c>
      <c r="N36" s="42" t="str">
        <f t="shared" si="1"/>
        <v>Ofis Kirası</v>
      </c>
      <c r="O36" s="43">
        <f t="shared" si="2"/>
        <v>46054</v>
      </c>
      <c r="P36" s="42" t="str">
        <f t="shared" si="3"/>
        <v>UYGUN</v>
      </c>
      <c r="Q36" s="22" t="str">
        <f>IF(AND(L36&lt;&gt;"",D36="Gelir",I36="Hayır"),L36&amp;"|"&amp;TEXT(COUNTIFS($L$7:L36,L36,$D$7:D36,"Gelir",$I$7:I36,"Hayır"),"000"),"")</f>
        <v/>
      </c>
      <c r="R36" s="22" t="b">
        <f>OR(COUNTIF(LST_MUSTERI_ADI,L36)&gt;0,L36=SISTEM!$C$9,L36=SISTEM!$C$10)</f>
        <v>0</v>
      </c>
    </row>
    <row r="37" spans="1:18" ht="17">
      <c r="A37" s="6"/>
      <c r="B37" s="95" t="s">
        <v>1289</v>
      </c>
      <c r="C37" s="97">
        <v>46057</v>
      </c>
      <c r="D37" s="95" t="s">
        <v>434</v>
      </c>
      <c r="E37" s="96" t="s">
        <v>1279</v>
      </c>
      <c r="F37" s="96" t="s">
        <v>1290</v>
      </c>
      <c r="G37" s="99">
        <v>2000</v>
      </c>
      <c r="H37" s="95" t="s">
        <v>618</v>
      </c>
      <c r="I37" s="95" t="s">
        <v>1224</v>
      </c>
      <c r="J37" s="95"/>
      <c r="K37" s="95"/>
      <c r="L37" s="96"/>
      <c r="M37" s="42" t="str">
        <f t="shared" si="0"/>
        <v>MERKEZ KASA</v>
      </c>
      <c r="N37" s="42" t="str">
        <f t="shared" si="1"/>
        <v>Ofis Kirası</v>
      </c>
      <c r="O37" s="43">
        <f t="shared" si="2"/>
        <v>46054</v>
      </c>
      <c r="P37" s="42" t="str">
        <f t="shared" si="3"/>
        <v>UYGUN</v>
      </c>
      <c r="Q37" s="22" t="str">
        <f>IF(AND(L37&lt;&gt;"",D37="Gelir",I37="Hayır"),L37&amp;"|"&amp;TEXT(COUNTIFS($L$7:L37,L37,$D$7:D37,"Gelir",$I$7:I37,"Hayır"),"000"),"")</f>
        <v/>
      </c>
      <c r="R37" s="22" t="b">
        <f>OR(COUNTIF(LST_MUSTERI_ADI,L37)&gt;0,L37=SISTEM!$C$9,L37=SISTEM!$C$10)</f>
        <v>0</v>
      </c>
    </row>
    <row r="38" spans="1:18" ht="17">
      <c r="A38" s="6"/>
      <c r="B38" s="95" t="s">
        <v>1291</v>
      </c>
      <c r="C38" s="97">
        <v>46060</v>
      </c>
      <c r="D38" s="95" t="s">
        <v>434</v>
      </c>
      <c r="E38" s="96" t="s">
        <v>1252</v>
      </c>
      <c r="F38" s="96" t="s">
        <v>1253</v>
      </c>
      <c r="G38" s="99">
        <v>2400</v>
      </c>
      <c r="H38" s="95" t="s">
        <v>618</v>
      </c>
      <c r="I38" s="95" t="s">
        <v>1224</v>
      </c>
      <c r="J38" s="95"/>
      <c r="K38" s="95"/>
      <c r="L38" s="96"/>
      <c r="M38" s="42" t="str">
        <f t="shared" si="0"/>
        <v>MERKEZ KASA</v>
      </c>
      <c r="N38" s="42" t="str">
        <f t="shared" si="1"/>
        <v>Ulaşım</v>
      </c>
      <c r="O38" s="43">
        <f t="shared" si="2"/>
        <v>46054</v>
      </c>
      <c r="P38" s="42" t="str">
        <f t="shared" si="3"/>
        <v>UYGUN</v>
      </c>
      <c r="Q38" s="22" t="str">
        <f>IF(AND(L38&lt;&gt;"",D38="Gelir",I38="Hayır"),L38&amp;"|"&amp;TEXT(COUNTIFS($L$7:L38,L38,$D$7:D38,"Gelir",$I$7:I38,"Hayır"),"000"),"")</f>
        <v/>
      </c>
      <c r="R38" s="22" t="b">
        <f>OR(COUNTIF(LST_MUSTERI_ADI,L38)&gt;0,L38=SISTEM!$C$9,L38=SISTEM!$C$10)</f>
        <v>0</v>
      </c>
    </row>
    <row r="39" spans="1:18" ht="17">
      <c r="A39" s="6"/>
      <c r="B39" s="95" t="s">
        <v>1292</v>
      </c>
      <c r="C39" s="97">
        <v>46060</v>
      </c>
      <c r="D39" s="95" t="s">
        <v>1263</v>
      </c>
      <c r="E39" s="96" t="s">
        <v>1293</v>
      </c>
      <c r="F39" s="96" t="s">
        <v>1294</v>
      </c>
      <c r="G39" s="99">
        <v>4200</v>
      </c>
      <c r="H39" s="95" t="s">
        <v>618</v>
      </c>
      <c r="I39" s="95" t="s">
        <v>1224</v>
      </c>
      <c r="J39" s="95"/>
      <c r="K39" s="95"/>
      <c r="L39" s="96"/>
      <c r="M39" s="42" t="str">
        <f t="shared" si="0"/>
        <v>MERKEZ KASA</v>
      </c>
      <c r="N39" s="42" t="str">
        <f t="shared" si="1"/>
        <v>MERKEZ KASA</v>
      </c>
      <c r="O39" s="43">
        <f t="shared" si="2"/>
        <v>46054</v>
      </c>
      <c r="P39" s="42" t="str">
        <f t="shared" si="3"/>
        <v>UYGUN</v>
      </c>
      <c r="Q39" s="22" t="str">
        <f>IF(AND(L39&lt;&gt;"",D39="Gelir",I39="Hayır"),L39&amp;"|"&amp;TEXT(COUNTIFS($L$7:L39,L39,$D$7:D39,"Gelir",$I$7:I39,"Hayır"),"000"),"")</f>
        <v/>
      </c>
      <c r="R39" s="22" t="b">
        <f>OR(COUNTIF(LST_MUSTERI_ADI,L39)&gt;0,L39=SISTEM!$C$9,L39=SISTEM!$C$10)</f>
        <v>0</v>
      </c>
    </row>
    <row r="40" spans="1:18" ht="34">
      <c r="A40" s="6"/>
      <c r="B40" s="95" t="s">
        <v>1295</v>
      </c>
      <c r="C40" s="97">
        <v>46060</v>
      </c>
      <c r="D40" s="95" t="s">
        <v>1263</v>
      </c>
      <c r="E40" s="96" t="s">
        <v>1293</v>
      </c>
      <c r="F40" s="96" t="s">
        <v>1296</v>
      </c>
      <c r="G40" s="99">
        <v>4200</v>
      </c>
      <c r="H40" s="95" t="s">
        <v>618</v>
      </c>
      <c r="I40" s="95" t="s">
        <v>1224</v>
      </c>
      <c r="J40" s="95"/>
      <c r="K40" s="95"/>
      <c r="L40" s="96"/>
      <c r="M40" s="42" t="str">
        <f t="shared" si="0"/>
        <v>MERKEZ KASA</v>
      </c>
      <c r="N40" s="42" t="str">
        <f t="shared" si="1"/>
        <v>MERKEZ KASA</v>
      </c>
      <c r="O40" s="43">
        <f t="shared" si="2"/>
        <v>46054</v>
      </c>
      <c r="P40" s="42" t="str">
        <f t="shared" si="3"/>
        <v>UYGUN</v>
      </c>
      <c r="Q40" s="22" t="str">
        <f>IF(AND(L40&lt;&gt;"",D40="Gelir",I40="Hayır"),L40&amp;"|"&amp;TEXT(COUNTIFS($L$7:L40,L40,$D$7:D40,"Gelir",$I$7:I40,"Hayır"),"000"),"")</f>
        <v/>
      </c>
      <c r="R40" s="22" t="b">
        <f>OR(COUNTIF(LST_MUSTERI_ADI,L40)&gt;0,L40=SISTEM!$C$9,L40=SISTEM!$C$10)</f>
        <v>0</v>
      </c>
    </row>
    <row r="41" spans="1:18" ht="34">
      <c r="A41" s="6"/>
      <c r="B41" s="95" t="s">
        <v>1297</v>
      </c>
      <c r="C41" s="97">
        <v>46060</v>
      </c>
      <c r="D41" s="95" t="s">
        <v>1263</v>
      </c>
      <c r="E41" s="96" t="s">
        <v>1293</v>
      </c>
      <c r="F41" s="96" t="s">
        <v>1298</v>
      </c>
      <c r="G41" s="99">
        <v>4200</v>
      </c>
      <c r="H41" s="95" t="s">
        <v>618</v>
      </c>
      <c r="I41" s="95" t="s">
        <v>1224</v>
      </c>
      <c r="J41" s="95"/>
      <c r="K41" s="95"/>
      <c r="L41" s="96"/>
      <c r="M41" s="42" t="str">
        <f t="shared" si="0"/>
        <v>MERKEZ KASA</v>
      </c>
      <c r="N41" s="42" t="str">
        <f t="shared" si="1"/>
        <v>MERKEZ KASA</v>
      </c>
      <c r="O41" s="43">
        <f t="shared" si="2"/>
        <v>46054</v>
      </c>
      <c r="P41" s="42" t="str">
        <f t="shared" si="3"/>
        <v>UYGUN</v>
      </c>
      <c r="Q41" s="22" t="str">
        <f>IF(AND(L41&lt;&gt;"",D41="Gelir",I41="Hayır"),L41&amp;"|"&amp;TEXT(COUNTIFS($L$7:L41,L41,$D$7:D41,"Gelir",$I$7:I41,"Hayır"),"000"),"")</f>
        <v/>
      </c>
      <c r="R41" s="22" t="b">
        <f>OR(COUNTIF(LST_MUSTERI_ADI,L41)&gt;0,L41=SISTEM!$C$9,L41=SISTEM!$C$10)</f>
        <v>0</v>
      </c>
    </row>
    <row r="42" spans="1:18" ht="34">
      <c r="A42" s="6"/>
      <c r="B42" s="95" t="s">
        <v>1299</v>
      </c>
      <c r="C42" s="97">
        <v>46060</v>
      </c>
      <c r="D42" s="95" t="s">
        <v>1263</v>
      </c>
      <c r="E42" s="96" t="s">
        <v>1293</v>
      </c>
      <c r="F42" s="96" t="s">
        <v>1300</v>
      </c>
      <c r="G42" s="99">
        <v>4200</v>
      </c>
      <c r="H42" s="95" t="s">
        <v>618</v>
      </c>
      <c r="I42" s="95" t="s">
        <v>1224</v>
      </c>
      <c r="J42" s="95"/>
      <c r="K42" s="95"/>
      <c r="L42" s="96"/>
      <c r="M42" s="42" t="str">
        <f t="shared" si="0"/>
        <v>MERKEZ KASA</v>
      </c>
      <c r="N42" s="42" t="str">
        <f t="shared" si="1"/>
        <v>MERKEZ KASA</v>
      </c>
      <c r="O42" s="43">
        <f t="shared" si="2"/>
        <v>46054</v>
      </c>
      <c r="P42" s="42" t="str">
        <f t="shared" si="3"/>
        <v>UYGUN</v>
      </c>
      <c r="Q42" s="22" t="str">
        <f>IF(AND(L42&lt;&gt;"",D42="Gelir",I42="Hayır"),L42&amp;"|"&amp;TEXT(COUNTIFS($L$7:L42,L42,$D$7:D42,"Gelir",$I$7:I42,"Hayır"),"000"),"")</f>
        <v/>
      </c>
      <c r="R42" s="22" t="b">
        <f>OR(COUNTIF(LST_MUSTERI_ADI,L42)&gt;0,L42=SISTEM!$C$9,L42=SISTEM!$C$10)</f>
        <v>0</v>
      </c>
    </row>
    <row r="43" spans="1:18" ht="34">
      <c r="A43" s="6"/>
      <c r="B43" s="95" t="s">
        <v>1301</v>
      </c>
      <c r="C43" s="97">
        <v>46060</v>
      </c>
      <c r="D43" s="95" t="s">
        <v>1263</v>
      </c>
      <c r="E43" s="96" t="s">
        <v>1293</v>
      </c>
      <c r="F43" s="96" t="s">
        <v>1302</v>
      </c>
      <c r="G43" s="99">
        <v>4200</v>
      </c>
      <c r="H43" s="95" t="s">
        <v>618</v>
      </c>
      <c r="I43" s="95" t="s">
        <v>1224</v>
      </c>
      <c r="J43" s="95"/>
      <c r="K43" s="95"/>
      <c r="L43" s="96"/>
      <c r="M43" s="42" t="str">
        <f t="shared" si="0"/>
        <v>MERKEZ KASA</v>
      </c>
      <c r="N43" s="42" t="str">
        <f t="shared" si="1"/>
        <v>MERKEZ KASA</v>
      </c>
      <c r="O43" s="43">
        <f t="shared" si="2"/>
        <v>46054</v>
      </c>
      <c r="P43" s="42" t="str">
        <f t="shared" si="3"/>
        <v>UYGUN</v>
      </c>
      <c r="Q43" s="22" t="str">
        <f>IF(AND(L43&lt;&gt;"",D43="Gelir",I43="Hayır"),L43&amp;"|"&amp;TEXT(COUNTIFS($L$7:L43,L43,$D$7:D43,"Gelir",$I$7:I43,"Hayır"),"000"),"")</f>
        <v/>
      </c>
      <c r="R43" s="22" t="b">
        <f>OR(COUNTIF(LST_MUSTERI_ADI,L43)&gt;0,L43=SISTEM!$C$9,L43=SISTEM!$C$10)</f>
        <v>0</v>
      </c>
    </row>
    <row r="44" spans="1:18" ht="34">
      <c r="A44" s="6"/>
      <c r="B44" s="95" t="s">
        <v>1303</v>
      </c>
      <c r="C44" s="97">
        <v>46060</v>
      </c>
      <c r="D44" s="95" t="s">
        <v>1263</v>
      </c>
      <c r="E44" s="96" t="s">
        <v>1293</v>
      </c>
      <c r="F44" s="96" t="s">
        <v>1304</v>
      </c>
      <c r="G44" s="99">
        <v>4200</v>
      </c>
      <c r="H44" s="95" t="s">
        <v>618</v>
      </c>
      <c r="I44" s="95" t="s">
        <v>1224</v>
      </c>
      <c r="J44" s="95"/>
      <c r="K44" s="95"/>
      <c r="L44" s="96"/>
      <c r="M44" s="42" t="str">
        <f t="shared" si="0"/>
        <v>MERKEZ KASA</v>
      </c>
      <c r="N44" s="42" t="str">
        <f t="shared" si="1"/>
        <v>MERKEZ KASA</v>
      </c>
      <c r="O44" s="43">
        <f t="shared" si="2"/>
        <v>46054</v>
      </c>
      <c r="P44" s="42" t="str">
        <f t="shared" si="3"/>
        <v>UYGUN</v>
      </c>
      <c r="Q44" s="22" t="str">
        <f>IF(AND(L44&lt;&gt;"",D44="Gelir",I44="Hayır"),L44&amp;"|"&amp;TEXT(COUNTIFS($L$7:L44,L44,$D$7:D44,"Gelir",$I$7:I44,"Hayır"),"000"),"")</f>
        <v/>
      </c>
      <c r="R44" s="22" t="b">
        <f>OR(COUNTIF(LST_MUSTERI_ADI,L44)&gt;0,L44=SISTEM!$C$9,L44=SISTEM!$C$10)</f>
        <v>0</v>
      </c>
    </row>
    <row r="45" spans="1:18" ht="17">
      <c r="A45" s="6"/>
      <c r="B45" s="95" t="s">
        <v>1305</v>
      </c>
      <c r="C45" s="97">
        <v>46060</v>
      </c>
      <c r="D45" s="95" t="s">
        <v>1263</v>
      </c>
      <c r="E45" s="96" t="s">
        <v>1293</v>
      </c>
      <c r="F45" s="96" t="s">
        <v>1306</v>
      </c>
      <c r="G45" s="99">
        <v>4200</v>
      </c>
      <c r="H45" s="95" t="s">
        <v>618</v>
      </c>
      <c r="I45" s="95" t="s">
        <v>1224</v>
      </c>
      <c r="J45" s="95"/>
      <c r="K45" s="95"/>
      <c r="L45" s="96"/>
      <c r="M45" s="42" t="str">
        <f t="shared" si="0"/>
        <v>MERKEZ KASA</v>
      </c>
      <c r="N45" s="42" t="str">
        <f t="shared" si="1"/>
        <v>MERKEZ KASA</v>
      </c>
      <c r="O45" s="43">
        <f t="shared" si="2"/>
        <v>46054</v>
      </c>
      <c r="P45" s="42" t="str">
        <f t="shared" si="3"/>
        <v>UYGUN</v>
      </c>
      <c r="Q45" s="22" t="str">
        <f>IF(AND(L45&lt;&gt;"",D45="Gelir",I45="Hayır"),L45&amp;"|"&amp;TEXT(COUNTIFS($L$7:L45,L45,$D$7:D45,"Gelir",$I$7:I45,"Hayır"),"000"),"")</f>
        <v/>
      </c>
      <c r="R45" s="22" t="b">
        <f>OR(COUNTIF(LST_MUSTERI_ADI,L45)&gt;0,L45=SISTEM!$C$9,L45=SISTEM!$C$10)</f>
        <v>0</v>
      </c>
    </row>
    <row r="46" spans="1:18" ht="34">
      <c r="A46" s="6"/>
      <c r="B46" s="95" t="s">
        <v>1307</v>
      </c>
      <c r="C46" s="97">
        <v>46060</v>
      </c>
      <c r="D46" s="95" t="s">
        <v>1263</v>
      </c>
      <c r="E46" s="96" t="s">
        <v>1293</v>
      </c>
      <c r="F46" s="96" t="s">
        <v>1308</v>
      </c>
      <c r="G46" s="99">
        <v>4200</v>
      </c>
      <c r="H46" s="95" t="s">
        <v>618</v>
      </c>
      <c r="I46" s="95" t="s">
        <v>1224</v>
      </c>
      <c r="J46" s="95"/>
      <c r="K46" s="95"/>
      <c r="L46" s="96"/>
      <c r="M46" s="42" t="str">
        <f t="shared" si="0"/>
        <v>MERKEZ KASA</v>
      </c>
      <c r="N46" s="42" t="str">
        <f t="shared" si="1"/>
        <v>MERKEZ KASA</v>
      </c>
      <c r="O46" s="43">
        <f t="shared" si="2"/>
        <v>46054</v>
      </c>
      <c r="P46" s="42" t="str">
        <f t="shared" si="3"/>
        <v>UYGUN</v>
      </c>
      <c r="Q46" s="22" t="str">
        <f>IF(AND(L46&lt;&gt;"",D46="Gelir",I46="Hayır"),L46&amp;"|"&amp;TEXT(COUNTIFS($L$7:L46,L46,$D$7:D46,"Gelir",$I$7:I46,"Hayır"),"000"),"")</f>
        <v/>
      </c>
      <c r="R46" s="22" t="b">
        <f>OR(COUNTIF(LST_MUSTERI_ADI,L46)&gt;0,L46=SISTEM!$C$9,L46=SISTEM!$C$10)</f>
        <v>0</v>
      </c>
    </row>
    <row r="47" spans="1:18" ht="34">
      <c r="A47" s="6"/>
      <c r="B47" s="95" t="s">
        <v>1309</v>
      </c>
      <c r="C47" s="97">
        <v>46060</v>
      </c>
      <c r="D47" s="95" t="s">
        <v>1263</v>
      </c>
      <c r="E47" s="96" t="s">
        <v>1293</v>
      </c>
      <c r="F47" s="96" t="s">
        <v>1310</v>
      </c>
      <c r="G47" s="99">
        <v>4200</v>
      </c>
      <c r="H47" s="95" t="s">
        <v>618</v>
      </c>
      <c r="I47" s="95" t="s">
        <v>1224</v>
      </c>
      <c r="J47" s="95"/>
      <c r="K47" s="95"/>
      <c r="L47" s="96"/>
      <c r="M47" s="42" t="str">
        <f t="shared" si="0"/>
        <v>MERKEZ KASA</v>
      </c>
      <c r="N47" s="42" t="str">
        <f t="shared" si="1"/>
        <v>MERKEZ KASA</v>
      </c>
      <c r="O47" s="43">
        <f t="shared" si="2"/>
        <v>46054</v>
      </c>
      <c r="P47" s="42" t="str">
        <f t="shared" si="3"/>
        <v>UYGUN</v>
      </c>
      <c r="Q47" s="22" t="str">
        <f>IF(AND(L47&lt;&gt;"",D47="Gelir",I47="Hayır"),L47&amp;"|"&amp;TEXT(COUNTIFS($L$7:L47,L47,$D$7:D47,"Gelir",$I$7:I47,"Hayır"),"000"),"")</f>
        <v/>
      </c>
      <c r="R47" s="22" t="b">
        <f>OR(COUNTIF(LST_MUSTERI_ADI,L47)&gt;0,L47=SISTEM!$C$9,L47=SISTEM!$C$10)</f>
        <v>0</v>
      </c>
    </row>
    <row r="48" spans="1:18" ht="34">
      <c r="A48" s="6"/>
      <c r="B48" s="95" t="s">
        <v>1311</v>
      </c>
      <c r="C48" s="97">
        <v>46060</v>
      </c>
      <c r="D48" s="95" t="s">
        <v>1263</v>
      </c>
      <c r="E48" s="96" t="s">
        <v>1293</v>
      </c>
      <c r="F48" s="96" t="s">
        <v>1312</v>
      </c>
      <c r="G48" s="99">
        <v>4200</v>
      </c>
      <c r="H48" s="95" t="s">
        <v>618</v>
      </c>
      <c r="I48" s="95" t="s">
        <v>1224</v>
      </c>
      <c r="J48" s="95"/>
      <c r="K48" s="95"/>
      <c r="L48" s="96"/>
      <c r="M48" s="42" t="str">
        <f t="shared" si="0"/>
        <v>MERKEZ KASA</v>
      </c>
      <c r="N48" s="42" t="str">
        <f t="shared" si="1"/>
        <v>MERKEZ KASA</v>
      </c>
      <c r="O48" s="43">
        <f t="shared" si="2"/>
        <v>46054</v>
      </c>
      <c r="P48" s="42" t="str">
        <f t="shared" si="3"/>
        <v>UYGUN</v>
      </c>
      <c r="Q48" s="22" t="str">
        <f>IF(AND(L48&lt;&gt;"",D48="Gelir",I48="Hayır"),L48&amp;"|"&amp;TEXT(COUNTIFS($L$7:L48,L48,$D$7:D48,"Gelir",$I$7:I48,"Hayır"),"000"),"")</f>
        <v/>
      </c>
      <c r="R48" s="22" t="b">
        <f>OR(COUNTIF(LST_MUSTERI_ADI,L48)&gt;0,L48=SISTEM!$C$9,L48=SISTEM!$C$10)</f>
        <v>0</v>
      </c>
    </row>
    <row r="49" spans="1:18" ht="17">
      <c r="A49" s="6"/>
      <c r="B49" s="95" t="s">
        <v>1313</v>
      </c>
      <c r="C49" s="97">
        <v>46060</v>
      </c>
      <c r="D49" s="95" t="s">
        <v>1263</v>
      </c>
      <c r="E49" s="96" t="s">
        <v>1293</v>
      </c>
      <c r="F49" s="96" t="s">
        <v>1314</v>
      </c>
      <c r="G49" s="99">
        <v>4200</v>
      </c>
      <c r="H49" s="95" t="s">
        <v>618</v>
      </c>
      <c r="I49" s="95" t="s">
        <v>1224</v>
      </c>
      <c r="J49" s="95"/>
      <c r="K49" s="95"/>
      <c r="L49" s="96"/>
      <c r="M49" s="42" t="str">
        <f t="shared" si="0"/>
        <v>MERKEZ KASA</v>
      </c>
      <c r="N49" s="42" t="str">
        <f t="shared" si="1"/>
        <v>MERKEZ KASA</v>
      </c>
      <c r="O49" s="43">
        <f t="shared" si="2"/>
        <v>46054</v>
      </c>
      <c r="P49" s="42" t="str">
        <f t="shared" si="3"/>
        <v>UYGUN</v>
      </c>
      <c r="Q49" s="22" t="str">
        <f>IF(AND(L49&lt;&gt;"",D49="Gelir",I49="Hayır"),L49&amp;"|"&amp;TEXT(COUNTIFS($L$7:L49,L49,$D$7:D49,"Gelir",$I$7:I49,"Hayır"),"000"),"")</f>
        <v/>
      </c>
      <c r="R49" s="22" t="b">
        <f>OR(COUNTIF(LST_MUSTERI_ADI,L49)&gt;0,L49=SISTEM!$C$9,L49=SISTEM!$C$10)</f>
        <v>0</v>
      </c>
    </row>
    <row r="50" spans="1:18" ht="17">
      <c r="A50" s="6"/>
      <c r="B50" s="95" t="s">
        <v>1315</v>
      </c>
      <c r="C50" s="97">
        <v>46062</v>
      </c>
      <c r="D50" s="95" t="s">
        <v>434</v>
      </c>
      <c r="E50" s="96" t="s">
        <v>1255</v>
      </c>
      <c r="F50" s="96" t="s">
        <v>1316</v>
      </c>
      <c r="G50" s="99">
        <v>499.3</v>
      </c>
      <c r="H50" s="95" t="s">
        <v>618</v>
      </c>
      <c r="I50" s="95" t="s">
        <v>1224</v>
      </c>
      <c r="J50" s="95"/>
      <c r="K50" s="95"/>
      <c r="L50" s="96"/>
      <c r="M50" s="42" t="str">
        <f t="shared" si="0"/>
        <v>MERKEZ KASA</v>
      </c>
      <c r="N50" s="42" t="str">
        <f t="shared" si="1"/>
        <v>Temsil / Ağırlama</v>
      </c>
      <c r="O50" s="43">
        <f t="shared" si="2"/>
        <v>46054</v>
      </c>
      <c r="P50" s="42" t="str">
        <f t="shared" si="3"/>
        <v>UYGUN</v>
      </c>
      <c r="Q50" s="22" t="str">
        <f>IF(AND(L50&lt;&gt;"",D50="Gelir",I50="Hayır"),L50&amp;"|"&amp;TEXT(COUNTIFS($L$7:L50,L50,$D$7:D50,"Gelir",$I$7:I50,"Hayır"),"000"),"")</f>
        <v/>
      </c>
      <c r="R50" s="22" t="b">
        <f>OR(COUNTIF(LST_MUSTERI_ADI,L50)&gt;0,L50=SISTEM!$C$9,L50=SISTEM!$C$10)</f>
        <v>0</v>
      </c>
    </row>
    <row r="51" spans="1:18" ht="17">
      <c r="A51" s="6"/>
      <c r="B51" s="95" t="s">
        <v>1317</v>
      </c>
      <c r="C51" s="97">
        <v>46062</v>
      </c>
      <c r="D51" s="95" t="s">
        <v>1263</v>
      </c>
      <c r="E51" s="96" t="s">
        <v>1318</v>
      </c>
      <c r="F51" s="96" t="s">
        <v>1318</v>
      </c>
      <c r="G51" s="99">
        <v>7500</v>
      </c>
      <c r="H51" s="95" t="s">
        <v>618</v>
      </c>
      <c r="I51" s="95" t="s">
        <v>1224</v>
      </c>
      <c r="J51" s="95"/>
      <c r="K51" s="95"/>
      <c r="L51" s="96"/>
      <c r="M51" s="42" t="str">
        <f t="shared" si="0"/>
        <v>MERKEZ KASA</v>
      </c>
      <c r="N51" s="42" t="str">
        <f t="shared" si="1"/>
        <v>MERKEZ KASA</v>
      </c>
      <c r="O51" s="43">
        <f t="shared" si="2"/>
        <v>46054</v>
      </c>
      <c r="P51" s="42" t="str">
        <f t="shared" si="3"/>
        <v>UYGUN</v>
      </c>
      <c r="Q51" s="22" t="str">
        <f>IF(AND(L51&lt;&gt;"",D51="Gelir",I51="Hayır"),L51&amp;"|"&amp;TEXT(COUNTIFS($L$7:L51,L51,$D$7:D51,"Gelir",$I$7:I51,"Hayır"),"000"),"")</f>
        <v/>
      </c>
      <c r="R51" s="22" t="b">
        <f>OR(COUNTIF(LST_MUSTERI_ADI,L51)&gt;0,L51=SISTEM!$C$9,L51=SISTEM!$C$10)</f>
        <v>0</v>
      </c>
    </row>
    <row r="52" spans="1:18" ht="17">
      <c r="A52" s="6"/>
      <c r="B52" s="95" t="s">
        <v>1319</v>
      </c>
      <c r="C52" s="97">
        <v>46064</v>
      </c>
      <c r="D52" s="95" t="s">
        <v>434</v>
      </c>
      <c r="E52" s="96" t="s">
        <v>1255</v>
      </c>
      <c r="F52" s="96" t="s">
        <v>1320</v>
      </c>
      <c r="G52" s="99">
        <v>300</v>
      </c>
      <c r="H52" s="95" t="s">
        <v>618</v>
      </c>
      <c r="I52" s="95" t="s">
        <v>1224</v>
      </c>
      <c r="J52" s="95"/>
      <c r="K52" s="95"/>
      <c r="L52" s="96"/>
      <c r="M52" s="42" t="str">
        <f t="shared" si="0"/>
        <v>MERKEZ KASA</v>
      </c>
      <c r="N52" s="42" t="str">
        <f t="shared" si="1"/>
        <v>Temsil / Ağırlama</v>
      </c>
      <c r="O52" s="43">
        <f t="shared" si="2"/>
        <v>46054</v>
      </c>
      <c r="P52" s="42" t="str">
        <f t="shared" si="3"/>
        <v>UYGUN</v>
      </c>
      <c r="Q52" s="22" t="str">
        <f>IF(AND(L52&lt;&gt;"",D52="Gelir",I52="Hayır"),L52&amp;"|"&amp;TEXT(COUNTIFS($L$7:L52,L52,$D$7:D52,"Gelir",$I$7:I52,"Hayır"),"000"),"")</f>
        <v/>
      </c>
      <c r="R52" s="22" t="b">
        <f>OR(COUNTIF(LST_MUSTERI_ADI,L52)&gt;0,L52=SISTEM!$C$9,L52=SISTEM!$C$10)</f>
        <v>0</v>
      </c>
    </row>
    <row r="53" spans="1:18" ht="17">
      <c r="A53" s="6"/>
      <c r="B53" s="95" t="s">
        <v>1321</v>
      </c>
      <c r="C53" s="97">
        <v>46064</v>
      </c>
      <c r="D53" s="95" t="s">
        <v>434</v>
      </c>
      <c r="E53" s="96" t="s">
        <v>1255</v>
      </c>
      <c r="F53" s="96" t="s">
        <v>1322</v>
      </c>
      <c r="G53" s="99">
        <v>1530</v>
      </c>
      <c r="H53" s="95" t="s">
        <v>618</v>
      </c>
      <c r="I53" s="95" t="s">
        <v>1224</v>
      </c>
      <c r="J53" s="95"/>
      <c r="K53" s="95"/>
      <c r="L53" s="96"/>
      <c r="M53" s="42" t="str">
        <f t="shared" si="0"/>
        <v>MERKEZ KASA</v>
      </c>
      <c r="N53" s="42" t="str">
        <f t="shared" si="1"/>
        <v>Temsil / Ağırlama</v>
      </c>
      <c r="O53" s="43">
        <f t="shared" si="2"/>
        <v>46054</v>
      </c>
      <c r="P53" s="42" t="str">
        <f t="shared" si="3"/>
        <v>UYGUN</v>
      </c>
      <c r="Q53" s="22" t="str">
        <f>IF(AND(L53&lt;&gt;"",D53="Gelir",I53="Hayır"),L53&amp;"|"&amp;TEXT(COUNTIFS($L$7:L53,L53,$D$7:D53,"Gelir",$I$7:I53,"Hayır"),"000"),"")</f>
        <v/>
      </c>
      <c r="R53" s="22" t="b">
        <f>OR(COUNTIF(LST_MUSTERI_ADI,L53)&gt;0,L53=SISTEM!$C$9,L53=SISTEM!$C$10)</f>
        <v>0</v>
      </c>
    </row>
    <row r="54" spans="1:18" ht="17">
      <c r="A54" s="6"/>
      <c r="B54" s="95" t="s">
        <v>1323</v>
      </c>
      <c r="C54" s="97">
        <v>46067</v>
      </c>
      <c r="D54" s="95" t="s">
        <v>434</v>
      </c>
      <c r="E54" s="96" t="s">
        <v>1255</v>
      </c>
      <c r="F54" s="96" t="s">
        <v>1324</v>
      </c>
      <c r="G54" s="99">
        <v>930</v>
      </c>
      <c r="H54" s="95" t="s">
        <v>618</v>
      </c>
      <c r="I54" s="95" t="s">
        <v>1224</v>
      </c>
      <c r="J54" s="95"/>
      <c r="K54" s="95"/>
      <c r="L54" s="96"/>
      <c r="M54" s="42" t="str">
        <f t="shared" si="0"/>
        <v>MERKEZ KASA</v>
      </c>
      <c r="N54" s="42" t="str">
        <f t="shared" si="1"/>
        <v>Temsil / Ağırlama</v>
      </c>
      <c r="O54" s="43">
        <f t="shared" si="2"/>
        <v>46054</v>
      </c>
      <c r="P54" s="42" t="str">
        <f t="shared" si="3"/>
        <v>UYGUN</v>
      </c>
      <c r="Q54" s="22" t="str">
        <f>IF(AND(L54&lt;&gt;"",D54="Gelir",I54="Hayır"),L54&amp;"|"&amp;TEXT(COUNTIFS($L$7:L54,L54,$D$7:D54,"Gelir",$I$7:I54,"Hayır"),"000"),"")</f>
        <v/>
      </c>
      <c r="R54" s="22" t="b">
        <f>OR(COUNTIF(LST_MUSTERI_ADI,L54)&gt;0,L54=SISTEM!$C$9,L54=SISTEM!$C$10)</f>
        <v>0</v>
      </c>
    </row>
    <row r="55" spans="1:18" ht="17">
      <c r="A55" s="6"/>
      <c r="B55" s="95" t="s">
        <v>1325</v>
      </c>
      <c r="C55" s="97">
        <v>46067</v>
      </c>
      <c r="D55" s="95" t="s">
        <v>434</v>
      </c>
      <c r="E55" s="96" t="s">
        <v>1252</v>
      </c>
      <c r="F55" s="96" t="s">
        <v>1326</v>
      </c>
      <c r="G55" s="99">
        <v>800</v>
      </c>
      <c r="H55" s="95" t="s">
        <v>618</v>
      </c>
      <c r="I55" s="95" t="s">
        <v>1224</v>
      </c>
      <c r="J55" s="95"/>
      <c r="K55" s="95"/>
      <c r="L55" s="96"/>
      <c r="M55" s="42" t="str">
        <f t="shared" si="0"/>
        <v>MERKEZ KASA</v>
      </c>
      <c r="N55" s="42" t="str">
        <f t="shared" si="1"/>
        <v>Ulaşım</v>
      </c>
      <c r="O55" s="43">
        <f t="shared" si="2"/>
        <v>46054</v>
      </c>
      <c r="P55" s="42" t="str">
        <f t="shared" si="3"/>
        <v>UYGUN</v>
      </c>
      <c r="Q55" s="22" t="str">
        <f>IF(AND(L55&lt;&gt;"",D55="Gelir",I55="Hayır"),L55&amp;"|"&amp;TEXT(COUNTIFS($L$7:L55,L55,$D$7:D55,"Gelir",$I$7:I55,"Hayır"),"000"),"")</f>
        <v/>
      </c>
      <c r="R55" s="22" t="b">
        <f>OR(COUNTIF(LST_MUSTERI_ADI,L55)&gt;0,L55=SISTEM!$C$9,L55=SISTEM!$C$10)</f>
        <v>0</v>
      </c>
    </row>
    <row r="56" spans="1:18" ht="17">
      <c r="A56" s="6"/>
      <c r="B56" s="95" t="s">
        <v>1327</v>
      </c>
      <c r="C56" s="97">
        <v>46069</v>
      </c>
      <c r="D56" s="95" t="s">
        <v>434</v>
      </c>
      <c r="E56" s="96" t="s">
        <v>1237</v>
      </c>
      <c r="F56" s="96" t="s">
        <v>1328</v>
      </c>
      <c r="G56" s="99">
        <v>800</v>
      </c>
      <c r="H56" s="95" t="s">
        <v>618</v>
      </c>
      <c r="I56" s="95" t="s">
        <v>1224</v>
      </c>
      <c r="J56" s="95"/>
      <c r="K56" s="95"/>
      <c r="L56" s="96"/>
      <c r="M56" s="42" t="str">
        <f t="shared" si="0"/>
        <v>MERKEZ KASA</v>
      </c>
      <c r="N56" s="42" t="str">
        <f t="shared" si="1"/>
        <v>Telefon / İnternet</v>
      </c>
      <c r="O56" s="43">
        <f t="shared" si="2"/>
        <v>46054</v>
      </c>
      <c r="P56" s="42" t="str">
        <f t="shared" si="3"/>
        <v>UYGUN</v>
      </c>
      <c r="Q56" s="22" t="str">
        <f>IF(AND(L56&lt;&gt;"",D56="Gelir",I56="Hayır"),L56&amp;"|"&amp;TEXT(COUNTIFS($L$7:L56,L56,$D$7:D56,"Gelir",$I$7:I56,"Hayır"),"000"),"")</f>
        <v/>
      </c>
      <c r="R56" s="22" t="b">
        <f>OR(COUNTIF(LST_MUSTERI_ADI,L56)&gt;0,L56=SISTEM!$C$9,L56=SISTEM!$C$10)</f>
        <v>0</v>
      </c>
    </row>
    <row r="57" spans="1:18" ht="17">
      <c r="A57" s="6"/>
      <c r="B57" s="95" t="s">
        <v>1329</v>
      </c>
      <c r="C57" s="97">
        <v>46070</v>
      </c>
      <c r="D57" s="95" t="s">
        <v>434</v>
      </c>
      <c r="E57" s="96" t="s">
        <v>1255</v>
      </c>
      <c r="F57" s="96" t="s">
        <v>1330</v>
      </c>
      <c r="G57" s="99">
        <v>2400</v>
      </c>
      <c r="H57" s="95" t="s">
        <v>618</v>
      </c>
      <c r="I57" s="95" t="s">
        <v>1224</v>
      </c>
      <c r="J57" s="95"/>
      <c r="K57" s="95"/>
      <c r="L57" s="96"/>
      <c r="M57" s="42" t="str">
        <f t="shared" si="0"/>
        <v>MERKEZ KASA</v>
      </c>
      <c r="N57" s="42" t="str">
        <f t="shared" si="1"/>
        <v>Temsil / Ağırlama</v>
      </c>
      <c r="O57" s="43">
        <f t="shared" si="2"/>
        <v>46054</v>
      </c>
      <c r="P57" s="42" t="str">
        <f t="shared" si="3"/>
        <v>UYGUN</v>
      </c>
      <c r="Q57" s="22" t="str">
        <f>IF(AND(L57&lt;&gt;"",D57="Gelir",I57="Hayır"),L57&amp;"|"&amp;TEXT(COUNTIFS($L$7:L57,L57,$D$7:D57,"Gelir",$I$7:I57,"Hayır"),"000"),"")</f>
        <v/>
      </c>
      <c r="R57" s="22" t="b">
        <f>OR(COUNTIF(LST_MUSTERI_ADI,L57)&gt;0,L57=SISTEM!$C$9,L57=SISTEM!$C$10)</f>
        <v>0</v>
      </c>
    </row>
    <row r="58" spans="1:18" ht="17">
      <c r="A58" s="6"/>
      <c r="B58" s="95" t="s">
        <v>1331</v>
      </c>
      <c r="C58" s="97">
        <v>46070</v>
      </c>
      <c r="D58" s="95" t="s">
        <v>1263</v>
      </c>
      <c r="E58" s="96" t="s">
        <v>1264</v>
      </c>
      <c r="F58" s="96" t="s">
        <v>1332</v>
      </c>
      <c r="G58" s="99">
        <v>12000</v>
      </c>
      <c r="H58" s="95" t="s">
        <v>618</v>
      </c>
      <c r="I58" s="95" t="s">
        <v>1224</v>
      </c>
      <c r="J58" s="95"/>
      <c r="K58" s="95"/>
      <c r="L58" s="96"/>
      <c r="M58" s="42" t="str">
        <f t="shared" si="0"/>
        <v>MERKEZ KASA</v>
      </c>
      <c r="N58" s="42" t="str">
        <f t="shared" si="1"/>
        <v>MERKEZ KASA</v>
      </c>
      <c r="O58" s="43">
        <f t="shared" si="2"/>
        <v>46054</v>
      </c>
      <c r="P58" s="42" t="str">
        <f t="shared" si="3"/>
        <v>UYGUN</v>
      </c>
      <c r="Q58" s="22" t="str">
        <f>IF(AND(L58&lt;&gt;"",D58="Gelir",I58="Hayır"),L58&amp;"|"&amp;TEXT(COUNTIFS($L$7:L58,L58,$D$7:D58,"Gelir",$I$7:I58,"Hayır"),"000"),"")</f>
        <v/>
      </c>
      <c r="R58" s="22" t="b">
        <f>OR(COUNTIF(LST_MUSTERI_ADI,L58)&gt;0,L58=SISTEM!$C$9,L58=SISTEM!$C$10)</f>
        <v>0</v>
      </c>
    </row>
    <row r="59" spans="1:18" ht="17">
      <c r="A59" s="6"/>
      <c r="B59" s="95" t="s">
        <v>1333</v>
      </c>
      <c r="C59" s="97">
        <v>46071</v>
      </c>
      <c r="D59" s="95" t="s">
        <v>434</v>
      </c>
      <c r="E59" s="96" t="s">
        <v>1267</v>
      </c>
      <c r="F59" s="96" t="s">
        <v>1334</v>
      </c>
      <c r="G59" s="99">
        <v>5000</v>
      </c>
      <c r="H59" s="95" t="s">
        <v>618</v>
      </c>
      <c r="I59" s="95" t="s">
        <v>1224</v>
      </c>
      <c r="J59" s="95"/>
      <c r="K59" s="95"/>
      <c r="L59" s="96"/>
      <c r="M59" s="42" t="str">
        <f t="shared" si="0"/>
        <v>MERKEZ KASA</v>
      </c>
      <c r="N59" s="42" t="str">
        <f t="shared" si="1"/>
        <v>Personel</v>
      </c>
      <c r="O59" s="43">
        <f t="shared" si="2"/>
        <v>46054</v>
      </c>
      <c r="P59" s="42" t="str">
        <f t="shared" si="3"/>
        <v>UYGUN</v>
      </c>
      <c r="Q59" s="22" t="str">
        <f>IF(AND(L59&lt;&gt;"",D59="Gelir",I59="Hayır"),L59&amp;"|"&amp;TEXT(COUNTIFS($L$7:L59,L59,$D$7:D59,"Gelir",$I$7:I59,"Hayır"),"000"),"")</f>
        <v/>
      </c>
      <c r="R59" s="22" t="b">
        <f>OR(COUNTIF(LST_MUSTERI_ADI,L59)&gt;0,L59=SISTEM!$C$9,L59=SISTEM!$C$10)</f>
        <v>0</v>
      </c>
    </row>
    <row r="60" spans="1:18" ht="17">
      <c r="A60" s="6"/>
      <c r="B60" s="95" t="s">
        <v>1335</v>
      </c>
      <c r="C60" s="97">
        <v>46072</v>
      </c>
      <c r="D60" s="95" t="s">
        <v>434</v>
      </c>
      <c r="E60" s="96" t="s">
        <v>1272</v>
      </c>
      <c r="F60" s="96" t="s">
        <v>1336</v>
      </c>
      <c r="G60" s="99">
        <v>136439.57999999999</v>
      </c>
      <c r="H60" s="95" t="s">
        <v>618</v>
      </c>
      <c r="I60" s="95" t="s">
        <v>1224</v>
      </c>
      <c r="J60" s="95"/>
      <c r="K60" s="95"/>
      <c r="L60" s="96"/>
      <c r="M60" s="42" t="str">
        <f t="shared" si="0"/>
        <v>MERKEZ KASA</v>
      </c>
      <c r="N60" s="42" t="str">
        <f t="shared" si="1"/>
        <v>Vergi / Harç</v>
      </c>
      <c r="O60" s="43">
        <f t="shared" si="2"/>
        <v>46054</v>
      </c>
      <c r="P60" s="42" t="str">
        <f t="shared" si="3"/>
        <v>UYGUN</v>
      </c>
      <c r="Q60" s="22" t="str">
        <f>IF(AND(L60&lt;&gt;"",D60="Gelir",I60="Hayır"),L60&amp;"|"&amp;TEXT(COUNTIFS($L$7:L60,L60,$D$7:D60,"Gelir",$I$7:I60,"Hayır"),"000"),"")</f>
        <v/>
      </c>
      <c r="R60" s="22" t="b">
        <f>OR(COUNTIF(LST_MUSTERI_ADI,L60)&gt;0,L60=SISTEM!$C$9,L60=SISTEM!$C$10)</f>
        <v>0</v>
      </c>
    </row>
    <row r="61" spans="1:18" ht="17">
      <c r="A61" s="6"/>
      <c r="B61" s="95" t="s">
        <v>1337</v>
      </c>
      <c r="C61" s="97">
        <v>46072</v>
      </c>
      <c r="D61" s="95" t="s">
        <v>434</v>
      </c>
      <c r="E61" s="96" t="s">
        <v>1272</v>
      </c>
      <c r="F61" s="96" t="s">
        <v>1338</v>
      </c>
      <c r="G61" s="99">
        <v>1088.1500000000001</v>
      </c>
      <c r="H61" s="95" t="s">
        <v>618</v>
      </c>
      <c r="I61" s="95" t="s">
        <v>1224</v>
      </c>
      <c r="J61" s="95"/>
      <c r="K61" s="95"/>
      <c r="L61" s="96"/>
      <c r="M61" s="42" t="str">
        <f t="shared" si="0"/>
        <v>MERKEZ KASA</v>
      </c>
      <c r="N61" s="42" t="str">
        <f t="shared" si="1"/>
        <v>Vergi / Harç</v>
      </c>
      <c r="O61" s="43">
        <f t="shared" si="2"/>
        <v>46054</v>
      </c>
      <c r="P61" s="42" t="str">
        <f t="shared" si="3"/>
        <v>UYGUN</v>
      </c>
      <c r="Q61" s="22" t="str">
        <f>IF(AND(L61&lt;&gt;"",D61="Gelir",I61="Hayır"),L61&amp;"|"&amp;TEXT(COUNTIFS($L$7:L61,L61,$D$7:D61,"Gelir",$I$7:I61,"Hayır"),"000"),"")</f>
        <v/>
      </c>
      <c r="R61" s="22" t="b">
        <f>OR(COUNTIF(LST_MUSTERI_ADI,L61)&gt;0,L61=SISTEM!$C$9,L61=SISTEM!$C$10)</f>
        <v>0</v>
      </c>
    </row>
    <row r="62" spans="1:18" ht="34">
      <c r="A62" s="6"/>
      <c r="B62" s="95" t="s">
        <v>1339</v>
      </c>
      <c r="C62" s="97">
        <v>46077</v>
      </c>
      <c r="D62" s="95" t="s">
        <v>1263</v>
      </c>
      <c r="E62" s="96" t="s">
        <v>1264</v>
      </c>
      <c r="F62" s="96" t="s">
        <v>1340</v>
      </c>
      <c r="G62" s="99">
        <v>1500</v>
      </c>
      <c r="H62" s="95" t="s">
        <v>618</v>
      </c>
      <c r="I62" s="95" t="s">
        <v>1224</v>
      </c>
      <c r="J62" s="95"/>
      <c r="K62" s="95"/>
      <c r="L62" s="96"/>
      <c r="M62" s="42" t="str">
        <f t="shared" si="0"/>
        <v>MERKEZ KASA</v>
      </c>
      <c r="N62" s="42" t="str">
        <f t="shared" si="1"/>
        <v>MERKEZ KASA</v>
      </c>
      <c r="O62" s="43">
        <f t="shared" si="2"/>
        <v>46054</v>
      </c>
      <c r="P62" s="42" t="str">
        <f t="shared" si="3"/>
        <v>UYGUN</v>
      </c>
      <c r="Q62" s="22" t="str">
        <f>IF(AND(L62&lt;&gt;"",D62="Gelir",I62="Hayır"),L62&amp;"|"&amp;TEXT(COUNTIFS($L$7:L62,L62,$D$7:D62,"Gelir",$I$7:I62,"Hayır"),"000"),"")</f>
        <v/>
      </c>
      <c r="R62" s="22" t="b">
        <f>OR(COUNTIF(LST_MUSTERI_ADI,L62)&gt;0,L62=SISTEM!$C$9,L62=SISTEM!$C$10)</f>
        <v>0</v>
      </c>
    </row>
    <row r="63" spans="1:18" ht="17">
      <c r="A63" s="6"/>
      <c r="B63" s="95" t="s">
        <v>1341</v>
      </c>
      <c r="C63" s="97">
        <v>46081</v>
      </c>
      <c r="D63" s="95" t="s">
        <v>434</v>
      </c>
      <c r="E63" s="96" t="s">
        <v>1272</v>
      </c>
      <c r="F63" s="96" t="s">
        <v>1342</v>
      </c>
      <c r="G63" s="99">
        <v>11810</v>
      </c>
      <c r="H63" s="95" t="s">
        <v>618</v>
      </c>
      <c r="I63" s="95" t="s">
        <v>1224</v>
      </c>
      <c r="J63" s="95"/>
      <c r="K63" s="95"/>
      <c r="L63" s="96"/>
      <c r="M63" s="42" t="str">
        <f t="shared" si="0"/>
        <v>MERKEZ KASA</v>
      </c>
      <c r="N63" s="42" t="str">
        <f t="shared" si="1"/>
        <v>Vergi / Harç</v>
      </c>
      <c r="O63" s="43">
        <f t="shared" si="2"/>
        <v>46054</v>
      </c>
      <c r="P63" s="42" t="str">
        <f t="shared" si="3"/>
        <v>UYGUN</v>
      </c>
      <c r="Q63" s="22" t="str">
        <f>IF(AND(L63&lt;&gt;"",D63="Gelir",I63="Hayır"),L63&amp;"|"&amp;TEXT(COUNTIFS($L$7:L63,L63,$D$7:D63,"Gelir",$I$7:I63,"Hayır"),"000"),"")</f>
        <v/>
      </c>
      <c r="R63" s="22" t="b">
        <f>OR(COUNTIF(LST_MUSTERI_ADI,L63)&gt;0,L63=SISTEM!$C$9,L63=SISTEM!$C$10)</f>
        <v>0</v>
      </c>
    </row>
    <row r="64" spans="1:18" ht="17">
      <c r="A64" s="6"/>
      <c r="B64" s="95" t="s">
        <v>1343</v>
      </c>
      <c r="C64" s="97">
        <v>46083</v>
      </c>
      <c r="D64" s="95" t="s">
        <v>434</v>
      </c>
      <c r="E64" s="96" t="s">
        <v>1267</v>
      </c>
      <c r="F64" s="96" t="s">
        <v>1344</v>
      </c>
      <c r="G64" s="99">
        <v>10000</v>
      </c>
      <c r="H64" s="95" t="s">
        <v>618</v>
      </c>
      <c r="I64" s="95" t="s">
        <v>1224</v>
      </c>
      <c r="J64" s="95"/>
      <c r="K64" s="95"/>
      <c r="L64" s="96"/>
      <c r="M64" s="42" t="str">
        <f t="shared" si="0"/>
        <v>MERKEZ KASA</v>
      </c>
      <c r="N64" s="42" t="str">
        <f t="shared" si="1"/>
        <v>Personel</v>
      </c>
      <c r="O64" s="43">
        <f t="shared" si="2"/>
        <v>46082</v>
      </c>
      <c r="P64" s="42" t="str">
        <f t="shared" si="3"/>
        <v>UYGUN</v>
      </c>
      <c r="Q64" s="22" t="str">
        <f>IF(AND(L64&lt;&gt;"",D64="Gelir",I64="Hayır"),L64&amp;"|"&amp;TEXT(COUNTIFS($L$7:L64,L64,$D$7:D64,"Gelir",$I$7:I64,"Hayır"),"000"),"")</f>
        <v/>
      </c>
      <c r="R64" s="22" t="b">
        <f>OR(COUNTIF(LST_MUSTERI_ADI,L64)&gt;0,L64=SISTEM!$C$9,L64=SISTEM!$C$10)</f>
        <v>0</v>
      </c>
    </row>
    <row r="65" spans="1:18" ht="17">
      <c r="A65" s="6"/>
      <c r="B65" s="95" t="s">
        <v>1345</v>
      </c>
      <c r="C65" s="97">
        <v>46083</v>
      </c>
      <c r="D65" s="95" t="s">
        <v>434</v>
      </c>
      <c r="E65" s="96" t="s">
        <v>1255</v>
      </c>
      <c r="F65" s="96" t="s">
        <v>1346</v>
      </c>
      <c r="G65" s="99">
        <v>1500</v>
      </c>
      <c r="H65" s="95" t="s">
        <v>618</v>
      </c>
      <c r="I65" s="95" t="s">
        <v>1224</v>
      </c>
      <c r="J65" s="95"/>
      <c r="K65" s="95"/>
      <c r="L65" s="96"/>
      <c r="M65" s="42" t="str">
        <f t="shared" si="0"/>
        <v>MERKEZ KASA</v>
      </c>
      <c r="N65" s="42" t="str">
        <f t="shared" si="1"/>
        <v>Temsil / Ağırlama</v>
      </c>
      <c r="O65" s="43">
        <f t="shared" si="2"/>
        <v>46082</v>
      </c>
      <c r="P65" s="42" t="str">
        <f t="shared" si="3"/>
        <v>UYGUN</v>
      </c>
      <c r="Q65" s="22" t="str">
        <f>IF(AND(L65&lt;&gt;"",D65="Gelir",I65="Hayır"),L65&amp;"|"&amp;TEXT(COUNTIFS($L$7:L65,L65,$D$7:D65,"Gelir",$I$7:I65,"Hayır"),"000"),"")</f>
        <v/>
      </c>
      <c r="R65" s="22" t="b">
        <f>OR(COUNTIF(LST_MUSTERI_ADI,L65)&gt;0,L65=SISTEM!$C$9,L65=SISTEM!$C$10)</f>
        <v>0</v>
      </c>
    </row>
    <row r="66" spans="1:18" ht="17">
      <c r="A66" s="6"/>
      <c r="B66" s="95" t="s">
        <v>1347</v>
      </c>
      <c r="C66" s="97">
        <v>46083</v>
      </c>
      <c r="D66" s="95" t="s">
        <v>434</v>
      </c>
      <c r="E66" s="96" t="s">
        <v>1234</v>
      </c>
      <c r="F66" s="96" t="s">
        <v>1234</v>
      </c>
      <c r="G66" s="99">
        <v>100</v>
      </c>
      <c r="H66" s="95" t="s">
        <v>618</v>
      </c>
      <c r="I66" s="95" t="s">
        <v>1224</v>
      </c>
      <c r="J66" s="95"/>
      <c r="K66" s="95"/>
      <c r="L66" s="96"/>
      <c r="M66" s="42" t="str">
        <f t="shared" si="0"/>
        <v>MERKEZ KASA</v>
      </c>
      <c r="N66" s="42" t="str">
        <f t="shared" si="1"/>
        <v>Kırtasiye</v>
      </c>
      <c r="O66" s="43">
        <f t="shared" si="2"/>
        <v>46082</v>
      </c>
      <c r="P66" s="42" t="str">
        <f t="shared" si="3"/>
        <v>UYGUN</v>
      </c>
      <c r="Q66" s="22" t="str">
        <f>IF(AND(L66&lt;&gt;"",D66="Gelir",I66="Hayır"),L66&amp;"|"&amp;TEXT(COUNTIFS($L$7:L66,L66,$D$7:D66,"Gelir",$I$7:I66,"Hayır"),"000"),"")</f>
        <v/>
      </c>
      <c r="R66" s="22" t="b">
        <f>OR(COUNTIF(LST_MUSTERI_ADI,L66)&gt;0,L66=SISTEM!$C$9,L66=SISTEM!$C$10)</f>
        <v>0</v>
      </c>
    </row>
    <row r="67" spans="1:18" ht="17">
      <c r="A67" s="6"/>
      <c r="B67" s="95" t="s">
        <v>1348</v>
      </c>
      <c r="C67" s="97">
        <v>46083</v>
      </c>
      <c r="D67" s="95" t="s">
        <v>434</v>
      </c>
      <c r="E67" s="96" t="s">
        <v>1255</v>
      </c>
      <c r="F67" s="96" t="s">
        <v>1349</v>
      </c>
      <c r="G67" s="99">
        <v>860</v>
      </c>
      <c r="H67" s="95" t="s">
        <v>618</v>
      </c>
      <c r="I67" s="95" t="s">
        <v>1224</v>
      </c>
      <c r="J67" s="95"/>
      <c r="K67" s="95"/>
      <c r="L67" s="96"/>
      <c r="M67" s="42" t="str">
        <f t="shared" si="0"/>
        <v>MERKEZ KASA</v>
      </c>
      <c r="N67" s="42" t="str">
        <f t="shared" si="1"/>
        <v>Temsil / Ağırlama</v>
      </c>
      <c r="O67" s="43">
        <f t="shared" si="2"/>
        <v>46082</v>
      </c>
      <c r="P67" s="42" t="str">
        <f t="shared" si="3"/>
        <v>UYGUN</v>
      </c>
      <c r="Q67" s="22" t="str">
        <f>IF(AND(L67&lt;&gt;"",D67="Gelir",I67="Hayır"),L67&amp;"|"&amp;TEXT(COUNTIFS($L$7:L67,L67,$D$7:D67,"Gelir",$I$7:I67,"Hayır"),"000"),"")</f>
        <v/>
      </c>
      <c r="R67" s="22" t="b">
        <f>OR(COUNTIF(LST_MUSTERI_ADI,L67)&gt;0,L67=SISTEM!$C$9,L67=SISTEM!$C$10)</f>
        <v>0</v>
      </c>
    </row>
    <row r="68" spans="1:18" ht="17">
      <c r="A68" s="6"/>
      <c r="B68" s="95" t="s">
        <v>1350</v>
      </c>
      <c r="C68" s="97">
        <v>46083</v>
      </c>
      <c r="D68" s="95" t="s">
        <v>434</v>
      </c>
      <c r="E68" s="96" t="s">
        <v>1255</v>
      </c>
      <c r="F68" s="96" t="s">
        <v>1351</v>
      </c>
      <c r="G68" s="99">
        <v>380</v>
      </c>
      <c r="H68" s="95" t="s">
        <v>618</v>
      </c>
      <c r="I68" s="95" t="s">
        <v>1224</v>
      </c>
      <c r="J68" s="95"/>
      <c r="K68" s="95"/>
      <c r="L68" s="96"/>
      <c r="M68" s="42" t="str">
        <f t="shared" si="0"/>
        <v>MERKEZ KASA</v>
      </c>
      <c r="N68" s="42" t="str">
        <f t="shared" si="1"/>
        <v>Temsil / Ağırlama</v>
      </c>
      <c r="O68" s="43">
        <f t="shared" si="2"/>
        <v>46082</v>
      </c>
      <c r="P68" s="42" t="str">
        <f t="shared" si="3"/>
        <v>UYGUN</v>
      </c>
      <c r="Q68" s="22" t="str">
        <f>IF(AND(L68&lt;&gt;"",D68="Gelir",I68="Hayır"),L68&amp;"|"&amp;TEXT(COUNTIFS($L$7:L68,L68,$D$7:D68,"Gelir",$I$7:I68,"Hayır"),"000"),"")</f>
        <v/>
      </c>
      <c r="R68" s="22" t="b">
        <f>OR(COUNTIF(LST_MUSTERI_ADI,L68)&gt;0,L68=SISTEM!$C$9,L68=SISTEM!$C$10)</f>
        <v>0</v>
      </c>
    </row>
    <row r="69" spans="1:18" ht="17">
      <c r="A69" s="6"/>
      <c r="B69" s="95" t="s">
        <v>1352</v>
      </c>
      <c r="C69" s="97">
        <v>46083</v>
      </c>
      <c r="D69" s="95" t="s">
        <v>434</v>
      </c>
      <c r="E69" s="96" t="s">
        <v>1237</v>
      </c>
      <c r="F69" s="96" t="s">
        <v>1353</v>
      </c>
      <c r="G69" s="99">
        <v>610</v>
      </c>
      <c r="H69" s="95" t="s">
        <v>618</v>
      </c>
      <c r="I69" s="95" t="s">
        <v>1224</v>
      </c>
      <c r="J69" s="95"/>
      <c r="K69" s="95"/>
      <c r="L69" s="96"/>
      <c r="M69" s="42" t="str">
        <f t="shared" si="0"/>
        <v>MERKEZ KASA</v>
      </c>
      <c r="N69" s="42" t="str">
        <f t="shared" si="1"/>
        <v>Telefon / İnternet</v>
      </c>
      <c r="O69" s="43">
        <f t="shared" si="2"/>
        <v>46082</v>
      </c>
      <c r="P69" s="42" t="str">
        <f t="shared" si="3"/>
        <v>UYGUN</v>
      </c>
      <c r="Q69" s="22" t="str">
        <f>IF(AND(L69&lt;&gt;"",D69="Gelir",I69="Hayır"),L69&amp;"|"&amp;TEXT(COUNTIFS($L$7:L69,L69,$D$7:D69,"Gelir",$I$7:I69,"Hayır"),"000"),"")</f>
        <v/>
      </c>
      <c r="R69" s="22" t="b">
        <f>OR(COUNTIF(LST_MUSTERI_ADI,L69)&gt;0,L69=SISTEM!$C$9,L69=SISTEM!$C$10)</f>
        <v>0</v>
      </c>
    </row>
    <row r="70" spans="1:18" ht="17">
      <c r="A70" s="6"/>
      <c r="B70" s="95" t="s">
        <v>1354</v>
      </c>
      <c r="C70" s="97">
        <v>46088</v>
      </c>
      <c r="D70" s="95" t="s">
        <v>434</v>
      </c>
      <c r="E70" s="96" t="s">
        <v>1252</v>
      </c>
      <c r="F70" s="96" t="s">
        <v>1253</v>
      </c>
      <c r="G70" s="99">
        <v>2000</v>
      </c>
      <c r="H70" s="95" t="s">
        <v>618</v>
      </c>
      <c r="I70" s="95" t="s">
        <v>1224</v>
      </c>
      <c r="J70" s="95"/>
      <c r="K70" s="95"/>
      <c r="L70" s="96"/>
      <c r="M70" s="42" t="str">
        <f t="shared" si="0"/>
        <v>MERKEZ KASA</v>
      </c>
      <c r="N70" s="42" t="str">
        <f t="shared" si="1"/>
        <v>Ulaşım</v>
      </c>
      <c r="O70" s="43">
        <f t="shared" si="2"/>
        <v>46082</v>
      </c>
      <c r="P70" s="42" t="str">
        <f t="shared" si="3"/>
        <v>UYGUN</v>
      </c>
      <c r="Q70" s="22" t="str">
        <f>IF(AND(L70&lt;&gt;"",D70="Gelir",I70="Hayır"),L70&amp;"|"&amp;TEXT(COUNTIFS($L$7:L70,L70,$D$7:D70,"Gelir",$I$7:I70,"Hayır"),"000"),"")</f>
        <v/>
      </c>
      <c r="R70" s="22" t="b">
        <f>OR(COUNTIF(LST_MUSTERI_ADI,L70)&gt;0,L70=SISTEM!$C$9,L70=SISTEM!$C$10)</f>
        <v>0</v>
      </c>
    </row>
    <row r="71" spans="1:18" ht="17">
      <c r="A71" s="6"/>
      <c r="B71" s="95" t="s">
        <v>1355</v>
      </c>
      <c r="C71" s="97">
        <v>46088</v>
      </c>
      <c r="D71" s="95" t="s">
        <v>1263</v>
      </c>
      <c r="E71" s="96" t="s">
        <v>1356</v>
      </c>
      <c r="F71" s="96" t="s">
        <v>1357</v>
      </c>
      <c r="G71" s="99">
        <v>20000</v>
      </c>
      <c r="H71" s="95" t="s">
        <v>618</v>
      </c>
      <c r="I71" s="95" t="s">
        <v>1224</v>
      </c>
      <c r="J71" s="95"/>
      <c r="K71" s="95"/>
      <c r="L71" s="96"/>
      <c r="M71" s="42" t="str">
        <f t="shared" ref="M71:M134" si="4">IF(C71="","",IF(D71="Gider",IF(H71&lt;&gt;"",H71,"CARİ MAHSUP"),IF(L71&lt;&gt;"",L71,H71)))</f>
        <v>MERKEZ KASA</v>
      </c>
      <c r="N71" s="42" t="str">
        <f t="shared" ref="N71:N134" si="5">IF(C71="","",IF(D71="Gider",E71,IF(H71&lt;&gt;"",H71,E71)))</f>
        <v>MERKEZ KASA</v>
      </c>
      <c r="O71" s="43">
        <f t="shared" ref="O71:O134" si="6">IF(C71="","",DATE(YEAR(C71),MONTH(C71),1))</f>
        <v>46082</v>
      </c>
      <c r="P71" s="42" t="str">
        <f t="shared" ref="P71:P134" si="7">IF(C71="","",IF(OR(D71="",E71="",G71=""),"EKSİK",IF(AND(D71="Gelir",I71="Hayır",L71&lt;&gt;""),IF(R71,"TAHAKKUK","TANIMSIZ BORÇLU"),IF(AND(D71="Gelir",I71="Evet",L71&lt;&gt;""),"TAHAKKUK NAKİT OLAMAZ",IF(AND(D71="Gelir",I71="Hayır",H71&lt;&gt;""),"NAKİTSİZDE KASA OLMAZ","UYGUN")))))</f>
        <v>UYGUN</v>
      </c>
      <c r="Q71" s="22" t="str">
        <f>IF(AND(L71&lt;&gt;"",D71="Gelir",I71="Hayır"),L71&amp;"|"&amp;TEXT(COUNTIFS($L$7:L71,L71,$D$7:D71,"Gelir",$I$7:I71,"Hayır"),"000"),"")</f>
        <v/>
      </c>
      <c r="R71" s="22" t="b">
        <f>OR(COUNTIF(LST_MUSTERI_ADI,L71)&gt;0,L71=SISTEM!$C$9,L71=SISTEM!$C$10)</f>
        <v>0</v>
      </c>
    </row>
    <row r="72" spans="1:18" ht="17">
      <c r="A72" s="6"/>
      <c r="B72" s="95" t="s">
        <v>1358</v>
      </c>
      <c r="C72" s="97">
        <v>46090</v>
      </c>
      <c r="D72" s="95" t="s">
        <v>434</v>
      </c>
      <c r="E72" s="96" t="s">
        <v>1267</v>
      </c>
      <c r="F72" s="96" t="s">
        <v>1359</v>
      </c>
      <c r="G72" s="99">
        <v>5000</v>
      </c>
      <c r="H72" s="95" t="s">
        <v>618</v>
      </c>
      <c r="I72" s="95" t="s">
        <v>1224</v>
      </c>
      <c r="J72" s="95"/>
      <c r="K72" s="95"/>
      <c r="L72" s="96"/>
      <c r="M72" s="42" t="str">
        <f t="shared" si="4"/>
        <v>MERKEZ KASA</v>
      </c>
      <c r="N72" s="42" t="str">
        <f t="shared" si="5"/>
        <v>Personel</v>
      </c>
      <c r="O72" s="43">
        <f t="shared" si="6"/>
        <v>46082</v>
      </c>
      <c r="P72" s="42" t="str">
        <f t="shared" si="7"/>
        <v>UYGUN</v>
      </c>
      <c r="Q72" s="22" t="str">
        <f>IF(AND(L72&lt;&gt;"",D72="Gelir",I72="Hayır"),L72&amp;"|"&amp;TEXT(COUNTIFS($L$7:L72,L72,$D$7:D72,"Gelir",$I$7:I72,"Hayır"),"000"),"")</f>
        <v/>
      </c>
      <c r="R72" s="22" t="b">
        <f>OR(COUNTIF(LST_MUSTERI_ADI,L72)&gt;0,L72=SISTEM!$C$9,L72=SISTEM!$C$10)</f>
        <v>0</v>
      </c>
    </row>
    <row r="73" spans="1:18" ht="17">
      <c r="A73" s="6"/>
      <c r="B73" s="95" t="s">
        <v>1360</v>
      </c>
      <c r="C73" s="97">
        <v>46090</v>
      </c>
      <c r="D73" s="95" t="s">
        <v>434</v>
      </c>
      <c r="E73" s="96" t="s">
        <v>1279</v>
      </c>
      <c r="F73" s="96" t="s">
        <v>1361</v>
      </c>
      <c r="G73" s="99">
        <v>14000</v>
      </c>
      <c r="H73" s="95" t="s">
        <v>618</v>
      </c>
      <c r="I73" s="95" t="s">
        <v>1224</v>
      </c>
      <c r="J73" s="95"/>
      <c r="K73" s="95"/>
      <c r="L73" s="96"/>
      <c r="M73" s="42" t="str">
        <f t="shared" si="4"/>
        <v>MERKEZ KASA</v>
      </c>
      <c r="N73" s="42" t="str">
        <f t="shared" si="5"/>
        <v>Ofis Kirası</v>
      </c>
      <c r="O73" s="43">
        <f t="shared" si="6"/>
        <v>46082</v>
      </c>
      <c r="P73" s="42" t="str">
        <f t="shared" si="7"/>
        <v>UYGUN</v>
      </c>
      <c r="Q73" s="22" t="str">
        <f>IF(AND(L73&lt;&gt;"",D73="Gelir",I73="Hayır"),L73&amp;"|"&amp;TEXT(COUNTIFS($L$7:L73,L73,$D$7:D73,"Gelir",$I$7:I73,"Hayır"),"000"),"")</f>
        <v/>
      </c>
      <c r="R73" s="22" t="b">
        <f>OR(COUNTIF(LST_MUSTERI_ADI,L73)&gt;0,L73=SISTEM!$C$9,L73=SISTEM!$C$10)</f>
        <v>0</v>
      </c>
    </row>
    <row r="74" spans="1:18" ht="17">
      <c r="A74" s="6"/>
      <c r="B74" s="95" t="s">
        <v>1362</v>
      </c>
      <c r="C74" s="97">
        <v>46090</v>
      </c>
      <c r="D74" s="95" t="s">
        <v>434</v>
      </c>
      <c r="E74" s="96" t="s">
        <v>1279</v>
      </c>
      <c r="F74" s="96" t="s">
        <v>1363</v>
      </c>
      <c r="G74" s="99">
        <v>2000</v>
      </c>
      <c r="H74" s="95" t="s">
        <v>618</v>
      </c>
      <c r="I74" s="95" t="s">
        <v>1224</v>
      </c>
      <c r="J74" s="95"/>
      <c r="K74" s="95"/>
      <c r="L74" s="96"/>
      <c r="M74" s="42" t="str">
        <f t="shared" si="4"/>
        <v>MERKEZ KASA</v>
      </c>
      <c r="N74" s="42" t="str">
        <f t="shared" si="5"/>
        <v>Ofis Kirası</v>
      </c>
      <c r="O74" s="43">
        <f t="shared" si="6"/>
        <v>46082</v>
      </c>
      <c r="P74" s="42" t="str">
        <f t="shared" si="7"/>
        <v>UYGUN</v>
      </c>
      <c r="Q74" s="22" t="str">
        <f>IF(AND(L74&lt;&gt;"",D74="Gelir",I74="Hayır"),L74&amp;"|"&amp;TEXT(COUNTIFS($L$7:L74,L74,$D$7:D74,"Gelir",$I$7:I74,"Hayır"),"000"),"")</f>
        <v/>
      </c>
      <c r="R74" s="22" t="b">
        <f>OR(COUNTIF(LST_MUSTERI_ADI,L74)&gt;0,L74=SISTEM!$C$9,L74=SISTEM!$C$10)</f>
        <v>0</v>
      </c>
    </row>
    <row r="75" spans="1:18" ht="17">
      <c r="A75" s="6"/>
      <c r="B75" s="95" t="s">
        <v>1364</v>
      </c>
      <c r="C75" s="97">
        <v>46090</v>
      </c>
      <c r="D75" s="95" t="s">
        <v>434</v>
      </c>
      <c r="E75" s="96" t="s">
        <v>1237</v>
      </c>
      <c r="F75" s="96" t="s">
        <v>1365</v>
      </c>
      <c r="G75" s="99">
        <v>764</v>
      </c>
      <c r="H75" s="95" t="s">
        <v>618</v>
      </c>
      <c r="I75" s="95" t="s">
        <v>1224</v>
      </c>
      <c r="J75" s="95"/>
      <c r="K75" s="95"/>
      <c r="L75" s="96"/>
      <c r="M75" s="42" t="str">
        <f t="shared" si="4"/>
        <v>MERKEZ KASA</v>
      </c>
      <c r="N75" s="42" t="str">
        <f t="shared" si="5"/>
        <v>Telefon / İnternet</v>
      </c>
      <c r="O75" s="43">
        <f t="shared" si="6"/>
        <v>46082</v>
      </c>
      <c r="P75" s="42" t="str">
        <f t="shared" si="7"/>
        <v>UYGUN</v>
      </c>
      <c r="Q75" s="22" t="str">
        <f>IF(AND(L75&lt;&gt;"",D75="Gelir",I75="Hayır"),L75&amp;"|"&amp;TEXT(COUNTIFS($L$7:L75,L75,$D$7:D75,"Gelir",$I$7:I75,"Hayır"),"000"),"")</f>
        <v/>
      </c>
      <c r="R75" s="22" t="b">
        <f>OR(COUNTIF(LST_MUSTERI_ADI,L75)&gt;0,L75=SISTEM!$C$9,L75=SISTEM!$C$10)</f>
        <v>0</v>
      </c>
    </row>
    <row r="76" spans="1:18" ht="34">
      <c r="A76" s="6"/>
      <c r="B76" s="95" t="s">
        <v>1366</v>
      </c>
      <c r="C76" s="97">
        <v>46090</v>
      </c>
      <c r="D76" s="95" t="s">
        <v>434</v>
      </c>
      <c r="E76" s="96" t="s">
        <v>1367</v>
      </c>
      <c r="F76" s="96" t="s">
        <v>1368</v>
      </c>
      <c r="G76" s="99">
        <v>20000</v>
      </c>
      <c r="H76" s="95" t="s">
        <v>618</v>
      </c>
      <c r="I76" s="95" t="s">
        <v>1224</v>
      </c>
      <c r="J76" s="95"/>
      <c r="K76" s="95"/>
      <c r="L76" s="96"/>
      <c r="M76" s="42" t="str">
        <f t="shared" si="4"/>
        <v>MERKEZ KASA</v>
      </c>
      <c r="N76" s="42" t="str">
        <f t="shared" si="5"/>
        <v>Demirbaş</v>
      </c>
      <c r="O76" s="43">
        <f t="shared" si="6"/>
        <v>46082</v>
      </c>
      <c r="P76" s="42" t="str">
        <f t="shared" si="7"/>
        <v>UYGUN</v>
      </c>
      <c r="Q76" s="22" t="str">
        <f>IF(AND(L76&lt;&gt;"",D76="Gelir",I76="Hayır"),L76&amp;"|"&amp;TEXT(COUNTIFS($L$7:L76,L76,$D$7:D76,"Gelir",$I$7:I76,"Hayır"),"000"),"")</f>
        <v/>
      </c>
      <c r="R76" s="22" t="b">
        <f>OR(COUNTIF(LST_MUSTERI_ADI,L76)&gt;0,L76=SISTEM!$C$9,L76=SISTEM!$C$10)</f>
        <v>0</v>
      </c>
    </row>
    <row r="77" spans="1:18" ht="17">
      <c r="A77" s="6"/>
      <c r="B77" s="95" t="s">
        <v>1369</v>
      </c>
      <c r="C77" s="97">
        <v>46090</v>
      </c>
      <c r="D77" s="95" t="s">
        <v>434</v>
      </c>
      <c r="E77" s="96" t="s">
        <v>1267</v>
      </c>
      <c r="F77" s="96" t="s">
        <v>1370</v>
      </c>
      <c r="G77" s="99">
        <v>5000</v>
      </c>
      <c r="H77" s="95" t="s">
        <v>618</v>
      </c>
      <c r="I77" s="95" t="s">
        <v>1224</v>
      </c>
      <c r="J77" s="95"/>
      <c r="K77" s="95"/>
      <c r="L77" s="96"/>
      <c r="M77" s="42" t="str">
        <f t="shared" si="4"/>
        <v>MERKEZ KASA</v>
      </c>
      <c r="N77" s="42" t="str">
        <f t="shared" si="5"/>
        <v>Personel</v>
      </c>
      <c r="O77" s="43">
        <f t="shared" si="6"/>
        <v>46082</v>
      </c>
      <c r="P77" s="42" t="str">
        <f t="shared" si="7"/>
        <v>UYGUN</v>
      </c>
      <c r="Q77" s="22" t="str">
        <f>IF(AND(L77&lt;&gt;"",D77="Gelir",I77="Hayır"),L77&amp;"|"&amp;TEXT(COUNTIFS($L$7:L77,L77,$D$7:D77,"Gelir",$I$7:I77,"Hayır"),"000"),"")</f>
        <v/>
      </c>
      <c r="R77" s="22" t="b">
        <f>OR(COUNTIF(LST_MUSTERI_ADI,L77)&gt;0,L77=SISTEM!$C$9,L77=SISTEM!$C$10)</f>
        <v>0</v>
      </c>
    </row>
    <row r="78" spans="1:18" ht="17">
      <c r="A78" s="6"/>
      <c r="B78" s="95" t="s">
        <v>1371</v>
      </c>
      <c r="C78" s="97">
        <v>46095</v>
      </c>
      <c r="D78" s="95" t="s">
        <v>1263</v>
      </c>
      <c r="E78" s="96" t="s">
        <v>1264</v>
      </c>
      <c r="F78" s="96" t="s">
        <v>1372</v>
      </c>
      <c r="G78" s="99">
        <v>30000</v>
      </c>
      <c r="H78" s="95" t="s">
        <v>618</v>
      </c>
      <c r="I78" s="95" t="s">
        <v>1224</v>
      </c>
      <c r="J78" s="95"/>
      <c r="K78" s="95"/>
      <c r="L78" s="96"/>
      <c r="M78" s="42" t="str">
        <f t="shared" si="4"/>
        <v>MERKEZ KASA</v>
      </c>
      <c r="N78" s="42" t="str">
        <f t="shared" si="5"/>
        <v>MERKEZ KASA</v>
      </c>
      <c r="O78" s="43">
        <f t="shared" si="6"/>
        <v>46082</v>
      </c>
      <c r="P78" s="42" t="str">
        <f t="shared" si="7"/>
        <v>UYGUN</v>
      </c>
      <c r="Q78" s="22" t="str">
        <f>IF(AND(L78&lt;&gt;"",D78="Gelir",I78="Hayır"),L78&amp;"|"&amp;TEXT(COUNTIFS($L$7:L78,L78,$D$7:D78,"Gelir",$I$7:I78,"Hayır"),"000"),"")</f>
        <v/>
      </c>
      <c r="R78" s="22" t="b">
        <f>OR(COUNTIF(LST_MUSTERI_ADI,L78)&gt;0,L78=SISTEM!$C$9,L78=SISTEM!$C$10)</f>
        <v>0</v>
      </c>
    </row>
    <row r="79" spans="1:18" ht="17">
      <c r="A79" s="6"/>
      <c r="B79" s="95" t="s">
        <v>1373</v>
      </c>
      <c r="C79" s="97">
        <v>46096</v>
      </c>
      <c r="D79" s="95" t="s">
        <v>434</v>
      </c>
      <c r="E79" s="96" t="s">
        <v>1252</v>
      </c>
      <c r="F79" s="96" t="s">
        <v>1374</v>
      </c>
      <c r="G79" s="99">
        <v>4000</v>
      </c>
      <c r="H79" s="95" t="s">
        <v>618</v>
      </c>
      <c r="I79" s="95" t="s">
        <v>1224</v>
      </c>
      <c r="J79" s="95"/>
      <c r="K79" s="95"/>
      <c r="L79" s="96"/>
      <c r="M79" s="42" t="str">
        <f t="shared" si="4"/>
        <v>MERKEZ KASA</v>
      </c>
      <c r="N79" s="42" t="str">
        <f t="shared" si="5"/>
        <v>Ulaşım</v>
      </c>
      <c r="O79" s="43">
        <f t="shared" si="6"/>
        <v>46082</v>
      </c>
      <c r="P79" s="42" t="str">
        <f t="shared" si="7"/>
        <v>UYGUN</v>
      </c>
      <c r="Q79" s="22" t="str">
        <f>IF(AND(L79&lt;&gt;"",D79="Gelir",I79="Hayır"),L79&amp;"|"&amp;TEXT(COUNTIFS($L$7:L79,L79,$D$7:D79,"Gelir",$I$7:I79,"Hayır"),"000"),"")</f>
        <v/>
      </c>
      <c r="R79" s="22" t="b">
        <f>OR(COUNTIF(LST_MUSTERI_ADI,L79)&gt;0,L79=SISTEM!$C$9,L79=SISTEM!$C$10)</f>
        <v>0</v>
      </c>
    </row>
    <row r="80" spans="1:18" ht="17">
      <c r="A80" s="6"/>
      <c r="B80" s="95" t="s">
        <v>1375</v>
      </c>
      <c r="C80" s="97">
        <v>46096</v>
      </c>
      <c r="D80" s="95" t="s">
        <v>434</v>
      </c>
      <c r="E80" s="96" t="s">
        <v>1237</v>
      </c>
      <c r="F80" s="96" t="s">
        <v>1376</v>
      </c>
      <c r="G80" s="99">
        <v>800</v>
      </c>
      <c r="H80" s="95" t="s">
        <v>618</v>
      </c>
      <c r="I80" s="95" t="s">
        <v>1224</v>
      </c>
      <c r="J80" s="95"/>
      <c r="K80" s="95"/>
      <c r="L80" s="96"/>
      <c r="M80" s="42" t="str">
        <f t="shared" si="4"/>
        <v>MERKEZ KASA</v>
      </c>
      <c r="N80" s="42" t="str">
        <f t="shared" si="5"/>
        <v>Telefon / İnternet</v>
      </c>
      <c r="O80" s="43">
        <f t="shared" si="6"/>
        <v>46082</v>
      </c>
      <c r="P80" s="42" t="str">
        <f t="shared" si="7"/>
        <v>UYGUN</v>
      </c>
      <c r="Q80" s="22" t="str">
        <f>IF(AND(L80&lt;&gt;"",D80="Gelir",I80="Hayır"),L80&amp;"|"&amp;TEXT(COUNTIFS($L$7:L80,L80,$D$7:D80,"Gelir",$I$7:I80,"Hayır"),"000"),"")</f>
        <v/>
      </c>
      <c r="R80" s="22" t="b">
        <f>OR(COUNTIF(LST_MUSTERI_ADI,L80)&gt;0,L80=SISTEM!$C$9,L80=SISTEM!$C$10)</f>
        <v>0</v>
      </c>
    </row>
    <row r="81" spans="1:18" ht="17">
      <c r="A81" s="6"/>
      <c r="B81" s="95" t="s">
        <v>1377</v>
      </c>
      <c r="C81" s="97">
        <v>46103</v>
      </c>
      <c r="D81" s="95" t="s">
        <v>434</v>
      </c>
      <c r="E81" s="96" t="s">
        <v>1252</v>
      </c>
      <c r="F81" s="96" t="s">
        <v>1378</v>
      </c>
      <c r="G81" s="99">
        <v>4000</v>
      </c>
      <c r="H81" s="95" t="s">
        <v>618</v>
      </c>
      <c r="I81" s="95" t="s">
        <v>1224</v>
      </c>
      <c r="J81" s="95"/>
      <c r="K81" s="95"/>
      <c r="L81" s="96"/>
      <c r="M81" s="42" t="str">
        <f t="shared" si="4"/>
        <v>MERKEZ KASA</v>
      </c>
      <c r="N81" s="42" t="str">
        <f t="shared" si="5"/>
        <v>Ulaşım</v>
      </c>
      <c r="O81" s="43">
        <f t="shared" si="6"/>
        <v>46082</v>
      </c>
      <c r="P81" s="42" t="str">
        <f t="shared" si="7"/>
        <v>UYGUN</v>
      </c>
      <c r="Q81" s="22" t="str">
        <f>IF(AND(L81&lt;&gt;"",D81="Gelir",I81="Hayır"),L81&amp;"|"&amp;TEXT(COUNTIFS($L$7:L81,L81,$D$7:D81,"Gelir",$I$7:I81,"Hayır"),"000"),"")</f>
        <v/>
      </c>
      <c r="R81" s="22" t="b">
        <f>OR(COUNTIF(LST_MUSTERI_ADI,L81)&gt;0,L81=SISTEM!$C$9,L81=SISTEM!$C$10)</f>
        <v>0</v>
      </c>
    </row>
    <row r="82" spans="1:18" ht="17">
      <c r="A82" s="6"/>
      <c r="B82" s="95" t="s">
        <v>1379</v>
      </c>
      <c r="C82" s="97">
        <v>46106</v>
      </c>
      <c r="D82" s="95" t="s">
        <v>434</v>
      </c>
      <c r="E82" s="96" t="s">
        <v>1255</v>
      </c>
      <c r="F82" s="96" t="s">
        <v>1380</v>
      </c>
      <c r="G82" s="99">
        <v>420</v>
      </c>
      <c r="H82" s="95" t="s">
        <v>618</v>
      </c>
      <c r="I82" s="95" t="s">
        <v>1224</v>
      </c>
      <c r="J82" s="95"/>
      <c r="K82" s="95"/>
      <c r="L82" s="96"/>
      <c r="M82" s="42" t="str">
        <f t="shared" si="4"/>
        <v>MERKEZ KASA</v>
      </c>
      <c r="N82" s="42" t="str">
        <f t="shared" si="5"/>
        <v>Temsil / Ağırlama</v>
      </c>
      <c r="O82" s="43">
        <f t="shared" si="6"/>
        <v>46082</v>
      </c>
      <c r="P82" s="42" t="str">
        <f t="shared" si="7"/>
        <v>UYGUN</v>
      </c>
      <c r="Q82" s="22" t="str">
        <f>IF(AND(L82&lt;&gt;"",D82="Gelir",I82="Hayır"),L82&amp;"|"&amp;TEXT(COUNTIFS($L$7:L82,L82,$D$7:D82,"Gelir",$I$7:I82,"Hayır"),"000"),"")</f>
        <v/>
      </c>
      <c r="R82" s="22" t="b">
        <f>OR(COUNTIF(LST_MUSTERI_ADI,L82)&gt;0,L82=SISTEM!$C$9,L82=SISTEM!$C$10)</f>
        <v>0</v>
      </c>
    </row>
    <row r="83" spans="1:18" ht="17">
      <c r="A83" s="6"/>
      <c r="B83" s="95" t="s">
        <v>1381</v>
      </c>
      <c r="C83" s="97">
        <v>46107</v>
      </c>
      <c r="D83" s="95" t="s">
        <v>434</v>
      </c>
      <c r="E83" s="96" t="s">
        <v>1255</v>
      </c>
      <c r="F83" s="96" t="s">
        <v>1382</v>
      </c>
      <c r="G83" s="99">
        <v>450</v>
      </c>
      <c r="H83" s="95" t="s">
        <v>618</v>
      </c>
      <c r="I83" s="95" t="s">
        <v>1224</v>
      </c>
      <c r="J83" s="95"/>
      <c r="K83" s="95"/>
      <c r="L83" s="96"/>
      <c r="M83" s="42" t="str">
        <f t="shared" si="4"/>
        <v>MERKEZ KASA</v>
      </c>
      <c r="N83" s="42" t="str">
        <f t="shared" si="5"/>
        <v>Temsil / Ağırlama</v>
      </c>
      <c r="O83" s="43">
        <f t="shared" si="6"/>
        <v>46082</v>
      </c>
      <c r="P83" s="42" t="str">
        <f t="shared" si="7"/>
        <v>UYGUN</v>
      </c>
      <c r="Q83" s="22" t="str">
        <f>IF(AND(L83&lt;&gt;"",D83="Gelir",I83="Hayır"),L83&amp;"|"&amp;TEXT(COUNTIFS($L$7:L83,L83,$D$7:D83,"Gelir",$I$7:I83,"Hayır"),"000"),"")</f>
        <v/>
      </c>
      <c r="R83" s="22" t="b">
        <f>OR(COUNTIF(LST_MUSTERI_ADI,L83)&gt;0,L83=SISTEM!$C$9,L83=SISTEM!$C$10)</f>
        <v>0</v>
      </c>
    </row>
    <row r="84" spans="1:18" ht="17">
      <c r="A84" s="6"/>
      <c r="B84" s="95" t="s">
        <v>1383</v>
      </c>
      <c r="C84" s="97">
        <v>46111</v>
      </c>
      <c r="D84" s="95" t="s">
        <v>434</v>
      </c>
      <c r="E84" s="96" t="s">
        <v>1267</v>
      </c>
      <c r="F84" s="96" t="s">
        <v>1384</v>
      </c>
      <c r="G84" s="99">
        <v>45000</v>
      </c>
      <c r="H84" s="95" t="s">
        <v>618</v>
      </c>
      <c r="I84" s="95" t="s">
        <v>1224</v>
      </c>
      <c r="J84" s="95"/>
      <c r="K84" s="95"/>
      <c r="L84" s="96"/>
      <c r="M84" s="42" t="str">
        <f t="shared" si="4"/>
        <v>MERKEZ KASA</v>
      </c>
      <c r="N84" s="42" t="str">
        <f t="shared" si="5"/>
        <v>Personel</v>
      </c>
      <c r="O84" s="43">
        <f t="shared" si="6"/>
        <v>46082</v>
      </c>
      <c r="P84" s="42" t="str">
        <f t="shared" si="7"/>
        <v>UYGUN</v>
      </c>
      <c r="Q84" s="22" t="str">
        <f>IF(AND(L84&lt;&gt;"",D84="Gelir",I84="Hayır"),L84&amp;"|"&amp;TEXT(COUNTIFS($L$7:L84,L84,$D$7:D84,"Gelir",$I$7:I84,"Hayır"),"000"),"")</f>
        <v/>
      </c>
      <c r="R84" s="22" t="b">
        <f>OR(COUNTIF(LST_MUSTERI_ADI,L84)&gt;0,L84=SISTEM!$C$9,L84=SISTEM!$C$10)</f>
        <v>0</v>
      </c>
    </row>
    <row r="85" spans="1:18" ht="17">
      <c r="A85" s="6"/>
      <c r="B85" s="95" t="s">
        <v>1385</v>
      </c>
      <c r="C85" s="97">
        <v>46111</v>
      </c>
      <c r="D85" s="95" t="s">
        <v>434</v>
      </c>
      <c r="E85" s="96" t="s">
        <v>1272</v>
      </c>
      <c r="F85" s="96" t="s">
        <v>1386</v>
      </c>
      <c r="G85" s="99">
        <v>11810</v>
      </c>
      <c r="H85" s="95" t="s">
        <v>618</v>
      </c>
      <c r="I85" s="95" t="s">
        <v>1224</v>
      </c>
      <c r="J85" s="95"/>
      <c r="K85" s="95"/>
      <c r="L85" s="96"/>
      <c r="M85" s="42" t="str">
        <f t="shared" si="4"/>
        <v>MERKEZ KASA</v>
      </c>
      <c r="N85" s="42" t="str">
        <f t="shared" si="5"/>
        <v>Vergi / Harç</v>
      </c>
      <c r="O85" s="43">
        <f t="shared" si="6"/>
        <v>46082</v>
      </c>
      <c r="P85" s="42" t="str">
        <f t="shared" si="7"/>
        <v>UYGUN</v>
      </c>
      <c r="Q85" s="22" t="str">
        <f>IF(AND(L85&lt;&gt;"",D85="Gelir",I85="Hayır"),L85&amp;"|"&amp;TEXT(COUNTIFS($L$7:L85,L85,$D$7:D85,"Gelir",$I$7:I85,"Hayır"),"000"),"")</f>
        <v/>
      </c>
      <c r="R85" s="22" t="b">
        <f>OR(COUNTIF(LST_MUSTERI_ADI,L85)&gt;0,L85=SISTEM!$C$9,L85=SISTEM!$C$10)</f>
        <v>0</v>
      </c>
    </row>
    <row r="86" spans="1:18" ht="17">
      <c r="A86" s="6"/>
      <c r="B86" s="95" t="s">
        <v>1387</v>
      </c>
      <c r="C86" s="97">
        <v>46111</v>
      </c>
      <c r="D86" s="95" t="s">
        <v>434</v>
      </c>
      <c r="E86" s="96" t="s">
        <v>1388</v>
      </c>
      <c r="F86" s="96" t="s">
        <v>1389</v>
      </c>
      <c r="G86" s="99">
        <v>11900</v>
      </c>
      <c r="H86" s="95" t="s">
        <v>618</v>
      </c>
      <c r="I86" s="95" t="s">
        <v>1224</v>
      </c>
      <c r="J86" s="95"/>
      <c r="K86" s="95"/>
      <c r="L86" s="96"/>
      <c r="M86" s="42" t="str">
        <f t="shared" si="4"/>
        <v>MERKEZ KASA</v>
      </c>
      <c r="N86" s="42" t="str">
        <f t="shared" si="5"/>
        <v>Yazılım / Abonelik</v>
      </c>
      <c r="O86" s="43">
        <f t="shared" si="6"/>
        <v>46082</v>
      </c>
      <c r="P86" s="42" t="str">
        <f t="shared" si="7"/>
        <v>UYGUN</v>
      </c>
      <c r="Q86" s="22" t="str">
        <f>IF(AND(L86&lt;&gt;"",D86="Gelir",I86="Hayır"),L86&amp;"|"&amp;TEXT(COUNTIFS($L$7:L86,L86,$D$7:D86,"Gelir",$I$7:I86,"Hayır"),"000"),"")</f>
        <v/>
      </c>
      <c r="R86" s="22" t="b">
        <f>OR(COUNTIF(LST_MUSTERI_ADI,L86)&gt;0,L86=SISTEM!$C$9,L86=SISTEM!$C$10)</f>
        <v>0</v>
      </c>
    </row>
    <row r="87" spans="1:18" ht="17">
      <c r="A87" s="6"/>
      <c r="B87" s="95" t="s">
        <v>1390</v>
      </c>
      <c r="C87" s="97">
        <v>46111</v>
      </c>
      <c r="D87" s="95" t="s">
        <v>434</v>
      </c>
      <c r="E87" s="96" t="s">
        <v>1237</v>
      </c>
      <c r="F87" s="96" t="s">
        <v>1250</v>
      </c>
      <c r="G87" s="99">
        <v>610</v>
      </c>
      <c r="H87" s="95" t="s">
        <v>618</v>
      </c>
      <c r="I87" s="95" t="s">
        <v>1224</v>
      </c>
      <c r="J87" s="95"/>
      <c r="K87" s="95"/>
      <c r="L87" s="96"/>
      <c r="M87" s="42" t="str">
        <f t="shared" si="4"/>
        <v>MERKEZ KASA</v>
      </c>
      <c r="N87" s="42" t="str">
        <f t="shared" si="5"/>
        <v>Telefon / İnternet</v>
      </c>
      <c r="O87" s="43">
        <f t="shared" si="6"/>
        <v>46082</v>
      </c>
      <c r="P87" s="42" t="str">
        <f t="shared" si="7"/>
        <v>UYGUN</v>
      </c>
      <c r="Q87" s="22" t="str">
        <f>IF(AND(L87&lt;&gt;"",D87="Gelir",I87="Hayır"),L87&amp;"|"&amp;TEXT(COUNTIFS($L$7:L87,L87,$D$7:D87,"Gelir",$I$7:I87,"Hayır"),"000"),"")</f>
        <v/>
      </c>
      <c r="R87" s="22" t="b">
        <f>OR(COUNTIF(LST_MUSTERI_ADI,L87)&gt;0,L87=SISTEM!$C$9,L87=SISTEM!$C$10)</f>
        <v>0</v>
      </c>
    </row>
    <row r="88" spans="1:18" ht="17">
      <c r="A88" s="6"/>
      <c r="B88" s="95" t="s">
        <v>1391</v>
      </c>
      <c r="C88" s="97">
        <v>46111</v>
      </c>
      <c r="D88" s="95" t="s">
        <v>434</v>
      </c>
      <c r="E88" s="96" t="s">
        <v>1252</v>
      </c>
      <c r="F88" s="96" t="s">
        <v>1392</v>
      </c>
      <c r="G88" s="99">
        <v>4900</v>
      </c>
      <c r="H88" s="95" t="s">
        <v>618</v>
      </c>
      <c r="I88" s="95" t="s">
        <v>1224</v>
      </c>
      <c r="J88" s="95"/>
      <c r="K88" s="95"/>
      <c r="L88" s="96"/>
      <c r="M88" s="42" t="str">
        <f t="shared" si="4"/>
        <v>MERKEZ KASA</v>
      </c>
      <c r="N88" s="42" t="str">
        <f t="shared" si="5"/>
        <v>Ulaşım</v>
      </c>
      <c r="O88" s="43">
        <f t="shared" si="6"/>
        <v>46082</v>
      </c>
      <c r="P88" s="42" t="str">
        <f t="shared" si="7"/>
        <v>UYGUN</v>
      </c>
      <c r="Q88" s="22" t="str">
        <f>IF(AND(L88&lt;&gt;"",D88="Gelir",I88="Hayır"),L88&amp;"|"&amp;TEXT(COUNTIFS($L$7:L88,L88,$D$7:D88,"Gelir",$I$7:I88,"Hayır"),"000"),"")</f>
        <v/>
      </c>
      <c r="R88" s="22" t="b">
        <f>OR(COUNTIF(LST_MUSTERI_ADI,L88)&gt;0,L88=SISTEM!$C$9,L88=SISTEM!$C$10)</f>
        <v>0</v>
      </c>
    </row>
    <row r="89" spans="1:18" ht="17">
      <c r="A89" s="6"/>
      <c r="B89" s="95" t="s">
        <v>1393</v>
      </c>
      <c r="C89" s="97">
        <v>46111</v>
      </c>
      <c r="D89" s="95" t="s">
        <v>434</v>
      </c>
      <c r="E89" s="96" t="s">
        <v>1272</v>
      </c>
      <c r="F89" s="96" t="s">
        <v>1394</v>
      </c>
      <c r="G89" s="99">
        <v>12303.97</v>
      </c>
      <c r="H89" s="95" t="s">
        <v>618</v>
      </c>
      <c r="I89" s="95" t="s">
        <v>1224</v>
      </c>
      <c r="J89" s="95"/>
      <c r="K89" s="95"/>
      <c r="L89" s="96"/>
      <c r="M89" s="42" t="str">
        <f t="shared" si="4"/>
        <v>MERKEZ KASA</v>
      </c>
      <c r="N89" s="42" t="str">
        <f t="shared" si="5"/>
        <v>Vergi / Harç</v>
      </c>
      <c r="O89" s="43">
        <f t="shared" si="6"/>
        <v>46082</v>
      </c>
      <c r="P89" s="42" t="str">
        <f t="shared" si="7"/>
        <v>UYGUN</v>
      </c>
      <c r="Q89" s="22" t="str">
        <f>IF(AND(L89&lt;&gt;"",D89="Gelir",I89="Hayır"),L89&amp;"|"&amp;TEXT(COUNTIFS($L$7:L89,L89,$D$7:D89,"Gelir",$I$7:I89,"Hayır"),"000"),"")</f>
        <v/>
      </c>
      <c r="R89" s="22" t="b">
        <f>OR(COUNTIF(LST_MUSTERI_ADI,L89)&gt;0,L89=SISTEM!$C$9,L89=SISTEM!$C$10)</f>
        <v>0</v>
      </c>
    </row>
    <row r="90" spans="1:18" ht="17">
      <c r="A90" s="6"/>
      <c r="B90" s="95" t="s">
        <v>1395</v>
      </c>
      <c r="C90" s="97">
        <v>46113</v>
      </c>
      <c r="D90" s="95" t="s">
        <v>434</v>
      </c>
      <c r="E90" s="96" t="s">
        <v>1260</v>
      </c>
      <c r="F90" s="96" t="s">
        <v>1396</v>
      </c>
      <c r="G90" s="99">
        <v>2500</v>
      </c>
      <c r="H90" s="95"/>
      <c r="I90" s="95" t="s">
        <v>1221</v>
      </c>
      <c r="J90" s="95"/>
      <c r="K90" s="95"/>
      <c r="L90" s="96"/>
      <c r="M90" s="42" t="str">
        <f t="shared" si="4"/>
        <v>CARİ MAHSUP</v>
      </c>
      <c r="N90" s="42" t="str">
        <f t="shared" si="5"/>
        <v>Mehmet Ali Kartal</v>
      </c>
      <c r="O90" s="43">
        <f t="shared" si="6"/>
        <v>46113</v>
      </c>
      <c r="P90" s="42" t="str">
        <f t="shared" si="7"/>
        <v>UYGUN</v>
      </c>
      <c r="Q90" s="22" t="str">
        <f>IF(AND(L90&lt;&gt;"",D90="Gelir",I90="Hayır"),L90&amp;"|"&amp;TEXT(COUNTIFS($L$7:L90,L90,$D$7:D90,"Gelir",$I$7:I90,"Hayır"),"000"),"")</f>
        <v/>
      </c>
      <c r="R90" s="22" t="b">
        <f>OR(COUNTIF(LST_MUSTERI_ADI,L90)&gt;0,L90=SISTEM!$C$9,L90=SISTEM!$C$10)</f>
        <v>0</v>
      </c>
    </row>
    <row r="91" spans="1:18" ht="17">
      <c r="A91" s="6"/>
      <c r="B91" s="95" t="s">
        <v>1397</v>
      </c>
      <c r="C91" s="97">
        <v>46115</v>
      </c>
      <c r="D91" s="95" t="s">
        <v>1263</v>
      </c>
      <c r="E91" s="96" t="s">
        <v>1264</v>
      </c>
      <c r="F91" s="96" t="s">
        <v>1398</v>
      </c>
      <c r="G91" s="99">
        <v>30000</v>
      </c>
      <c r="H91" s="95" t="s">
        <v>618</v>
      </c>
      <c r="I91" s="95" t="s">
        <v>1224</v>
      </c>
      <c r="J91" s="95"/>
      <c r="K91" s="95"/>
      <c r="L91" s="96"/>
      <c r="M91" s="42" t="str">
        <f t="shared" si="4"/>
        <v>MERKEZ KASA</v>
      </c>
      <c r="N91" s="42" t="str">
        <f t="shared" si="5"/>
        <v>MERKEZ KASA</v>
      </c>
      <c r="O91" s="43">
        <f t="shared" si="6"/>
        <v>46113</v>
      </c>
      <c r="P91" s="42" t="str">
        <f t="shared" si="7"/>
        <v>UYGUN</v>
      </c>
      <c r="Q91" s="22" t="str">
        <f>IF(AND(L91&lt;&gt;"",D91="Gelir",I91="Hayır"),L91&amp;"|"&amp;TEXT(COUNTIFS($L$7:L91,L91,$D$7:D91,"Gelir",$I$7:I91,"Hayır"),"000"),"")</f>
        <v/>
      </c>
      <c r="R91" s="22" t="b">
        <f>OR(COUNTIF(LST_MUSTERI_ADI,L91)&gt;0,L91=SISTEM!$C$9,L91=SISTEM!$C$10)</f>
        <v>0</v>
      </c>
    </row>
    <row r="92" spans="1:18" ht="17">
      <c r="A92" s="6"/>
      <c r="B92" s="95" t="s">
        <v>1399</v>
      </c>
      <c r="C92" s="97">
        <v>46118</v>
      </c>
      <c r="D92" s="95" t="s">
        <v>434</v>
      </c>
      <c r="E92" s="96" t="s">
        <v>1279</v>
      </c>
      <c r="F92" s="96" t="s">
        <v>1400</v>
      </c>
      <c r="G92" s="99">
        <v>2000</v>
      </c>
      <c r="H92" s="95" t="s">
        <v>618</v>
      </c>
      <c r="I92" s="95" t="s">
        <v>1224</v>
      </c>
      <c r="J92" s="95"/>
      <c r="K92" s="95"/>
      <c r="L92" s="96"/>
      <c r="M92" s="42" t="str">
        <f t="shared" si="4"/>
        <v>MERKEZ KASA</v>
      </c>
      <c r="N92" s="42" t="str">
        <f t="shared" si="5"/>
        <v>Ofis Kirası</v>
      </c>
      <c r="O92" s="43">
        <f t="shared" si="6"/>
        <v>46113</v>
      </c>
      <c r="P92" s="42" t="str">
        <f t="shared" si="7"/>
        <v>UYGUN</v>
      </c>
      <c r="Q92" s="22" t="str">
        <f>IF(AND(L92&lt;&gt;"",D92="Gelir",I92="Hayır"),L92&amp;"|"&amp;TEXT(COUNTIFS($L$7:L92,L92,$D$7:D92,"Gelir",$I$7:I92,"Hayır"),"000"),"")</f>
        <v/>
      </c>
      <c r="R92" s="22" t="b">
        <f>OR(COUNTIF(LST_MUSTERI_ADI,L92)&gt;0,L92=SISTEM!$C$9,L92=SISTEM!$C$10)</f>
        <v>0</v>
      </c>
    </row>
    <row r="93" spans="1:18" ht="17">
      <c r="A93" s="6"/>
      <c r="B93" s="95" t="s">
        <v>1401</v>
      </c>
      <c r="C93" s="97">
        <v>46118</v>
      </c>
      <c r="D93" s="95" t="s">
        <v>434</v>
      </c>
      <c r="E93" s="96" t="s">
        <v>1252</v>
      </c>
      <c r="F93" s="96" t="s">
        <v>1374</v>
      </c>
      <c r="G93" s="99">
        <v>2000</v>
      </c>
      <c r="H93" s="95" t="s">
        <v>618</v>
      </c>
      <c r="I93" s="95" t="s">
        <v>1224</v>
      </c>
      <c r="J93" s="95"/>
      <c r="K93" s="95"/>
      <c r="L93" s="96"/>
      <c r="M93" s="42" t="str">
        <f t="shared" si="4"/>
        <v>MERKEZ KASA</v>
      </c>
      <c r="N93" s="42" t="str">
        <f t="shared" si="5"/>
        <v>Ulaşım</v>
      </c>
      <c r="O93" s="43">
        <f t="shared" si="6"/>
        <v>46113</v>
      </c>
      <c r="P93" s="42" t="str">
        <f t="shared" si="7"/>
        <v>UYGUN</v>
      </c>
      <c r="Q93" s="22" t="str">
        <f>IF(AND(L93&lt;&gt;"",D93="Gelir",I93="Hayır"),L93&amp;"|"&amp;TEXT(COUNTIFS($L$7:L93,L93,$D$7:D93,"Gelir",$I$7:I93,"Hayır"),"000"),"")</f>
        <v/>
      </c>
      <c r="R93" s="22" t="b">
        <f>OR(COUNTIF(LST_MUSTERI_ADI,L93)&gt;0,L93=SISTEM!$C$9,L93=SISTEM!$C$10)</f>
        <v>0</v>
      </c>
    </row>
    <row r="94" spans="1:18" ht="17">
      <c r="A94" s="6"/>
      <c r="B94" s="95" t="s">
        <v>1402</v>
      </c>
      <c r="C94" s="97">
        <v>46118</v>
      </c>
      <c r="D94" s="95" t="s">
        <v>434</v>
      </c>
      <c r="E94" s="96" t="s">
        <v>1252</v>
      </c>
      <c r="F94" s="96" t="s">
        <v>1374</v>
      </c>
      <c r="G94" s="99">
        <v>1000</v>
      </c>
      <c r="H94" s="95" t="s">
        <v>618</v>
      </c>
      <c r="I94" s="95" t="s">
        <v>1224</v>
      </c>
      <c r="J94" s="95"/>
      <c r="K94" s="95"/>
      <c r="L94" s="96"/>
      <c r="M94" s="42" t="str">
        <f t="shared" si="4"/>
        <v>MERKEZ KASA</v>
      </c>
      <c r="N94" s="42" t="str">
        <f t="shared" si="5"/>
        <v>Ulaşım</v>
      </c>
      <c r="O94" s="43">
        <f t="shared" si="6"/>
        <v>46113</v>
      </c>
      <c r="P94" s="42" t="str">
        <f t="shared" si="7"/>
        <v>UYGUN</v>
      </c>
      <c r="Q94" s="22" t="str">
        <f>IF(AND(L94&lt;&gt;"",D94="Gelir",I94="Hayır"),L94&amp;"|"&amp;TEXT(COUNTIFS($L$7:L94,L94,$D$7:D94,"Gelir",$I$7:I94,"Hayır"),"000"),"")</f>
        <v/>
      </c>
      <c r="R94" s="22" t="b">
        <f>OR(COUNTIF(LST_MUSTERI_ADI,L94)&gt;0,L94=SISTEM!$C$9,L94=SISTEM!$C$10)</f>
        <v>0</v>
      </c>
    </row>
    <row r="95" spans="1:18" ht="17">
      <c r="A95" s="6"/>
      <c r="B95" s="95" t="s">
        <v>1403</v>
      </c>
      <c r="C95" s="97">
        <v>46119</v>
      </c>
      <c r="D95" s="95" t="s">
        <v>1263</v>
      </c>
      <c r="E95" s="96" t="s">
        <v>1264</v>
      </c>
      <c r="F95" s="96" t="s">
        <v>1398</v>
      </c>
      <c r="G95" s="99">
        <v>30000</v>
      </c>
      <c r="H95" s="95" t="s">
        <v>618</v>
      </c>
      <c r="I95" s="95" t="s">
        <v>1224</v>
      </c>
      <c r="J95" s="95"/>
      <c r="K95" s="95"/>
      <c r="L95" s="96"/>
      <c r="M95" s="42" t="str">
        <f t="shared" si="4"/>
        <v>MERKEZ KASA</v>
      </c>
      <c r="N95" s="42" t="str">
        <f t="shared" si="5"/>
        <v>MERKEZ KASA</v>
      </c>
      <c r="O95" s="43">
        <f t="shared" si="6"/>
        <v>46113</v>
      </c>
      <c r="P95" s="42" t="str">
        <f t="shared" si="7"/>
        <v>UYGUN</v>
      </c>
      <c r="Q95" s="22" t="str">
        <f>IF(AND(L95&lt;&gt;"",D95="Gelir",I95="Hayır"),L95&amp;"|"&amp;TEXT(COUNTIFS($L$7:L95,L95,$D$7:D95,"Gelir",$I$7:I95,"Hayır"),"000"),"")</f>
        <v/>
      </c>
      <c r="R95" s="22" t="b">
        <f>OR(COUNTIF(LST_MUSTERI_ADI,L95)&gt;0,L95=SISTEM!$C$9,L95=SISTEM!$C$10)</f>
        <v>0</v>
      </c>
    </row>
    <row r="96" spans="1:18" ht="34">
      <c r="A96" s="6"/>
      <c r="B96" s="95" t="s">
        <v>1404</v>
      </c>
      <c r="C96" s="97">
        <v>46123</v>
      </c>
      <c r="D96" s="95" t="s">
        <v>434</v>
      </c>
      <c r="E96" s="96" t="s">
        <v>1367</v>
      </c>
      <c r="F96" s="96" t="s">
        <v>1405</v>
      </c>
      <c r="G96" s="99">
        <v>9500</v>
      </c>
      <c r="H96" s="95" t="s">
        <v>618</v>
      </c>
      <c r="I96" s="95" t="s">
        <v>1224</v>
      </c>
      <c r="J96" s="95"/>
      <c r="K96" s="95"/>
      <c r="L96" s="96"/>
      <c r="M96" s="42" t="str">
        <f t="shared" si="4"/>
        <v>MERKEZ KASA</v>
      </c>
      <c r="N96" s="42" t="str">
        <f t="shared" si="5"/>
        <v>Demirbaş</v>
      </c>
      <c r="O96" s="43">
        <f t="shared" si="6"/>
        <v>46113</v>
      </c>
      <c r="P96" s="42" t="str">
        <f t="shared" si="7"/>
        <v>UYGUN</v>
      </c>
      <c r="Q96" s="22" t="str">
        <f>IF(AND(L96&lt;&gt;"",D96="Gelir",I96="Hayır"),L96&amp;"|"&amp;TEXT(COUNTIFS($L$7:L96,L96,$D$7:D96,"Gelir",$I$7:I96,"Hayır"),"000"),"")</f>
        <v/>
      </c>
      <c r="R96" s="22" t="b">
        <f>OR(COUNTIF(LST_MUSTERI_ADI,L96)&gt;0,L96=SISTEM!$C$9,L96=SISTEM!$C$10)</f>
        <v>0</v>
      </c>
    </row>
    <row r="97" spans="1:18" ht="17">
      <c r="A97" s="6"/>
      <c r="B97" s="95" t="s">
        <v>1406</v>
      </c>
      <c r="C97" s="97">
        <v>46123</v>
      </c>
      <c r="D97" s="95" t="s">
        <v>434</v>
      </c>
      <c r="E97" s="96" t="s">
        <v>1279</v>
      </c>
      <c r="F97" s="96" t="s">
        <v>1407</v>
      </c>
      <c r="G97" s="99">
        <v>14000</v>
      </c>
      <c r="H97" s="95" t="s">
        <v>618</v>
      </c>
      <c r="I97" s="95" t="s">
        <v>1224</v>
      </c>
      <c r="J97" s="95"/>
      <c r="K97" s="95"/>
      <c r="L97" s="96"/>
      <c r="M97" s="42" t="str">
        <f t="shared" si="4"/>
        <v>MERKEZ KASA</v>
      </c>
      <c r="N97" s="42" t="str">
        <f t="shared" si="5"/>
        <v>Ofis Kirası</v>
      </c>
      <c r="O97" s="43">
        <f t="shared" si="6"/>
        <v>46113</v>
      </c>
      <c r="P97" s="42" t="str">
        <f t="shared" si="7"/>
        <v>UYGUN</v>
      </c>
      <c r="Q97" s="22" t="str">
        <f>IF(AND(L97&lt;&gt;"",D97="Gelir",I97="Hayır"),L97&amp;"|"&amp;TEXT(COUNTIFS($L$7:L97,L97,$D$7:D97,"Gelir",$I$7:I97,"Hayır"),"000"),"")</f>
        <v/>
      </c>
      <c r="R97" s="22" t="b">
        <f>OR(COUNTIF(LST_MUSTERI_ADI,L97)&gt;0,L97=SISTEM!$C$9,L97=SISTEM!$C$10)</f>
        <v>0</v>
      </c>
    </row>
    <row r="98" spans="1:18" ht="17">
      <c r="A98" s="6"/>
      <c r="B98" s="95" t="s">
        <v>1408</v>
      </c>
      <c r="C98" s="97">
        <v>46123</v>
      </c>
      <c r="D98" s="95" t="s">
        <v>434</v>
      </c>
      <c r="E98" s="96" t="s">
        <v>1279</v>
      </c>
      <c r="F98" s="96" t="s">
        <v>1409</v>
      </c>
      <c r="G98" s="99">
        <v>2000</v>
      </c>
      <c r="H98" s="95" t="s">
        <v>618</v>
      </c>
      <c r="I98" s="95" t="s">
        <v>1224</v>
      </c>
      <c r="J98" s="95"/>
      <c r="K98" s="95"/>
      <c r="L98" s="96"/>
      <c r="M98" s="42" t="str">
        <f t="shared" si="4"/>
        <v>MERKEZ KASA</v>
      </c>
      <c r="N98" s="42" t="str">
        <f t="shared" si="5"/>
        <v>Ofis Kirası</v>
      </c>
      <c r="O98" s="43">
        <f t="shared" si="6"/>
        <v>46113</v>
      </c>
      <c r="P98" s="42" t="str">
        <f t="shared" si="7"/>
        <v>UYGUN</v>
      </c>
      <c r="Q98" s="22" t="str">
        <f>IF(AND(L98&lt;&gt;"",D98="Gelir",I98="Hayır"),L98&amp;"|"&amp;TEXT(COUNTIFS($L$7:L98,L98,$D$7:D98,"Gelir",$I$7:I98,"Hayır"),"000"),"")</f>
        <v/>
      </c>
      <c r="R98" s="22" t="b">
        <f>OR(COUNTIF(LST_MUSTERI_ADI,L98)&gt;0,L98=SISTEM!$C$9,L98=SISTEM!$C$10)</f>
        <v>0</v>
      </c>
    </row>
    <row r="99" spans="1:18" ht="17">
      <c r="A99" s="6"/>
      <c r="B99" s="95" t="s">
        <v>1410</v>
      </c>
      <c r="C99" s="97">
        <v>46123</v>
      </c>
      <c r="D99" s="95" t="s">
        <v>434</v>
      </c>
      <c r="E99" s="96" t="s">
        <v>1267</v>
      </c>
      <c r="F99" s="96" t="s">
        <v>1411</v>
      </c>
      <c r="G99" s="99">
        <v>1000</v>
      </c>
      <c r="H99" s="95" t="s">
        <v>618</v>
      </c>
      <c r="I99" s="95" t="s">
        <v>1224</v>
      </c>
      <c r="J99" s="95"/>
      <c r="K99" s="95"/>
      <c r="L99" s="96"/>
      <c r="M99" s="42" t="str">
        <f t="shared" si="4"/>
        <v>MERKEZ KASA</v>
      </c>
      <c r="N99" s="42" t="str">
        <f t="shared" si="5"/>
        <v>Personel</v>
      </c>
      <c r="O99" s="43">
        <f t="shared" si="6"/>
        <v>46113</v>
      </c>
      <c r="P99" s="42" t="str">
        <f t="shared" si="7"/>
        <v>UYGUN</v>
      </c>
      <c r="Q99" s="22" t="str">
        <f>IF(AND(L99&lt;&gt;"",D99="Gelir",I99="Hayır"),L99&amp;"|"&amp;TEXT(COUNTIFS($L$7:L99,L99,$D$7:D99,"Gelir",$I$7:I99,"Hayır"),"000"),"")</f>
        <v/>
      </c>
      <c r="R99" s="22" t="b">
        <f>OR(COUNTIF(LST_MUSTERI_ADI,L99)&gt;0,L99=SISTEM!$C$9,L99=SISTEM!$C$10)</f>
        <v>0</v>
      </c>
    </row>
    <row r="100" spans="1:18" ht="17">
      <c r="A100" s="6"/>
      <c r="B100" s="95" t="s">
        <v>1412</v>
      </c>
      <c r="C100" s="97">
        <v>46123</v>
      </c>
      <c r="D100" s="95" t="s">
        <v>434</v>
      </c>
      <c r="E100" s="96" t="s">
        <v>1237</v>
      </c>
      <c r="F100" s="96" t="s">
        <v>1413</v>
      </c>
      <c r="G100" s="99">
        <v>800</v>
      </c>
      <c r="H100" s="95" t="s">
        <v>618</v>
      </c>
      <c r="I100" s="95" t="s">
        <v>1224</v>
      </c>
      <c r="J100" s="95"/>
      <c r="K100" s="95"/>
      <c r="L100" s="96"/>
      <c r="M100" s="42" t="str">
        <f t="shared" si="4"/>
        <v>MERKEZ KASA</v>
      </c>
      <c r="N100" s="42" t="str">
        <f t="shared" si="5"/>
        <v>Telefon / İnternet</v>
      </c>
      <c r="O100" s="43">
        <f t="shared" si="6"/>
        <v>46113</v>
      </c>
      <c r="P100" s="42" t="str">
        <f t="shared" si="7"/>
        <v>UYGUN</v>
      </c>
      <c r="Q100" s="22" t="str">
        <f>IF(AND(L100&lt;&gt;"",D100="Gelir",I100="Hayır"),L100&amp;"|"&amp;TEXT(COUNTIFS($L$7:L100,L100,$D$7:D100,"Gelir",$I$7:I100,"Hayır"),"000"),"")</f>
        <v/>
      </c>
      <c r="R100" s="22" t="b">
        <f>OR(COUNTIF(LST_MUSTERI_ADI,L100)&gt;0,L100=SISTEM!$C$9,L100=SISTEM!$C$10)</f>
        <v>0</v>
      </c>
    </row>
    <row r="101" spans="1:18" ht="17">
      <c r="A101" s="6"/>
      <c r="B101" s="95" t="s">
        <v>1414</v>
      </c>
      <c r="C101" s="97">
        <v>46123</v>
      </c>
      <c r="D101" s="95" t="s">
        <v>1263</v>
      </c>
      <c r="E101" s="96" t="s">
        <v>1415</v>
      </c>
      <c r="F101" s="96" t="s">
        <v>1416</v>
      </c>
      <c r="G101" s="99">
        <v>5200</v>
      </c>
      <c r="H101" s="95" t="s">
        <v>618</v>
      </c>
      <c r="I101" s="95" t="s">
        <v>1224</v>
      </c>
      <c r="J101" s="95"/>
      <c r="K101" s="95"/>
      <c r="L101" s="96"/>
      <c r="M101" s="42" t="str">
        <f t="shared" si="4"/>
        <v>MERKEZ KASA</v>
      </c>
      <c r="N101" s="42" t="str">
        <f t="shared" si="5"/>
        <v>MERKEZ KASA</v>
      </c>
      <c r="O101" s="43">
        <f t="shared" si="6"/>
        <v>46113</v>
      </c>
      <c r="P101" s="42" t="str">
        <f t="shared" si="7"/>
        <v>UYGUN</v>
      </c>
      <c r="Q101" s="22" t="str">
        <f>IF(AND(L101&lt;&gt;"",D101="Gelir",I101="Hayır"),L101&amp;"|"&amp;TEXT(COUNTIFS($L$7:L101,L101,$D$7:D101,"Gelir",$I$7:I101,"Hayır"),"000"),"")</f>
        <v/>
      </c>
      <c r="R101" s="22" t="b">
        <f>OR(COUNTIF(LST_MUSTERI_ADI,L101)&gt;0,L101=SISTEM!$C$9,L101=SISTEM!$C$10)</f>
        <v>0</v>
      </c>
    </row>
    <row r="102" spans="1:18" ht="17">
      <c r="A102" s="6"/>
      <c r="B102" s="95" t="s">
        <v>1417</v>
      </c>
      <c r="C102" s="97">
        <v>46123</v>
      </c>
      <c r="D102" s="95" t="s">
        <v>1263</v>
      </c>
      <c r="E102" s="96" t="s">
        <v>1415</v>
      </c>
      <c r="F102" s="96" t="s">
        <v>1418</v>
      </c>
      <c r="G102" s="99">
        <v>5200</v>
      </c>
      <c r="H102" s="95" t="s">
        <v>618</v>
      </c>
      <c r="I102" s="95" t="s">
        <v>1224</v>
      </c>
      <c r="J102" s="95"/>
      <c r="K102" s="95"/>
      <c r="L102" s="96"/>
      <c r="M102" s="42" t="str">
        <f t="shared" si="4"/>
        <v>MERKEZ KASA</v>
      </c>
      <c r="N102" s="42" t="str">
        <f t="shared" si="5"/>
        <v>MERKEZ KASA</v>
      </c>
      <c r="O102" s="43">
        <f t="shared" si="6"/>
        <v>46113</v>
      </c>
      <c r="P102" s="42" t="str">
        <f t="shared" si="7"/>
        <v>UYGUN</v>
      </c>
      <c r="Q102" s="22" t="str">
        <f>IF(AND(L102&lt;&gt;"",D102="Gelir",I102="Hayır"),L102&amp;"|"&amp;TEXT(COUNTIFS($L$7:L102,L102,$D$7:D102,"Gelir",$I$7:I102,"Hayır"),"000"),"")</f>
        <v/>
      </c>
      <c r="R102" s="22" t="b">
        <f>OR(COUNTIF(LST_MUSTERI_ADI,L102)&gt;0,L102=SISTEM!$C$9,L102=SISTEM!$C$10)</f>
        <v>0</v>
      </c>
    </row>
    <row r="103" spans="1:18" ht="34">
      <c r="A103" s="6"/>
      <c r="B103" s="95" t="s">
        <v>1419</v>
      </c>
      <c r="C103" s="97">
        <v>46123</v>
      </c>
      <c r="D103" s="95" t="s">
        <v>1263</v>
      </c>
      <c r="E103" s="96" t="s">
        <v>1415</v>
      </c>
      <c r="F103" s="96" t="s">
        <v>1420</v>
      </c>
      <c r="G103" s="99">
        <v>5200</v>
      </c>
      <c r="H103" s="95" t="s">
        <v>618</v>
      </c>
      <c r="I103" s="95" t="s">
        <v>1224</v>
      </c>
      <c r="J103" s="95"/>
      <c r="K103" s="95"/>
      <c r="L103" s="96"/>
      <c r="M103" s="42" t="str">
        <f t="shared" si="4"/>
        <v>MERKEZ KASA</v>
      </c>
      <c r="N103" s="42" t="str">
        <f t="shared" si="5"/>
        <v>MERKEZ KASA</v>
      </c>
      <c r="O103" s="43">
        <f t="shared" si="6"/>
        <v>46113</v>
      </c>
      <c r="P103" s="42" t="str">
        <f t="shared" si="7"/>
        <v>UYGUN</v>
      </c>
      <c r="Q103" s="22" t="str">
        <f>IF(AND(L103&lt;&gt;"",D103="Gelir",I103="Hayır"),L103&amp;"|"&amp;TEXT(COUNTIFS($L$7:L103,L103,$D$7:D103,"Gelir",$I$7:I103,"Hayır"),"000"),"")</f>
        <v/>
      </c>
      <c r="R103" s="22" t="b">
        <f>OR(COUNTIF(LST_MUSTERI_ADI,L103)&gt;0,L103=SISTEM!$C$9,L103=SISTEM!$C$10)</f>
        <v>0</v>
      </c>
    </row>
    <row r="104" spans="1:18" ht="17">
      <c r="A104" s="6"/>
      <c r="B104" s="95" t="s">
        <v>1421</v>
      </c>
      <c r="C104" s="97">
        <v>46123</v>
      </c>
      <c r="D104" s="95" t="s">
        <v>1263</v>
      </c>
      <c r="E104" s="96" t="s">
        <v>1415</v>
      </c>
      <c r="F104" s="96" t="s">
        <v>1422</v>
      </c>
      <c r="G104" s="99">
        <v>5200</v>
      </c>
      <c r="H104" s="95" t="s">
        <v>618</v>
      </c>
      <c r="I104" s="95" t="s">
        <v>1224</v>
      </c>
      <c r="J104" s="95"/>
      <c r="K104" s="95"/>
      <c r="L104" s="96"/>
      <c r="M104" s="42" t="str">
        <f t="shared" si="4"/>
        <v>MERKEZ KASA</v>
      </c>
      <c r="N104" s="42" t="str">
        <f t="shared" si="5"/>
        <v>MERKEZ KASA</v>
      </c>
      <c r="O104" s="43">
        <f t="shared" si="6"/>
        <v>46113</v>
      </c>
      <c r="P104" s="42" t="str">
        <f t="shared" si="7"/>
        <v>UYGUN</v>
      </c>
      <c r="Q104" s="22" t="str">
        <f>IF(AND(L104&lt;&gt;"",D104="Gelir",I104="Hayır"),L104&amp;"|"&amp;TEXT(COUNTIFS($L$7:L104,L104,$D$7:D104,"Gelir",$I$7:I104,"Hayır"),"000"),"")</f>
        <v/>
      </c>
      <c r="R104" s="22" t="b">
        <f>OR(COUNTIF(LST_MUSTERI_ADI,L104)&gt;0,L104=SISTEM!$C$9,L104=SISTEM!$C$10)</f>
        <v>0</v>
      </c>
    </row>
    <row r="105" spans="1:18" ht="17">
      <c r="A105" s="6"/>
      <c r="B105" s="95" t="s">
        <v>1423</v>
      </c>
      <c r="C105" s="97">
        <v>46123</v>
      </c>
      <c r="D105" s="95" t="s">
        <v>1263</v>
      </c>
      <c r="E105" s="96" t="s">
        <v>1415</v>
      </c>
      <c r="F105" s="96" t="s">
        <v>1424</v>
      </c>
      <c r="G105" s="99">
        <v>5200</v>
      </c>
      <c r="H105" s="95" t="s">
        <v>618</v>
      </c>
      <c r="I105" s="95" t="s">
        <v>1224</v>
      </c>
      <c r="J105" s="95"/>
      <c r="K105" s="95"/>
      <c r="L105" s="96"/>
      <c r="M105" s="42" t="str">
        <f t="shared" si="4"/>
        <v>MERKEZ KASA</v>
      </c>
      <c r="N105" s="42" t="str">
        <f t="shared" si="5"/>
        <v>MERKEZ KASA</v>
      </c>
      <c r="O105" s="43">
        <f t="shared" si="6"/>
        <v>46113</v>
      </c>
      <c r="P105" s="42" t="str">
        <f t="shared" si="7"/>
        <v>UYGUN</v>
      </c>
      <c r="Q105" s="22" t="str">
        <f>IF(AND(L105&lt;&gt;"",D105="Gelir",I105="Hayır"),L105&amp;"|"&amp;TEXT(COUNTIFS($L$7:L105,L105,$D$7:D105,"Gelir",$I$7:I105,"Hayır"),"000"),"")</f>
        <v/>
      </c>
      <c r="R105" s="22" t="b">
        <f>OR(COUNTIF(LST_MUSTERI_ADI,L105)&gt;0,L105=SISTEM!$C$9,L105=SISTEM!$C$10)</f>
        <v>0</v>
      </c>
    </row>
    <row r="106" spans="1:18" ht="17">
      <c r="A106" s="6"/>
      <c r="B106" s="95" t="s">
        <v>1425</v>
      </c>
      <c r="C106" s="97">
        <v>46123</v>
      </c>
      <c r="D106" s="95" t="s">
        <v>1263</v>
      </c>
      <c r="E106" s="96" t="s">
        <v>1415</v>
      </c>
      <c r="F106" s="96" t="s">
        <v>1426</v>
      </c>
      <c r="G106" s="99">
        <v>5200</v>
      </c>
      <c r="H106" s="95" t="s">
        <v>618</v>
      </c>
      <c r="I106" s="95" t="s">
        <v>1224</v>
      </c>
      <c r="J106" s="95"/>
      <c r="K106" s="95"/>
      <c r="L106" s="96"/>
      <c r="M106" s="42" t="str">
        <f t="shared" si="4"/>
        <v>MERKEZ KASA</v>
      </c>
      <c r="N106" s="42" t="str">
        <f t="shared" si="5"/>
        <v>MERKEZ KASA</v>
      </c>
      <c r="O106" s="43">
        <f t="shared" si="6"/>
        <v>46113</v>
      </c>
      <c r="P106" s="42" t="str">
        <f t="shared" si="7"/>
        <v>UYGUN</v>
      </c>
      <c r="Q106" s="22" t="str">
        <f>IF(AND(L106&lt;&gt;"",D106="Gelir",I106="Hayır"),L106&amp;"|"&amp;TEXT(COUNTIFS($L$7:L106,L106,$D$7:D106,"Gelir",$I$7:I106,"Hayır"),"000"),"")</f>
        <v/>
      </c>
      <c r="R106" s="22" t="b">
        <f>OR(COUNTIF(LST_MUSTERI_ADI,L106)&gt;0,L106=SISTEM!$C$9,L106=SISTEM!$C$10)</f>
        <v>0</v>
      </c>
    </row>
    <row r="107" spans="1:18" ht="17">
      <c r="A107" s="6"/>
      <c r="B107" s="95" t="s">
        <v>1427</v>
      </c>
      <c r="C107" s="97">
        <v>46123</v>
      </c>
      <c r="D107" s="95" t="s">
        <v>1263</v>
      </c>
      <c r="E107" s="96" t="s">
        <v>1415</v>
      </c>
      <c r="F107" s="96" t="s">
        <v>1428</v>
      </c>
      <c r="G107" s="99">
        <v>5200</v>
      </c>
      <c r="H107" s="95" t="s">
        <v>618</v>
      </c>
      <c r="I107" s="95" t="s">
        <v>1224</v>
      </c>
      <c r="J107" s="95"/>
      <c r="K107" s="95"/>
      <c r="L107" s="96"/>
      <c r="M107" s="42" t="str">
        <f t="shared" si="4"/>
        <v>MERKEZ KASA</v>
      </c>
      <c r="N107" s="42" t="str">
        <f t="shared" si="5"/>
        <v>MERKEZ KASA</v>
      </c>
      <c r="O107" s="43">
        <f t="shared" si="6"/>
        <v>46113</v>
      </c>
      <c r="P107" s="42" t="str">
        <f t="shared" si="7"/>
        <v>UYGUN</v>
      </c>
      <c r="Q107" s="22" t="str">
        <f>IF(AND(L107&lt;&gt;"",D107="Gelir",I107="Hayır"),L107&amp;"|"&amp;TEXT(COUNTIFS($L$7:L107,L107,$D$7:D107,"Gelir",$I$7:I107,"Hayır"),"000"),"")</f>
        <v/>
      </c>
      <c r="R107" s="22" t="b">
        <f>OR(COUNTIF(LST_MUSTERI_ADI,L107)&gt;0,L107=SISTEM!$C$9,L107=SISTEM!$C$10)</f>
        <v>0</v>
      </c>
    </row>
    <row r="108" spans="1:18" ht="17">
      <c r="A108" s="6"/>
      <c r="B108" s="95" t="s">
        <v>1429</v>
      </c>
      <c r="C108" s="97">
        <v>46123</v>
      </c>
      <c r="D108" s="95" t="s">
        <v>1263</v>
      </c>
      <c r="E108" s="96" t="s">
        <v>1415</v>
      </c>
      <c r="F108" s="96" t="s">
        <v>1430</v>
      </c>
      <c r="G108" s="99">
        <v>5200</v>
      </c>
      <c r="H108" s="95" t="s">
        <v>618</v>
      </c>
      <c r="I108" s="95" t="s">
        <v>1224</v>
      </c>
      <c r="J108" s="95"/>
      <c r="K108" s="95"/>
      <c r="L108" s="96"/>
      <c r="M108" s="42" t="str">
        <f t="shared" si="4"/>
        <v>MERKEZ KASA</v>
      </c>
      <c r="N108" s="42" t="str">
        <f t="shared" si="5"/>
        <v>MERKEZ KASA</v>
      </c>
      <c r="O108" s="43">
        <f t="shared" si="6"/>
        <v>46113</v>
      </c>
      <c r="P108" s="42" t="str">
        <f t="shared" si="7"/>
        <v>UYGUN</v>
      </c>
      <c r="Q108" s="22" t="str">
        <f>IF(AND(L108&lt;&gt;"",D108="Gelir",I108="Hayır"),L108&amp;"|"&amp;TEXT(COUNTIFS($L$7:L108,L108,$D$7:D108,"Gelir",$I$7:I108,"Hayır"),"000"),"")</f>
        <v/>
      </c>
      <c r="R108" s="22" t="b">
        <f>OR(COUNTIF(LST_MUSTERI_ADI,L108)&gt;0,L108=SISTEM!$C$9,L108=SISTEM!$C$10)</f>
        <v>0</v>
      </c>
    </row>
    <row r="109" spans="1:18" ht="34">
      <c r="A109" s="6"/>
      <c r="B109" s="95" t="s">
        <v>1431</v>
      </c>
      <c r="C109" s="97">
        <v>46123</v>
      </c>
      <c r="D109" s="95" t="s">
        <v>1263</v>
      </c>
      <c r="E109" s="96" t="s">
        <v>1415</v>
      </c>
      <c r="F109" s="96" t="s">
        <v>1432</v>
      </c>
      <c r="G109" s="99">
        <v>5200</v>
      </c>
      <c r="H109" s="95" t="s">
        <v>618</v>
      </c>
      <c r="I109" s="95" t="s">
        <v>1224</v>
      </c>
      <c r="J109" s="95"/>
      <c r="K109" s="95"/>
      <c r="L109" s="96"/>
      <c r="M109" s="42" t="str">
        <f t="shared" si="4"/>
        <v>MERKEZ KASA</v>
      </c>
      <c r="N109" s="42" t="str">
        <f t="shared" si="5"/>
        <v>MERKEZ KASA</v>
      </c>
      <c r="O109" s="43">
        <f t="shared" si="6"/>
        <v>46113</v>
      </c>
      <c r="P109" s="42" t="str">
        <f t="shared" si="7"/>
        <v>UYGUN</v>
      </c>
      <c r="Q109" s="22" t="str">
        <f>IF(AND(L109&lt;&gt;"",D109="Gelir",I109="Hayır"),L109&amp;"|"&amp;TEXT(COUNTIFS($L$7:L109,L109,$D$7:D109,"Gelir",$I$7:I109,"Hayır"),"000"),"")</f>
        <v/>
      </c>
      <c r="R109" s="22" t="b">
        <f>OR(COUNTIF(LST_MUSTERI_ADI,L109)&gt;0,L109=SISTEM!$C$9,L109=SISTEM!$C$10)</f>
        <v>0</v>
      </c>
    </row>
    <row r="110" spans="1:18" ht="17">
      <c r="A110" s="6"/>
      <c r="B110" s="95" t="s">
        <v>1433</v>
      </c>
      <c r="C110" s="97">
        <v>46123</v>
      </c>
      <c r="D110" s="95" t="s">
        <v>1263</v>
      </c>
      <c r="E110" s="96" t="s">
        <v>1415</v>
      </c>
      <c r="F110" s="96" t="s">
        <v>1434</v>
      </c>
      <c r="G110" s="99">
        <v>5200</v>
      </c>
      <c r="H110" s="95" t="s">
        <v>618</v>
      </c>
      <c r="I110" s="95" t="s">
        <v>1224</v>
      </c>
      <c r="J110" s="95"/>
      <c r="K110" s="95"/>
      <c r="L110" s="96"/>
      <c r="M110" s="42" t="str">
        <f t="shared" si="4"/>
        <v>MERKEZ KASA</v>
      </c>
      <c r="N110" s="42" t="str">
        <f t="shared" si="5"/>
        <v>MERKEZ KASA</v>
      </c>
      <c r="O110" s="43">
        <f t="shared" si="6"/>
        <v>46113</v>
      </c>
      <c r="P110" s="42" t="str">
        <f t="shared" si="7"/>
        <v>UYGUN</v>
      </c>
      <c r="Q110" s="22" t="str">
        <f>IF(AND(L110&lt;&gt;"",D110="Gelir",I110="Hayır"),L110&amp;"|"&amp;TEXT(COUNTIFS($L$7:L110,L110,$D$7:D110,"Gelir",$I$7:I110,"Hayır"),"000"),"")</f>
        <v/>
      </c>
      <c r="R110" s="22" t="b">
        <f>OR(COUNTIF(LST_MUSTERI_ADI,L110)&gt;0,L110=SISTEM!$C$9,L110=SISTEM!$C$10)</f>
        <v>0</v>
      </c>
    </row>
    <row r="111" spans="1:18" ht="17">
      <c r="A111" s="6"/>
      <c r="B111" s="95" t="s">
        <v>1435</v>
      </c>
      <c r="C111" s="97">
        <v>46123</v>
      </c>
      <c r="D111" s="95" t="s">
        <v>1263</v>
      </c>
      <c r="E111" s="96" t="s">
        <v>1415</v>
      </c>
      <c r="F111" s="96" t="s">
        <v>1436</v>
      </c>
      <c r="G111" s="99">
        <v>5200</v>
      </c>
      <c r="H111" s="95" t="s">
        <v>618</v>
      </c>
      <c r="I111" s="95" t="s">
        <v>1224</v>
      </c>
      <c r="J111" s="95"/>
      <c r="K111" s="95"/>
      <c r="L111" s="96"/>
      <c r="M111" s="42" t="str">
        <f t="shared" si="4"/>
        <v>MERKEZ KASA</v>
      </c>
      <c r="N111" s="42" t="str">
        <f t="shared" si="5"/>
        <v>MERKEZ KASA</v>
      </c>
      <c r="O111" s="43">
        <f t="shared" si="6"/>
        <v>46113</v>
      </c>
      <c r="P111" s="42" t="str">
        <f t="shared" si="7"/>
        <v>UYGUN</v>
      </c>
      <c r="Q111" s="22" t="str">
        <f>IF(AND(L111&lt;&gt;"",D111="Gelir",I111="Hayır"),L111&amp;"|"&amp;TEXT(COUNTIFS($L$7:L111,L111,$D$7:D111,"Gelir",$I$7:I111,"Hayır"),"000"),"")</f>
        <v/>
      </c>
      <c r="R111" s="22" t="b">
        <f>OR(COUNTIF(LST_MUSTERI_ADI,L111)&gt;0,L111=SISTEM!$C$9,L111=SISTEM!$C$10)</f>
        <v>0</v>
      </c>
    </row>
    <row r="112" spans="1:18" ht="17">
      <c r="A112" s="6"/>
      <c r="B112" s="95" t="s">
        <v>1437</v>
      </c>
      <c r="C112" s="97">
        <v>46127</v>
      </c>
      <c r="D112" s="95" t="s">
        <v>434</v>
      </c>
      <c r="E112" s="96" t="s">
        <v>1252</v>
      </c>
      <c r="F112" s="96" t="s">
        <v>1253</v>
      </c>
      <c r="G112" s="99">
        <v>2000</v>
      </c>
      <c r="H112" s="95" t="s">
        <v>618</v>
      </c>
      <c r="I112" s="95" t="s">
        <v>1224</v>
      </c>
      <c r="J112" s="95"/>
      <c r="K112" s="95"/>
      <c r="L112" s="96"/>
      <c r="M112" s="42" t="str">
        <f t="shared" si="4"/>
        <v>MERKEZ KASA</v>
      </c>
      <c r="N112" s="42" t="str">
        <f t="shared" si="5"/>
        <v>Ulaşım</v>
      </c>
      <c r="O112" s="43">
        <f t="shared" si="6"/>
        <v>46113</v>
      </c>
      <c r="P112" s="42" t="str">
        <f t="shared" si="7"/>
        <v>UYGUN</v>
      </c>
      <c r="Q112" s="22" t="str">
        <f>IF(AND(L112&lt;&gt;"",D112="Gelir",I112="Hayır"),L112&amp;"|"&amp;TEXT(COUNTIFS($L$7:L112,L112,$D$7:D112,"Gelir",$I$7:I112,"Hayır"),"000"),"")</f>
        <v/>
      </c>
      <c r="R112" s="22" t="b">
        <f>OR(COUNTIF(LST_MUSTERI_ADI,L112)&gt;0,L112=SISTEM!$C$9,L112=SISTEM!$C$10)</f>
        <v>0</v>
      </c>
    </row>
    <row r="113" spans="1:18" ht="17">
      <c r="A113" s="6"/>
      <c r="B113" s="95" t="s">
        <v>1438</v>
      </c>
      <c r="C113" s="97">
        <v>46127</v>
      </c>
      <c r="D113" s="95" t="s">
        <v>434</v>
      </c>
      <c r="E113" s="96" t="s">
        <v>1260</v>
      </c>
      <c r="F113" s="96" t="s">
        <v>1439</v>
      </c>
      <c r="G113" s="99">
        <v>7500</v>
      </c>
      <c r="H113" s="95" t="s">
        <v>618</v>
      </c>
      <c r="I113" s="95" t="s">
        <v>1224</v>
      </c>
      <c r="J113" s="95"/>
      <c r="K113" s="95"/>
      <c r="L113" s="96"/>
      <c r="M113" s="42" t="str">
        <f t="shared" si="4"/>
        <v>MERKEZ KASA</v>
      </c>
      <c r="N113" s="42" t="str">
        <f t="shared" si="5"/>
        <v>Mehmet Ali Kartal</v>
      </c>
      <c r="O113" s="43">
        <f t="shared" si="6"/>
        <v>46113</v>
      </c>
      <c r="P113" s="42" t="str">
        <f t="shared" si="7"/>
        <v>UYGUN</v>
      </c>
      <c r="Q113" s="22" t="str">
        <f>IF(AND(L113&lt;&gt;"",D113="Gelir",I113="Hayır"),L113&amp;"|"&amp;TEXT(COUNTIFS($L$7:L113,L113,$D$7:D113,"Gelir",$I$7:I113,"Hayır"),"000"),"")</f>
        <v/>
      </c>
      <c r="R113" s="22" t="b">
        <f>OR(COUNTIF(LST_MUSTERI_ADI,L113)&gt;0,L113=SISTEM!$C$9,L113=SISTEM!$C$10)</f>
        <v>0</v>
      </c>
    </row>
    <row r="114" spans="1:18" ht="17">
      <c r="A114" s="6"/>
      <c r="B114" s="95" t="s">
        <v>1440</v>
      </c>
      <c r="C114" s="97">
        <v>46130</v>
      </c>
      <c r="D114" s="95" t="s">
        <v>434</v>
      </c>
      <c r="E114" s="96" t="s">
        <v>1255</v>
      </c>
      <c r="F114" s="96" t="s">
        <v>1441</v>
      </c>
      <c r="G114" s="99">
        <v>784</v>
      </c>
      <c r="H114" s="95" t="s">
        <v>618</v>
      </c>
      <c r="I114" s="95" t="s">
        <v>1224</v>
      </c>
      <c r="J114" s="95"/>
      <c r="K114" s="95"/>
      <c r="L114" s="96"/>
      <c r="M114" s="42" t="str">
        <f t="shared" si="4"/>
        <v>MERKEZ KASA</v>
      </c>
      <c r="N114" s="42" t="str">
        <f t="shared" si="5"/>
        <v>Temsil / Ağırlama</v>
      </c>
      <c r="O114" s="43">
        <f t="shared" si="6"/>
        <v>46113</v>
      </c>
      <c r="P114" s="42" t="str">
        <f t="shared" si="7"/>
        <v>UYGUN</v>
      </c>
      <c r="Q114" s="22" t="str">
        <f>IF(AND(L114&lt;&gt;"",D114="Gelir",I114="Hayır"),L114&amp;"|"&amp;TEXT(COUNTIFS($L$7:L114,L114,$D$7:D114,"Gelir",$I$7:I114,"Hayır"),"000"),"")</f>
        <v/>
      </c>
      <c r="R114" s="22" t="b">
        <f>OR(COUNTIF(LST_MUSTERI_ADI,L114)&gt;0,L114=SISTEM!$C$9,L114=SISTEM!$C$10)</f>
        <v>0</v>
      </c>
    </row>
    <row r="115" spans="1:18" ht="17">
      <c r="A115" s="6"/>
      <c r="B115" s="95" t="s">
        <v>1442</v>
      </c>
      <c r="C115" s="97">
        <v>46132</v>
      </c>
      <c r="D115" s="95" t="s">
        <v>434</v>
      </c>
      <c r="E115" s="96" t="s">
        <v>1367</v>
      </c>
      <c r="F115" s="96" t="s">
        <v>1443</v>
      </c>
      <c r="G115" s="99">
        <v>4500</v>
      </c>
      <c r="H115" s="95" t="s">
        <v>618</v>
      </c>
      <c r="I115" s="95" t="s">
        <v>1224</v>
      </c>
      <c r="J115" s="95"/>
      <c r="K115" s="95"/>
      <c r="L115" s="96"/>
      <c r="M115" s="42" t="str">
        <f t="shared" si="4"/>
        <v>MERKEZ KASA</v>
      </c>
      <c r="N115" s="42" t="str">
        <f t="shared" si="5"/>
        <v>Demirbaş</v>
      </c>
      <c r="O115" s="43">
        <f t="shared" si="6"/>
        <v>46113</v>
      </c>
      <c r="P115" s="42" t="str">
        <f t="shared" si="7"/>
        <v>UYGUN</v>
      </c>
      <c r="Q115" s="22" t="str">
        <f>IF(AND(L115&lt;&gt;"",D115="Gelir",I115="Hayır"),L115&amp;"|"&amp;TEXT(COUNTIFS($L$7:L115,L115,$D$7:D115,"Gelir",$I$7:I115,"Hayır"),"000"),"")</f>
        <v/>
      </c>
      <c r="R115" s="22" t="b">
        <f>OR(COUNTIF(LST_MUSTERI_ADI,L115)&gt;0,L115=SISTEM!$C$9,L115=SISTEM!$C$10)</f>
        <v>0</v>
      </c>
    </row>
    <row r="116" spans="1:18" ht="17">
      <c r="A116" s="6"/>
      <c r="B116" s="95" t="s">
        <v>1444</v>
      </c>
      <c r="C116" s="97">
        <v>46132</v>
      </c>
      <c r="D116" s="95" t="s">
        <v>434</v>
      </c>
      <c r="E116" s="96" t="s">
        <v>1234</v>
      </c>
      <c r="F116" s="96" t="s">
        <v>1445</v>
      </c>
      <c r="G116" s="99">
        <v>5200</v>
      </c>
      <c r="H116" s="95" t="s">
        <v>618</v>
      </c>
      <c r="I116" s="95" t="s">
        <v>1224</v>
      </c>
      <c r="J116" s="95"/>
      <c r="K116" s="95"/>
      <c r="L116" s="96"/>
      <c r="M116" s="42" t="str">
        <f t="shared" si="4"/>
        <v>MERKEZ KASA</v>
      </c>
      <c r="N116" s="42" t="str">
        <f t="shared" si="5"/>
        <v>Kırtasiye</v>
      </c>
      <c r="O116" s="43">
        <f t="shared" si="6"/>
        <v>46113</v>
      </c>
      <c r="P116" s="42" t="str">
        <f t="shared" si="7"/>
        <v>UYGUN</v>
      </c>
      <c r="Q116" s="22" t="str">
        <f>IF(AND(L116&lt;&gt;"",D116="Gelir",I116="Hayır"),L116&amp;"|"&amp;TEXT(COUNTIFS($L$7:L116,L116,$D$7:D116,"Gelir",$I$7:I116,"Hayır"),"000"),"")</f>
        <v/>
      </c>
      <c r="R116" s="22" t="b">
        <f>OR(COUNTIF(LST_MUSTERI_ADI,L116)&gt;0,L116=SISTEM!$C$9,L116=SISTEM!$C$10)</f>
        <v>0</v>
      </c>
    </row>
    <row r="117" spans="1:18" ht="34">
      <c r="A117" s="6"/>
      <c r="B117" s="95" t="s">
        <v>1446</v>
      </c>
      <c r="C117" s="97">
        <v>46132</v>
      </c>
      <c r="D117" s="95" t="s">
        <v>434</v>
      </c>
      <c r="E117" s="96" t="s">
        <v>1237</v>
      </c>
      <c r="F117" s="96" t="s">
        <v>1447</v>
      </c>
      <c r="G117" s="99">
        <v>2100</v>
      </c>
      <c r="H117" s="95" t="s">
        <v>618</v>
      </c>
      <c r="I117" s="95" t="s">
        <v>1224</v>
      </c>
      <c r="J117" s="95"/>
      <c r="K117" s="95"/>
      <c r="L117" s="96"/>
      <c r="M117" s="42" t="str">
        <f t="shared" si="4"/>
        <v>MERKEZ KASA</v>
      </c>
      <c r="N117" s="42" t="str">
        <f t="shared" si="5"/>
        <v>Telefon / İnternet</v>
      </c>
      <c r="O117" s="43">
        <f t="shared" si="6"/>
        <v>46113</v>
      </c>
      <c r="P117" s="42" t="str">
        <f t="shared" si="7"/>
        <v>UYGUN</v>
      </c>
      <c r="Q117" s="22" t="str">
        <f>IF(AND(L117&lt;&gt;"",D117="Gelir",I117="Hayır"),L117&amp;"|"&amp;TEXT(COUNTIFS($L$7:L117,L117,$D$7:D117,"Gelir",$I$7:I117,"Hayır"),"000"),"")</f>
        <v/>
      </c>
      <c r="R117" s="22" t="b">
        <f>OR(COUNTIF(LST_MUSTERI_ADI,L117)&gt;0,L117=SISTEM!$C$9,L117=SISTEM!$C$10)</f>
        <v>0</v>
      </c>
    </row>
    <row r="118" spans="1:18" ht="17">
      <c r="A118" s="6"/>
      <c r="B118" s="95" t="s">
        <v>1448</v>
      </c>
      <c r="C118" s="97">
        <v>46132</v>
      </c>
      <c r="D118" s="95" t="s">
        <v>434</v>
      </c>
      <c r="E118" s="96" t="s">
        <v>1255</v>
      </c>
      <c r="F118" s="96" t="s">
        <v>1449</v>
      </c>
      <c r="G118" s="99">
        <v>2000</v>
      </c>
      <c r="H118" s="95" t="s">
        <v>618</v>
      </c>
      <c r="I118" s="95" t="s">
        <v>1224</v>
      </c>
      <c r="J118" s="95"/>
      <c r="K118" s="95"/>
      <c r="L118" s="96"/>
      <c r="M118" s="42" t="str">
        <f t="shared" si="4"/>
        <v>MERKEZ KASA</v>
      </c>
      <c r="N118" s="42" t="str">
        <f t="shared" si="5"/>
        <v>Temsil / Ağırlama</v>
      </c>
      <c r="O118" s="43">
        <f t="shared" si="6"/>
        <v>46113</v>
      </c>
      <c r="P118" s="42" t="str">
        <f t="shared" si="7"/>
        <v>UYGUN</v>
      </c>
      <c r="Q118" s="22" t="str">
        <f>IF(AND(L118&lt;&gt;"",D118="Gelir",I118="Hayır"),L118&amp;"|"&amp;TEXT(COUNTIFS($L$7:L118,L118,$D$7:D118,"Gelir",$I$7:I118,"Hayır"),"000"),"")</f>
        <v/>
      </c>
      <c r="R118" s="22" t="b">
        <f>OR(COUNTIF(LST_MUSTERI_ADI,L118)&gt;0,L118=SISTEM!$C$9,L118=SISTEM!$C$10)</f>
        <v>0</v>
      </c>
    </row>
    <row r="119" spans="1:18" ht="17">
      <c r="A119" s="6"/>
      <c r="B119" s="95" t="s">
        <v>1450</v>
      </c>
      <c r="C119" s="97">
        <v>46132</v>
      </c>
      <c r="D119" s="95" t="s">
        <v>434</v>
      </c>
      <c r="E119" s="96" t="s">
        <v>1255</v>
      </c>
      <c r="F119" s="96" t="s">
        <v>1451</v>
      </c>
      <c r="G119" s="99">
        <v>600</v>
      </c>
      <c r="H119" s="95" t="s">
        <v>618</v>
      </c>
      <c r="I119" s="95" t="s">
        <v>1224</v>
      </c>
      <c r="J119" s="95"/>
      <c r="K119" s="95"/>
      <c r="L119" s="96"/>
      <c r="M119" s="42" t="str">
        <f t="shared" si="4"/>
        <v>MERKEZ KASA</v>
      </c>
      <c r="N119" s="42" t="str">
        <f t="shared" si="5"/>
        <v>Temsil / Ağırlama</v>
      </c>
      <c r="O119" s="43">
        <f t="shared" si="6"/>
        <v>46113</v>
      </c>
      <c r="P119" s="42" t="str">
        <f t="shared" si="7"/>
        <v>UYGUN</v>
      </c>
      <c r="Q119" s="22" t="str">
        <f>IF(AND(L119&lt;&gt;"",D119="Gelir",I119="Hayır"),L119&amp;"|"&amp;TEXT(COUNTIFS($L$7:L119,L119,$D$7:D119,"Gelir",$I$7:I119,"Hayır"),"000"),"")</f>
        <v/>
      </c>
      <c r="R119" s="22" t="b">
        <f>OR(COUNTIF(LST_MUSTERI_ADI,L119)&gt;0,L119=SISTEM!$C$9,L119=SISTEM!$C$10)</f>
        <v>0</v>
      </c>
    </row>
    <row r="120" spans="1:18" ht="17">
      <c r="A120" s="6"/>
      <c r="B120" s="95" t="s">
        <v>1452</v>
      </c>
      <c r="C120" s="97">
        <v>46132</v>
      </c>
      <c r="D120" s="95" t="s">
        <v>434</v>
      </c>
      <c r="E120" s="96" t="s">
        <v>1255</v>
      </c>
      <c r="F120" s="96" t="s">
        <v>1346</v>
      </c>
      <c r="G120" s="99">
        <v>400</v>
      </c>
      <c r="H120" s="95" t="s">
        <v>618</v>
      </c>
      <c r="I120" s="95" t="s">
        <v>1224</v>
      </c>
      <c r="J120" s="95"/>
      <c r="K120" s="95"/>
      <c r="L120" s="96"/>
      <c r="M120" s="42" t="str">
        <f t="shared" si="4"/>
        <v>MERKEZ KASA</v>
      </c>
      <c r="N120" s="42" t="str">
        <f t="shared" si="5"/>
        <v>Temsil / Ağırlama</v>
      </c>
      <c r="O120" s="43">
        <f t="shared" si="6"/>
        <v>46113</v>
      </c>
      <c r="P120" s="42" t="str">
        <f t="shared" si="7"/>
        <v>UYGUN</v>
      </c>
      <c r="Q120" s="22" t="str">
        <f>IF(AND(L120&lt;&gt;"",D120="Gelir",I120="Hayır"),L120&amp;"|"&amp;TEXT(COUNTIFS($L$7:L120,L120,$D$7:D120,"Gelir",$I$7:I120,"Hayır"),"000"),"")</f>
        <v/>
      </c>
      <c r="R120" s="22" t="b">
        <f>OR(COUNTIF(LST_MUSTERI_ADI,L120)&gt;0,L120=SISTEM!$C$9,L120=SISTEM!$C$10)</f>
        <v>0</v>
      </c>
    </row>
    <row r="121" spans="1:18" ht="17">
      <c r="A121" s="6"/>
      <c r="B121" s="95" t="s">
        <v>1453</v>
      </c>
      <c r="C121" s="97">
        <v>46132</v>
      </c>
      <c r="D121" s="95" t="s">
        <v>434</v>
      </c>
      <c r="E121" s="96" t="s">
        <v>1237</v>
      </c>
      <c r="F121" s="96" t="s">
        <v>1250</v>
      </c>
      <c r="G121" s="99">
        <v>630</v>
      </c>
      <c r="H121" s="95" t="s">
        <v>618</v>
      </c>
      <c r="I121" s="95" t="s">
        <v>1224</v>
      </c>
      <c r="J121" s="95"/>
      <c r="K121" s="95"/>
      <c r="L121" s="96"/>
      <c r="M121" s="42" t="str">
        <f t="shared" si="4"/>
        <v>MERKEZ KASA</v>
      </c>
      <c r="N121" s="42" t="str">
        <f t="shared" si="5"/>
        <v>Telefon / İnternet</v>
      </c>
      <c r="O121" s="43">
        <f t="shared" si="6"/>
        <v>46113</v>
      </c>
      <c r="P121" s="42" t="str">
        <f t="shared" si="7"/>
        <v>UYGUN</v>
      </c>
      <c r="Q121" s="22" t="str">
        <f>IF(AND(L121&lt;&gt;"",D121="Gelir",I121="Hayır"),L121&amp;"|"&amp;TEXT(COUNTIFS($L$7:L121,L121,$D$7:D121,"Gelir",$I$7:I121,"Hayır"),"000"),"")</f>
        <v/>
      </c>
      <c r="R121" s="22" t="b">
        <f>OR(COUNTIF(LST_MUSTERI_ADI,L121)&gt;0,L121=SISTEM!$C$9,L121=SISTEM!$C$10)</f>
        <v>0</v>
      </c>
    </row>
    <row r="122" spans="1:18" ht="17">
      <c r="A122" s="6"/>
      <c r="B122" s="95" t="s">
        <v>1454</v>
      </c>
      <c r="C122" s="97">
        <v>46132</v>
      </c>
      <c r="D122" s="95" t="s">
        <v>434</v>
      </c>
      <c r="E122" s="96" t="s">
        <v>1252</v>
      </c>
      <c r="F122" s="96" t="s">
        <v>1253</v>
      </c>
      <c r="G122" s="99">
        <v>2000</v>
      </c>
      <c r="H122" s="95" t="s">
        <v>618</v>
      </c>
      <c r="I122" s="95" t="s">
        <v>1224</v>
      </c>
      <c r="J122" s="95"/>
      <c r="K122" s="95"/>
      <c r="L122" s="96"/>
      <c r="M122" s="42" t="str">
        <f t="shared" si="4"/>
        <v>MERKEZ KASA</v>
      </c>
      <c r="N122" s="42" t="str">
        <f t="shared" si="5"/>
        <v>Ulaşım</v>
      </c>
      <c r="O122" s="43">
        <f t="shared" si="6"/>
        <v>46113</v>
      </c>
      <c r="P122" s="42" t="str">
        <f t="shared" si="7"/>
        <v>UYGUN</v>
      </c>
      <c r="Q122" s="22" t="str">
        <f>IF(AND(L122&lt;&gt;"",D122="Gelir",I122="Hayır"),L122&amp;"|"&amp;TEXT(COUNTIFS($L$7:L122,L122,$D$7:D122,"Gelir",$I$7:I122,"Hayır"),"000"),"")</f>
        <v/>
      </c>
      <c r="R122" s="22" t="b">
        <f>OR(COUNTIF(LST_MUSTERI_ADI,L122)&gt;0,L122=SISTEM!$C$9,L122=SISTEM!$C$10)</f>
        <v>0</v>
      </c>
    </row>
    <row r="123" spans="1:18" ht="17">
      <c r="A123" s="6"/>
      <c r="B123" s="95" t="s">
        <v>1455</v>
      </c>
      <c r="C123" s="97">
        <v>46137</v>
      </c>
      <c r="D123" s="95" t="s">
        <v>434</v>
      </c>
      <c r="E123" s="96" t="s">
        <v>1255</v>
      </c>
      <c r="F123" s="96" t="s">
        <v>1456</v>
      </c>
      <c r="G123" s="99">
        <v>270</v>
      </c>
      <c r="H123" s="95" t="s">
        <v>618</v>
      </c>
      <c r="I123" s="95" t="s">
        <v>1224</v>
      </c>
      <c r="J123" s="95"/>
      <c r="K123" s="95"/>
      <c r="L123" s="96"/>
      <c r="M123" s="42" t="str">
        <f t="shared" si="4"/>
        <v>MERKEZ KASA</v>
      </c>
      <c r="N123" s="42" t="str">
        <f t="shared" si="5"/>
        <v>Temsil / Ağırlama</v>
      </c>
      <c r="O123" s="43">
        <f t="shared" si="6"/>
        <v>46113</v>
      </c>
      <c r="P123" s="42" t="str">
        <f t="shared" si="7"/>
        <v>UYGUN</v>
      </c>
      <c r="Q123" s="22" t="str">
        <f>IF(AND(L123&lt;&gt;"",D123="Gelir",I123="Hayır"),L123&amp;"|"&amp;TEXT(COUNTIFS($L$7:L123,L123,$D$7:D123,"Gelir",$I$7:I123,"Hayır"),"000"),"")</f>
        <v/>
      </c>
      <c r="R123" s="22" t="b">
        <f>OR(COUNTIF(LST_MUSTERI_ADI,L123)&gt;0,L123=SISTEM!$C$9,L123=SISTEM!$C$10)</f>
        <v>0</v>
      </c>
    </row>
    <row r="124" spans="1:18" ht="17">
      <c r="A124" s="6"/>
      <c r="B124" s="95" t="s">
        <v>1457</v>
      </c>
      <c r="C124" s="97">
        <v>46139</v>
      </c>
      <c r="D124" s="95" t="s">
        <v>434</v>
      </c>
      <c r="E124" s="96" t="s">
        <v>1267</v>
      </c>
      <c r="F124" s="96" t="s">
        <v>1458</v>
      </c>
      <c r="G124" s="99">
        <v>20000</v>
      </c>
      <c r="H124" s="95" t="s">
        <v>618</v>
      </c>
      <c r="I124" s="95" t="s">
        <v>1224</v>
      </c>
      <c r="J124" s="95"/>
      <c r="K124" s="95"/>
      <c r="L124" s="96"/>
      <c r="M124" s="42" t="str">
        <f t="shared" si="4"/>
        <v>MERKEZ KASA</v>
      </c>
      <c r="N124" s="42" t="str">
        <f t="shared" si="5"/>
        <v>Personel</v>
      </c>
      <c r="O124" s="43">
        <f t="shared" si="6"/>
        <v>46113</v>
      </c>
      <c r="P124" s="42" t="str">
        <f t="shared" si="7"/>
        <v>UYGUN</v>
      </c>
      <c r="Q124" s="22" t="str">
        <f>IF(AND(L124&lt;&gt;"",D124="Gelir",I124="Hayır"),L124&amp;"|"&amp;TEXT(COUNTIFS($L$7:L124,L124,$D$7:D124,"Gelir",$I$7:I124,"Hayır"),"000"),"")</f>
        <v/>
      </c>
      <c r="R124" s="22" t="b">
        <f>OR(COUNTIF(LST_MUSTERI_ADI,L124)&gt;0,L124=SISTEM!$C$9,L124=SISTEM!$C$10)</f>
        <v>0</v>
      </c>
    </row>
    <row r="125" spans="1:18" ht="17">
      <c r="A125" s="6"/>
      <c r="B125" s="95" t="s">
        <v>1459</v>
      </c>
      <c r="C125" s="97">
        <v>46139</v>
      </c>
      <c r="D125" s="95" t="s">
        <v>434</v>
      </c>
      <c r="E125" s="96" t="s">
        <v>1272</v>
      </c>
      <c r="F125" s="96" t="s">
        <v>1386</v>
      </c>
      <c r="G125" s="99">
        <v>11810</v>
      </c>
      <c r="H125" s="95" t="s">
        <v>618</v>
      </c>
      <c r="I125" s="95" t="s">
        <v>1224</v>
      </c>
      <c r="J125" s="95"/>
      <c r="K125" s="95"/>
      <c r="L125" s="96"/>
      <c r="M125" s="42" t="str">
        <f t="shared" si="4"/>
        <v>MERKEZ KASA</v>
      </c>
      <c r="N125" s="42" t="str">
        <f t="shared" si="5"/>
        <v>Vergi / Harç</v>
      </c>
      <c r="O125" s="43">
        <f t="shared" si="6"/>
        <v>46113</v>
      </c>
      <c r="P125" s="42" t="str">
        <f t="shared" si="7"/>
        <v>UYGUN</v>
      </c>
      <c r="Q125" s="22" t="str">
        <f>IF(AND(L125&lt;&gt;"",D125="Gelir",I125="Hayır"),L125&amp;"|"&amp;TEXT(COUNTIFS($L$7:L125,L125,$D$7:D125,"Gelir",$I$7:I125,"Hayır"),"000"),"")</f>
        <v/>
      </c>
      <c r="R125" s="22" t="b">
        <f>OR(COUNTIF(LST_MUSTERI_ADI,L125)&gt;0,L125=SISTEM!$C$9,L125=SISTEM!$C$10)</f>
        <v>0</v>
      </c>
    </row>
    <row r="126" spans="1:18" ht="17">
      <c r="A126" s="6"/>
      <c r="B126" s="95" t="s">
        <v>1460</v>
      </c>
      <c r="C126" s="97">
        <v>46142</v>
      </c>
      <c r="D126" s="95" t="s">
        <v>434</v>
      </c>
      <c r="E126" s="96" t="s">
        <v>1267</v>
      </c>
      <c r="F126" s="96" t="s">
        <v>1461</v>
      </c>
      <c r="G126" s="99">
        <v>60000</v>
      </c>
      <c r="H126" s="95" t="s">
        <v>618</v>
      </c>
      <c r="I126" s="95" t="s">
        <v>1224</v>
      </c>
      <c r="J126" s="95"/>
      <c r="K126" s="95"/>
      <c r="L126" s="96"/>
      <c r="M126" s="42" t="str">
        <f t="shared" si="4"/>
        <v>MERKEZ KASA</v>
      </c>
      <c r="N126" s="42" t="str">
        <f t="shared" si="5"/>
        <v>Personel</v>
      </c>
      <c r="O126" s="43">
        <f t="shared" si="6"/>
        <v>46113</v>
      </c>
      <c r="P126" s="42" t="str">
        <f t="shared" si="7"/>
        <v>UYGUN</v>
      </c>
      <c r="Q126" s="22" t="str">
        <f>IF(AND(L126&lt;&gt;"",D126="Gelir",I126="Hayır"),L126&amp;"|"&amp;TEXT(COUNTIFS($L$7:L126,L126,$D$7:D126,"Gelir",$I$7:I126,"Hayır"),"000"),"")</f>
        <v/>
      </c>
      <c r="R126" s="22" t="b">
        <f>OR(COUNTIF(LST_MUSTERI_ADI,L126)&gt;0,L126=SISTEM!$C$9,L126=SISTEM!$C$10)</f>
        <v>0</v>
      </c>
    </row>
    <row r="127" spans="1:18" ht="17">
      <c r="A127" s="6"/>
      <c r="B127" s="95" t="s">
        <v>1462</v>
      </c>
      <c r="C127" s="97">
        <v>46142</v>
      </c>
      <c r="D127" s="95" t="s">
        <v>434</v>
      </c>
      <c r="E127" s="96" t="s">
        <v>1252</v>
      </c>
      <c r="F127" s="96" t="s">
        <v>1463</v>
      </c>
      <c r="G127" s="99">
        <v>2000</v>
      </c>
      <c r="H127" s="95" t="s">
        <v>618</v>
      </c>
      <c r="I127" s="95" t="s">
        <v>1224</v>
      </c>
      <c r="J127" s="95"/>
      <c r="K127" s="95"/>
      <c r="L127" s="96"/>
      <c r="M127" s="42" t="str">
        <f t="shared" si="4"/>
        <v>MERKEZ KASA</v>
      </c>
      <c r="N127" s="42" t="str">
        <f t="shared" si="5"/>
        <v>Ulaşım</v>
      </c>
      <c r="O127" s="43">
        <f t="shared" si="6"/>
        <v>46113</v>
      </c>
      <c r="P127" s="42" t="str">
        <f t="shared" si="7"/>
        <v>UYGUN</v>
      </c>
      <c r="Q127" s="22" t="str">
        <f>IF(AND(L127&lt;&gt;"",D127="Gelir",I127="Hayır"),L127&amp;"|"&amp;TEXT(COUNTIFS($L$7:L127,L127,$D$7:D127,"Gelir",$I$7:I127,"Hayır"),"000"),"")</f>
        <v/>
      </c>
      <c r="R127" s="22" t="b">
        <f>OR(COUNTIF(LST_MUSTERI_ADI,L127)&gt;0,L127=SISTEM!$C$9,L127=SISTEM!$C$10)</f>
        <v>0</v>
      </c>
    </row>
    <row r="128" spans="1:18" ht="17">
      <c r="A128" s="6"/>
      <c r="B128" s="95" t="s">
        <v>1464</v>
      </c>
      <c r="C128" s="97">
        <v>46142</v>
      </c>
      <c r="D128" s="95" t="s">
        <v>1263</v>
      </c>
      <c r="E128" s="96" t="s">
        <v>1264</v>
      </c>
      <c r="F128" s="96" t="s">
        <v>1465</v>
      </c>
      <c r="G128" s="99">
        <v>30400</v>
      </c>
      <c r="H128" s="95" t="s">
        <v>618</v>
      </c>
      <c r="I128" s="95" t="s">
        <v>1224</v>
      </c>
      <c r="J128" s="95"/>
      <c r="K128" s="95"/>
      <c r="L128" s="96"/>
      <c r="M128" s="42" t="str">
        <f t="shared" si="4"/>
        <v>MERKEZ KASA</v>
      </c>
      <c r="N128" s="42" t="str">
        <f t="shared" si="5"/>
        <v>MERKEZ KASA</v>
      </c>
      <c r="O128" s="43">
        <f t="shared" si="6"/>
        <v>46113</v>
      </c>
      <c r="P128" s="42" t="str">
        <f t="shared" si="7"/>
        <v>UYGUN</v>
      </c>
      <c r="Q128" s="22" t="str">
        <f>IF(AND(L128&lt;&gt;"",D128="Gelir",I128="Hayır"),L128&amp;"|"&amp;TEXT(COUNTIFS($L$7:L128,L128,$D$7:D128,"Gelir",$I$7:I128,"Hayır"),"000"),"")</f>
        <v/>
      </c>
      <c r="R128" s="22" t="b">
        <f>OR(COUNTIF(LST_MUSTERI_ADI,L128)&gt;0,L128=SISTEM!$C$9,L128=SISTEM!$C$10)</f>
        <v>0</v>
      </c>
    </row>
    <row r="129" spans="1:18" ht="17">
      <c r="A129" s="6"/>
      <c r="B129" s="95" t="s">
        <v>1466</v>
      </c>
      <c r="C129" s="97">
        <v>46143</v>
      </c>
      <c r="D129" s="95" t="s">
        <v>434</v>
      </c>
      <c r="E129" s="96" t="s">
        <v>1260</v>
      </c>
      <c r="F129" s="96" t="s">
        <v>1396</v>
      </c>
      <c r="G129" s="99">
        <v>2500</v>
      </c>
      <c r="H129" s="95"/>
      <c r="I129" s="95" t="s">
        <v>1221</v>
      </c>
      <c r="J129" s="95"/>
      <c r="K129" s="95"/>
      <c r="L129" s="96"/>
      <c r="M129" s="42" t="str">
        <f t="shared" si="4"/>
        <v>CARİ MAHSUP</v>
      </c>
      <c r="N129" s="42" t="str">
        <f t="shared" si="5"/>
        <v>Mehmet Ali Kartal</v>
      </c>
      <c r="O129" s="43">
        <f t="shared" si="6"/>
        <v>46143</v>
      </c>
      <c r="P129" s="42" t="str">
        <f t="shared" si="7"/>
        <v>UYGUN</v>
      </c>
      <c r="Q129" s="22" t="str">
        <f>IF(AND(L129&lt;&gt;"",D129="Gelir",I129="Hayır"),L129&amp;"|"&amp;TEXT(COUNTIFS($L$7:L129,L129,$D$7:D129,"Gelir",$I$7:I129,"Hayır"),"000"),"")</f>
        <v/>
      </c>
      <c r="R129" s="22" t="b">
        <f>OR(COUNTIF(LST_MUSTERI_ADI,L129)&gt;0,L129=SISTEM!$C$9,L129=SISTEM!$C$10)</f>
        <v>0</v>
      </c>
    </row>
    <row r="130" spans="1:18" ht="17">
      <c r="A130" s="6"/>
      <c r="B130" s="95" t="s">
        <v>1467</v>
      </c>
      <c r="C130" s="97">
        <v>46144</v>
      </c>
      <c r="D130" s="95" t="s">
        <v>434</v>
      </c>
      <c r="E130" s="96" t="s">
        <v>1252</v>
      </c>
      <c r="F130" s="96" t="s">
        <v>1468</v>
      </c>
      <c r="G130" s="99">
        <v>1000</v>
      </c>
      <c r="H130" s="95" t="s">
        <v>618</v>
      </c>
      <c r="I130" s="95" t="s">
        <v>1224</v>
      </c>
      <c r="J130" s="95"/>
      <c r="K130" s="95"/>
      <c r="L130" s="96"/>
      <c r="M130" s="42" t="str">
        <f t="shared" si="4"/>
        <v>MERKEZ KASA</v>
      </c>
      <c r="N130" s="42" t="str">
        <f t="shared" si="5"/>
        <v>Ulaşım</v>
      </c>
      <c r="O130" s="43">
        <f t="shared" si="6"/>
        <v>46143</v>
      </c>
      <c r="P130" s="42" t="str">
        <f t="shared" si="7"/>
        <v>UYGUN</v>
      </c>
      <c r="Q130" s="22" t="str">
        <f>IF(AND(L130&lt;&gt;"",D130="Gelir",I130="Hayır"),L130&amp;"|"&amp;TEXT(COUNTIFS($L$7:L130,L130,$D$7:D130,"Gelir",$I$7:I130,"Hayır"),"000"),"")</f>
        <v/>
      </c>
      <c r="R130" s="22" t="b">
        <f>OR(COUNTIF(LST_MUSTERI_ADI,L130)&gt;0,L130=SISTEM!$C$9,L130=SISTEM!$C$10)</f>
        <v>0</v>
      </c>
    </row>
    <row r="131" spans="1:18" ht="17">
      <c r="A131" s="6"/>
      <c r="B131" s="95" t="s">
        <v>1469</v>
      </c>
      <c r="C131" s="97">
        <v>46144</v>
      </c>
      <c r="D131" s="95" t="s">
        <v>434</v>
      </c>
      <c r="E131" s="96" t="s">
        <v>1279</v>
      </c>
      <c r="F131" s="96" t="s">
        <v>1470</v>
      </c>
      <c r="G131" s="99">
        <v>14000</v>
      </c>
      <c r="H131" s="95" t="s">
        <v>618</v>
      </c>
      <c r="I131" s="95" t="s">
        <v>1224</v>
      </c>
      <c r="J131" s="95"/>
      <c r="K131" s="95"/>
      <c r="L131" s="96"/>
      <c r="M131" s="42" t="str">
        <f t="shared" si="4"/>
        <v>MERKEZ KASA</v>
      </c>
      <c r="N131" s="42" t="str">
        <f t="shared" si="5"/>
        <v>Ofis Kirası</v>
      </c>
      <c r="O131" s="43">
        <f t="shared" si="6"/>
        <v>46143</v>
      </c>
      <c r="P131" s="42" t="str">
        <f t="shared" si="7"/>
        <v>UYGUN</v>
      </c>
      <c r="Q131" s="22" t="str">
        <f>IF(AND(L131&lt;&gt;"",D131="Gelir",I131="Hayır"),L131&amp;"|"&amp;TEXT(COUNTIFS($L$7:L131,L131,$D$7:D131,"Gelir",$I$7:I131,"Hayır"),"000"),"")</f>
        <v/>
      </c>
      <c r="R131" s="22" t="b">
        <f>OR(COUNTIF(LST_MUSTERI_ADI,L131)&gt;0,L131=SISTEM!$C$9,L131=SISTEM!$C$10)</f>
        <v>0</v>
      </c>
    </row>
    <row r="132" spans="1:18" ht="17">
      <c r="A132" s="6"/>
      <c r="B132" s="95" t="s">
        <v>1471</v>
      </c>
      <c r="C132" s="97">
        <v>46144</v>
      </c>
      <c r="D132" s="95" t="s">
        <v>434</v>
      </c>
      <c r="E132" s="96" t="s">
        <v>1279</v>
      </c>
      <c r="F132" s="96" t="s">
        <v>1472</v>
      </c>
      <c r="G132" s="99">
        <v>2000</v>
      </c>
      <c r="H132" s="95" t="s">
        <v>618</v>
      </c>
      <c r="I132" s="95" t="s">
        <v>1224</v>
      </c>
      <c r="J132" s="95"/>
      <c r="K132" s="95"/>
      <c r="L132" s="96"/>
      <c r="M132" s="42" t="str">
        <f t="shared" si="4"/>
        <v>MERKEZ KASA</v>
      </c>
      <c r="N132" s="42" t="str">
        <f t="shared" si="5"/>
        <v>Ofis Kirası</v>
      </c>
      <c r="O132" s="43">
        <f t="shared" si="6"/>
        <v>46143</v>
      </c>
      <c r="P132" s="42" t="str">
        <f t="shared" si="7"/>
        <v>UYGUN</v>
      </c>
      <c r="Q132" s="22" t="str">
        <f>IF(AND(L132&lt;&gt;"",D132="Gelir",I132="Hayır"),L132&amp;"|"&amp;TEXT(COUNTIFS($L$7:L132,L132,$D$7:D132,"Gelir",$I$7:I132,"Hayır"),"000"),"")</f>
        <v/>
      </c>
      <c r="R132" s="22" t="b">
        <f>OR(COUNTIF(LST_MUSTERI_ADI,L132)&gt;0,L132=SISTEM!$C$9,L132=SISTEM!$C$10)</f>
        <v>0</v>
      </c>
    </row>
    <row r="133" spans="1:18" ht="17">
      <c r="A133" s="6"/>
      <c r="B133" s="95" t="s">
        <v>1473</v>
      </c>
      <c r="C133" s="97">
        <v>46144</v>
      </c>
      <c r="D133" s="95" t="s">
        <v>434</v>
      </c>
      <c r="E133" s="96" t="s">
        <v>1252</v>
      </c>
      <c r="F133" s="96" t="s">
        <v>1253</v>
      </c>
      <c r="G133" s="99">
        <v>2000</v>
      </c>
      <c r="H133" s="95" t="s">
        <v>618</v>
      </c>
      <c r="I133" s="95" t="s">
        <v>1224</v>
      </c>
      <c r="J133" s="95"/>
      <c r="K133" s="95"/>
      <c r="L133" s="96"/>
      <c r="M133" s="42" t="str">
        <f t="shared" si="4"/>
        <v>MERKEZ KASA</v>
      </c>
      <c r="N133" s="42" t="str">
        <f t="shared" si="5"/>
        <v>Ulaşım</v>
      </c>
      <c r="O133" s="43">
        <f t="shared" si="6"/>
        <v>46143</v>
      </c>
      <c r="P133" s="42" t="str">
        <f t="shared" si="7"/>
        <v>UYGUN</v>
      </c>
      <c r="Q133" s="22" t="str">
        <f>IF(AND(L133&lt;&gt;"",D133="Gelir",I133="Hayır"),L133&amp;"|"&amp;TEXT(COUNTIFS($L$7:L133,L133,$D$7:D133,"Gelir",$I$7:I133,"Hayır"),"000"),"")</f>
        <v/>
      </c>
      <c r="R133" s="22" t="b">
        <f>OR(COUNTIF(LST_MUSTERI_ADI,L133)&gt;0,L133=SISTEM!$C$9,L133=SISTEM!$C$10)</f>
        <v>0</v>
      </c>
    </row>
    <row r="134" spans="1:18" ht="17">
      <c r="A134" s="6"/>
      <c r="B134" s="95" t="s">
        <v>1474</v>
      </c>
      <c r="C134" s="97">
        <v>46146</v>
      </c>
      <c r="D134" s="95" t="s">
        <v>434</v>
      </c>
      <c r="E134" s="96" t="s">
        <v>1252</v>
      </c>
      <c r="F134" s="96" t="s">
        <v>1475</v>
      </c>
      <c r="G134" s="99">
        <v>600</v>
      </c>
      <c r="H134" s="95" t="s">
        <v>618</v>
      </c>
      <c r="I134" s="95" t="s">
        <v>1224</v>
      </c>
      <c r="J134" s="95"/>
      <c r="K134" s="95"/>
      <c r="L134" s="96"/>
      <c r="M134" s="42" t="str">
        <f t="shared" si="4"/>
        <v>MERKEZ KASA</v>
      </c>
      <c r="N134" s="42" t="str">
        <f t="shared" si="5"/>
        <v>Ulaşım</v>
      </c>
      <c r="O134" s="43">
        <f t="shared" si="6"/>
        <v>46143</v>
      </c>
      <c r="P134" s="42" t="str">
        <f t="shared" si="7"/>
        <v>UYGUN</v>
      </c>
      <c r="Q134" s="22" t="str">
        <f>IF(AND(L134&lt;&gt;"",D134="Gelir",I134="Hayır"),L134&amp;"|"&amp;TEXT(COUNTIFS($L$7:L134,L134,$D$7:D134,"Gelir",$I$7:I134,"Hayır"),"000"),"")</f>
        <v/>
      </c>
      <c r="R134" s="22" t="b">
        <f>OR(COUNTIF(LST_MUSTERI_ADI,L134)&gt;0,L134=SISTEM!$C$9,L134=SISTEM!$C$10)</f>
        <v>0</v>
      </c>
    </row>
    <row r="135" spans="1:18" ht="17">
      <c r="A135" s="6"/>
      <c r="B135" s="95" t="s">
        <v>1476</v>
      </c>
      <c r="C135" s="97">
        <v>46147</v>
      </c>
      <c r="D135" s="95" t="s">
        <v>434</v>
      </c>
      <c r="E135" s="96" t="s">
        <v>1267</v>
      </c>
      <c r="F135" s="96" t="s">
        <v>1411</v>
      </c>
      <c r="G135" s="99">
        <v>10000</v>
      </c>
      <c r="H135" s="95" t="s">
        <v>618</v>
      </c>
      <c r="I135" s="95" t="s">
        <v>1224</v>
      </c>
      <c r="J135" s="95"/>
      <c r="K135" s="95"/>
      <c r="L135" s="96"/>
      <c r="M135" s="42" t="str">
        <f t="shared" ref="M135:M198" si="8">IF(C135="","",IF(D135="Gider",IF(H135&lt;&gt;"",H135,"CARİ MAHSUP"),IF(L135&lt;&gt;"",L135,H135)))</f>
        <v>MERKEZ KASA</v>
      </c>
      <c r="N135" s="42" t="str">
        <f t="shared" ref="N135:N198" si="9">IF(C135="","",IF(D135="Gider",E135,IF(H135&lt;&gt;"",H135,E135)))</f>
        <v>Personel</v>
      </c>
      <c r="O135" s="43">
        <f t="shared" ref="O135:O198" si="10">IF(C135="","",DATE(YEAR(C135),MONTH(C135),1))</f>
        <v>46143</v>
      </c>
      <c r="P135" s="42" t="str">
        <f t="shared" ref="P135:P198" si="11">IF(C135="","",IF(OR(D135="",E135="",G135=""),"EKSİK",IF(AND(D135="Gelir",I135="Hayır",L135&lt;&gt;""),IF(R135,"TAHAKKUK","TANIMSIZ BORÇLU"),IF(AND(D135="Gelir",I135="Evet",L135&lt;&gt;""),"TAHAKKUK NAKİT OLAMAZ",IF(AND(D135="Gelir",I135="Hayır",H135&lt;&gt;""),"NAKİTSİZDE KASA OLMAZ","UYGUN")))))</f>
        <v>UYGUN</v>
      </c>
      <c r="Q135" s="22" t="str">
        <f>IF(AND(L135&lt;&gt;"",D135="Gelir",I135="Hayır"),L135&amp;"|"&amp;TEXT(COUNTIFS($L$7:L135,L135,$D$7:D135,"Gelir",$I$7:I135,"Hayır"),"000"),"")</f>
        <v/>
      </c>
      <c r="R135" s="22" t="b">
        <f>OR(COUNTIF(LST_MUSTERI_ADI,L135)&gt;0,L135=SISTEM!$C$9,L135=SISTEM!$C$10)</f>
        <v>0</v>
      </c>
    </row>
    <row r="136" spans="1:18" ht="17">
      <c r="A136" s="6"/>
      <c r="B136" s="95" t="s">
        <v>1477</v>
      </c>
      <c r="C136" s="97">
        <v>46151</v>
      </c>
      <c r="D136" s="95" t="s">
        <v>434</v>
      </c>
      <c r="E136" s="96" t="s">
        <v>1237</v>
      </c>
      <c r="F136" s="96" t="s">
        <v>449</v>
      </c>
      <c r="G136" s="99">
        <v>964</v>
      </c>
      <c r="H136" s="95" t="s">
        <v>618</v>
      </c>
      <c r="I136" s="95" t="s">
        <v>1224</v>
      </c>
      <c r="J136" s="95"/>
      <c r="K136" s="95"/>
      <c r="L136" s="96"/>
      <c r="M136" s="42" t="str">
        <f t="shared" si="8"/>
        <v>MERKEZ KASA</v>
      </c>
      <c r="N136" s="42" t="str">
        <f t="shared" si="9"/>
        <v>Telefon / İnternet</v>
      </c>
      <c r="O136" s="43">
        <f t="shared" si="10"/>
        <v>46143</v>
      </c>
      <c r="P136" s="42" t="str">
        <f t="shared" si="11"/>
        <v>UYGUN</v>
      </c>
      <c r="Q136" s="22" t="str">
        <f>IF(AND(L136&lt;&gt;"",D136="Gelir",I136="Hayır"),L136&amp;"|"&amp;TEXT(COUNTIFS($L$7:L136,L136,$D$7:D136,"Gelir",$I$7:I136,"Hayır"),"000"),"")</f>
        <v/>
      </c>
      <c r="R136" s="22" t="b">
        <f>OR(COUNTIF(LST_MUSTERI_ADI,L136)&gt;0,L136=SISTEM!$C$9,L136=SISTEM!$C$10)</f>
        <v>0</v>
      </c>
    </row>
    <row r="137" spans="1:18" ht="17">
      <c r="A137" s="6"/>
      <c r="B137" s="95" t="s">
        <v>1478</v>
      </c>
      <c r="C137" s="97">
        <v>46151</v>
      </c>
      <c r="D137" s="95" t="s">
        <v>434</v>
      </c>
      <c r="E137" s="96" t="s">
        <v>1237</v>
      </c>
      <c r="F137" s="96" t="s">
        <v>1479</v>
      </c>
      <c r="G137" s="99">
        <v>800</v>
      </c>
      <c r="H137" s="95" t="s">
        <v>618</v>
      </c>
      <c r="I137" s="95" t="s">
        <v>1224</v>
      </c>
      <c r="J137" s="95"/>
      <c r="K137" s="95"/>
      <c r="L137" s="96"/>
      <c r="M137" s="42" t="str">
        <f t="shared" si="8"/>
        <v>MERKEZ KASA</v>
      </c>
      <c r="N137" s="42" t="str">
        <f t="shared" si="9"/>
        <v>Telefon / İnternet</v>
      </c>
      <c r="O137" s="43">
        <f t="shared" si="10"/>
        <v>46143</v>
      </c>
      <c r="P137" s="42" t="str">
        <f t="shared" si="11"/>
        <v>UYGUN</v>
      </c>
      <c r="Q137" s="22" t="str">
        <f>IF(AND(L137&lt;&gt;"",D137="Gelir",I137="Hayır"),L137&amp;"|"&amp;TEXT(COUNTIFS($L$7:L137,L137,$D$7:D137,"Gelir",$I$7:I137,"Hayır"),"000"),"")</f>
        <v/>
      </c>
      <c r="R137" s="22" t="b">
        <f>OR(COUNTIF(LST_MUSTERI_ADI,L137)&gt;0,L137=SISTEM!$C$9,L137=SISTEM!$C$10)</f>
        <v>0</v>
      </c>
    </row>
    <row r="138" spans="1:18" ht="17">
      <c r="A138" s="6"/>
      <c r="B138" s="95" t="s">
        <v>1480</v>
      </c>
      <c r="C138" s="97">
        <v>46151</v>
      </c>
      <c r="D138" s="95" t="s">
        <v>434</v>
      </c>
      <c r="E138" s="96" t="s">
        <v>1260</v>
      </c>
      <c r="F138" s="96" t="s">
        <v>1481</v>
      </c>
      <c r="G138" s="99">
        <v>51500</v>
      </c>
      <c r="H138" s="95" t="s">
        <v>618</v>
      </c>
      <c r="I138" s="95" t="s">
        <v>1224</v>
      </c>
      <c r="J138" s="95"/>
      <c r="K138" s="95"/>
      <c r="L138" s="96"/>
      <c r="M138" s="42" t="str">
        <f t="shared" si="8"/>
        <v>MERKEZ KASA</v>
      </c>
      <c r="N138" s="42" t="str">
        <f t="shared" si="9"/>
        <v>Mehmet Ali Kartal</v>
      </c>
      <c r="O138" s="43">
        <f t="shared" si="10"/>
        <v>46143</v>
      </c>
      <c r="P138" s="42" t="str">
        <f t="shared" si="11"/>
        <v>UYGUN</v>
      </c>
      <c r="Q138" s="22" t="str">
        <f>IF(AND(L138&lt;&gt;"",D138="Gelir",I138="Hayır"),L138&amp;"|"&amp;TEXT(COUNTIFS($L$7:L138,L138,$D$7:D138,"Gelir",$I$7:I138,"Hayır"),"000"),"")</f>
        <v/>
      </c>
      <c r="R138" s="22" t="b">
        <f>OR(COUNTIF(LST_MUSTERI_ADI,L138)&gt;0,L138=SISTEM!$C$9,L138=SISTEM!$C$10)</f>
        <v>0</v>
      </c>
    </row>
    <row r="139" spans="1:18" ht="17">
      <c r="A139" s="6"/>
      <c r="B139" s="95" t="s">
        <v>1482</v>
      </c>
      <c r="C139" s="97">
        <v>46151</v>
      </c>
      <c r="D139" s="95" t="s">
        <v>434</v>
      </c>
      <c r="E139" s="96" t="s">
        <v>1252</v>
      </c>
      <c r="F139" s="96" t="s">
        <v>1253</v>
      </c>
      <c r="G139" s="99">
        <v>2000</v>
      </c>
      <c r="H139" s="95" t="s">
        <v>618</v>
      </c>
      <c r="I139" s="95" t="s">
        <v>1224</v>
      </c>
      <c r="J139" s="95"/>
      <c r="K139" s="95"/>
      <c r="L139" s="96"/>
      <c r="M139" s="42" t="str">
        <f t="shared" si="8"/>
        <v>MERKEZ KASA</v>
      </c>
      <c r="N139" s="42" t="str">
        <f t="shared" si="9"/>
        <v>Ulaşım</v>
      </c>
      <c r="O139" s="43">
        <f t="shared" si="10"/>
        <v>46143</v>
      </c>
      <c r="P139" s="42" t="str">
        <f t="shared" si="11"/>
        <v>UYGUN</v>
      </c>
      <c r="Q139" s="22" t="str">
        <f>IF(AND(L139&lt;&gt;"",D139="Gelir",I139="Hayır"),L139&amp;"|"&amp;TEXT(COUNTIFS($L$7:L139,L139,$D$7:D139,"Gelir",$I$7:I139,"Hayır"),"000"),"")</f>
        <v/>
      </c>
      <c r="R139" s="22" t="b">
        <f>OR(COUNTIF(LST_MUSTERI_ADI,L139)&gt;0,L139=SISTEM!$C$9,L139=SISTEM!$C$10)</f>
        <v>0</v>
      </c>
    </row>
    <row r="140" spans="1:18" ht="17">
      <c r="A140" s="6"/>
      <c r="B140" s="95" t="s">
        <v>1483</v>
      </c>
      <c r="C140" s="97">
        <v>46151</v>
      </c>
      <c r="D140" s="95" t="s">
        <v>1263</v>
      </c>
      <c r="E140" s="96" t="s">
        <v>1293</v>
      </c>
      <c r="F140" s="96" t="s">
        <v>1484</v>
      </c>
      <c r="G140" s="99">
        <v>5350</v>
      </c>
      <c r="H140" s="95" t="s">
        <v>618</v>
      </c>
      <c r="I140" s="95" t="s">
        <v>1224</v>
      </c>
      <c r="J140" s="95"/>
      <c r="K140" s="95"/>
      <c r="L140" s="96"/>
      <c r="M140" s="42" t="str">
        <f t="shared" si="8"/>
        <v>MERKEZ KASA</v>
      </c>
      <c r="N140" s="42" t="str">
        <f t="shared" si="9"/>
        <v>MERKEZ KASA</v>
      </c>
      <c r="O140" s="43">
        <f t="shared" si="10"/>
        <v>46143</v>
      </c>
      <c r="P140" s="42" t="str">
        <f t="shared" si="11"/>
        <v>UYGUN</v>
      </c>
      <c r="Q140" s="22" t="str">
        <f>IF(AND(L140&lt;&gt;"",D140="Gelir",I140="Hayır"),L140&amp;"|"&amp;TEXT(COUNTIFS($L$7:L140,L140,$D$7:D140,"Gelir",$I$7:I140,"Hayır"),"000"),"")</f>
        <v/>
      </c>
      <c r="R140" s="22" t="b">
        <f>OR(COUNTIF(LST_MUSTERI_ADI,L140)&gt;0,L140=SISTEM!$C$9,L140=SISTEM!$C$10)</f>
        <v>0</v>
      </c>
    </row>
    <row r="141" spans="1:18" ht="17">
      <c r="A141" s="6"/>
      <c r="B141" s="95" t="s">
        <v>1485</v>
      </c>
      <c r="C141" s="97">
        <v>46151</v>
      </c>
      <c r="D141" s="95" t="s">
        <v>1263</v>
      </c>
      <c r="E141" s="96" t="s">
        <v>1293</v>
      </c>
      <c r="F141" s="96" t="s">
        <v>1486</v>
      </c>
      <c r="G141" s="99">
        <v>5350</v>
      </c>
      <c r="H141" s="95" t="s">
        <v>618</v>
      </c>
      <c r="I141" s="95" t="s">
        <v>1224</v>
      </c>
      <c r="J141" s="95"/>
      <c r="K141" s="95"/>
      <c r="L141" s="96"/>
      <c r="M141" s="42" t="str">
        <f t="shared" si="8"/>
        <v>MERKEZ KASA</v>
      </c>
      <c r="N141" s="42" t="str">
        <f t="shared" si="9"/>
        <v>MERKEZ KASA</v>
      </c>
      <c r="O141" s="43">
        <f t="shared" si="10"/>
        <v>46143</v>
      </c>
      <c r="P141" s="42" t="str">
        <f t="shared" si="11"/>
        <v>UYGUN</v>
      </c>
      <c r="Q141" s="22" t="str">
        <f>IF(AND(L141&lt;&gt;"",D141="Gelir",I141="Hayır"),L141&amp;"|"&amp;TEXT(COUNTIFS($L$7:L141,L141,$D$7:D141,"Gelir",$I$7:I141,"Hayır"),"000"),"")</f>
        <v/>
      </c>
      <c r="R141" s="22" t="b">
        <f>OR(COUNTIF(LST_MUSTERI_ADI,L141)&gt;0,L141=SISTEM!$C$9,L141=SISTEM!$C$10)</f>
        <v>0</v>
      </c>
    </row>
    <row r="142" spans="1:18" ht="17">
      <c r="A142" s="6"/>
      <c r="B142" s="95" t="s">
        <v>1487</v>
      </c>
      <c r="C142" s="97">
        <v>46151</v>
      </c>
      <c r="D142" s="95" t="s">
        <v>1263</v>
      </c>
      <c r="E142" s="96" t="s">
        <v>1293</v>
      </c>
      <c r="F142" s="96" t="s">
        <v>1488</v>
      </c>
      <c r="G142" s="99">
        <v>5350</v>
      </c>
      <c r="H142" s="95" t="s">
        <v>618</v>
      </c>
      <c r="I142" s="95" t="s">
        <v>1224</v>
      </c>
      <c r="J142" s="95"/>
      <c r="K142" s="95"/>
      <c r="L142" s="96"/>
      <c r="M142" s="42" t="str">
        <f t="shared" si="8"/>
        <v>MERKEZ KASA</v>
      </c>
      <c r="N142" s="42" t="str">
        <f t="shared" si="9"/>
        <v>MERKEZ KASA</v>
      </c>
      <c r="O142" s="43">
        <f t="shared" si="10"/>
        <v>46143</v>
      </c>
      <c r="P142" s="42" t="str">
        <f t="shared" si="11"/>
        <v>UYGUN</v>
      </c>
      <c r="Q142" s="22" t="str">
        <f>IF(AND(L142&lt;&gt;"",D142="Gelir",I142="Hayır"),L142&amp;"|"&amp;TEXT(COUNTIFS($L$7:L142,L142,$D$7:D142,"Gelir",$I$7:I142,"Hayır"),"000"),"")</f>
        <v/>
      </c>
      <c r="R142" s="22" t="b">
        <f>OR(COUNTIF(LST_MUSTERI_ADI,L142)&gt;0,L142=SISTEM!$C$9,L142=SISTEM!$C$10)</f>
        <v>0</v>
      </c>
    </row>
    <row r="143" spans="1:18" ht="17">
      <c r="A143" s="6"/>
      <c r="B143" s="95" t="s">
        <v>1489</v>
      </c>
      <c r="C143" s="97">
        <v>46151</v>
      </c>
      <c r="D143" s="95" t="s">
        <v>1263</v>
      </c>
      <c r="E143" s="96" t="s">
        <v>1293</v>
      </c>
      <c r="F143" s="96" t="s">
        <v>1490</v>
      </c>
      <c r="G143" s="99">
        <v>5350</v>
      </c>
      <c r="H143" s="95" t="s">
        <v>618</v>
      </c>
      <c r="I143" s="95" t="s">
        <v>1224</v>
      </c>
      <c r="J143" s="95"/>
      <c r="K143" s="95"/>
      <c r="L143" s="96"/>
      <c r="M143" s="42" t="str">
        <f t="shared" si="8"/>
        <v>MERKEZ KASA</v>
      </c>
      <c r="N143" s="42" t="str">
        <f t="shared" si="9"/>
        <v>MERKEZ KASA</v>
      </c>
      <c r="O143" s="43">
        <f t="shared" si="10"/>
        <v>46143</v>
      </c>
      <c r="P143" s="42" t="str">
        <f t="shared" si="11"/>
        <v>UYGUN</v>
      </c>
      <c r="Q143" s="22" t="str">
        <f>IF(AND(L143&lt;&gt;"",D143="Gelir",I143="Hayır"),L143&amp;"|"&amp;TEXT(COUNTIFS($L$7:L143,L143,$D$7:D143,"Gelir",$I$7:I143,"Hayır"),"000"),"")</f>
        <v/>
      </c>
      <c r="R143" s="22" t="b">
        <f>OR(COUNTIF(LST_MUSTERI_ADI,L143)&gt;0,L143=SISTEM!$C$9,L143=SISTEM!$C$10)</f>
        <v>0</v>
      </c>
    </row>
    <row r="144" spans="1:18" ht="17">
      <c r="A144" s="6"/>
      <c r="B144" s="95" t="s">
        <v>1491</v>
      </c>
      <c r="C144" s="97">
        <v>46151</v>
      </c>
      <c r="D144" s="95" t="s">
        <v>1263</v>
      </c>
      <c r="E144" s="96" t="s">
        <v>1293</v>
      </c>
      <c r="F144" s="96" t="s">
        <v>1492</v>
      </c>
      <c r="G144" s="99">
        <v>5350</v>
      </c>
      <c r="H144" s="95" t="s">
        <v>618</v>
      </c>
      <c r="I144" s="95" t="s">
        <v>1224</v>
      </c>
      <c r="J144" s="95"/>
      <c r="K144" s="95"/>
      <c r="L144" s="96"/>
      <c r="M144" s="42" t="str">
        <f t="shared" si="8"/>
        <v>MERKEZ KASA</v>
      </c>
      <c r="N144" s="42" t="str">
        <f t="shared" si="9"/>
        <v>MERKEZ KASA</v>
      </c>
      <c r="O144" s="43">
        <f t="shared" si="10"/>
        <v>46143</v>
      </c>
      <c r="P144" s="42" t="str">
        <f t="shared" si="11"/>
        <v>UYGUN</v>
      </c>
      <c r="Q144" s="22" t="str">
        <f>IF(AND(L144&lt;&gt;"",D144="Gelir",I144="Hayır"),L144&amp;"|"&amp;TEXT(COUNTIFS($L$7:L144,L144,$D$7:D144,"Gelir",$I$7:I144,"Hayır"),"000"),"")</f>
        <v/>
      </c>
      <c r="R144" s="22" t="b">
        <f>OR(COUNTIF(LST_MUSTERI_ADI,L144)&gt;0,L144=SISTEM!$C$9,L144=SISTEM!$C$10)</f>
        <v>0</v>
      </c>
    </row>
    <row r="145" spans="1:18" ht="34">
      <c r="A145" s="6"/>
      <c r="B145" s="95" t="s">
        <v>1493</v>
      </c>
      <c r="C145" s="97">
        <v>46151</v>
      </c>
      <c r="D145" s="95" t="s">
        <v>1263</v>
      </c>
      <c r="E145" s="96" t="s">
        <v>1293</v>
      </c>
      <c r="F145" s="96" t="s">
        <v>1494</v>
      </c>
      <c r="G145" s="99">
        <v>5350</v>
      </c>
      <c r="H145" s="95" t="s">
        <v>618</v>
      </c>
      <c r="I145" s="95" t="s">
        <v>1224</v>
      </c>
      <c r="J145" s="95"/>
      <c r="K145" s="95"/>
      <c r="L145" s="96"/>
      <c r="M145" s="42" t="str">
        <f t="shared" si="8"/>
        <v>MERKEZ KASA</v>
      </c>
      <c r="N145" s="42" t="str">
        <f t="shared" si="9"/>
        <v>MERKEZ KASA</v>
      </c>
      <c r="O145" s="43">
        <f t="shared" si="10"/>
        <v>46143</v>
      </c>
      <c r="P145" s="42" t="str">
        <f t="shared" si="11"/>
        <v>UYGUN</v>
      </c>
      <c r="Q145" s="22" t="str">
        <f>IF(AND(L145&lt;&gt;"",D145="Gelir",I145="Hayır"),L145&amp;"|"&amp;TEXT(COUNTIFS($L$7:L145,L145,$D$7:D145,"Gelir",$I$7:I145,"Hayır"),"000"),"")</f>
        <v/>
      </c>
      <c r="R145" s="22" t="b">
        <f>OR(COUNTIF(LST_MUSTERI_ADI,L145)&gt;0,L145=SISTEM!$C$9,L145=SISTEM!$C$10)</f>
        <v>0</v>
      </c>
    </row>
    <row r="146" spans="1:18" ht="17">
      <c r="A146" s="6"/>
      <c r="B146" s="95" t="s">
        <v>1495</v>
      </c>
      <c r="C146" s="97">
        <v>46151</v>
      </c>
      <c r="D146" s="95" t="s">
        <v>1263</v>
      </c>
      <c r="E146" s="96" t="s">
        <v>1293</v>
      </c>
      <c r="F146" s="96" t="s">
        <v>1496</v>
      </c>
      <c r="G146" s="99">
        <v>5350</v>
      </c>
      <c r="H146" s="95" t="s">
        <v>618</v>
      </c>
      <c r="I146" s="95" t="s">
        <v>1224</v>
      </c>
      <c r="J146" s="95"/>
      <c r="K146" s="95"/>
      <c r="L146" s="96"/>
      <c r="M146" s="42" t="str">
        <f t="shared" si="8"/>
        <v>MERKEZ KASA</v>
      </c>
      <c r="N146" s="42" t="str">
        <f t="shared" si="9"/>
        <v>MERKEZ KASA</v>
      </c>
      <c r="O146" s="43">
        <f t="shared" si="10"/>
        <v>46143</v>
      </c>
      <c r="P146" s="42" t="str">
        <f t="shared" si="11"/>
        <v>UYGUN</v>
      </c>
      <c r="Q146" s="22" t="str">
        <f>IF(AND(L146&lt;&gt;"",D146="Gelir",I146="Hayır"),L146&amp;"|"&amp;TEXT(COUNTIFS($L$7:L146,L146,$D$7:D146,"Gelir",$I$7:I146,"Hayır"),"000"),"")</f>
        <v/>
      </c>
      <c r="R146" s="22" t="b">
        <f>OR(COUNTIF(LST_MUSTERI_ADI,L146)&gt;0,L146=SISTEM!$C$9,L146=SISTEM!$C$10)</f>
        <v>0</v>
      </c>
    </row>
    <row r="147" spans="1:18" ht="17">
      <c r="A147" s="6"/>
      <c r="B147" s="95" t="s">
        <v>1497</v>
      </c>
      <c r="C147" s="97">
        <v>46151</v>
      </c>
      <c r="D147" s="95" t="s">
        <v>1263</v>
      </c>
      <c r="E147" s="96" t="s">
        <v>1293</v>
      </c>
      <c r="F147" s="96" t="s">
        <v>1498</v>
      </c>
      <c r="G147" s="99">
        <v>5350</v>
      </c>
      <c r="H147" s="95" t="s">
        <v>618</v>
      </c>
      <c r="I147" s="95" t="s">
        <v>1224</v>
      </c>
      <c r="J147" s="95"/>
      <c r="K147" s="95"/>
      <c r="L147" s="96"/>
      <c r="M147" s="42" t="str">
        <f t="shared" si="8"/>
        <v>MERKEZ KASA</v>
      </c>
      <c r="N147" s="42" t="str">
        <f t="shared" si="9"/>
        <v>MERKEZ KASA</v>
      </c>
      <c r="O147" s="43">
        <f t="shared" si="10"/>
        <v>46143</v>
      </c>
      <c r="P147" s="42" t="str">
        <f t="shared" si="11"/>
        <v>UYGUN</v>
      </c>
      <c r="Q147" s="22" t="str">
        <f>IF(AND(L147&lt;&gt;"",D147="Gelir",I147="Hayır"),L147&amp;"|"&amp;TEXT(COUNTIFS($L$7:L147,L147,$D$7:D147,"Gelir",$I$7:I147,"Hayır"),"000"),"")</f>
        <v/>
      </c>
      <c r="R147" s="22" t="b">
        <f>OR(COUNTIF(LST_MUSTERI_ADI,L147)&gt;0,L147=SISTEM!$C$9,L147=SISTEM!$C$10)</f>
        <v>0</v>
      </c>
    </row>
    <row r="148" spans="1:18" ht="17">
      <c r="A148" s="6"/>
      <c r="B148" s="95" t="s">
        <v>1499</v>
      </c>
      <c r="C148" s="97">
        <v>46157</v>
      </c>
      <c r="D148" s="95" t="s">
        <v>434</v>
      </c>
      <c r="E148" s="96" t="s">
        <v>1234</v>
      </c>
      <c r="F148" s="96" t="s">
        <v>1500</v>
      </c>
      <c r="G148" s="99">
        <v>80</v>
      </c>
      <c r="H148" s="95" t="s">
        <v>618</v>
      </c>
      <c r="I148" s="95" t="s">
        <v>1224</v>
      </c>
      <c r="J148" s="95"/>
      <c r="K148" s="95"/>
      <c r="L148" s="96"/>
      <c r="M148" s="42" t="str">
        <f t="shared" si="8"/>
        <v>MERKEZ KASA</v>
      </c>
      <c r="N148" s="42" t="str">
        <f t="shared" si="9"/>
        <v>Kırtasiye</v>
      </c>
      <c r="O148" s="43">
        <f t="shared" si="10"/>
        <v>46143</v>
      </c>
      <c r="P148" s="42" t="str">
        <f t="shared" si="11"/>
        <v>UYGUN</v>
      </c>
      <c r="Q148" s="22" t="str">
        <f>IF(AND(L148&lt;&gt;"",D148="Gelir",I148="Hayır"),L148&amp;"|"&amp;TEXT(COUNTIFS($L$7:L148,L148,$D$7:D148,"Gelir",$I$7:I148,"Hayır"),"000"),"")</f>
        <v/>
      </c>
      <c r="R148" s="22" t="b">
        <f>OR(COUNTIF(LST_MUSTERI_ADI,L148)&gt;0,L148=SISTEM!$C$9,L148=SISTEM!$C$10)</f>
        <v>0</v>
      </c>
    </row>
    <row r="149" spans="1:18" ht="17">
      <c r="A149" s="6"/>
      <c r="B149" s="95" t="s">
        <v>1501</v>
      </c>
      <c r="C149" s="97">
        <v>46158</v>
      </c>
      <c r="D149" s="95" t="s">
        <v>434</v>
      </c>
      <c r="E149" s="96" t="s">
        <v>1252</v>
      </c>
      <c r="F149" s="96" t="s">
        <v>1326</v>
      </c>
      <c r="G149" s="99">
        <v>600</v>
      </c>
      <c r="H149" s="95" t="s">
        <v>618</v>
      </c>
      <c r="I149" s="95" t="s">
        <v>1224</v>
      </c>
      <c r="J149" s="95"/>
      <c r="K149" s="95"/>
      <c r="L149" s="96"/>
      <c r="M149" s="42" t="str">
        <f t="shared" si="8"/>
        <v>MERKEZ KASA</v>
      </c>
      <c r="N149" s="42" t="str">
        <f t="shared" si="9"/>
        <v>Ulaşım</v>
      </c>
      <c r="O149" s="43">
        <f t="shared" si="10"/>
        <v>46143</v>
      </c>
      <c r="P149" s="42" t="str">
        <f t="shared" si="11"/>
        <v>UYGUN</v>
      </c>
      <c r="Q149" s="22" t="str">
        <f>IF(AND(L149&lt;&gt;"",D149="Gelir",I149="Hayır"),L149&amp;"|"&amp;TEXT(COUNTIFS($L$7:L149,L149,$D$7:D149,"Gelir",$I$7:I149,"Hayır"),"000"),"")</f>
        <v/>
      </c>
      <c r="R149" s="22" t="b">
        <f>OR(COUNTIF(LST_MUSTERI_ADI,L149)&gt;0,L149=SISTEM!$C$9,L149=SISTEM!$C$10)</f>
        <v>0</v>
      </c>
    </row>
    <row r="150" spans="1:18" ht="17">
      <c r="A150" s="6"/>
      <c r="B150" s="95" t="s">
        <v>1502</v>
      </c>
      <c r="C150" s="97">
        <v>46158</v>
      </c>
      <c r="D150" s="95" t="s">
        <v>434</v>
      </c>
      <c r="E150" s="96" t="s">
        <v>1267</v>
      </c>
      <c r="F150" s="96" t="s">
        <v>1503</v>
      </c>
      <c r="G150" s="99">
        <v>60000</v>
      </c>
      <c r="H150" s="95" t="s">
        <v>618</v>
      </c>
      <c r="I150" s="95" t="s">
        <v>1224</v>
      </c>
      <c r="J150" s="95"/>
      <c r="K150" s="95"/>
      <c r="L150" s="96"/>
      <c r="M150" s="42" t="str">
        <f t="shared" si="8"/>
        <v>MERKEZ KASA</v>
      </c>
      <c r="N150" s="42" t="str">
        <f t="shared" si="9"/>
        <v>Personel</v>
      </c>
      <c r="O150" s="43">
        <f t="shared" si="10"/>
        <v>46143</v>
      </c>
      <c r="P150" s="42" t="str">
        <f t="shared" si="11"/>
        <v>UYGUN</v>
      </c>
      <c r="Q150" s="22" t="str">
        <f>IF(AND(L150&lt;&gt;"",D150="Gelir",I150="Hayır"),L150&amp;"|"&amp;TEXT(COUNTIFS($L$7:L150,L150,$D$7:D150,"Gelir",$I$7:I150,"Hayır"),"000"),"")</f>
        <v/>
      </c>
      <c r="R150" s="22" t="b">
        <f>OR(COUNTIF(LST_MUSTERI_ADI,L150)&gt;0,L150=SISTEM!$C$9,L150=SISTEM!$C$10)</f>
        <v>0</v>
      </c>
    </row>
    <row r="151" spans="1:18" ht="17">
      <c r="A151" s="6"/>
      <c r="B151" s="95" t="s">
        <v>1504</v>
      </c>
      <c r="C151" s="97">
        <v>46158</v>
      </c>
      <c r="D151" s="95" t="s">
        <v>1263</v>
      </c>
      <c r="E151" s="96" t="s">
        <v>1505</v>
      </c>
      <c r="F151" s="96" t="s">
        <v>1506</v>
      </c>
      <c r="G151" s="99">
        <v>7050</v>
      </c>
      <c r="H151" s="95" t="s">
        <v>618</v>
      </c>
      <c r="I151" s="95" t="s">
        <v>1224</v>
      </c>
      <c r="J151" s="95"/>
      <c r="K151" s="95"/>
      <c r="L151" s="96"/>
      <c r="M151" s="42" t="str">
        <f t="shared" si="8"/>
        <v>MERKEZ KASA</v>
      </c>
      <c r="N151" s="42" t="str">
        <f t="shared" si="9"/>
        <v>MERKEZ KASA</v>
      </c>
      <c r="O151" s="43">
        <f t="shared" si="10"/>
        <v>46143</v>
      </c>
      <c r="P151" s="42" t="str">
        <f t="shared" si="11"/>
        <v>UYGUN</v>
      </c>
      <c r="Q151" s="22" t="str">
        <f>IF(AND(L151&lt;&gt;"",D151="Gelir",I151="Hayır"),L151&amp;"|"&amp;TEXT(COUNTIFS($L$7:L151,L151,$D$7:D151,"Gelir",$I$7:I151,"Hayır"),"000"),"")</f>
        <v/>
      </c>
      <c r="R151" s="22" t="b">
        <f>OR(COUNTIF(LST_MUSTERI_ADI,L151)&gt;0,L151=SISTEM!$C$9,L151=SISTEM!$C$10)</f>
        <v>0</v>
      </c>
    </row>
    <row r="152" spans="1:18" ht="17">
      <c r="A152" s="6"/>
      <c r="B152" s="95" t="s">
        <v>1507</v>
      </c>
      <c r="C152" s="97">
        <v>46158</v>
      </c>
      <c r="D152" s="95" t="s">
        <v>1263</v>
      </c>
      <c r="E152" s="96" t="s">
        <v>1415</v>
      </c>
      <c r="F152" s="96" t="s">
        <v>1508</v>
      </c>
      <c r="G152" s="99">
        <v>5350</v>
      </c>
      <c r="H152" s="95" t="s">
        <v>618</v>
      </c>
      <c r="I152" s="95" t="s">
        <v>1224</v>
      </c>
      <c r="J152" s="95"/>
      <c r="K152" s="95"/>
      <c r="L152" s="96"/>
      <c r="M152" s="42" t="str">
        <f t="shared" si="8"/>
        <v>MERKEZ KASA</v>
      </c>
      <c r="N152" s="42" t="str">
        <f t="shared" si="9"/>
        <v>MERKEZ KASA</v>
      </c>
      <c r="O152" s="43">
        <f t="shared" si="10"/>
        <v>46143</v>
      </c>
      <c r="P152" s="42" t="str">
        <f t="shared" si="11"/>
        <v>UYGUN</v>
      </c>
      <c r="Q152" s="22" t="str">
        <f>IF(AND(L152&lt;&gt;"",D152="Gelir",I152="Hayır"),L152&amp;"|"&amp;TEXT(COUNTIFS($L$7:L152,L152,$D$7:D152,"Gelir",$I$7:I152,"Hayır"),"000"),"")</f>
        <v/>
      </c>
      <c r="R152" s="22" t="b">
        <f>OR(COUNTIF(LST_MUSTERI_ADI,L152)&gt;0,L152=SISTEM!$C$9,L152=SISTEM!$C$10)</f>
        <v>0</v>
      </c>
    </row>
    <row r="153" spans="1:18" ht="17">
      <c r="A153" s="6"/>
      <c r="B153" s="95" t="s">
        <v>1509</v>
      </c>
      <c r="C153" s="97">
        <v>46158</v>
      </c>
      <c r="D153" s="95" t="s">
        <v>1263</v>
      </c>
      <c r="E153" s="96" t="s">
        <v>1505</v>
      </c>
      <c r="F153" s="96" t="s">
        <v>1510</v>
      </c>
      <c r="G153" s="99">
        <v>7050</v>
      </c>
      <c r="H153" s="95" t="s">
        <v>618</v>
      </c>
      <c r="I153" s="95" t="s">
        <v>1224</v>
      </c>
      <c r="J153" s="95"/>
      <c r="K153" s="95"/>
      <c r="L153" s="96"/>
      <c r="M153" s="42" t="str">
        <f t="shared" si="8"/>
        <v>MERKEZ KASA</v>
      </c>
      <c r="N153" s="42" t="str">
        <f t="shared" si="9"/>
        <v>MERKEZ KASA</v>
      </c>
      <c r="O153" s="43">
        <f t="shared" si="10"/>
        <v>46143</v>
      </c>
      <c r="P153" s="42" t="str">
        <f t="shared" si="11"/>
        <v>UYGUN</v>
      </c>
      <c r="Q153" s="22" t="str">
        <f>IF(AND(L153&lt;&gt;"",D153="Gelir",I153="Hayır"),L153&amp;"|"&amp;TEXT(COUNTIFS($L$7:L153,L153,$D$7:D153,"Gelir",$I$7:I153,"Hayır"),"000"),"")</f>
        <v/>
      </c>
      <c r="R153" s="22" t="b">
        <f>OR(COUNTIF(LST_MUSTERI_ADI,L153)&gt;0,L153=SISTEM!$C$9,L153=SISTEM!$C$10)</f>
        <v>0</v>
      </c>
    </row>
    <row r="154" spans="1:18" ht="17">
      <c r="A154" s="6"/>
      <c r="B154" s="95" t="s">
        <v>1511</v>
      </c>
      <c r="C154" s="97">
        <v>46160</v>
      </c>
      <c r="D154" s="95" t="s">
        <v>1263</v>
      </c>
      <c r="E154" s="96" t="s">
        <v>1264</v>
      </c>
      <c r="F154" s="96" t="s">
        <v>1512</v>
      </c>
      <c r="G154" s="99">
        <v>5000</v>
      </c>
      <c r="H154" s="95" t="s">
        <v>628</v>
      </c>
      <c r="I154" s="95" t="s">
        <v>1224</v>
      </c>
      <c r="J154" s="95"/>
      <c r="K154" s="95"/>
      <c r="L154" s="96"/>
      <c r="M154" s="42" t="str">
        <f t="shared" si="8"/>
        <v>ÖMER KARTAL</v>
      </c>
      <c r="N154" s="42" t="str">
        <f t="shared" si="9"/>
        <v>ÖMER KARTAL</v>
      </c>
      <c r="O154" s="43">
        <f t="shared" si="10"/>
        <v>46143</v>
      </c>
      <c r="P154" s="42" t="str">
        <f t="shared" si="11"/>
        <v>UYGUN</v>
      </c>
      <c r="Q154" s="22" t="str">
        <f>IF(AND(L154&lt;&gt;"",D154="Gelir",I154="Hayır"),L154&amp;"|"&amp;TEXT(COUNTIFS($L$7:L154,L154,$D$7:D154,"Gelir",$I$7:I154,"Hayır"),"000"),"")</f>
        <v/>
      </c>
      <c r="R154" s="22" t="b">
        <f>OR(COUNTIF(LST_MUSTERI_ADI,L154)&gt;0,L154=SISTEM!$C$9,L154=SISTEM!$C$10)</f>
        <v>0</v>
      </c>
    </row>
    <row r="155" spans="1:18" ht="17">
      <c r="A155" s="6"/>
      <c r="B155" s="95" t="s">
        <v>1513</v>
      </c>
      <c r="C155" s="97">
        <v>46165</v>
      </c>
      <c r="D155" s="95" t="s">
        <v>434</v>
      </c>
      <c r="E155" s="96" t="s">
        <v>1252</v>
      </c>
      <c r="F155" s="96" t="s">
        <v>1514</v>
      </c>
      <c r="G155" s="99">
        <v>2000</v>
      </c>
      <c r="H155" s="95" t="s">
        <v>618</v>
      </c>
      <c r="I155" s="95" t="s">
        <v>1224</v>
      </c>
      <c r="J155" s="95"/>
      <c r="K155" s="95"/>
      <c r="L155" s="96"/>
      <c r="M155" s="42" t="str">
        <f t="shared" si="8"/>
        <v>MERKEZ KASA</v>
      </c>
      <c r="N155" s="42" t="str">
        <f t="shared" si="9"/>
        <v>Ulaşım</v>
      </c>
      <c r="O155" s="43">
        <f t="shared" si="10"/>
        <v>46143</v>
      </c>
      <c r="P155" s="42" t="str">
        <f t="shared" si="11"/>
        <v>UYGUN</v>
      </c>
      <c r="Q155" s="22" t="str">
        <f>IF(AND(L155&lt;&gt;"",D155="Gelir",I155="Hayır"),L155&amp;"|"&amp;TEXT(COUNTIFS($L$7:L155,L155,$D$7:D155,"Gelir",$I$7:I155,"Hayır"),"000"),"")</f>
        <v/>
      </c>
      <c r="R155" s="22" t="b">
        <f>OR(COUNTIF(LST_MUSTERI_ADI,L155)&gt;0,L155=SISTEM!$C$9,L155=SISTEM!$C$10)</f>
        <v>0</v>
      </c>
    </row>
    <row r="156" spans="1:18" ht="17">
      <c r="A156" s="6"/>
      <c r="B156" s="95" t="s">
        <v>1515</v>
      </c>
      <c r="C156" s="97">
        <v>46165</v>
      </c>
      <c r="D156" s="95" t="s">
        <v>434</v>
      </c>
      <c r="E156" s="96" t="s">
        <v>1272</v>
      </c>
      <c r="F156" s="96" t="s">
        <v>1386</v>
      </c>
      <c r="G156" s="99">
        <v>11810</v>
      </c>
      <c r="H156" s="95" t="s">
        <v>618</v>
      </c>
      <c r="I156" s="95" t="s">
        <v>1224</v>
      </c>
      <c r="J156" s="95"/>
      <c r="K156" s="95"/>
      <c r="L156" s="96"/>
      <c r="M156" s="42" t="str">
        <f t="shared" si="8"/>
        <v>MERKEZ KASA</v>
      </c>
      <c r="N156" s="42" t="str">
        <f t="shared" si="9"/>
        <v>Vergi / Harç</v>
      </c>
      <c r="O156" s="43">
        <f t="shared" si="10"/>
        <v>46143</v>
      </c>
      <c r="P156" s="42" t="str">
        <f t="shared" si="11"/>
        <v>UYGUN</v>
      </c>
      <c r="Q156" s="22" t="str">
        <f>IF(AND(L156&lt;&gt;"",D156="Gelir",I156="Hayır"),L156&amp;"|"&amp;TEXT(COUNTIFS($L$7:L156,L156,$D$7:D156,"Gelir",$I$7:I156,"Hayır"),"000"),"")</f>
        <v/>
      </c>
      <c r="R156" s="22" t="b">
        <f>OR(COUNTIF(LST_MUSTERI_ADI,L156)&gt;0,L156=SISTEM!$C$9,L156=SISTEM!$C$10)</f>
        <v>0</v>
      </c>
    </row>
    <row r="157" spans="1:18" ht="17">
      <c r="A157" s="6"/>
      <c r="B157" s="95" t="s">
        <v>1516</v>
      </c>
      <c r="C157" s="97">
        <v>46165</v>
      </c>
      <c r="D157" s="95" t="s">
        <v>434</v>
      </c>
      <c r="E157" s="96" t="s">
        <v>1252</v>
      </c>
      <c r="F157" s="96" t="s">
        <v>1253</v>
      </c>
      <c r="G157" s="99">
        <v>2000</v>
      </c>
      <c r="H157" s="95" t="s">
        <v>618</v>
      </c>
      <c r="I157" s="95" t="s">
        <v>1224</v>
      </c>
      <c r="J157" s="95"/>
      <c r="K157" s="95"/>
      <c r="L157" s="96"/>
      <c r="M157" s="42" t="str">
        <f t="shared" si="8"/>
        <v>MERKEZ KASA</v>
      </c>
      <c r="N157" s="42" t="str">
        <f t="shared" si="9"/>
        <v>Ulaşım</v>
      </c>
      <c r="O157" s="43">
        <f t="shared" si="10"/>
        <v>46143</v>
      </c>
      <c r="P157" s="42" t="str">
        <f t="shared" si="11"/>
        <v>UYGUN</v>
      </c>
      <c r="Q157" s="22" t="str">
        <f>IF(AND(L157&lt;&gt;"",D157="Gelir",I157="Hayır"),L157&amp;"|"&amp;TEXT(COUNTIFS($L$7:L157,L157,$D$7:D157,"Gelir",$I$7:I157,"Hayır"),"000"),"")</f>
        <v/>
      </c>
      <c r="R157" s="22" t="b">
        <f>OR(COUNTIF(LST_MUSTERI_ADI,L157)&gt;0,L157=SISTEM!$C$9,L157=SISTEM!$C$10)</f>
        <v>0</v>
      </c>
    </row>
    <row r="158" spans="1:18" ht="17">
      <c r="A158" s="6"/>
      <c r="B158" s="95" t="s">
        <v>1517</v>
      </c>
      <c r="C158" s="97">
        <v>46169</v>
      </c>
      <c r="D158" s="95" t="s">
        <v>434</v>
      </c>
      <c r="E158" s="96" t="s">
        <v>1260</v>
      </c>
      <c r="F158" s="96" t="s">
        <v>1518</v>
      </c>
      <c r="G158" s="99">
        <v>30000</v>
      </c>
      <c r="H158" s="95" t="s">
        <v>618</v>
      </c>
      <c r="I158" s="95" t="s">
        <v>1224</v>
      </c>
      <c r="J158" s="95"/>
      <c r="K158" s="95"/>
      <c r="L158" s="96"/>
      <c r="M158" s="42" t="str">
        <f t="shared" si="8"/>
        <v>MERKEZ KASA</v>
      </c>
      <c r="N158" s="42" t="str">
        <f t="shared" si="9"/>
        <v>Mehmet Ali Kartal</v>
      </c>
      <c r="O158" s="43">
        <f t="shared" si="10"/>
        <v>46143</v>
      </c>
      <c r="P158" s="42" t="str">
        <f t="shared" si="11"/>
        <v>UYGUN</v>
      </c>
      <c r="Q158" s="22" t="str">
        <f>IF(AND(L158&lt;&gt;"",D158="Gelir",I158="Hayır"),L158&amp;"|"&amp;TEXT(COUNTIFS($L$7:L158,L158,$D$7:D158,"Gelir",$I$7:I158,"Hayır"),"000"),"")</f>
        <v/>
      </c>
      <c r="R158" s="22" t="b">
        <f>OR(COUNTIF(LST_MUSTERI_ADI,L158)&gt;0,L158=SISTEM!$C$9,L158=SISTEM!$C$10)</f>
        <v>0</v>
      </c>
    </row>
    <row r="159" spans="1:18" ht="17">
      <c r="A159" s="6"/>
      <c r="B159" s="95" t="s">
        <v>1519</v>
      </c>
      <c r="C159" s="97">
        <v>46173</v>
      </c>
      <c r="D159" s="95" t="s">
        <v>434</v>
      </c>
      <c r="E159" s="96" t="s">
        <v>1252</v>
      </c>
      <c r="F159" s="96" t="s">
        <v>1520</v>
      </c>
      <c r="G159" s="99">
        <v>2000</v>
      </c>
      <c r="H159" s="95" t="s">
        <v>618</v>
      </c>
      <c r="I159" s="95" t="s">
        <v>1224</v>
      </c>
      <c r="J159" s="95"/>
      <c r="K159" s="95"/>
      <c r="L159" s="96"/>
      <c r="M159" s="42" t="str">
        <f t="shared" si="8"/>
        <v>MERKEZ KASA</v>
      </c>
      <c r="N159" s="42" t="str">
        <f t="shared" si="9"/>
        <v>Ulaşım</v>
      </c>
      <c r="O159" s="43">
        <f t="shared" si="10"/>
        <v>46143</v>
      </c>
      <c r="P159" s="42" t="str">
        <f t="shared" si="11"/>
        <v>UYGUN</v>
      </c>
      <c r="Q159" s="22" t="str">
        <f>IF(AND(L159&lt;&gt;"",D159="Gelir",I159="Hayır"),L159&amp;"|"&amp;TEXT(COUNTIFS($L$7:L159,L159,$D$7:D159,"Gelir",$I$7:I159,"Hayır"),"000"),"")</f>
        <v/>
      </c>
      <c r="R159" s="22" t="b">
        <f>OR(COUNTIF(LST_MUSTERI_ADI,L159)&gt;0,L159=SISTEM!$C$9,L159=SISTEM!$C$10)</f>
        <v>0</v>
      </c>
    </row>
    <row r="160" spans="1:18" ht="17">
      <c r="A160" s="6"/>
      <c r="B160" s="95" t="s">
        <v>1521</v>
      </c>
      <c r="C160" s="97">
        <v>46173</v>
      </c>
      <c r="D160" s="95" t="s">
        <v>434</v>
      </c>
      <c r="E160" s="96" t="s">
        <v>1252</v>
      </c>
      <c r="F160" s="96" t="s">
        <v>1253</v>
      </c>
      <c r="G160" s="99">
        <v>2000</v>
      </c>
      <c r="H160" s="95" t="s">
        <v>618</v>
      </c>
      <c r="I160" s="95" t="s">
        <v>1224</v>
      </c>
      <c r="J160" s="95"/>
      <c r="K160" s="95"/>
      <c r="L160" s="96"/>
      <c r="M160" s="42" t="str">
        <f t="shared" si="8"/>
        <v>MERKEZ KASA</v>
      </c>
      <c r="N160" s="42" t="str">
        <f t="shared" si="9"/>
        <v>Ulaşım</v>
      </c>
      <c r="O160" s="43">
        <f t="shared" si="10"/>
        <v>46143</v>
      </c>
      <c r="P160" s="42" t="str">
        <f t="shared" si="11"/>
        <v>UYGUN</v>
      </c>
      <c r="Q160" s="22" t="str">
        <f>IF(AND(L160&lt;&gt;"",D160="Gelir",I160="Hayır"),L160&amp;"|"&amp;TEXT(COUNTIFS($L$7:L160,L160,$D$7:D160,"Gelir",$I$7:I160,"Hayır"),"000"),"")</f>
        <v/>
      </c>
      <c r="R160" s="22" t="b">
        <f>OR(COUNTIF(LST_MUSTERI_ADI,L160)&gt;0,L160=SISTEM!$C$9,L160=SISTEM!$C$10)</f>
        <v>0</v>
      </c>
    </row>
    <row r="161" spans="1:18" ht="17">
      <c r="A161" s="6"/>
      <c r="B161" s="95" t="s">
        <v>1522</v>
      </c>
      <c r="C161" s="97">
        <v>46174</v>
      </c>
      <c r="D161" s="95" t="s">
        <v>434</v>
      </c>
      <c r="E161" s="96" t="s">
        <v>1260</v>
      </c>
      <c r="F161" s="96" t="s">
        <v>1396</v>
      </c>
      <c r="G161" s="99">
        <v>2500</v>
      </c>
      <c r="H161" s="95"/>
      <c r="I161" s="95" t="s">
        <v>1221</v>
      </c>
      <c r="J161" s="95"/>
      <c r="K161" s="95"/>
      <c r="L161" s="96"/>
      <c r="M161" s="42" t="str">
        <f t="shared" si="8"/>
        <v>CARİ MAHSUP</v>
      </c>
      <c r="N161" s="42" t="str">
        <f t="shared" si="9"/>
        <v>Mehmet Ali Kartal</v>
      </c>
      <c r="O161" s="43">
        <f t="shared" si="10"/>
        <v>46174</v>
      </c>
      <c r="P161" s="42" t="str">
        <f t="shared" si="11"/>
        <v>UYGUN</v>
      </c>
      <c r="Q161" s="22" t="str">
        <f>IF(AND(L161&lt;&gt;"",D161="Gelir",I161="Hayır"),L161&amp;"|"&amp;TEXT(COUNTIFS($L$7:L161,L161,$D$7:D161,"Gelir",$I$7:I161,"Hayır"),"000"),"")</f>
        <v/>
      </c>
      <c r="R161" s="22" t="b">
        <f>OR(COUNTIF(LST_MUSTERI_ADI,L161)&gt;0,L161=SISTEM!$C$9,L161=SISTEM!$C$10)</f>
        <v>0</v>
      </c>
    </row>
    <row r="162" spans="1:18" ht="17">
      <c r="A162" s="6"/>
      <c r="B162" s="95" t="s">
        <v>1523</v>
      </c>
      <c r="C162" s="97">
        <v>46179</v>
      </c>
      <c r="D162" s="95" t="s">
        <v>434</v>
      </c>
      <c r="E162" s="96" t="s">
        <v>1237</v>
      </c>
      <c r="F162" s="96" t="s">
        <v>1524</v>
      </c>
      <c r="G162" s="99">
        <v>800</v>
      </c>
      <c r="H162" s="95" t="s">
        <v>618</v>
      </c>
      <c r="I162" s="95" t="s">
        <v>1224</v>
      </c>
      <c r="J162" s="95"/>
      <c r="K162" s="95"/>
      <c r="L162" s="96"/>
      <c r="M162" s="42" t="str">
        <f t="shared" si="8"/>
        <v>MERKEZ KASA</v>
      </c>
      <c r="N162" s="42" t="str">
        <f t="shared" si="9"/>
        <v>Telefon / İnternet</v>
      </c>
      <c r="O162" s="43">
        <f t="shared" si="10"/>
        <v>46174</v>
      </c>
      <c r="P162" s="42" t="str">
        <f t="shared" si="11"/>
        <v>UYGUN</v>
      </c>
      <c r="Q162" s="22" t="str">
        <f>IF(AND(L162&lt;&gt;"",D162="Gelir",I162="Hayır"),L162&amp;"|"&amp;TEXT(COUNTIFS($L$7:L162,L162,$D$7:D162,"Gelir",$I$7:I162,"Hayır"),"000"),"")</f>
        <v/>
      </c>
      <c r="R162" s="22" t="b">
        <f>OR(COUNTIF(LST_MUSTERI_ADI,L162)&gt;0,L162=SISTEM!$C$9,L162=SISTEM!$C$10)</f>
        <v>0</v>
      </c>
    </row>
    <row r="163" spans="1:18" ht="17">
      <c r="A163" s="6"/>
      <c r="B163" s="95" t="s">
        <v>1525</v>
      </c>
      <c r="C163" s="97">
        <v>46179</v>
      </c>
      <c r="D163" s="95" t="s">
        <v>434</v>
      </c>
      <c r="E163" s="96" t="s">
        <v>1252</v>
      </c>
      <c r="F163" s="96" t="s">
        <v>1253</v>
      </c>
      <c r="G163" s="99">
        <v>2000</v>
      </c>
      <c r="H163" s="95" t="s">
        <v>618</v>
      </c>
      <c r="I163" s="95" t="s">
        <v>1224</v>
      </c>
      <c r="J163" s="95"/>
      <c r="K163" s="95"/>
      <c r="L163" s="96"/>
      <c r="M163" s="42" t="str">
        <f t="shared" si="8"/>
        <v>MERKEZ KASA</v>
      </c>
      <c r="N163" s="42" t="str">
        <f t="shared" si="9"/>
        <v>Ulaşım</v>
      </c>
      <c r="O163" s="43">
        <f t="shared" si="10"/>
        <v>46174</v>
      </c>
      <c r="P163" s="42" t="str">
        <f t="shared" si="11"/>
        <v>UYGUN</v>
      </c>
      <c r="Q163" s="22" t="str">
        <f>IF(AND(L163&lt;&gt;"",D163="Gelir",I163="Hayır"),L163&amp;"|"&amp;TEXT(COUNTIFS($L$7:L163,L163,$D$7:D163,"Gelir",$I$7:I163,"Hayır"),"000"),"")</f>
        <v/>
      </c>
      <c r="R163" s="22" t="b">
        <f>OR(COUNTIF(LST_MUSTERI_ADI,L163)&gt;0,L163=SISTEM!$C$9,L163=SISTEM!$C$10)</f>
        <v>0</v>
      </c>
    </row>
    <row r="164" spans="1:18" ht="17">
      <c r="A164" s="6"/>
      <c r="B164" s="95" t="s">
        <v>1526</v>
      </c>
      <c r="C164" s="97">
        <v>46179</v>
      </c>
      <c r="D164" s="95" t="s">
        <v>434</v>
      </c>
      <c r="E164" s="96" t="s">
        <v>1252</v>
      </c>
      <c r="F164" s="96" t="s">
        <v>1527</v>
      </c>
      <c r="G164" s="99">
        <v>2000</v>
      </c>
      <c r="H164" s="95" t="s">
        <v>618</v>
      </c>
      <c r="I164" s="95" t="s">
        <v>1224</v>
      </c>
      <c r="J164" s="95"/>
      <c r="K164" s="95"/>
      <c r="L164" s="96"/>
      <c r="M164" s="42" t="str">
        <f t="shared" si="8"/>
        <v>MERKEZ KASA</v>
      </c>
      <c r="N164" s="42" t="str">
        <f t="shared" si="9"/>
        <v>Ulaşım</v>
      </c>
      <c r="O164" s="43">
        <f t="shared" si="10"/>
        <v>46174</v>
      </c>
      <c r="P164" s="42" t="str">
        <f t="shared" si="11"/>
        <v>UYGUN</v>
      </c>
      <c r="Q164" s="22" t="str">
        <f>IF(AND(L164&lt;&gt;"",D164="Gelir",I164="Hayır"),L164&amp;"|"&amp;TEXT(COUNTIFS($L$7:L164,L164,$D$7:D164,"Gelir",$I$7:I164,"Hayır"),"000"),"")</f>
        <v/>
      </c>
      <c r="R164" s="22" t="b">
        <f>OR(COUNTIF(LST_MUSTERI_ADI,L164)&gt;0,L164=SISTEM!$C$9,L164=SISTEM!$C$10)</f>
        <v>0</v>
      </c>
    </row>
    <row r="165" spans="1:18" ht="17">
      <c r="A165" s="6"/>
      <c r="B165" s="95" t="s">
        <v>1528</v>
      </c>
      <c r="C165" s="97">
        <v>46183</v>
      </c>
      <c r="D165" s="95" t="s">
        <v>1263</v>
      </c>
      <c r="E165" s="96" t="s">
        <v>1505</v>
      </c>
      <c r="F165" s="96" t="s">
        <v>1529</v>
      </c>
      <c r="G165" s="99">
        <v>7050</v>
      </c>
      <c r="H165" s="95" t="s">
        <v>628</v>
      </c>
      <c r="I165" s="95" t="s">
        <v>1224</v>
      </c>
      <c r="J165" s="95"/>
      <c r="K165" s="95"/>
      <c r="L165" s="96"/>
      <c r="M165" s="42" t="str">
        <f t="shared" si="8"/>
        <v>ÖMER KARTAL</v>
      </c>
      <c r="N165" s="42" t="str">
        <f t="shared" si="9"/>
        <v>ÖMER KARTAL</v>
      </c>
      <c r="O165" s="43">
        <f t="shared" si="10"/>
        <v>46174</v>
      </c>
      <c r="P165" s="42" t="str">
        <f t="shared" si="11"/>
        <v>UYGUN</v>
      </c>
      <c r="Q165" s="22" t="str">
        <f>IF(AND(L165&lt;&gt;"",D165="Gelir",I165="Hayır"),L165&amp;"|"&amp;TEXT(COUNTIFS($L$7:L165,L165,$D$7:D165,"Gelir",$I$7:I165,"Hayır"),"000"),"")</f>
        <v/>
      </c>
      <c r="R165" s="22" t="b">
        <f>OR(COUNTIF(LST_MUSTERI_ADI,L165)&gt;0,L165=SISTEM!$C$9,L165=SISTEM!$C$10)</f>
        <v>0</v>
      </c>
    </row>
    <row r="166" spans="1:18" ht="17">
      <c r="A166" s="6"/>
      <c r="B166" s="95" t="s">
        <v>1530</v>
      </c>
      <c r="C166" s="97">
        <v>46183</v>
      </c>
      <c r="D166" s="95" t="s">
        <v>1263</v>
      </c>
      <c r="E166" s="96" t="s">
        <v>1505</v>
      </c>
      <c r="F166" s="96" t="s">
        <v>1531</v>
      </c>
      <c r="G166" s="99">
        <v>7050</v>
      </c>
      <c r="H166" s="95" t="s">
        <v>618</v>
      </c>
      <c r="I166" s="95" t="s">
        <v>1224</v>
      </c>
      <c r="J166" s="95"/>
      <c r="K166" s="95"/>
      <c r="L166" s="96"/>
      <c r="M166" s="42" t="str">
        <f t="shared" si="8"/>
        <v>MERKEZ KASA</v>
      </c>
      <c r="N166" s="42" t="str">
        <f t="shared" si="9"/>
        <v>MERKEZ KASA</v>
      </c>
      <c r="O166" s="43">
        <f t="shared" si="10"/>
        <v>46174</v>
      </c>
      <c r="P166" s="42" t="str">
        <f t="shared" si="11"/>
        <v>UYGUN</v>
      </c>
      <c r="Q166" s="22" t="str">
        <f>IF(AND(L166&lt;&gt;"",D166="Gelir",I166="Hayır"),L166&amp;"|"&amp;TEXT(COUNTIFS($L$7:L166,L166,$D$7:D166,"Gelir",$I$7:I166,"Hayır"),"000"),"")</f>
        <v/>
      </c>
      <c r="R166" s="22" t="b">
        <f>OR(COUNTIF(LST_MUSTERI_ADI,L166)&gt;0,L166=SISTEM!$C$9,L166=SISTEM!$C$10)</f>
        <v>0</v>
      </c>
    </row>
    <row r="167" spans="1:18" ht="17">
      <c r="A167" s="6"/>
      <c r="B167" s="95" t="s">
        <v>1532</v>
      </c>
      <c r="C167" s="97">
        <v>46186</v>
      </c>
      <c r="D167" s="95" t="s">
        <v>434</v>
      </c>
      <c r="E167" s="96" t="s">
        <v>1267</v>
      </c>
      <c r="F167" s="96" t="s">
        <v>1411</v>
      </c>
      <c r="G167" s="99">
        <v>10000</v>
      </c>
      <c r="H167" s="95" t="s">
        <v>618</v>
      </c>
      <c r="I167" s="95" t="s">
        <v>1224</v>
      </c>
      <c r="J167" s="95"/>
      <c r="K167" s="95"/>
      <c r="L167" s="96"/>
      <c r="M167" s="42" t="str">
        <f t="shared" si="8"/>
        <v>MERKEZ KASA</v>
      </c>
      <c r="N167" s="42" t="str">
        <f t="shared" si="9"/>
        <v>Personel</v>
      </c>
      <c r="O167" s="43">
        <f t="shared" si="10"/>
        <v>46174</v>
      </c>
      <c r="P167" s="42" t="str">
        <f t="shared" si="11"/>
        <v>UYGUN</v>
      </c>
      <c r="Q167" s="22" t="str">
        <f>IF(AND(L167&lt;&gt;"",D167="Gelir",I167="Hayır"),L167&amp;"|"&amp;TEXT(COUNTIFS($L$7:L167,L167,$D$7:D167,"Gelir",$I$7:I167,"Hayır"),"000"),"")</f>
        <v/>
      </c>
      <c r="R167" s="22" t="b">
        <f>OR(COUNTIF(LST_MUSTERI_ADI,L167)&gt;0,L167=SISTEM!$C$9,L167=SISTEM!$C$10)</f>
        <v>0</v>
      </c>
    </row>
    <row r="168" spans="1:18" ht="17">
      <c r="A168" s="6"/>
      <c r="B168" s="95" t="s">
        <v>1533</v>
      </c>
      <c r="C168" s="97">
        <v>46186</v>
      </c>
      <c r="D168" s="95" t="s">
        <v>1263</v>
      </c>
      <c r="E168" s="96" t="s">
        <v>1505</v>
      </c>
      <c r="F168" s="96" t="s">
        <v>1534</v>
      </c>
      <c r="G168" s="99">
        <v>7050</v>
      </c>
      <c r="H168" s="95" t="s">
        <v>618</v>
      </c>
      <c r="I168" s="95" t="s">
        <v>1224</v>
      </c>
      <c r="J168" s="95"/>
      <c r="K168" s="95"/>
      <c r="L168" s="96"/>
      <c r="M168" s="42" t="str">
        <f t="shared" si="8"/>
        <v>MERKEZ KASA</v>
      </c>
      <c r="N168" s="42" t="str">
        <f t="shared" si="9"/>
        <v>MERKEZ KASA</v>
      </c>
      <c r="O168" s="43">
        <f t="shared" si="10"/>
        <v>46174</v>
      </c>
      <c r="P168" s="42" t="str">
        <f t="shared" si="11"/>
        <v>UYGUN</v>
      </c>
      <c r="Q168" s="22" t="str">
        <f>IF(AND(L168&lt;&gt;"",D168="Gelir",I168="Hayır"),L168&amp;"|"&amp;TEXT(COUNTIFS($L$7:L168,L168,$D$7:D168,"Gelir",$I$7:I168,"Hayır"),"000"),"")</f>
        <v/>
      </c>
      <c r="R168" s="22" t="b">
        <f>OR(COUNTIF(LST_MUSTERI_ADI,L168)&gt;0,L168=SISTEM!$C$9,L168=SISTEM!$C$10)</f>
        <v>0</v>
      </c>
    </row>
    <row r="169" spans="1:18" ht="17">
      <c r="A169" s="6"/>
      <c r="B169" s="95" t="s">
        <v>1535</v>
      </c>
      <c r="C169" s="97">
        <v>46186</v>
      </c>
      <c r="D169" s="95" t="s">
        <v>1263</v>
      </c>
      <c r="E169" s="96" t="s">
        <v>1505</v>
      </c>
      <c r="F169" s="96" t="s">
        <v>1536</v>
      </c>
      <c r="G169" s="99">
        <v>7050</v>
      </c>
      <c r="H169" s="95" t="s">
        <v>618</v>
      </c>
      <c r="I169" s="95" t="s">
        <v>1224</v>
      </c>
      <c r="J169" s="95"/>
      <c r="K169" s="95"/>
      <c r="L169" s="96"/>
      <c r="M169" s="42" t="str">
        <f t="shared" si="8"/>
        <v>MERKEZ KASA</v>
      </c>
      <c r="N169" s="42" t="str">
        <f t="shared" si="9"/>
        <v>MERKEZ KASA</v>
      </c>
      <c r="O169" s="43">
        <f t="shared" si="10"/>
        <v>46174</v>
      </c>
      <c r="P169" s="42" t="str">
        <f t="shared" si="11"/>
        <v>UYGUN</v>
      </c>
      <c r="Q169" s="22" t="str">
        <f>IF(AND(L169&lt;&gt;"",D169="Gelir",I169="Hayır"),L169&amp;"|"&amp;TEXT(COUNTIFS($L$7:L169,L169,$D$7:D169,"Gelir",$I$7:I169,"Hayır"),"000"),"")</f>
        <v/>
      </c>
      <c r="R169" s="22" t="b">
        <f>OR(COUNTIF(LST_MUSTERI_ADI,L169)&gt;0,L169=SISTEM!$C$9,L169=SISTEM!$C$10)</f>
        <v>0</v>
      </c>
    </row>
    <row r="170" spans="1:18" ht="17">
      <c r="A170" s="6"/>
      <c r="B170" s="95" t="s">
        <v>1537</v>
      </c>
      <c r="C170" s="97">
        <v>46188</v>
      </c>
      <c r="D170" s="95" t="s">
        <v>434</v>
      </c>
      <c r="E170" s="96" t="s">
        <v>1267</v>
      </c>
      <c r="F170" s="96" t="s">
        <v>1458</v>
      </c>
      <c r="G170" s="99">
        <v>10000</v>
      </c>
      <c r="H170" s="95" t="s">
        <v>618</v>
      </c>
      <c r="I170" s="95" t="s">
        <v>1224</v>
      </c>
      <c r="J170" s="95"/>
      <c r="K170" s="95"/>
      <c r="L170" s="96"/>
      <c r="M170" s="42" t="str">
        <f t="shared" si="8"/>
        <v>MERKEZ KASA</v>
      </c>
      <c r="N170" s="42" t="str">
        <f t="shared" si="9"/>
        <v>Personel</v>
      </c>
      <c r="O170" s="43">
        <f t="shared" si="10"/>
        <v>46174</v>
      </c>
      <c r="P170" s="42" t="str">
        <f t="shared" si="11"/>
        <v>UYGUN</v>
      </c>
      <c r="Q170" s="22" t="str">
        <f>IF(AND(L170&lt;&gt;"",D170="Gelir",I170="Hayır"),L170&amp;"|"&amp;TEXT(COUNTIFS($L$7:L170,L170,$D$7:D170,"Gelir",$I$7:I170,"Hayır"),"000"),"")</f>
        <v/>
      </c>
      <c r="R170" s="22" t="b">
        <f>OR(COUNTIF(LST_MUSTERI_ADI,L170)&gt;0,L170=SISTEM!$C$9,L170=SISTEM!$C$10)</f>
        <v>0</v>
      </c>
    </row>
    <row r="171" spans="1:18" ht="17">
      <c r="A171" s="6"/>
      <c r="B171" s="95" t="s">
        <v>1538</v>
      </c>
      <c r="C171" s="97">
        <v>46194</v>
      </c>
      <c r="D171" s="95" t="s">
        <v>434</v>
      </c>
      <c r="E171" s="96" t="s">
        <v>1272</v>
      </c>
      <c r="F171" s="96" t="s">
        <v>1386</v>
      </c>
      <c r="G171" s="99">
        <v>11810</v>
      </c>
      <c r="H171" s="95" t="s">
        <v>618</v>
      </c>
      <c r="I171" s="95" t="s">
        <v>1224</v>
      </c>
      <c r="J171" s="95"/>
      <c r="K171" s="95"/>
      <c r="L171" s="96"/>
      <c r="M171" s="42" t="str">
        <f t="shared" si="8"/>
        <v>MERKEZ KASA</v>
      </c>
      <c r="N171" s="42" t="str">
        <f t="shared" si="9"/>
        <v>Vergi / Harç</v>
      </c>
      <c r="O171" s="43">
        <f t="shared" si="10"/>
        <v>46174</v>
      </c>
      <c r="P171" s="42" t="str">
        <f t="shared" si="11"/>
        <v>UYGUN</v>
      </c>
      <c r="Q171" s="22" t="str">
        <f>IF(AND(L171&lt;&gt;"",D171="Gelir",I171="Hayır"),L171&amp;"|"&amp;TEXT(COUNTIFS($L$7:L171,L171,$D$7:D171,"Gelir",$I$7:I171,"Hayır"),"000"),"")</f>
        <v/>
      </c>
      <c r="R171" s="22" t="b">
        <f>OR(COUNTIF(LST_MUSTERI_ADI,L171)&gt;0,L171=SISTEM!$C$9,L171=SISTEM!$C$10)</f>
        <v>0</v>
      </c>
    </row>
    <row r="172" spans="1:18" ht="17">
      <c r="A172" s="6"/>
      <c r="B172" s="95" t="s">
        <v>1539</v>
      </c>
      <c r="C172" s="97">
        <v>46194</v>
      </c>
      <c r="D172" s="95" t="s">
        <v>434</v>
      </c>
      <c r="E172" s="96" t="s">
        <v>1267</v>
      </c>
      <c r="F172" s="96" t="s">
        <v>1458</v>
      </c>
      <c r="G172" s="99">
        <v>9700</v>
      </c>
      <c r="H172" s="95" t="s">
        <v>618</v>
      </c>
      <c r="I172" s="95" t="s">
        <v>1224</v>
      </c>
      <c r="J172" s="95"/>
      <c r="K172" s="95"/>
      <c r="L172" s="96"/>
      <c r="M172" s="42" t="str">
        <f t="shared" si="8"/>
        <v>MERKEZ KASA</v>
      </c>
      <c r="N172" s="42" t="str">
        <f t="shared" si="9"/>
        <v>Personel</v>
      </c>
      <c r="O172" s="43">
        <f t="shared" si="10"/>
        <v>46174</v>
      </c>
      <c r="P172" s="42" t="str">
        <f t="shared" si="11"/>
        <v>UYGUN</v>
      </c>
      <c r="Q172" s="22" t="str">
        <f>IF(AND(L172&lt;&gt;"",D172="Gelir",I172="Hayır"),L172&amp;"|"&amp;TEXT(COUNTIFS($L$7:L172,L172,$D$7:D172,"Gelir",$I$7:I172,"Hayır"),"000"),"")</f>
        <v/>
      </c>
      <c r="R172" s="22" t="b">
        <f>OR(COUNTIF(LST_MUSTERI_ADI,L172)&gt;0,L172=SISTEM!$C$9,L172=SISTEM!$C$10)</f>
        <v>0</v>
      </c>
    </row>
    <row r="173" spans="1:18" ht="17">
      <c r="A173" s="6"/>
      <c r="B173" s="95" t="s">
        <v>1540</v>
      </c>
      <c r="C173" s="97">
        <v>46195</v>
      </c>
      <c r="D173" s="95" t="s">
        <v>434</v>
      </c>
      <c r="E173" s="96" t="s">
        <v>1237</v>
      </c>
      <c r="F173" s="96" t="s">
        <v>1541</v>
      </c>
      <c r="G173" s="99">
        <v>800</v>
      </c>
      <c r="H173" s="95" t="s">
        <v>618</v>
      </c>
      <c r="I173" s="95" t="s">
        <v>1224</v>
      </c>
      <c r="J173" s="95"/>
      <c r="K173" s="95"/>
      <c r="L173" s="96"/>
      <c r="M173" s="42" t="str">
        <f t="shared" si="8"/>
        <v>MERKEZ KASA</v>
      </c>
      <c r="N173" s="42" t="str">
        <f t="shared" si="9"/>
        <v>Telefon / İnternet</v>
      </c>
      <c r="O173" s="43">
        <f t="shared" si="10"/>
        <v>46174</v>
      </c>
      <c r="P173" s="42" t="str">
        <f t="shared" si="11"/>
        <v>UYGUN</v>
      </c>
      <c r="Q173" s="22" t="str">
        <f>IF(AND(L173&lt;&gt;"",D173="Gelir",I173="Hayır"),L173&amp;"|"&amp;TEXT(COUNTIFS($L$7:L173,L173,$D$7:D173,"Gelir",$I$7:I173,"Hayır"),"000"),"")</f>
        <v/>
      </c>
      <c r="R173" s="22" t="b">
        <f>OR(COUNTIF(LST_MUSTERI_ADI,L173)&gt;0,L173=SISTEM!$C$9,L173=SISTEM!$C$10)</f>
        <v>0</v>
      </c>
    </row>
    <row r="174" spans="1:18" ht="17">
      <c r="A174" s="6"/>
      <c r="B174" s="95" t="s">
        <v>1542</v>
      </c>
      <c r="C174" s="97">
        <v>46198</v>
      </c>
      <c r="D174" s="95" t="s">
        <v>1263</v>
      </c>
      <c r="E174" s="96" t="s">
        <v>1318</v>
      </c>
      <c r="F174" s="96" t="s">
        <v>1543</v>
      </c>
      <c r="G174" s="99">
        <v>10000</v>
      </c>
      <c r="H174" s="95" t="s">
        <v>618</v>
      </c>
      <c r="I174" s="95" t="s">
        <v>1224</v>
      </c>
      <c r="J174" s="95"/>
      <c r="K174" s="95"/>
      <c r="L174" s="96"/>
      <c r="M174" s="42" t="str">
        <f t="shared" si="8"/>
        <v>MERKEZ KASA</v>
      </c>
      <c r="N174" s="42" t="str">
        <f t="shared" si="9"/>
        <v>MERKEZ KASA</v>
      </c>
      <c r="O174" s="43">
        <f t="shared" si="10"/>
        <v>46174</v>
      </c>
      <c r="P174" s="42" t="str">
        <f t="shared" si="11"/>
        <v>UYGUN</v>
      </c>
      <c r="Q174" s="22" t="str">
        <f>IF(AND(L174&lt;&gt;"",D174="Gelir",I174="Hayır"),L174&amp;"|"&amp;TEXT(COUNTIFS($L$7:L174,L174,$D$7:D174,"Gelir",$I$7:I174,"Hayır"),"000"),"")</f>
        <v/>
      </c>
      <c r="R174" s="22" t="b">
        <f>OR(COUNTIF(LST_MUSTERI_ADI,L174)&gt;0,L174=SISTEM!$C$9,L174=SISTEM!$C$10)</f>
        <v>0</v>
      </c>
    </row>
    <row r="175" spans="1:18" ht="17">
      <c r="A175" s="6"/>
      <c r="B175" s="95" t="s">
        <v>1544</v>
      </c>
      <c r="C175" s="97">
        <v>46203</v>
      </c>
      <c r="D175" s="95" t="s">
        <v>434</v>
      </c>
      <c r="E175" s="96" t="s">
        <v>1267</v>
      </c>
      <c r="F175" s="96" t="s">
        <v>1545</v>
      </c>
      <c r="G175" s="99">
        <v>50000</v>
      </c>
      <c r="H175" s="95" t="s">
        <v>618</v>
      </c>
      <c r="I175" s="95" t="s">
        <v>1224</v>
      </c>
      <c r="J175" s="95"/>
      <c r="K175" s="95"/>
      <c r="L175" s="96"/>
      <c r="M175" s="42" t="str">
        <f t="shared" si="8"/>
        <v>MERKEZ KASA</v>
      </c>
      <c r="N175" s="42" t="str">
        <f t="shared" si="9"/>
        <v>Personel</v>
      </c>
      <c r="O175" s="43">
        <f t="shared" si="10"/>
        <v>46174</v>
      </c>
      <c r="P175" s="42" t="str">
        <f t="shared" si="11"/>
        <v>UYGUN</v>
      </c>
      <c r="Q175" s="22" t="str">
        <f>IF(AND(L175&lt;&gt;"",D175="Gelir",I175="Hayır"),L175&amp;"|"&amp;TEXT(COUNTIFS($L$7:L175,L175,$D$7:D175,"Gelir",$I$7:I175,"Hayır"),"000"),"")</f>
        <v/>
      </c>
      <c r="R175" s="22" t="b">
        <f>OR(COUNTIF(LST_MUSTERI_ADI,L175)&gt;0,L175=SISTEM!$C$9,L175=SISTEM!$C$10)</f>
        <v>0</v>
      </c>
    </row>
    <row r="176" spans="1:18" ht="17">
      <c r="A176" s="6"/>
      <c r="B176" s="95" t="s">
        <v>1546</v>
      </c>
      <c r="C176" s="97">
        <v>46203</v>
      </c>
      <c r="D176" s="95" t="s">
        <v>434</v>
      </c>
      <c r="E176" s="96" t="s">
        <v>1252</v>
      </c>
      <c r="F176" s="96" t="s">
        <v>1547</v>
      </c>
      <c r="G176" s="99">
        <v>2000</v>
      </c>
      <c r="H176" s="95" t="s">
        <v>618</v>
      </c>
      <c r="I176" s="95" t="s">
        <v>1224</v>
      </c>
      <c r="J176" s="95"/>
      <c r="K176" s="95"/>
      <c r="L176" s="96"/>
      <c r="M176" s="42" t="str">
        <f t="shared" si="8"/>
        <v>MERKEZ KASA</v>
      </c>
      <c r="N176" s="42" t="str">
        <f t="shared" si="9"/>
        <v>Ulaşım</v>
      </c>
      <c r="O176" s="43">
        <f t="shared" si="10"/>
        <v>46174</v>
      </c>
      <c r="P176" s="42" t="str">
        <f t="shared" si="11"/>
        <v>UYGUN</v>
      </c>
      <c r="Q176" s="22" t="str">
        <f>IF(AND(L176&lt;&gt;"",D176="Gelir",I176="Hayır"),L176&amp;"|"&amp;TEXT(COUNTIFS($L$7:L176,L176,$D$7:D176,"Gelir",$I$7:I176,"Hayır"),"000"),"")</f>
        <v/>
      </c>
      <c r="R176" s="22" t="b">
        <f>OR(COUNTIF(LST_MUSTERI_ADI,L176)&gt;0,L176=SISTEM!$C$9,L176=SISTEM!$C$10)</f>
        <v>0</v>
      </c>
    </row>
    <row r="177" spans="1:18" ht="17">
      <c r="A177" s="6"/>
      <c r="B177" s="95" t="s">
        <v>1548</v>
      </c>
      <c r="C177" s="97">
        <v>46204</v>
      </c>
      <c r="D177" s="95" t="s">
        <v>434</v>
      </c>
      <c r="E177" s="96" t="s">
        <v>1260</v>
      </c>
      <c r="F177" s="96" t="s">
        <v>1396</v>
      </c>
      <c r="G177" s="99">
        <v>2500</v>
      </c>
      <c r="H177" s="95"/>
      <c r="I177" s="95" t="s">
        <v>1221</v>
      </c>
      <c r="J177" s="95"/>
      <c r="K177" s="95"/>
      <c r="L177" s="96"/>
      <c r="M177" s="42" t="str">
        <f t="shared" si="8"/>
        <v>CARİ MAHSUP</v>
      </c>
      <c r="N177" s="42" t="str">
        <f t="shared" si="9"/>
        <v>Mehmet Ali Kartal</v>
      </c>
      <c r="O177" s="43">
        <f t="shared" si="10"/>
        <v>46204</v>
      </c>
      <c r="P177" s="42" t="str">
        <f t="shared" si="11"/>
        <v>UYGUN</v>
      </c>
      <c r="Q177" s="22" t="str">
        <f>IF(AND(L177&lt;&gt;"",D177="Gelir",I177="Hayır"),L177&amp;"|"&amp;TEXT(COUNTIFS($L$7:L177,L177,$D$7:D177,"Gelir",$I$7:I177,"Hayır"),"000"),"")</f>
        <v/>
      </c>
      <c r="R177" s="22" t="b">
        <f>OR(COUNTIF(LST_MUSTERI_ADI,L177)&gt;0,L177=SISTEM!$C$9,L177=SISTEM!$C$10)</f>
        <v>0</v>
      </c>
    </row>
    <row r="178" spans="1:18" ht="17">
      <c r="A178" s="6"/>
      <c r="B178" s="95" t="s">
        <v>1549</v>
      </c>
      <c r="C178" s="97">
        <v>46216</v>
      </c>
      <c r="D178" s="95" t="s">
        <v>434</v>
      </c>
      <c r="E178" s="96" t="s">
        <v>1267</v>
      </c>
      <c r="F178" s="96" t="s">
        <v>1550</v>
      </c>
      <c r="G178" s="99">
        <v>10000</v>
      </c>
      <c r="H178" s="95" t="s">
        <v>618</v>
      </c>
      <c r="I178" s="95" t="s">
        <v>1224</v>
      </c>
      <c r="J178" s="95"/>
      <c r="K178" s="95"/>
      <c r="L178" s="96"/>
      <c r="M178" s="42" t="str">
        <f t="shared" si="8"/>
        <v>MERKEZ KASA</v>
      </c>
      <c r="N178" s="42" t="str">
        <f t="shared" si="9"/>
        <v>Personel</v>
      </c>
      <c r="O178" s="43">
        <f t="shared" si="10"/>
        <v>46204</v>
      </c>
      <c r="P178" s="42" t="str">
        <f t="shared" si="11"/>
        <v>UYGUN</v>
      </c>
      <c r="Q178" s="22" t="str">
        <f>IF(AND(L178&lt;&gt;"",D178="Gelir",I178="Hayır"),L178&amp;"|"&amp;TEXT(COUNTIFS($L$7:L178,L178,$D$7:D178,"Gelir",$I$7:I178,"Hayır"),"000"),"")</f>
        <v/>
      </c>
      <c r="R178" s="22" t="b">
        <f>OR(COUNTIF(LST_MUSTERI_ADI,L178)&gt;0,L178=SISTEM!$C$9,L178=SISTEM!$C$10)</f>
        <v>0</v>
      </c>
    </row>
    <row r="179" spans="1:18" ht="17">
      <c r="A179" s="6"/>
      <c r="B179" s="95" t="s">
        <v>1551</v>
      </c>
      <c r="C179" s="97">
        <v>46216</v>
      </c>
      <c r="D179" s="95" t="s">
        <v>1263</v>
      </c>
      <c r="E179" s="96" t="s">
        <v>1318</v>
      </c>
      <c r="F179" s="96" t="s">
        <v>1552</v>
      </c>
      <c r="G179" s="99">
        <v>20000</v>
      </c>
      <c r="H179" s="95" t="s">
        <v>628</v>
      </c>
      <c r="I179" s="95" t="s">
        <v>1224</v>
      </c>
      <c r="J179" s="95"/>
      <c r="K179" s="95"/>
      <c r="L179" s="96"/>
      <c r="M179" s="42" t="str">
        <f t="shared" si="8"/>
        <v>ÖMER KARTAL</v>
      </c>
      <c r="N179" s="42" t="str">
        <f t="shared" si="9"/>
        <v>ÖMER KARTAL</v>
      </c>
      <c r="O179" s="43">
        <f t="shared" si="10"/>
        <v>46204</v>
      </c>
      <c r="P179" s="42" t="str">
        <f t="shared" si="11"/>
        <v>UYGUN</v>
      </c>
      <c r="Q179" s="22" t="str">
        <f>IF(AND(L179&lt;&gt;"",D179="Gelir",I179="Hayır"),L179&amp;"|"&amp;TEXT(COUNTIFS($L$7:L179,L179,$D$7:D179,"Gelir",$I$7:I179,"Hayır"),"000"),"")</f>
        <v/>
      </c>
      <c r="R179" s="22" t="b">
        <f>OR(COUNTIF(LST_MUSTERI_ADI,L179)&gt;0,L179=SISTEM!$C$9,L179=SISTEM!$C$10)</f>
        <v>0</v>
      </c>
    </row>
    <row r="180" spans="1:18" ht="34">
      <c r="A180" s="6"/>
      <c r="B180" s="95" t="s">
        <v>1553</v>
      </c>
      <c r="C180" s="97">
        <v>46218</v>
      </c>
      <c r="D180" s="95" t="s">
        <v>434</v>
      </c>
      <c r="E180" s="96" t="s">
        <v>1242</v>
      </c>
      <c r="F180" s="96" t="s">
        <v>1554</v>
      </c>
      <c r="G180" s="99">
        <v>2200</v>
      </c>
      <c r="H180" s="95" t="s">
        <v>618</v>
      </c>
      <c r="I180" s="95" t="s">
        <v>1224</v>
      </c>
      <c r="J180" s="95"/>
      <c r="K180" s="95"/>
      <c r="L180" s="96"/>
      <c r="M180" s="42" t="str">
        <f t="shared" si="8"/>
        <v>MERKEZ KASA</v>
      </c>
      <c r="N180" s="42" t="str">
        <f t="shared" si="9"/>
        <v>Elektrik / Su / Doğalgaz</v>
      </c>
      <c r="O180" s="43">
        <f t="shared" si="10"/>
        <v>46204</v>
      </c>
      <c r="P180" s="42" t="str">
        <f t="shared" si="11"/>
        <v>UYGUN</v>
      </c>
      <c r="Q180" s="22" t="str">
        <f>IF(AND(L180&lt;&gt;"",D180="Gelir",I180="Hayır"),L180&amp;"|"&amp;TEXT(COUNTIFS($L$7:L180,L180,$D$7:D180,"Gelir",$I$7:I180,"Hayır"),"000"),"")</f>
        <v/>
      </c>
      <c r="R180" s="22" t="b">
        <f>OR(COUNTIF(LST_MUSTERI_ADI,L180)&gt;0,L180=SISTEM!$C$9,L180=SISTEM!$C$10)</f>
        <v>0</v>
      </c>
    </row>
    <row r="181" spans="1:18" ht="17">
      <c r="A181" s="6"/>
      <c r="B181" s="95" t="s">
        <v>1555</v>
      </c>
      <c r="C181" s="97">
        <v>46222</v>
      </c>
      <c r="D181" s="95" t="s">
        <v>434</v>
      </c>
      <c r="E181" s="96" t="s">
        <v>1234</v>
      </c>
      <c r="F181" s="96" t="s">
        <v>1556</v>
      </c>
      <c r="G181" s="99">
        <v>3500</v>
      </c>
      <c r="H181" s="95" t="s">
        <v>618</v>
      </c>
      <c r="I181" s="95" t="s">
        <v>1224</v>
      </c>
      <c r="J181" s="95"/>
      <c r="K181" s="95"/>
      <c r="L181" s="96"/>
      <c r="M181" s="42" t="str">
        <f t="shared" si="8"/>
        <v>MERKEZ KASA</v>
      </c>
      <c r="N181" s="42" t="str">
        <f t="shared" si="9"/>
        <v>Kırtasiye</v>
      </c>
      <c r="O181" s="43">
        <f t="shared" si="10"/>
        <v>46204</v>
      </c>
      <c r="P181" s="42" t="str">
        <f t="shared" si="11"/>
        <v>UYGUN</v>
      </c>
      <c r="Q181" s="22" t="str">
        <f>IF(AND(L181&lt;&gt;"",D181="Gelir",I181="Hayır"),L181&amp;"|"&amp;TEXT(COUNTIFS($L$7:L181,L181,$D$7:D181,"Gelir",$I$7:I181,"Hayır"),"000"),"")</f>
        <v/>
      </c>
      <c r="R181" s="22" t="b">
        <f>OR(COUNTIF(LST_MUSTERI_ADI,L181)&gt;0,L181=SISTEM!$C$9,L181=SISTEM!$C$10)</f>
        <v>0</v>
      </c>
    </row>
    <row r="182" spans="1:18" ht="17">
      <c r="A182" s="6"/>
      <c r="B182" s="95" t="s">
        <v>1557</v>
      </c>
      <c r="C182" s="97">
        <v>46222</v>
      </c>
      <c r="D182" s="95" t="s">
        <v>434</v>
      </c>
      <c r="E182" s="96" t="s">
        <v>1252</v>
      </c>
      <c r="F182" s="96" t="s">
        <v>1547</v>
      </c>
      <c r="G182" s="99">
        <v>2000</v>
      </c>
      <c r="H182" s="95" t="s">
        <v>618</v>
      </c>
      <c r="I182" s="95" t="s">
        <v>1224</v>
      </c>
      <c r="J182" s="95"/>
      <c r="K182" s="95"/>
      <c r="L182" s="96"/>
      <c r="M182" s="42" t="str">
        <f t="shared" si="8"/>
        <v>MERKEZ KASA</v>
      </c>
      <c r="N182" s="42" t="str">
        <f t="shared" si="9"/>
        <v>Ulaşım</v>
      </c>
      <c r="O182" s="43">
        <f t="shared" si="10"/>
        <v>46204</v>
      </c>
      <c r="P182" s="42" t="str">
        <f t="shared" si="11"/>
        <v>UYGUN</v>
      </c>
      <c r="Q182" s="22" t="str">
        <f>IF(AND(L182&lt;&gt;"",D182="Gelir",I182="Hayır"),L182&amp;"|"&amp;TEXT(COUNTIFS($L$7:L182,L182,$D$7:D182,"Gelir",$I$7:I182,"Hayır"),"000"),"")</f>
        <v/>
      </c>
      <c r="R182" s="22" t="b">
        <f>OR(COUNTIF(LST_MUSTERI_ADI,L182)&gt;0,L182=SISTEM!$C$9,L182=SISTEM!$C$10)</f>
        <v>0</v>
      </c>
    </row>
    <row r="183" spans="1:18" ht="17">
      <c r="A183" s="6"/>
      <c r="B183" s="95" t="s">
        <v>1558</v>
      </c>
      <c r="C183" s="97">
        <v>46224</v>
      </c>
      <c r="D183" s="95" t="s">
        <v>434</v>
      </c>
      <c r="E183" s="96" t="s">
        <v>1272</v>
      </c>
      <c r="F183" s="96" t="s">
        <v>1386</v>
      </c>
      <c r="G183" s="99">
        <v>11810</v>
      </c>
      <c r="H183" s="95" t="s">
        <v>618</v>
      </c>
      <c r="I183" s="95" t="s">
        <v>1224</v>
      </c>
      <c r="J183" s="95"/>
      <c r="K183" s="95"/>
      <c r="L183" s="96"/>
      <c r="M183" s="42" t="str">
        <f t="shared" si="8"/>
        <v>MERKEZ KASA</v>
      </c>
      <c r="N183" s="42" t="str">
        <f t="shared" si="9"/>
        <v>Vergi / Harç</v>
      </c>
      <c r="O183" s="43">
        <f t="shared" si="10"/>
        <v>46204</v>
      </c>
      <c r="P183" s="42" t="str">
        <f t="shared" si="11"/>
        <v>UYGUN</v>
      </c>
      <c r="Q183" s="22" t="str">
        <f>IF(AND(L183&lt;&gt;"",D183="Gelir",I183="Hayır"),L183&amp;"|"&amp;TEXT(COUNTIFS($L$7:L183,L183,$D$7:D183,"Gelir",$I$7:I183,"Hayır"),"000"),"")</f>
        <v/>
      </c>
      <c r="R183" s="22" t="b">
        <f>OR(COUNTIF(LST_MUSTERI_ADI,L183)&gt;0,L183=SISTEM!$C$9,L183=SISTEM!$C$10)</f>
        <v>0</v>
      </c>
    </row>
    <row r="184" spans="1:18" ht="17">
      <c r="A184" s="6"/>
      <c r="B184" s="95" t="s">
        <v>1559</v>
      </c>
      <c r="C184" s="97">
        <v>46226</v>
      </c>
      <c r="D184" s="95" t="s">
        <v>434</v>
      </c>
      <c r="E184" s="96" t="s">
        <v>1252</v>
      </c>
      <c r="F184" s="96" t="s">
        <v>1547</v>
      </c>
      <c r="G184" s="99">
        <v>2000</v>
      </c>
      <c r="H184" s="95" t="s">
        <v>618</v>
      </c>
      <c r="I184" s="95" t="s">
        <v>1224</v>
      </c>
      <c r="J184" s="95"/>
      <c r="K184" s="95"/>
      <c r="L184" s="96"/>
      <c r="M184" s="42" t="str">
        <f t="shared" si="8"/>
        <v>MERKEZ KASA</v>
      </c>
      <c r="N184" s="42" t="str">
        <f t="shared" si="9"/>
        <v>Ulaşım</v>
      </c>
      <c r="O184" s="43">
        <f t="shared" si="10"/>
        <v>46204</v>
      </c>
      <c r="P184" s="42" t="str">
        <f t="shared" si="11"/>
        <v>UYGUN</v>
      </c>
      <c r="Q184" s="22" t="str">
        <f>IF(AND(L184&lt;&gt;"",D184="Gelir",I184="Hayır"),L184&amp;"|"&amp;TEXT(COUNTIFS($L$7:L184,L184,$D$7:D184,"Gelir",$I$7:I184,"Hayır"),"000"),"")</f>
        <v/>
      </c>
      <c r="R184" s="22" t="b">
        <f>OR(COUNTIF(LST_MUSTERI_ADI,L184)&gt;0,L184=SISTEM!$C$9,L184=SISTEM!$C$10)</f>
        <v>0</v>
      </c>
    </row>
    <row r="185" spans="1:18" ht="17">
      <c r="A185" s="6"/>
      <c r="B185" s="95" t="s">
        <v>1560</v>
      </c>
      <c r="C185" s="97">
        <v>46230</v>
      </c>
      <c r="D185" s="95" t="s">
        <v>434</v>
      </c>
      <c r="E185" s="96" t="s">
        <v>1267</v>
      </c>
      <c r="F185" s="96" t="s">
        <v>1268</v>
      </c>
      <c r="G185" s="99">
        <v>60000</v>
      </c>
      <c r="H185" s="95" t="s">
        <v>618</v>
      </c>
      <c r="I185" s="95" t="s">
        <v>1224</v>
      </c>
      <c r="J185" s="95"/>
      <c r="K185" s="95"/>
      <c r="L185" s="96"/>
      <c r="M185" s="42" t="str">
        <f t="shared" si="8"/>
        <v>MERKEZ KASA</v>
      </c>
      <c r="N185" s="42" t="str">
        <f t="shared" si="9"/>
        <v>Personel</v>
      </c>
      <c r="O185" s="43">
        <f t="shared" si="10"/>
        <v>46204</v>
      </c>
      <c r="P185" s="42" t="str">
        <f t="shared" si="11"/>
        <v>UYGUN</v>
      </c>
      <c r="Q185" s="22" t="str">
        <f>IF(AND(L185&lt;&gt;"",D185="Gelir",I185="Hayır"),L185&amp;"|"&amp;TEXT(COUNTIFS($L$7:L185,L185,$D$7:D185,"Gelir",$I$7:I185,"Hayır"),"000"),"")</f>
        <v/>
      </c>
      <c r="R185" s="22" t="b">
        <f>OR(COUNTIF(LST_MUSTERI_ADI,L185)&gt;0,L185=SISTEM!$C$9,L185=SISTEM!$C$10)</f>
        <v>0</v>
      </c>
    </row>
    <row r="186" spans="1:18" ht="17">
      <c r="A186" s="6"/>
      <c r="B186" s="95" t="s">
        <v>1561</v>
      </c>
      <c r="C186" s="97">
        <v>46230</v>
      </c>
      <c r="D186" s="95" t="s">
        <v>434</v>
      </c>
      <c r="E186" s="96" t="s">
        <v>1252</v>
      </c>
      <c r="F186" s="96" t="s">
        <v>1547</v>
      </c>
      <c r="G186" s="99">
        <v>2000</v>
      </c>
      <c r="H186" s="95" t="s">
        <v>618</v>
      </c>
      <c r="I186" s="95" t="s">
        <v>1224</v>
      </c>
      <c r="J186" s="95"/>
      <c r="K186" s="95"/>
      <c r="L186" s="96"/>
      <c r="M186" s="42" t="str">
        <f t="shared" si="8"/>
        <v>MERKEZ KASA</v>
      </c>
      <c r="N186" s="42" t="str">
        <f t="shared" si="9"/>
        <v>Ulaşım</v>
      </c>
      <c r="O186" s="43">
        <f t="shared" si="10"/>
        <v>46204</v>
      </c>
      <c r="P186" s="42" t="str">
        <f t="shared" si="11"/>
        <v>UYGUN</v>
      </c>
      <c r="Q186" s="22" t="str">
        <f>IF(AND(L186&lt;&gt;"",D186="Gelir",I186="Hayır"),L186&amp;"|"&amp;TEXT(COUNTIFS($L$7:L186,L186,$D$7:D186,"Gelir",$I$7:I186,"Hayır"),"000"),"")</f>
        <v/>
      </c>
      <c r="R186" s="22" t="b">
        <f>OR(COUNTIF(LST_MUSTERI_ADI,L186)&gt;0,L186=SISTEM!$C$9,L186=SISTEM!$C$10)</f>
        <v>0</v>
      </c>
    </row>
    <row r="187" spans="1:18" ht="17">
      <c r="A187" s="6"/>
      <c r="B187" s="95" t="s">
        <v>1562</v>
      </c>
      <c r="C187" s="97">
        <v>46234</v>
      </c>
      <c r="D187" s="95" t="s">
        <v>434</v>
      </c>
      <c r="E187" s="96" t="s">
        <v>1279</v>
      </c>
      <c r="F187" s="96" t="s">
        <v>1563</v>
      </c>
      <c r="G187" s="99">
        <v>14000</v>
      </c>
      <c r="H187" s="95" t="s">
        <v>618</v>
      </c>
      <c r="I187" s="95" t="s">
        <v>1224</v>
      </c>
      <c r="J187" s="95"/>
      <c r="K187" s="95"/>
      <c r="L187" s="96"/>
      <c r="M187" s="42" t="str">
        <f t="shared" si="8"/>
        <v>MERKEZ KASA</v>
      </c>
      <c r="N187" s="42" t="str">
        <f t="shared" si="9"/>
        <v>Ofis Kirası</v>
      </c>
      <c r="O187" s="43">
        <f t="shared" si="10"/>
        <v>46204</v>
      </c>
      <c r="P187" s="42" t="str">
        <f t="shared" si="11"/>
        <v>UYGUN</v>
      </c>
      <c r="Q187" s="22" t="str">
        <f>IF(AND(L187&lt;&gt;"",D187="Gelir",I187="Hayır"),L187&amp;"|"&amp;TEXT(COUNTIFS($L$7:L187,L187,$D$7:D187,"Gelir",$I$7:I187,"Hayır"),"000"),"")</f>
        <v/>
      </c>
      <c r="R187" s="22" t="b">
        <f>OR(COUNTIF(LST_MUSTERI_ADI,L187)&gt;0,L187=SISTEM!$C$9,L187=SISTEM!$C$10)</f>
        <v>0</v>
      </c>
    </row>
    <row r="188" spans="1:18" ht="17">
      <c r="A188" s="6"/>
      <c r="B188" s="95" t="s">
        <v>1564</v>
      </c>
      <c r="C188" s="97">
        <v>46235</v>
      </c>
      <c r="D188" s="95" t="s">
        <v>434</v>
      </c>
      <c r="E188" s="96" t="s">
        <v>1279</v>
      </c>
      <c r="F188" s="96" t="s">
        <v>1565</v>
      </c>
      <c r="G188" s="99">
        <v>14000</v>
      </c>
      <c r="H188" s="95" t="s">
        <v>618</v>
      </c>
      <c r="I188" s="95" t="s">
        <v>1224</v>
      </c>
      <c r="J188" s="95"/>
      <c r="K188" s="95"/>
      <c r="L188" s="96"/>
      <c r="M188" s="42" t="str">
        <f t="shared" si="8"/>
        <v>MERKEZ KASA</v>
      </c>
      <c r="N188" s="42" t="str">
        <f t="shared" si="9"/>
        <v>Ofis Kirası</v>
      </c>
      <c r="O188" s="43">
        <f t="shared" si="10"/>
        <v>46235</v>
      </c>
      <c r="P188" s="42" t="str">
        <f t="shared" si="11"/>
        <v>UYGUN</v>
      </c>
      <c r="Q188" s="22" t="str">
        <f>IF(AND(L188&lt;&gt;"",D188="Gelir",I188="Hayır"),L188&amp;"|"&amp;TEXT(COUNTIFS($L$7:L188,L188,$D$7:D188,"Gelir",$I$7:I188,"Hayır"),"000"),"")</f>
        <v/>
      </c>
      <c r="R188" s="22" t="b">
        <f>OR(COUNTIF(LST_MUSTERI_ADI,L188)&gt;0,L188=SISTEM!$C$9,L188=SISTEM!$C$10)</f>
        <v>0</v>
      </c>
    </row>
    <row r="189" spans="1:18" ht="17">
      <c r="A189" s="6"/>
      <c r="B189" s="95" t="s">
        <v>1566</v>
      </c>
      <c r="C189" s="97">
        <v>46235</v>
      </c>
      <c r="D189" s="95" t="s">
        <v>434</v>
      </c>
      <c r="E189" s="96" t="s">
        <v>1279</v>
      </c>
      <c r="F189" s="96" t="s">
        <v>1567</v>
      </c>
      <c r="G189" s="99">
        <v>14000</v>
      </c>
      <c r="H189" s="95" t="s">
        <v>618</v>
      </c>
      <c r="I189" s="95" t="s">
        <v>1224</v>
      </c>
      <c r="J189" s="95"/>
      <c r="K189" s="95"/>
      <c r="L189" s="96"/>
      <c r="M189" s="42" t="str">
        <f t="shared" si="8"/>
        <v>MERKEZ KASA</v>
      </c>
      <c r="N189" s="42" t="str">
        <f t="shared" si="9"/>
        <v>Ofis Kirası</v>
      </c>
      <c r="O189" s="43">
        <f t="shared" si="10"/>
        <v>46235</v>
      </c>
      <c r="P189" s="42" t="str">
        <f t="shared" si="11"/>
        <v>UYGUN</v>
      </c>
      <c r="Q189" s="22" t="str">
        <f>IF(AND(L189&lt;&gt;"",D189="Gelir",I189="Hayır"),L189&amp;"|"&amp;TEXT(COUNTIFS($L$7:L189,L189,$D$7:D189,"Gelir",$I$7:I189,"Hayır"),"000"),"")</f>
        <v/>
      </c>
      <c r="R189" s="22" t="b">
        <f>OR(COUNTIF(LST_MUSTERI_ADI,L189)&gt;0,L189=SISTEM!$C$9,L189=SISTEM!$C$10)</f>
        <v>0</v>
      </c>
    </row>
    <row r="190" spans="1:18" ht="17">
      <c r="A190" s="6"/>
      <c r="B190" s="95" t="s">
        <v>1568</v>
      </c>
      <c r="C190" s="97">
        <v>46235</v>
      </c>
      <c r="D190" s="95" t="s">
        <v>1263</v>
      </c>
      <c r="E190" s="96" t="s">
        <v>1293</v>
      </c>
      <c r="F190" s="96" t="s">
        <v>1569</v>
      </c>
      <c r="G190" s="99">
        <v>4200</v>
      </c>
      <c r="H190" s="95" t="s">
        <v>618</v>
      </c>
      <c r="I190" s="95" t="s">
        <v>1224</v>
      </c>
      <c r="J190" s="95"/>
      <c r="K190" s="95"/>
      <c r="L190" s="96"/>
      <c r="M190" s="42" t="str">
        <f t="shared" si="8"/>
        <v>MERKEZ KASA</v>
      </c>
      <c r="N190" s="42" t="str">
        <f t="shared" si="9"/>
        <v>MERKEZ KASA</v>
      </c>
      <c r="O190" s="43">
        <f t="shared" si="10"/>
        <v>46235</v>
      </c>
      <c r="P190" s="42" t="str">
        <f t="shared" si="11"/>
        <v>UYGUN</v>
      </c>
      <c r="Q190" s="22" t="str">
        <f>IF(AND(L190&lt;&gt;"",D190="Gelir",I190="Hayır"),L190&amp;"|"&amp;TEXT(COUNTIFS($L$7:L190,L190,$D$7:D190,"Gelir",$I$7:I190,"Hayır"),"000"),"")</f>
        <v/>
      </c>
      <c r="R190" s="22" t="b">
        <f>OR(COUNTIF(LST_MUSTERI_ADI,L190)&gt;0,L190=SISTEM!$C$9,L190=SISTEM!$C$10)</f>
        <v>0</v>
      </c>
    </row>
    <row r="191" spans="1:18" ht="17">
      <c r="A191" s="6"/>
      <c r="B191" s="95" t="s">
        <v>1570</v>
      </c>
      <c r="C191" s="97">
        <v>46235</v>
      </c>
      <c r="D191" s="95" t="s">
        <v>1263</v>
      </c>
      <c r="E191" s="96" t="s">
        <v>1293</v>
      </c>
      <c r="F191" s="96" t="s">
        <v>1571</v>
      </c>
      <c r="G191" s="99">
        <v>4200</v>
      </c>
      <c r="H191" s="95" t="s">
        <v>618</v>
      </c>
      <c r="I191" s="95" t="s">
        <v>1224</v>
      </c>
      <c r="J191" s="95"/>
      <c r="K191" s="95"/>
      <c r="L191" s="96"/>
      <c r="M191" s="42" t="str">
        <f t="shared" si="8"/>
        <v>MERKEZ KASA</v>
      </c>
      <c r="N191" s="42" t="str">
        <f t="shared" si="9"/>
        <v>MERKEZ KASA</v>
      </c>
      <c r="O191" s="43">
        <f t="shared" si="10"/>
        <v>46235</v>
      </c>
      <c r="P191" s="42" t="str">
        <f t="shared" si="11"/>
        <v>UYGUN</v>
      </c>
      <c r="Q191" s="22" t="str">
        <f>IF(AND(L191&lt;&gt;"",D191="Gelir",I191="Hayır"),L191&amp;"|"&amp;TEXT(COUNTIFS($L$7:L191,L191,$D$7:D191,"Gelir",$I$7:I191,"Hayır"),"000"),"")</f>
        <v/>
      </c>
      <c r="R191" s="22" t="b">
        <f>OR(COUNTIF(LST_MUSTERI_ADI,L191)&gt;0,L191=SISTEM!$C$9,L191=SISTEM!$C$10)</f>
        <v>0</v>
      </c>
    </row>
    <row r="192" spans="1:18" ht="17">
      <c r="A192" s="6"/>
      <c r="B192" s="95" t="s">
        <v>1572</v>
      </c>
      <c r="C192" s="97">
        <v>46235</v>
      </c>
      <c r="D192" s="95" t="s">
        <v>1263</v>
      </c>
      <c r="E192" s="96" t="s">
        <v>1293</v>
      </c>
      <c r="F192" s="96" t="s">
        <v>1573</v>
      </c>
      <c r="G192" s="99">
        <v>4200</v>
      </c>
      <c r="H192" s="95" t="s">
        <v>618</v>
      </c>
      <c r="I192" s="95" t="s">
        <v>1224</v>
      </c>
      <c r="J192" s="95"/>
      <c r="K192" s="95"/>
      <c r="L192" s="96"/>
      <c r="M192" s="42" t="str">
        <f t="shared" si="8"/>
        <v>MERKEZ KASA</v>
      </c>
      <c r="N192" s="42" t="str">
        <f t="shared" si="9"/>
        <v>MERKEZ KASA</v>
      </c>
      <c r="O192" s="43">
        <f t="shared" si="10"/>
        <v>46235</v>
      </c>
      <c r="P192" s="42" t="str">
        <f t="shared" si="11"/>
        <v>UYGUN</v>
      </c>
      <c r="Q192" s="22" t="str">
        <f>IF(AND(L192&lt;&gt;"",D192="Gelir",I192="Hayır"),L192&amp;"|"&amp;TEXT(COUNTIFS($L$7:L192,L192,$D$7:D192,"Gelir",$I$7:I192,"Hayır"),"000"),"")</f>
        <v/>
      </c>
      <c r="R192" s="22" t="b">
        <f>OR(COUNTIF(LST_MUSTERI_ADI,L192)&gt;0,L192=SISTEM!$C$9,L192=SISTEM!$C$10)</f>
        <v>0</v>
      </c>
    </row>
    <row r="193" spans="1:18" ht="17">
      <c r="A193" s="6"/>
      <c r="B193" s="95" t="s">
        <v>1574</v>
      </c>
      <c r="C193" s="97">
        <v>46235</v>
      </c>
      <c r="D193" s="95" t="s">
        <v>1263</v>
      </c>
      <c r="E193" s="96" t="s">
        <v>1293</v>
      </c>
      <c r="F193" s="96" t="s">
        <v>1575</v>
      </c>
      <c r="G193" s="99">
        <v>4200</v>
      </c>
      <c r="H193" s="95" t="s">
        <v>618</v>
      </c>
      <c r="I193" s="95" t="s">
        <v>1224</v>
      </c>
      <c r="J193" s="95"/>
      <c r="K193" s="95"/>
      <c r="L193" s="96"/>
      <c r="M193" s="42" t="str">
        <f t="shared" si="8"/>
        <v>MERKEZ KASA</v>
      </c>
      <c r="N193" s="42" t="str">
        <f t="shared" si="9"/>
        <v>MERKEZ KASA</v>
      </c>
      <c r="O193" s="43">
        <f t="shared" si="10"/>
        <v>46235</v>
      </c>
      <c r="P193" s="42" t="str">
        <f t="shared" si="11"/>
        <v>UYGUN</v>
      </c>
      <c r="Q193" s="22" t="str">
        <f>IF(AND(L193&lt;&gt;"",D193="Gelir",I193="Hayır"),L193&amp;"|"&amp;TEXT(COUNTIFS($L$7:L193,L193,$D$7:D193,"Gelir",$I$7:I193,"Hayır"),"000"),"")</f>
        <v/>
      </c>
      <c r="R193" s="22" t="b">
        <f>OR(COUNTIF(LST_MUSTERI_ADI,L193)&gt;0,L193=SISTEM!$C$9,L193=SISTEM!$C$10)</f>
        <v>0</v>
      </c>
    </row>
    <row r="194" spans="1:18" ht="17">
      <c r="A194" s="6"/>
      <c r="B194" s="95" t="s">
        <v>1576</v>
      </c>
      <c r="C194" s="97">
        <v>46235</v>
      </c>
      <c r="D194" s="95" t="s">
        <v>1263</v>
      </c>
      <c r="E194" s="96" t="s">
        <v>1293</v>
      </c>
      <c r="F194" s="96" t="s">
        <v>1577</v>
      </c>
      <c r="G194" s="99">
        <v>4200</v>
      </c>
      <c r="H194" s="95" t="s">
        <v>618</v>
      </c>
      <c r="I194" s="95" t="s">
        <v>1224</v>
      </c>
      <c r="J194" s="95"/>
      <c r="K194" s="95"/>
      <c r="L194" s="96"/>
      <c r="M194" s="42" t="str">
        <f t="shared" si="8"/>
        <v>MERKEZ KASA</v>
      </c>
      <c r="N194" s="42" t="str">
        <f t="shared" si="9"/>
        <v>MERKEZ KASA</v>
      </c>
      <c r="O194" s="43">
        <f t="shared" si="10"/>
        <v>46235</v>
      </c>
      <c r="P194" s="42" t="str">
        <f t="shared" si="11"/>
        <v>UYGUN</v>
      </c>
      <c r="Q194" s="22" t="str">
        <f>IF(AND(L194&lt;&gt;"",D194="Gelir",I194="Hayır"),L194&amp;"|"&amp;TEXT(COUNTIFS($L$7:L194,L194,$D$7:D194,"Gelir",$I$7:I194,"Hayır"),"000"),"")</f>
        <v/>
      </c>
      <c r="R194" s="22" t="b">
        <f>OR(COUNTIF(LST_MUSTERI_ADI,L194)&gt;0,L194=SISTEM!$C$9,L194=SISTEM!$C$10)</f>
        <v>0</v>
      </c>
    </row>
    <row r="195" spans="1:18" ht="17">
      <c r="A195" s="6"/>
      <c r="B195" s="95" t="s">
        <v>1578</v>
      </c>
      <c r="C195" s="97">
        <v>46235</v>
      </c>
      <c r="D195" s="95" t="s">
        <v>1263</v>
      </c>
      <c r="E195" s="96" t="s">
        <v>1293</v>
      </c>
      <c r="F195" s="96" t="s">
        <v>1579</v>
      </c>
      <c r="G195" s="99">
        <v>4200</v>
      </c>
      <c r="H195" s="95" t="s">
        <v>618</v>
      </c>
      <c r="I195" s="95" t="s">
        <v>1224</v>
      </c>
      <c r="J195" s="95"/>
      <c r="K195" s="95"/>
      <c r="L195" s="96"/>
      <c r="M195" s="42" t="str">
        <f t="shared" si="8"/>
        <v>MERKEZ KASA</v>
      </c>
      <c r="N195" s="42" t="str">
        <f t="shared" si="9"/>
        <v>MERKEZ KASA</v>
      </c>
      <c r="O195" s="43">
        <f t="shared" si="10"/>
        <v>46235</v>
      </c>
      <c r="P195" s="42" t="str">
        <f t="shared" si="11"/>
        <v>UYGUN</v>
      </c>
      <c r="Q195" s="22" t="str">
        <f>IF(AND(L195&lt;&gt;"",D195="Gelir",I195="Hayır"),L195&amp;"|"&amp;TEXT(COUNTIFS($L$7:L195,L195,$D$7:D195,"Gelir",$I$7:I195,"Hayır"),"000"),"")</f>
        <v/>
      </c>
      <c r="R195" s="22" t="b">
        <f>OR(COUNTIF(LST_MUSTERI_ADI,L195)&gt;0,L195=SISTEM!$C$9,L195=SISTEM!$C$10)</f>
        <v>0</v>
      </c>
    </row>
    <row r="196" spans="1:18" ht="34">
      <c r="A196" s="6"/>
      <c r="B196" s="95" t="s">
        <v>1580</v>
      </c>
      <c r="C196" s="97">
        <v>46235</v>
      </c>
      <c r="D196" s="95" t="s">
        <v>1263</v>
      </c>
      <c r="E196" s="96" t="s">
        <v>1293</v>
      </c>
      <c r="F196" s="96" t="s">
        <v>1581</v>
      </c>
      <c r="G196" s="99">
        <v>4200</v>
      </c>
      <c r="H196" s="95" t="s">
        <v>618</v>
      </c>
      <c r="I196" s="95" t="s">
        <v>1224</v>
      </c>
      <c r="J196" s="95"/>
      <c r="K196" s="95"/>
      <c r="L196" s="96"/>
      <c r="M196" s="42" t="str">
        <f t="shared" si="8"/>
        <v>MERKEZ KASA</v>
      </c>
      <c r="N196" s="42" t="str">
        <f t="shared" si="9"/>
        <v>MERKEZ KASA</v>
      </c>
      <c r="O196" s="43">
        <f t="shared" si="10"/>
        <v>46235</v>
      </c>
      <c r="P196" s="42" t="str">
        <f t="shared" si="11"/>
        <v>UYGUN</v>
      </c>
      <c r="Q196" s="22" t="str">
        <f>IF(AND(L196&lt;&gt;"",D196="Gelir",I196="Hayır"),L196&amp;"|"&amp;TEXT(COUNTIFS($L$7:L196,L196,$D$7:D196,"Gelir",$I$7:I196,"Hayır"),"000"),"")</f>
        <v/>
      </c>
      <c r="R196" s="22" t="b">
        <f>OR(COUNTIF(LST_MUSTERI_ADI,L196)&gt;0,L196=SISTEM!$C$9,L196=SISTEM!$C$10)</f>
        <v>0</v>
      </c>
    </row>
    <row r="197" spans="1:18" ht="17">
      <c r="A197" s="6"/>
      <c r="B197" s="95" t="s">
        <v>1582</v>
      </c>
      <c r="C197" s="97">
        <v>46235</v>
      </c>
      <c r="D197" s="95" t="s">
        <v>1263</v>
      </c>
      <c r="E197" s="96" t="s">
        <v>1293</v>
      </c>
      <c r="F197" s="96" t="s">
        <v>1583</v>
      </c>
      <c r="G197" s="99">
        <v>4200</v>
      </c>
      <c r="H197" s="95" t="s">
        <v>618</v>
      </c>
      <c r="I197" s="95" t="s">
        <v>1224</v>
      </c>
      <c r="J197" s="95"/>
      <c r="K197" s="95"/>
      <c r="L197" s="96"/>
      <c r="M197" s="42" t="str">
        <f t="shared" si="8"/>
        <v>MERKEZ KASA</v>
      </c>
      <c r="N197" s="42" t="str">
        <f t="shared" si="9"/>
        <v>MERKEZ KASA</v>
      </c>
      <c r="O197" s="43">
        <f t="shared" si="10"/>
        <v>46235</v>
      </c>
      <c r="P197" s="42" t="str">
        <f t="shared" si="11"/>
        <v>UYGUN</v>
      </c>
      <c r="Q197" s="22" t="str">
        <f>IF(AND(L197&lt;&gt;"",D197="Gelir",I197="Hayır"),L197&amp;"|"&amp;TEXT(COUNTIFS($L$7:L197,L197,$D$7:D197,"Gelir",$I$7:I197,"Hayır"),"000"),"")</f>
        <v/>
      </c>
      <c r="R197" s="22" t="b">
        <f>OR(COUNTIF(LST_MUSTERI_ADI,L197)&gt;0,L197=SISTEM!$C$9,L197=SISTEM!$C$10)</f>
        <v>0</v>
      </c>
    </row>
    <row r="198" spans="1:18" ht="17">
      <c r="A198" s="6"/>
      <c r="B198" s="95" t="s">
        <v>1584</v>
      </c>
      <c r="C198" s="97">
        <v>46235</v>
      </c>
      <c r="D198" s="95" t="s">
        <v>1263</v>
      </c>
      <c r="E198" s="96" t="s">
        <v>1293</v>
      </c>
      <c r="F198" s="96" t="s">
        <v>1585</v>
      </c>
      <c r="G198" s="99">
        <v>4200</v>
      </c>
      <c r="H198" s="95" t="s">
        <v>618</v>
      </c>
      <c r="I198" s="95" t="s">
        <v>1224</v>
      </c>
      <c r="J198" s="95"/>
      <c r="K198" s="95"/>
      <c r="L198" s="96"/>
      <c r="M198" s="42" t="str">
        <f t="shared" si="8"/>
        <v>MERKEZ KASA</v>
      </c>
      <c r="N198" s="42" t="str">
        <f t="shared" si="9"/>
        <v>MERKEZ KASA</v>
      </c>
      <c r="O198" s="43">
        <f t="shared" si="10"/>
        <v>46235</v>
      </c>
      <c r="P198" s="42" t="str">
        <f t="shared" si="11"/>
        <v>UYGUN</v>
      </c>
      <c r="Q198" s="22" t="str">
        <f>IF(AND(L198&lt;&gt;"",D198="Gelir",I198="Hayır"),L198&amp;"|"&amp;TEXT(COUNTIFS($L$7:L198,L198,$D$7:D198,"Gelir",$I$7:I198,"Hayır"),"000"),"")</f>
        <v/>
      </c>
      <c r="R198" s="22" t="b">
        <f>OR(COUNTIF(LST_MUSTERI_ADI,L198)&gt;0,L198=SISTEM!$C$9,L198=SISTEM!$C$10)</f>
        <v>0</v>
      </c>
    </row>
    <row r="199" spans="1:18" ht="17">
      <c r="A199" s="6"/>
      <c r="B199" s="95" t="s">
        <v>1586</v>
      </c>
      <c r="C199" s="97">
        <v>46235</v>
      </c>
      <c r="D199" s="95" t="s">
        <v>1263</v>
      </c>
      <c r="E199" s="96" t="s">
        <v>1293</v>
      </c>
      <c r="F199" s="96" t="s">
        <v>1587</v>
      </c>
      <c r="G199" s="99">
        <v>4200</v>
      </c>
      <c r="H199" s="95" t="s">
        <v>618</v>
      </c>
      <c r="I199" s="95" t="s">
        <v>1224</v>
      </c>
      <c r="J199" s="95"/>
      <c r="K199" s="95"/>
      <c r="L199" s="96"/>
      <c r="M199" s="42" t="str">
        <f t="shared" ref="M199:M262" si="12">IF(C199="","",IF(D199="Gider",IF(H199&lt;&gt;"",H199,"CARİ MAHSUP"),IF(L199&lt;&gt;"",L199,H199)))</f>
        <v>MERKEZ KASA</v>
      </c>
      <c r="N199" s="42" t="str">
        <f t="shared" ref="N199:N262" si="13">IF(C199="","",IF(D199="Gider",E199,IF(H199&lt;&gt;"",H199,E199)))</f>
        <v>MERKEZ KASA</v>
      </c>
      <c r="O199" s="43">
        <f t="shared" ref="O199:O262" si="14">IF(C199="","",DATE(YEAR(C199),MONTH(C199),1))</f>
        <v>46235</v>
      </c>
      <c r="P199" s="42" t="str">
        <f t="shared" ref="P199:P262" si="15">IF(C199="","",IF(OR(D199="",E199="",G199=""),"EKSİK",IF(AND(D199="Gelir",I199="Hayır",L199&lt;&gt;""),IF(R199,"TAHAKKUK","TANIMSIZ BORÇLU"),IF(AND(D199="Gelir",I199="Evet",L199&lt;&gt;""),"TAHAKKUK NAKİT OLAMAZ",IF(AND(D199="Gelir",I199="Hayır",H199&lt;&gt;""),"NAKİTSİZDE KASA OLMAZ","UYGUN")))))</f>
        <v>UYGUN</v>
      </c>
      <c r="Q199" s="22" t="str">
        <f>IF(AND(L199&lt;&gt;"",D199="Gelir",I199="Hayır"),L199&amp;"|"&amp;TEXT(COUNTIFS($L$7:L199,L199,$D$7:D199,"Gelir",$I$7:I199,"Hayır"),"000"),"")</f>
        <v/>
      </c>
      <c r="R199" s="22" t="b">
        <f>OR(COUNTIF(LST_MUSTERI_ADI,L199)&gt;0,L199=SISTEM!$C$9,L199=SISTEM!$C$10)</f>
        <v>0</v>
      </c>
    </row>
    <row r="200" spans="1:18" ht="17">
      <c r="A200" s="6"/>
      <c r="B200" s="95" t="s">
        <v>1588</v>
      </c>
      <c r="C200" s="97">
        <v>46235</v>
      </c>
      <c r="D200" s="95" t="s">
        <v>1263</v>
      </c>
      <c r="E200" s="96" t="s">
        <v>1264</v>
      </c>
      <c r="F200" s="96" t="s">
        <v>1589</v>
      </c>
      <c r="G200" s="99">
        <v>7000</v>
      </c>
      <c r="H200" s="95" t="s">
        <v>618</v>
      </c>
      <c r="I200" s="95" t="s">
        <v>1224</v>
      </c>
      <c r="J200" s="95"/>
      <c r="K200" s="95"/>
      <c r="L200" s="96"/>
      <c r="M200" s="42" t="str">
        <f t="shared" si="12"/>
        <v>MERKEZ KASA</v>
      </c>
      <c r="N200" s="42" t="str">
        <f t="shared" si="13"/>
        <v>MERKEZ KASA</v>
      </c>
      <c r="O200" s="43">
        <f t="shared" si="14"/>
        <v>46235</v>
      </c>
      <c r="P200" s="42" t="str">
        <f t="shared" si="15"/>
        <v>UYGUN</v>
      </c>
      <c r="Q200" s="22" t="str">
        <f>IF(AND(L200&lt;&gt;"",D200="Gelir",I200="Hayır"),L200&amp;"|"&amp;TEXT(COUNTIFS($L$7:L200,L200,$D$7:D200,"Gelir",$I$7:I200,"Hayır"),"000"),"")</f>
        <v/>
      </c>
      <c r="R200" s="22" t="b">
        <f>OR(COUNTIF(LST_MUSTERI_ADI,L200)&gt;0,L200=SISTEM!$C$9,L200=SISTEM!$C$10)</f>
        <v>0</v>
      </c>
    </row>
    <row r="201" spans="1:18" ht="17">
      <c r="A201" s="6"/>
      <c r="B201" s="95" t="s">
        <v>1590</v>
      </c>
      <c r="C201" s="97">
        <v>46235</v>
      </c>
      <c r="D201" s="95" t="s">
        <v>1263</v>
      </c>
      <c r="E201" s="96" t="s">
        <v>1264</v>
      </c>
      <c r="F201" s="96" t="s">
        <v>1591</v>
      </c>
      <c r="G201" s="99">
        <v>14000</v>
      </c>
      <c r="H201" s="95" t="s">
        <v>628</v>
      </c>
      <c r="I201" s="95" t="s">
        <v>1224</v>
      </c>
      <c r="J201" s="95"/>
      <c r="K201" s="95"/>
      <c r="L201" s="96"/>
      <c r="M201" s="42" t="str">
        <f t="shared" si="12"/>
        <v>ÖMER KARTAL</v>
      </c>
      <c r="N201" s="42" t="str">
        <f t="shared" si="13"/>
        <v>ÖMER KARTAL</v>
      </c>
      <c r="O201" s="43">
        <f t="shared" si="14"/>
        <v>46235</v>
      </c>
      <c r="P201" s="42" t="str">
        <f t="shared" si="15"/>
        <v>UYGUN</v>
      </c>
      <c r="Q201" s="22" t="str">
        <f>IF(AND(L201&lt;&gt;"",D201="Gelir",I201="Hayır"),L201&amp;"|"&amp;TEXT(COUNTIFS($L$7:L201,L201,$D$7:D201,"Gelir",$I$7:I201,"Hayır"),"000"),"")</f>
        <v/>
      </c>
      <c r="R201" s="22" t="b">
        <f>OR(COUNTIF(LST_MUSTERI_ADI,L201)&gt;0,L201=SISTEM!$C$9,L201=SISTEM!$C$10)</f>
        <v>0</v>
      </c>
    </row>
    <row r="202" spans="1:18" ht="17">
      <c r="A202" s="6"/>
      <c r="B202" s="95" t="s">
        <v>1592</v>
      </c>
      <c r="C202" s="97">
        <v>46235</v>
      </c>
      <c r="D202" s="95" t="s">
        <v>434</v>
      </c>
      <c r="E202" s="96" t="s">
        <v>1260</v>
      </c>
      <c r="F202" s="96" t="s">
        <v>1396</v>
      </c>
      <c r="G202" s="99">
        <v>2500</v>
      </c>
      <c r="H202" s="95"/>
      <c r="I202" s="95" t="s">
        <v>1221</v>
      </c>
      <c r="J202" s="95"/>
      <c r="K202" s="95"/>
      <c r="L202" s="96"/>
      <c r="M202" s="42" t="str">
        <f t="shared" si="12"/>
        <v>CARİ MAHSUP</v>
      </c>
      <c r="N202" s="42" t="str">
        <f t="shared" si="13"/>
        <v>Mehmet Ali Kartal</v>
      </c>
      <c r="O202" s="43">
        <f t="shared" si="14"/>
        <v>46235</v>
      </c>
      <c r="P202" s="42" t="str">
        <f t="shared" si="15"/>
        <v>UYGUN</v>
      </c>
      <c r="Q202" s="22" t="str">
        <f>IF(AND(L202&lt;&gt;"",D202="Gelir",I202="Hayır"),L202&amp;"|"&amp;TEXT(COUNTIFS($L$7:L202,L202,$D$7:D202,"Gelir",$I$7:I202,"Hayır"),"000"),"")</f>
        <v/>
      </c>
      <c r="R202" s="22" t="b">
        <f>OR(COUNTIF(LST_MUSTERI_ADI,L202)&gt;0,L202=SISTEM!$C$9,L202=SISTEM!$C$10)</f>
        <v>0</v>
      </c>
    </row>
    <row r="203" spans="1:18" ht="17">
      <c r="A203" s="6"/>
      <c r="B203" s="95" t="s">
        <v>1593</v>
      </c>
      <c r="C203" s="97">
        <v>46243</v>
      </c>
      <c r="D203" s="95" t="s">
        <v>434</v>
      </c>
      <c r="E203" s="96" t="s">
        <v>1279</v>
      </c>
      <c r="F203" s="96" t="s">
        <v>1594</v>
      </c>
      <c r="G203" s="99">
        <v>6000</v>
      </c>
      <c r="H203" s="95" t="s">
        <v>618</v>
      </c>
      <c r="I203" s="95" t="s">
        <v>1224</v>
      </c>
      <c r="J203" s="95"/>
      <c r="K203" s="95"/>
      <c r="L203" s="96"/>
      <c r="M203" s="42" t="str">
        <f t="shared" si="12"/>
        <v>MERKEZ KASA</v>
      </c>
      <c r="N203" s="42" t="str">
        <f t="shared" si="13"/>
        <v>Ofis Kirası</v>
      </c>
      <c r="O203" s="43">
        <f t="shared" si="14"/>
        <v>46235</v>
      </c>
      <c r="P203" s="42" t="str">
        <f t="shared" si="15"/>
        <v>UYGUN</v>
      </c>
      <c r="Q203" s="22" t="str">
        <f>IF(AND(L203&lt;&gt;"",D203="Gelir",I203="Hayır"),L203&amp;"|"&amp;TEXT(COUNTIFS($L$7:L203,L203,$D$7:D203,"Gelir",$I$7:I203,"Hayır"),"000"),"")</f>
        <v/>
      </c>
      <c r="R203" s="22" t="b">
        <f>OR(COUNTIF(LST_MUSTERI_ADI,L203)&gt;0,L203=SISTEM!$C$9,L203=SISTEM!$C$10)</f>
        <v>0</v>
      </c>
    </row>
    <row r="204" spans="1:18" ht="17">
      <c r="A204" s="6"/>
      <c r="B204" s="95" t="s">
        <v>1595</v>
      </c>
      <c r="C204" s="97">
        <v>46245</v>
      </c>
      <c r="D204" s="95" t="s">
        <v>434</v>
      </c>
      <c r="E204" s="96" t="s">
        <v>1237</v>
      </c>
      <c r="F204" s="96" t="s">
        <v>1596</v>
      </c>
      <c r="G204" s="99">
        <v>800</v>
      </c>
      <c r="H204" s="95" t="s">
        <v>618</v>
      </c>
      <c r="I204" s="95" t="s">
        <v>1224</v>
      </c>
      <c r="J204" s="95"/>
      <c r="K204" s="95"/>
      <c r="L204" s="96"/>
      <c r="M204" s="42" t="str">
        <f t="shared" si="12"/>
        <v>MERKEZ KASA</v>
      </c>
      <c r="N204" s="42" t="str">
        <f t="shared" si="13"/>
        <v>Telefon / İnternet</v>
      </c>
      <c r="O204" s="43">
        <f t="shared" si="14"/>
        <v>46235</v>
      </c>
      <c r="P204" s="42" t="str">
        <f t="shared" si="15"/>
        <v>UYGUN</v>
      </c>
      <c r="Q204" s="22" t="str">
        <f>IF(AND(L204&lt;&gt;"",D204="Gelir",I204="Hayır"),L204&amp;"|"&amp;TEXT(COUNTIFS($L$7:L204,L204,$D$7:D204,"Gelir",$I$7:I204,"Hayır"),"000"),"")</f>
        <v/>
      </c>
      <c r="R204" s="22" t="b">
        <f>OR(COUNTIF(LST_MUSTERI_ADI,L204)&gt;0,L204=SISTEM!$C$9,L204=SISTEM!$C$10)</f>
        <v>0</v>
      </c>
    </row>
    <row r="205" spans="1:18" ht="17">
      <c r="A205" s="6"/>
      <c r="B205" s="95" t="s">
        <v>1597</v>
      </c>
      <c r="C205" s="97">
        <v>46245</v>
      </c>
      <c r="D205" s="95" t="s">
        <v>434</v>
      </c>
      <c r="E205" s="96" t="s">
        <v>1219</v>
      </c>
      <c r="F205" s="96" t="s">
        <v>1598</v>
      </c>
      <c r="G205" s="99">
        <v>23000</v>
      </c>
      <c r="H205" s="95" t="s">
        <v>618</v>
      </c>
      <c r="I205" s="95" t="s">
        <v>1224</v>
      </c>
      <c r="J205" s="95"/>
      <c r="K205" s="95"/>
      <c r="L205" s="96"/>
      <c r="M205" s="42" t="str">
        <f t="shared" si="12"/>
        <v>MERKEZ KASA</v>
      </c>
      <c r="N205" s="42" t="str">
        <f t="shared" si="13"/>
        <v>Diğer Gider</v>
      </c>
      <c r="O205" s="43">
        <f t="shared" si="14"/>
        <v>46235</v>
      </c>
      <c r="P205" s="42" t="str">
        <f t="shared" si="15"/>
        <v>UYGUN</v>
      </c>
      <c r="Q205" s="22" t="str">
        <f>IF(AND(L205&lt;&gt;"",D205="Gelir",I205="Hayır"),L205&amp;"|"&amp;TEXT(COUNTIFS($L$7:L205,L205,$D$7:D205,"Gelir",$I$7:I205,"Hayır"),"000"),"")</f>
        <v/>
      </c>
      <c r="R205" s="22" t="b">
        <f>OR(COUNTIF(LST_MUSTERI_ADI,L205)&gt;0,L205=SISTEM!$C$9,L205=SISTEM!$C$10)</f>
        <v>0</v>
      </c>
    </row>
    <row r="206" spans="1:18" ht="17">
      <c r="A206" s="6"/>
      <c r="B206" s="95" t="s">
        <v>1599</v>
      </c>
      <c r="C206" s="97">
        <v>46249</v>
      </c>
      <c r="D206" s="95" t="s">
        <v>434</v>
      </c>
      <c r="E206" s="96" t="s">
        <v>1252</v>
      </c>
      <c r="F206" s="96" t="s">
        <v>1547</v>
      </c>
      <c r="G206" s="99">
        <v>2000</v>
      </c>
      <c r="H206" s="95" t="s">
        <v>618</v>
      </c>
      <c r="I206" s="95" t="s">
        <v>1224</v>
      </c>
      <c r="J206" s="95"/>
      <c r="K206" s="95"/>
      <c r="L206" s="96"/>
      <c r="M206" s="42" t="str">
        <f t="shared" si="12"/>
        <v>MERKEZ KASA</v>
      </c>
      <c r="N206" s="42" t="str">
        <f t="shared" si="13"/>
        <v>Ulaşım</v>
      </c>
      <c r="O206" s="43">
        <f t="shared" si="14"/>
        <v>46235</v>
      </c>
      <c r="P206" s="42" t="str">
        <f t="shared" si="15"/>
        <v>UYGUN</v>
      </c>
      <c r="Q206" s="22" t="str">
        <f>IF(AND(L206&lt;&gt;"",D206="Gelir",I206="Hayır"),L206&amp;"|"&amp;TEXT(COUNTIFS($L$7:L206,L206,$D$7:D206,"Gelir",$I$7:I206,"Hayır"),"000"),"")</f>
        <v/>
      </c>
      <c r="R206" s="22" t="b">
        <f>OR(COUNTIF(LST_MUSTERI_ADI,L206)&gt;0,L206=SISTEM!$C$9,L206=SISTEM!$C$10)</f>
        <v>0</v>
      </c>
    </row>
    <row r="207" spans="1:18" ht="17">
      <c r="A207" s="6"/>
      <c r="B207" s="95" t="s">
        <v>1600</v>
      </c>
      <c r="C207" s="97">
        <v>46258</v>
      </c>
      <c r="D207" s="95" t="s">
        <v>434</v>
      </c>
      <c r="E207" s="96" t="s">
        <v>1260</v>
      </c>
      <c r="F207" s="96" t="s">
        <v>1601</v>
      </c>
      <c r="G207" s="99">
        <v>30000</v>
      </c>
      <c r="H207" s="95" t="s">
        <v>618</v>
      </c>
      <c r="I207" s="95" t="s">
        <v>1224</v>
      </c>
      <c r="J207" s="95"/>
      <c r="K207" s="95"/>
      <c r="L207" s="96"/>
      <c r="M207" s="42" t="str">
        <f t="shared" si="12"/>
        <v>MERKEZ KASA</v>
      </c>
      <c r="N207" s="42" t="str">
        <f t="shared" si="13"/>
        <v>Mehmet Ali Kartal</v>
      </c>
      <c r="O207" s="43">
        <f t="shared" si="14"/>
        <v>46235</v>
      </c>
      <c r="P207" s="42" t="str">
        <f t="shared" si="15"/>
        <v>UYGUN</v>
      </c>
      <c r="Q207" s="22" t="str">
        <f>IF(AND(L207&lt;&gt;"",D207="Gelir",I207="Hayır"),L207&amp;"|"&amp;TEXT(COUNTIFS($L$7:L207,L207,$D$7:D207,"Gelir",$I$7:I207,"Hayır"),"000"),"")</f>
        <v/>
      </c>
      <c r="R207" s="22" t="b">
        <f>OR(COUNTIF(LST_MUSTERI_ADI,L207)&gt;0,L207=SISTEM!$C$9,L207=SISTEM!$C$10)</f>
        <v>0</v>
      </c>
    </row>
    <row r="208" spans="1:18" ht="17">
      <c r="A208" s="6"/>
      <c r="B208" s="95" t="s">
        <v>1602</v>
      </c>
      <c r="C208" s="97">
        <v>46259</v>
      </c>
      <c r="D208" s="95" t="s">
        <v>434</v>
      </c>
      <c r="E208" s="96" t="s">
        <v>1267</v>
      </c>
      <c r="F208" s="96" t="s">
        <v>1550</v>
      </c>
      <c r="G208" s="99">
        <v>10000</v>
      </c>
      <c r="H208" s="95" t="s">
        <v>618</v>
      </c>
      <c r="I208" s="95" t="s">
        <v>1224</v>
      </c>
      <c r="J208" s="95"/>
      <c r="K208" s="95"/>
      <c r="L208" s="96"/>
      <c r="M208" s="42" t="str">
        <f t="shared" si="12"/>
        <v>MERKEZ KASA</v>
      </c>
      <c r="N208" s="42" t="str">
        <f t="shared" si="13"/>
        <v>Personel</v>
      </c>
      <c r="O208" s="43">
        <f t="shared" si="14"/>
        <v>46235</v>
      </c>
      <c r="P208" s="42" t="str">
        <f t="shared" si="15"/>
        <v>UYGUN</v>
      </c>
      <c r="Q208" s="22" t="str">
        <f>IF(AND(L208&lt;&gt;"",D208="Gelir",I208="Hayır"),L208&amp;"|"&amp;TEXT(COUNTIFS($L$7:L208,L208,$D$7:D208,"Gelir",$I$7:I208,"Hayır"),"000"),"")</f>
        <v/>
      </c>
      <c r="R208" s="22" t="b">
        <f>OR(COUNTIF(LST_MUSTERI_ADI,L208)&gt;0,L208=SISTEM!$C$9,L208=SISTEM!$C$10)</f>
        <v>0</v>
      </c>
    </row>
    <row r="209" spans="1:18" ht="17">
      <c r="A209" s="6"/>
      <c r="B209" s="95" t="s">
        <v>1603</v>
      </c>
      <c r="C209" s="97">
        <v>46260</v>
      </c>
      <c r="D209" s="95" t="s">
        <v>434</v>
      </c>
      <c r="E209" s="96" t="s">
        <v>1260</v>
      </c>
      <c r="F209" s="96" t="s">
        <v>1604</v>
      </c>
      <c r="G209" s="99">
        <v>17500</v>
      </c>
      <c r="H209" s="95" t="s">
        <v>618</v>
      </c>
      <c r="I209" s="95" t="s">
        <v>1224</v>
      </c>
      <c r="J209" s="95"/>
      <c r="K209" s="95"/>
      <c r="L209" s="96"/>
      <c r="M209" s="42" t="str">
        <f t="shared" si="12"/>
        <v>MERKEZ KASA</v>
      </c>
      <c r="N209" s="42" t="str">
        <f t="shared" si="13"/>
        <v>Mehmet Ali Kartal</v>
      </c>
      <c r="O209" s="43">
        <f t="shared" si="14"/>
        <v>46235</v>
      </c>
      <c r="P209" s="42" t="str">
        <f t="shared" si="15"/>
        <v>UYGUN</v>
      </c>
      <c r="Q209" s="22" t="str">
        <f>IF(AND(L209&lt;&gt;"",D209="Gelir",I209="Hayır"),L209&amp;"|"&amp;TEXT(COUNTIFS($L$7:L209,L209,$D$7:D209,"Gelir",$I$7:I209,"Hayır"),"000"),"")</f>
        <v/>
      </c>
      <c r="R209" s="22" t="b">
        <f>OR(COUNTIF(LST_MUSTERI_ADI,L209)&gt;0,L209=SISTEM!$C$9,L209=SISTEM!$C$10)</f>
        <v>0</v>
      </c>
    </row>
    <row r="210" spans="1:18" ht="34">
      <c r="A210" s="6"/>
      <c r="B210" s="95" t="s">
        <v>1605</v>
      </c>
      <c r="C210" s="97">
        <v>46053</v>
      </c>
      <c r="D210" s="95" t="s">
        <v>1263</v>
      </c>
      <c r="E210" s="96" t="s">
        <v>1606</v>
      </c>
      <c r="F210" s="96" t="s">
        <v>1607</v>
      </c>
      <c r="G210" s="99">
        <v>12000</v>
      </c>
      <c r="H210" s="95"/>
      <c r="I210" s="95" t="s">
        <v>1221</v>
      </c>
      <c r="J210" s="95" t="s">
        <v>1608</v>
      </c>
      <c r="K210" s="95"/>
      <c r="L210" s="96" t="s">
        <v>628</v>
      </c>
      <c r="M210" s="42" t="str">
        <f t="shared" si="12"/>
        <v>ÖMER KARTAL</v>
      </c>
      <c r="N210" s="42" t="str">
        <f t="shared" si="13"/>
        <v>Beyanname / Bildirim Ücreti</v>
      </c>
      <c r="O210" s="43">
        <f t="shared" si="14"/>
        <v>46023</v>
      </c>
      <c r="P210" s="42" t="str">
        <f t="shared" si="15"/>
        <v>TAHAKKUK</v>
      </c>
      <c r="Q210" s="22" t="str">
        <f>IF(AND(L210&lt;&gt;"",D210="Gelir",I210="Hayır"),L210&amp;"|"&amp;TEXT(COUNTIFS($L$7:L210,L210,$D$7:D210,"Gelir",$I$7:I210,"Hayır"),"000"),"")</f>
        <v>ÖMER KARTAL|001</v>
      </c>
      <c r="R210" s="22" t="b">
        <f>OR(COUNTIF(LST_MUSTERI_ADI,L210)&gt;0,L210=SISTEM!$C$9,L210=SISTEM!$C$10)</f>
        <v>1</v>
      </c>
    </row>
    <row r="211" spans="1:18" ht="34">
      <c r="A211" s="6"/>
      <c r="B211" s="95" t="s">
        <v>1609</v>
      </c>
      <c r="C211" s="97">
        <v>46053</v>
      </c>
      <c r="D211" s="95" t="s">
        <v>1263</v>
      </c>
      <c r="E211" s="96" t="s">
        <v>1610</v>
      </c>
      <c r="F211" s="96" t="s">
        <v>1611</v>
      </c>
      <c r="G211" s="99">
        <v>3000</v>
      </c>
      <c r="H211" s="95"/>
      <c r="I211" s="95" t="s">
        <v>1221</v>
      </c>
      <c r="J211" s="95" t="s">
        <v>1612</v>
      </c>
      <c r="K211" s="95"/>
      <c r="L211" s="96" t="s">
        <v>628</v>
      </c>
      <c r="M211" s="42" t="str">
        <f t="shared" si="12"/>
        <v>ÖMER KARTAL</v>
      </c>
      <c r="N211" s="42" t="str">
        <f t="shared" si="13"/>
        <v>Muhasebe Hizmet Geliri (sözleşme dışı)</v>
      </c>
      <c r="O211" s="43">
        <f t="shared" si="14"/>
        <v>46023</v>
      </c>
      <c r="P211" s="42" t="str">
        <f t="shared" si="15"/>
        <v>TAHAKKUK</v>
      </c>
      <c r="Q211" s="22" t="str">
        <f>IF(AND(L211&lt;&gt;"",D211="Gelir",I211="Hayır"),L211&amp;"|"&amp;TEXT(COUNTIFS($L$7:L211,L211,$D$7:D211,"Gelir",$I$7:I211,"Hayır"),"000"),"")</f>
        <v>ÖMER KARTAL|002</v>
      </c>
      <c r="R211" s="22" t="b">
        <f>OR(COUNTIF(LST_MUSTERI_ADI,L211)&gt;0,L211=SISTEM!$C$9,L211=SISTEM!$C$10)</f>
        <v>1</v>
      </c>
    </row>
    <row r="212" spans="1:18" ht="34">
      <c r="A212" s="6"/>
      <c r="B212" s="95" t="s">
        <v>1613</v>
      </c>
      <c r="C212" s="97">
        <v>46053</v>
      </c>
      <c r="D212" s="95" t="s">
        <v>1263</v>
      </c>
      <c r="E212" s="96" t="s">
        <v>1610</v>
      </c>
      <c r="F212" s="96" t="s">
        <v>1614</v>
      </c>
      <c r="G212" s="99">
        <v>2000</v>
      </c>
      <c r="H212" s="95"/>
      <c r="I212" s="95" t="s">
        <v>1221</v>
      </c>
      <c r="J212" s="95" t="s">
        <v>1615</v>
      </c>
      <c r="K212" s="95"/>
      <c r="L212" s="96" t="s">
        <v>628</v>
      </c>
      <c r="M212" s="42" t="str">
        <f t="shared" si="12"/>
        <v>ÖMER KARTAL</v>
      </c>
      <c r="N212" s="42" t="str">
        <f t="shared" si="13"/>
        <v>Muhasebe Hizmet Geliri (sözleşme dışı)</v>
      </c>
      <c r="O212" s="43">
        <f t="shared" si="14"/>
        <v>46023</v>
      </c>
      <c r="P212" s="42" t="str">
        <f t="shared" si="15"/>
        <v>TAHAKKUK</v>
      </c>
      <c r="Q212" s="22" t="str">
        <f>IF(AND(L212&lt;&gt;"",D212="Gelir",I212="Hayır"),L212&amp;"|"&amp;TEXT(COUNTIFS($L$7:L212,L212,$D$7:D212,"Gelir",$I$7:I212,"Hayır"),"000"),"")</f>
        <v>ÖMER KARTAL|003</v>
      </c>
      <c r="R212" s="22" t="b">
        <f>OR(COUNTIF(LST_MUSTERI_ADI,L212)&gt;0,L212=SISTEM!$C$9,L212=SISTEM!$C$10)</f>
        <v>1</v>
      </c>
    </row>
    <row r="213" spans="1:18" ht="34">
      <c r="A213" s="6"/>
      <c r="B213" s="95" t="s">
        <v>1616</v>
      </c>
      <c r="C213" s="97">
        <v>46081</v>
      </c>
      <c r="D213" s="95" t="s">
        <v>1263</v>
      </c>
      <c r="E213" s="96" t="s">
        <v>1606</v>
      </c>
      <c r="F213" s="96" t="s">
        <v>1607</v>
      </c>
      <c r="G213" s="99">
        <v>12000</v>
      </c>
      <c r="H213" s="95"/>
      <c r="I213" s="95" t="s">
        <v>1221</v>
      </c>
      <c r="J213" s="95" t="s">
        <v>1617</v>
      </c>
      <c r="K213" s="95"/>
      <c r="L213" s="96" t="s">
        <v>628</v>
      </c>
      <c r="M213" s="42" t="str">
        <f t="shared" si="12"/>
        <v>ÖMER KARTAL</v>
      </c>
      <c r="N213" s="42" t="str">
        <f t="shared" si="13"/>
        <v>Beyanname / Bildirim Ücreti</v>
      </c>
      <c r="O213" s="43">
        <f t="shared" si="14"/>
        <v>46054</v>
      </c>
      <c r="P213" s="42" t="str">
        <f t="shared" si="15"/>
        <v>TAHAKKUK</v>
      </c>
      <c r="Q213" s="22" t="str">
        <f>IF(AND(L213&lt;&gt;"",D213="Gelir",I213="Hayır"),L213&amp;"|"&amp;TEXT(COUNTIFS($L$7:L213,L213,$D$7:D213,"Gelir",$I$7:I213,"Hayır"),"000"),"")</f>
        <v>ÖMER KARTAL|004</v>
      </c>
      <c r="R213" s="22" t="b">
        <f>OR(COUNTIF(LST_MUSTERI_ADI,L213)&gt;0,L213=SISTEM!$C$9,L213=SISTEM!$C$10)</f>
        <v>1</v>
      </c>
    </row>
    <row r="214" spans="1:18" ht="34">
      <c r="A214" s="6"/>
      <c r="B214" s="95" t="s">
        <v>1618</v>
      </c>
      <c r="C214" s="97">
        <v>46081</v>
      </c>
      <c r="D214" s="95" t="s">
        <v>1263</v>
      </c>
      <c r="E214" s="96" t="s">
        <v>1610</v>
      </c>
      <c r="F214" s="96" t="s">
        <v>1611</v>
      </c>
      <c r="G214" s="99">
        <v>3000</v>
      </c>
      <c r="H214" s="95"/>
      <c r="I214" s="95" t="s">
        <v>1221</v>
      </c>
      <c r="J214" s="95" t="s">
        <v>1619</v>
      </c>
      <c r="K214" s="95"/>
      <c r="L214" s="96" t="s">
        <v>628</v>
      </c>
      <c r="M214" s="42" t="str">
        <f t="shared" si="12"/>
        <v>ÖMER KARTAL</v>
      </c>
      <c r="N214" s="42" t="str">
        <f t="shared" si="13"/>
        <v>Muhasebe Hizmet Geliri (sözleşme dışı)</v>
      </c>
      <c r="O214" s="43">
        <f t="shared" si="14"/>
        <v>46054</v>
      </c>
      <c r="P214" s="42" t="str">
        <f t="shared" si="15"/>
        <v>TAHAKKUK</v>
      </c>
      <c r="Q214" s="22" t="str">
        <f>IF(AND(L214&lt;&gt;"",D214="Gelir",I214="Hayır"),L214&amp;"|"&amp;TEXT(COUNTIFS($L$7:L214,L214,$D$7:D214,"Gelir",$I$7:I214,"Hayır"),"000"),"")</f>
        <v>ÖMER KARTAL|005</v>
      </c>
      <c r="R214" s="22" t="b">
        <f>OR(COUNTIF(LST_MUSTERI_ADI,L214)&gt;0,L214=SISTEM!$C$9,L214=SISTEM!$C$10)</f>
        <v>1</v>
      </c>
    </row>
    <row r="215" spans="1:18" ht="34">
      <c r="A215" s="6"/>
      <c r="B215" s="95" t="s">
        <v>1620</v>
      </c>
      <c r="C215" s="97">
        <v>46081</v>
      </c>
      <c r="D215" s="95" t="s">
        <v>1263</v>
      </c>
      <c r="E215" s="96" t="s">
        <v>1610</v>
      </c>
      <c r="F215" s="96" t="s">
        <v>1614</v>
      </c>
      <c r="G215" s="99">
        <v>2000</v>
      </c>
      <c r="H215" s="95"/>
      <c r="I215" s="95" t="s">
        <v>1221</v>
      </c>
      <c r="J215" s="95" t="s">
        <v>1621</v>
      </c>
      <c r="K215" s="95"/>
      <c r="L215" s="96" t="s">
        <v>628</v>
      </c>
      <c r="M215" s="42" t="str">
        <f t="shared" si="12"/>
        <v>ÖMER KARTAL</v>
      </c>
      <c r="N215" s="42" t="str">
        <f t="shared" si="13"/>
        <v>Muhasebe Hizmet Geliri (sözleşme dışı)</v>
      </c>
      <c r="O215" s="43">
        <f t="shared" si="14"/>
        <v>46054</v>
      </c>
      <c r="P215" s="42" t="str">
        <f t="shared" si="15"/>
        <v>TAHAKKUK</v>
      </c>
      <c r="Q215" s="22" t="str">
        <f>IF(AND(L215&lt;&gt;"",D215="Gelir",I215="Hayır"),L215&amp;"|"&amp;TEXT(COUNTIFS($L$7:L215,L215,$D$7:D215,"Gelir",$I$7:I215,"Hayır"),"000"),"")</f>
        <v>ÖMER KARTAL|006</v>
      </c>
      <c r="R215" s="22" t="b">
        <f>OR(COUNTIF(LST_MUSTERI_ADI,L215)&gt;0,L215=SISTEM!$C$9,L215=SISTEM!$C$10)</f>
        <v>1</v>
      </c>
    </row>
    <row r="216" spans="1:18" ht="34">
      <c r="A216" s="6"/>
      <c r="B216" s="95" t="s">
        <v>1622</v>
      </c>
      <c r="C216" s="97">
        <v>46112</v>
      </c>
      <c r="D216" s="95" t="s">
        <v>1263</v>
      </c>
      <c r="E216" s="96" t="s">
        <v>1606</v>
      </c>
      <c r="F216" s="96" t="s">
        <v>1607</v>
      </c>
      <c r="G216" s="99">
        <v>12000</v>
      </c>
      <c r="H216" s="95"/>
      <c r="I216" s="95" t="s">
        <v>1221</v>
      </c>
      <c r="J216" s="95" t="s">
        <v>1623</v>
      </c>
      <c r="K216" s="95"/>
      <c r="L216" s="96" t="s">
        <v>628</v>
      </c>
      <c r="M216" s="42" t="str">
        <f t="shared" si="12"/>
        <v>ÖMER KARTAL</v>
      </c>
      <c r="N216" s="42" t="str">
        <f t="shared" si="13"/>
        <v>Beyanname / Bildirim Ücreti</v>
      </c>
      <c r="O216" s="43">
        <f t="shared" si="14"/>
        <v>46082</v>
      </c>
      <c r="P216" s="42" t="str">
        <f t="shared" si="15"/>
        <v>TAHAKKUK</v>
      </c>
      <c r="Q216" s="22" t="str">
        <f>IF(AND(L216&lt;&gt;"",D216="Gelir",I216="Hayır"),L216&amp;"|"&amp;TEXT(COUNTIFS($L$7:L216,L216,$D$7:D216,"Gelir",$I$7:I216,"Hayır"),"000"),"")</f>
        <v>ÖMER KARTAL|007</v>
      </c>
      <c r="R216" s="22" t="b">
        <f>OR(COUNTIF(LST_MUSTERI_ADI,L216)&gt;0,L216=SISTEM!$C$9,L216=SISTEM!$C$10)</f>
        <v>1</v>
      </c>
    </row>
    <row r="217" spans="1:18" ht="34">
      <c r="A217" s="6"/>
      <c r="B217" s="95" t="s">
        <v>1624</v>
      </c>
      <c r="C217" s="97">
        <v>46112</v>
      </c>
      <c r="D217" s="95" t="s">
        <v>1263</v>
      </c>
      <c r="E217" s="96" t="s">
        <v>1610</v>
      </c>
      <c r="F217" s="96" t="s">
        <v>1614</v>
      </c>
      <c r="G217" s="99">
        <v>2000</v>
      </c>
      <c r="H217" s="95"/>
      <c r="I217" s="95" t="s">
        <v>1221</v>
      </c>
      <c r="J217" s="95" t="s">
        <v>1625</v>
      </c>
      <c r="K217" s="95"/>
      <c r="L217" s="96" t="s">
        <v>628</v>
      </c>
      <c r="M217" s="42" t="str">
        <f t="shared" si="12"/>
        <v>ÖMER KARTAL</v>
      </c>
      <c r="N217" s="42" t="str">
        <f t="shared" si="13"/>
        <v>Muhasebe Hizmet Geliri (sözleşme dışı)</v>
      </c>
      <c r="O217" s="43">
        <f t="shared" si="14"/>
        <v>46082</v>
      </c>
      <c r="P217" s="42" t="str">
        <f t="shared" si="15"/>
        <v>TAHAKKUK</v>
      </c>
      <c r="Q217" s="22" t="str">
        <f>IF(AND(L217&lt;&gt;"",D217="Gelir",I217="Hayır"),L217&amp;"|"&amp;TEXT(COUNTIFS($L$7:L217,L217,$D$7:D217,"Gelir",$I$7:I217,"Hayır"),"000"),"")</f>
        <v>ÖMER KARTAL|008</v>
      </c>
      <c r="R217" s="22" t="b">
        <f>OR(COUNTIF(LST_MUSTERI_ADI,L217)&gt;0,L217=SISTEM!$C$9,L217=SISTEM!$C$10)</f>
        <v>1</v>
      </c>
    </row>
    <row r="218" spans="1:18" ht="34">
      <c r="A218" s="6"/>
      <c r="B218" s="95" t="s">
        <v>1626</v>
      </c>
      <c r="C218" s="97">
        <v>46142</v>
      </c>
      <c r="D218" s="95" t="s">
        <v>1263</v>
      </c>
      <c r="E218" s="96" t="s">
        <v>1606</v>
      </c>
      <c r="F218" s="96" t="s">
        <v>1607</v>
      </c>
      <c r="G218" s="99">
        <v>12000</v>
      </c>
      <c r="H218" s="95"/>
      <c r="I218" s="95" t="s">
        <v>1221</v>
      </c>
      <c r="J218" s="95" t="s">
        <v>1627</v>
      </c>
      <c r="K218" s="95"/>
      <c r="L218" s="96" t="s">
        <v>628</v>
      </c>
      <c r="M218" s="42" t="str">
        <f t="shared" si="12"/>
        <v>ÖMER KARTAL</v>
      </c>
      <c r="N218" s="42" t="str">
        <f t="shared" si="13"/>
        <v>Beyanname / Bildirim Ücreti</v>
      </c>
      <c r="O218" s="43">
        <f t="shared" si="14"/>
        <v>46113</v>
      </c>
      <c r="P218" s="42" t="str">
        <f t="shared" si="15"/>
        <v>TAHAKKUK</v>
      </c>
      <c r="Q218" s="22" t="str">
        <f>IF(AND(L218&lt;&gt;"",D218="Gelir",I218="Hayır"),L218&amp;"|"&amp;TEXT(COUNTIFS($L$7:L218,L218,$D$7:D218,"Gelir",$I$7:I218,"Hayır"),"000"),"")</f>
        <v>ÖMER KARTAL|009</v>
      </c>
      <c r="R218" s="22" t="b">
        <f>OR(COUNTIF(LST_MUSTERI_ADI,L218)&gt;0,L218=SISTEM!$C$9,L218=SISTEM!$C$10)</f>
        <v>1</v>
      </c>
    </row>
    <row r="219" spans="1:18" ht="34">
      <c r="A219" s="6"/>
      <c r="B219" s="95" t="s">
        <v>1628</v>
      </c>
      <c r="C219" s="97">
        <v>46142</v>
      </c>
      <c r="D219" s="95" t="s">
        <v>1263</v>
      </c>
      <c r="E219" s="96" t="s">
        <v>1610</v>
      </c>
      <c r="F219" s="96" t="s">
        <v>1614</v>
      </c>
      <c r="G219" s="99">
        <v>2000</v>
      </c>
      <c r="H219" s="95"/>
      <c r="I219" s="95" t="s">
        <v>1221</v>
      </c>
      <c r="J219" s="95" t="s">
        <v>1629</v>
      </c>
      <c r="K219" s="95"/>
      <c r="L219" s="96" t="s">
        <v>628</v>
      </c>
      <c r="M219" s="42" t="str">
        <f t="shared" si="12"/>
        <v>ÖMER KARTAL</v>
      </c>
      <c r="N219" s="42" t="str">
        <f t="shared" si="13"/>
        <v>Muhasebe Hizmet Geliri (sözleşme dışı)</v>
      </c>
      <c r="O219" s="43">
        <f t="shared" si="14"/>
        <v>46113</v>
      </c>
      <c r="P219" s="42" t="str">
        <f t="shared" si="15"/>
        <v>TAHAKKUK</v>
      </c>
      <c r="Q219" s="22" t="str">
        <f>IF(AND(L219&lt;&gt;"",D219="Gelir",I219="Hayır"),L219&amp;"|"&amp;TEXT(COUNTIFS($L$7:L219,L219,$D$7:D219,"Gelir",$I$7:I219,"Hayır"),"000"),"")</f>
        <v>ÖMER KARTAL|010</v>
      </c>
      <c r="R219" s="22" t="b">
        <f>OR(COUNTIF(LST_MUSTERI_ADI,L219)&gt;0,L219=SISTEM!$C$9,L219=SISTEM!$C$10)</f>
        <v>1</v>
      </c>
    </row>
    <row r="220" spans="1:18" ht="34">
      <c r="A220" s="6"/>
      <c r="B220" s="95" t="s">
        <v>1630</v>
      </c>
      <c r="C220" s="97">
        <v>46173</v>
      </c>
      <c r="D220" s="95" t="s">
        <v>1263</v>
      </c>
      <c r="E220" s="96" t="s">
        <v>1606</v>
      </c>
      <c r="F220" s="96" t="s">
        <v>1607</v>
      </c>
      <c r="G220" s="99">
        <v>12000</v>
      </c>
      <c r="H220" s="95"/>
      <c r="I220" s="95" t="s">
        <v>1221</v>
      </c>
      <c r="J220" s="95" t="s">
        <v>1631</v>
      </c>
      <c r="K220" s="95"/>
      <c r="L220" s="96" t="s">
        <v>628</v>
      </c>
      <c r="M220" s="42" t="str">
        <f t="shared" si="12"/>
        <v>ÖMER KARTAL</v>
      </c>
      <c r="N220" s="42" t="str">
        <f t="shared" si="13"/>
        <v>Beyanname / Bildirim Ücreti</v>
      </c>
      <c r="O220" s="43">
        <f t="shared" si="14"/>
        <v>46143</v>
      </c>
      <c r="P220" s="42" t="str">
        <f t="shared" si="15"/>
        <v>TAHAKKUK</v>
      </c>
      <c r="Q220" s="22" t="str">
        <f>IF(AND(L220&lt;&gt;"",D220="Gelir",I220="Hayır"),L220&amp;"|"&amp;TEXT(COUNTIFS($L$7:L220,L220,$D$7:D220,"Gelir",$I$7:I220,"Hayır"),"000"),"")</f>
        <v>ÖMER KARTAL|011</v>
      </c>
      <c r="R220" s="22" t="b">
        <f>OR(COUNTIF(LST_MUSTERI_ADI,L220)&gt;0,L220=SISTEM!$C$9,L220=SISTEM!$C$10)</f>
        <v>1</v>
      </c>
    </row>
    <row r="221" spans="1:18" ht="34">
      <c r="A221" s="6"/>
      <c r="B221" s="95" t="s">
        <v>1632</v>
      </c>
      <c r="C221" s="97">
        <v>46173</v>
      </c>
      <c r="D221" s="95" t="s">
        <v>1263</v>
      </c>
      <c r="E221" s="96" t="s">
        <v>1610</v>
      </c>
      <c r="F221" s="96" t="s">
        <v>1614</v>
      </c>
      <c r="G221" s="99">
        <v>2000</v>
      </c>
      <c r="H221" s="95"/>
      <c r="I221" s="95" t="s">
        <v>1221</v>
      </c>
      <c r="J221" s="95" t="s">
        <v>1633</v>
      </c>
      <c r="K221" s="95"/>
      <c r="L221" s="96" t="s">
        <v>628</v>
      </c>
      <c r="M221" s="42" t="str">
        <f t="shared" si="12"/>
        <v>ÖMER KARTAL</v>
      </c>
      <c r="N221" s="42" t="str">
        <f t="shared" si="13"/>
        <v>Muhasebe Hizmet Geliri (sözleşme dışı)</v>
      </c>
      <c r="O221" s="43">
        <f t="shared" si="14"/>
        <v>46143</v>
      </c>
      <c r="P221" s="42" t="str">
        <f t="shared" si="15"/>
        <v>TAHAKKUK</v>
      </c>
      <c r="Q221" s="22" t="str">
        <f>IF(AND(L221&lt;&gt;"",D221="Gelir",I221="Hayır"),L221&amp;"|"&amp;TEXT(COUNTIFS($L$7:L221,L221,$D$7:D221,"Gelir",$I$7:I221,"Hayır"),"000"),"")</f>
        <v>ÖMER KARTAL|012</v>
      </c>
      <c r="R221" s="22" t="b">
        <f>OR(COUNTIF(LST_MUSTERI_ADI,L221)&gt;0,L221=SISTEM!$C$9,L221=SISTEM!$C$10)</f>
        <v>1</v>
      </c>
    </row>
    <row r="222" spans="1:18" ht="34">
      <c r="A222" s="6"/>
      <c r="B222" s="95" t="s">
        <v>1634</v>
      </c>
      <c r="C222" s="97">
        <v>46203</v>
      </c>
      <c r="D222" s="95" t="s">
        <v>1263</v>
      </c>
      <c r="E222" s="96" t="s">
        <v>1606</v>
      </c>
      <c r="F222" s="96" t="s">
        <v>1607</v>
      </c>
      <c r="G222" s="99">
        <v>12000</v>
      </c>
      <c r="H222" s="95"/>
      <c r="I222" s="95" t="s">
        <v>1221</v>
      </c>
      <c r="J222" s="95" t="s">
        <v>1635</v>
      </c>
      <c r="K222" s="95"/>
      <c r="L222" s="96" t="s">
        <v>628</v>
      </c>
      <c r="M222" s="42" t="str">
        <f t="shared" si="12"/>
        <v>ÖMER KARTAL</v>
      </c>
      <c r="N222" s="42" t="str">
        <f t="shared" si="13"/>
        <v>Beyanname / Bildirim Ücreti</v>
      </c>
      <c r="O222" s="43">
        <f t="shared" si="14"/>
        <v>46174</v>
      </c>
      <c r="P222" s="42" t="str">
        <f t="shared" si="15"/>
        <v>TAHAKKUK</v>
      </c>
      <c r="Q222" s="22" t="str">
        <f>IF(AND(L222&lt;&gt;"",D222="Gelir",I222="Hayır"),L222&amp;"|"&amp;TEXT(COUNTIFS($L$7:L222,L222,$D$7:D222,"Gelir",$I$7:I222,"Hayır"),"000"),"")</f>
        <v>ÖMER KARTAL|013</v>
      </c>
      <c r="R222" s="22" t="b">
        <f>OR(COUNTIF(LST_MUSTERI_ADI,L222)&gt;0,L222=SISTEM!$C$9,L222=SISTEM!$C$10)</f>
        <v>1</v>
      </c>
    </row>
    <row r="223" spans="1:18" ht="34">
      <c r="A223" s="6"/>
      <c r="B223" s="95" t="s">
        <v>1636</v>
      </c>
      <c r="C223" s="97">
        <v>46203</v>
      </c>
      <c r="D223" s="95" t="s">
        <v>1263</v>
      </c>
      <c r="E223" s="96" t="s">
        <v>1610</v>
      </c>
      <c r="F223" s="96" t="s">
        <v>1614</v>
      </c>
      <c r="G223" s="99">
        <v>2000</v>
      </c>
      <c r="H223" s="95"/>
      <c r="I223" s="95" t="s">
        <v>1221</v>
      </c>
      <c r="J223" s="95" t="s">
        <v>1637</v>
      </c>
      <c r="K223" s="95"/>
      <c r="L223" s="96" t="s">
        <v>628</v>
      </c>
      <c r="M223" s="42" t="str">
        <f t="shared" si="12"/>
        <v>ÖMER KARTAL</v>
      </c>
      <c r="N223" s="42" t="str">
        <f t="shared" si="13"/>
        <v>Muhasebe Hizmet Geliri (sözleşme dışı)</v>
      </c>
      <c r="O223" s="43">
        <f t="shared" si="14"/>
        <v>46174</v>
      </c>
      <c r="P223" s="42" t="str">
        <f t="shared" si="15"/>
        <v>TAHAKKUK</v>
      </c>
      <c r="Q223" s="22" t="str">
        <f>IF(AND(L223&lt;&gt;"",D223="Gelir",I223="Hayır"),L223&amp;"|"&amp;TEXT(COUNTIFS($L$7:L223,L223,$D$7:D223,"Gelir",$I$7:I223,"Hayır"),"000"),"")</f>
        <v>ÖMER KARTAL|014</v>
      </c>
      <c r="R223" s="22" t="b">
        <f>OR(COUNTIF(LST_MUSTERI_ADI,L223)&gt;0,L223=SISTEM!$C$9,L223=SISTEM!$C$10)</f>
        <v>1</v>
      </c>
    </row>
    <row r="224" spans="1:18" ht="34">
      <c r="A224" s="6"/>
      <c r="B224" s="95" t="s">
        <v>1638</v>
      </c>
      <c r="C224" s="97">
        <v>46234</v>
      </c>
      <c r="D224" s="95" t="s">
        <v>1263</v>
      </c>
      <c r="E224" s="96" t="s">
        <v>1606</v>
      </c>
      <c r="F224" s="96" t="s">
        <v>1607</v>
      </c>
      <c r="G224" s="99">
        <v>12000</v>
      </c>
      <c r="H224" s="95"/>
      <c r="I224" s="95" t="s">
        <v>1221</v>
      </c>
      <c r="J224" s="95" t="s">
        <v>1639</v>
      </c>
      <c r="K224" s="95"/>
      <c r="L224" s="96" t="s">
        <v>628</v>
      </c>
      <c r="M224" s="42" t="str">
        <f t="shared" si="12"/>
        <v>ÖMER KARTAL</v>
      </c>
      <c r="N224" s="42" t="str">
        <f t="shared" si="13"/>
        <v>Beyanname / Bildirim Ücreti</v>
      </c>
      <c r="O224" s="43">
        <f t="shared" si="14"/>
        <v>46204</v>
      </c>
      <c r="P224" s="42" t="str">
        <f t="shared" si="15"/>
        <v>TAHAKKUK</v>
      </c>
      <c r="Q224" s="22" t="str">
        <f>IF(AND(L224&lt;&gt;"",D224="Gelir",I224="Hayır"),L224&amp;"|"&amp;TEXT(COUNTIFS($L$7:L224,L224,$D$7:D224,"Gelir",$I$7:I224,"Hayır"),"000"),"")</f>
        <v>ÖMER KARTAL|015</v>
      </c>
      <c r="R224" s="22" t="b">
        <f>OR(COUNTIF(LST_MUSTERI_ADI,L224)&gt;0,L224=SISTEM!$C$9,L224=SISTEM!$C$10)</f>
        <v>1</v>
      </c>
    </row>
    <row r="225" spans="1:18" ht="34">
      <c r="A225" s="6"/>
      <c r="B225" s="95" t="s">
        <v>1640</v>
      </c>
      <c r="C225" s="97">
        <v>46265</v>
      </c>
      <c r="D225" s="95" t="s">
        <v>1263</v>
      </c>
      <c r="E225" s="96" t="s">
        <v>1606</v>
      </c>
      <c r="F225" s="96" t="s">
        <v>1607</v>
      </c>
      <c r="G225" s="99">
        <v>12000</v>
      </c>
      <c r="H225" s="95"/>
      <c r="I225" s="95" t="s">
        <v>1221</v>
      </c>
      <c r="J225" s="95" t="s">
        <v>1641</v>
      </c>
      <c r="K225" s="95"/>
      <c r="L225" s="96" t="s">
        <v>628</v>
      </c>
      <c r="M225" s="42" t="str">
        <f t="shared" si="12"/>
        <v>ÖMER KARTAL</v>
      </c>
      <c r="N225" s="42" t="str">
        <f t="shared" si="13"/>
        <v>Beyanname / Bildirim Ücreti</v>
      </c>
      <c r="O225" s="43">
        <f t="shared" si="14"/>
        <v>46235</v>
      </c>
      <c r="P225" s="42" t="str">
        <f t="shared" si="15"/>
        <v>TAHAKKUK</v>
      </c>
      <c r="Q225" s="22" t="str">
        <f>IF(AND(L225&lt;&gt;"",D225="Gelir",I225="Hayır"),L225&amp;"|"&amp;TEXT(COUNTIFS($L$7:L225,L225,$D$7:D225,"Gelir",$I$7:I225,"Hayır"),"000"),"")</f>
        <v>ÖMER KARTAL|016</v>
      </c>
      <c r="R225" s="22" t="b">
        <f>OR(COUNTIF(LST_MUSTERI_ADI,L225)&gt;0,L225=SISTEM!$C$9,L225=SISTEM!$C$10)</f>
        <v>1</v>
      </c>
    </row>
    <row r="226" spans="1:18" ht="17">
      <c r="A226" s="6"/>
      <c r="B226" s="95" t="str">
        <f t="shared" ref="B226:B289" si="16">IF(C226="","","GG"&amp;TEXT(ROW()-6,"00000"))</f>
        <v/>
      </c>
      <c r="C226" s="97"/>
      <c r="D226" s="95"/>
      <c r="E226" s="96"/>
      <c r="F226" s="96"/>
      <c r="G226" s="99"/>
      <c r="H226" s="95"/>
      <c r="I226" s="95"/>
      <c r="J226" s="95"/>
      <c r="K226" s="95"/>
      <c r="L226" s="96"/>
      <c r="M226" s="42" t="str">
        <f t="shared" si="12"/>
        <v/>
      </c>
      <c r="N226" s="42" t="str">
        <f t="shared" si="13"/>
        <v/>
      </c>
      <c r="O226" s="43" t="str">
        <f t="shared" si="14"/>
        <v/>
      </c>
      <c r="P226" s="42" t="str">
        <f t="shared" si="15"/>
        <v/>
      </c>
      <c r="Q226" s="22" t="str">
        <f>IF(AND(L226&lt;&gt;"",D226="Gelir",I226="Hayır"),L226&amp;"|"&amp;TEXT(COUNTIFS($L$7:L226,L226,$D$7:D226,"Gelir",$I$7:I226,"Hayır"),"000"),"")</f>
        <v/>
      </c>
      <c r="R226" s="22" t="b">
        <f>OR(COUNTIF(LST_MUSTERI_ADI,L226)&gt;0,L226=SISTEM!$C$9,L226=SISTEM!$C$10)</f>
        <v>0</v>
      </c>
    </row>
    <row r="227" spans="1:18" ht="17">
      <c r="A227" s="6"/>
      <c r="B227" s="95" t="str">
        <f t="shared" si="16"/>
        <v/>
      </c>
      <c r="C227" s="97"/>
      <c r="D227" s="95"/>
      <c r="E227" s="96"/>
      <c r="F227" s="96"/>
      <c r="G227" s="99"/>
      <c r="H227" s="95"/>
      <c r="I227" s="95"/>
      <c r="J227" s="95"/>
      <c r="K227" s="95"/>
      <c r="L227" s="96"/>
      <c r="M227" s="42" t="str">
        <f t="shared" si="12"/>
        <v/>
      </c>
      <c r="N227" s="42" t="str">
        <f t="shared" si="13"/>
        <v/>
      </c>
      <c r="O227" s="43" t="str">
        <f t="shared" si="14"/>
        <v/>
      </c>
      <c r="P227" s="42" t="str">
        <f t="shared" si="15"/>
        <v/>
      </c>
      <c r="Q227" s="22" t="str">
        <f>IF(AND(L227&lt;&gt;"",D227="Gelir",I227="Hayır"),L227&amp;"|"&amp;TEXT(COUNTIFS($L$7:L227,L227,$D$7:D227,"Gelir",$I$7:I227,"Hayır"),"000"),"")</f>
        <v/>
      </c>
      <c r="R227" s="22" t="b">
        <f>OR(COUNTIF(LST_MUSTERI_ADI,L227)&gt;0,L227=SISTEM!$C$9,L227=SISTEM!$C$10)</f>
        <v>0</v>
      </c>
    </row>
    <row r="228" spans="1:18" ht="17">
      <c r="A228" s="6"/>
      <c r="B228" s="95" t="str">
        <f t="shared" si="16"/>
        <v/>
      </c>
      <c r="C228" s="97"/>
      <c r="D228" s="95"/>
      <c r="E228" s="96"/>
      <c r="F228" s="96"/>
      <c r="G228" s="99"/>
      <c r="H228" s="95"/>
      <c r="I228" s="95"/>
      <c r="J228" s="95"/>
      <c r="K228" s="95"/>
      <c r="L228" s="96"/>
      <c r="M228" s="42" t="str">
        <f t="shared" si="12"/>
        <v/>
      </c>
      <c r="N228" s="42" t="str">
        <f t="shared" si="13"/>
        <v/>
      </c>
      <c r="O228" s="43" t="str">
        <f t="shared" si="14"/>
        <v/>
      </c>
      <c r="P228" s="42" t="str">
        <f t="shared" si="15"/>
        <v/>
      </c>
      <c r="Q228" s="22" t="str">
        <f>IF(AND(L228&lt;&gt;"",D228="Gelir",I228="Hayır"),L228&amp;"|"&amp;TEXT(COUNTIFS($L$7:L228,L228,$D$7:D228,"Gelir",$I$7:I228,"Hayır"),"000"),"")</f>
        <v/>
      </c>
      <c r="R228" s="22" t="b">
        <f>OR(COUNTIF(LST_MUSTERI_ADI,L228)&gt;0,L228=SISTEM!$C$9,L228=SISTEM!$C$10)</f>
        <v>0</v>
      </c>
    </row>
    <row r="229" spans="1:18" ht="17">
      <c r="A229" s="6"/>
      <c r="B229" s="95" t="str">
        <f t="shared" si="16"/>
        <v/>
      </c>
      <c r="C229" s="97"/>
      <c r="D229" s="95"/>
      <c r="E229" s="96"/>
      <c r="F229" s="96"/>
      <c r="G229" s="99"/>
      <c r="H229" s="95"/>
      <c r="I229" s="95"/>
      <c r="J229" s="95"/>
      <c r="K229" s="95"/>
      <c r="L229" s="96"/>
      <c r="M229" s="42" t="str">
        <f t="shared" si="12"/>
        <v/>
      </c>
      <c r="N229" s="42" t="str">
        <f t="shared" si="13"/>
        <v/>
      </c>
      <c r="O229" s="43" t="str">
        <f t="shared" si="14"/>
        <v/>
      </c>
      <c r="P229" s="42" t="str">
        <f t="shared" si="15"/>
        <v/>
      </c>
      <c r="Q229" s="22" t="str">
        <f>IF(AND(L229&lt;&gt;"",D229="Gelir",I229="Hayır"),L229&amp;"|"&amp;TEXT(COUNTIFS($L$7:L229,L229,$D$7:D229,"Gelir",$I$7:I229,"Hayır"),"000"),"")</f>
        <v/>
      </c>
      <c r="R229" s="22" t="b">
        <f>OR(COUNTIF(LST_MUSTERI_ADI,L229)&gt;0,L229=SISTEM!$C$9,L229=SISTEM!$C$10)</f>
        <v>0</v>
      </c>
    </row>
    <row r="230" spans="1:18" ht="17">
      <c r="A230" s="6"/>
      <c r="B230" s="95" t="str">
        <f t="shared" si="16"/>
        <v/>
      </c>
      <c r="C230" s="97"/>
      <c r="D230" s="95"/>
      <c r="E230" s="96"/>
      <c r="F230" s="96"/>
      <c r="G230" s="99"/>
      <c r="H230" s="95"/>
      <c r="I230" s="95"/>
      <c r="J230" s="95"/>
      <c r="K230" s="95"/>
      <c r="L230" s="96"/>
      <c r="M230" s="42" t="str">
        <f t="shared" si="12"/>
        <v/>
      </c>
      <c r="N230" s="42" t="str">
        <f t="shared" si="13"/>
        <v/>
      </c>
      <c r="O230" s="43" t="str">
        <f t="shared" si="14"/>
        <v/>
      </c>
      <c r="P230" s="42" t="str">
        <f t="shared" si="15"/>
        <v/>
      </c>
      <c r="Q230" s="22" t="str">
        <f>IF(AND(L230&lt;&gt;"",D230="Gelir",I230="Hayır"),L230&amp;"|"&amp;TEXT(COUNTIFS($L$7:L230,L230,$D$7:D230,"Gelir",$I$7:I230,"Hayır"),"000"),"")</f>
        <v/>
      </c>
      <c r="R230" s="22" t="b">
        <f>OR(COUNTIF(LST_MUSTERI_ADI,L230)&gt;0,L230=SISTEM!$C$9,L230=SISTEM!$C$10)</f>
        <v>0</v>
      </c>
    </row>
    <row r="231" spans="1:18" ht="17">
      <c r="A231" s="6"/>
      <c r="B231" s="95" t="str">
        <f t="shared" si="16"/>
        <v/>
      </c>
      <c r="C231" s="97"/>
      <c r="D231" s="95"/>
      <c r="E231" s="96"/>
      <c r="F231" s="96"/>
      <c r="G231" s="99"/>
      <c r="H231" s="95"/>
      <c r="I231" s="95"/>
      <c r="J231" s="95"/>
      <c r="K231" s="95"/>
      <c r="L231" s="96"/>
      <c r="M231" s="42" t="str">
        <f t="shared" si="12"/>
        <v/>
      </c>
      <c r="N231" s="42" t="str">
        <f t="shared" si="13"/>
        <v/>
      </c>
      <c r="O231" s="43" t="str">
        <f t="shared" si="14"/>
        <v/>
      </c>
      <c r="P231" s="42" t="str">
        <f t="shared" si="15"/>
        <v/>
      </c>
      <c r="Q231" s="22" t="str">
        <f>IF(AND(L231&lt;&gt;"",D231="Gelir",I231="Hayır"),L231&amp;"|"&amp;TEXT(COUNTIFS($L$7:L231,L231,$D$7:D231,"Gelir",$I$7:I231,"Hayır"),"000"),"")</f>
        <v/>
      </c>
      <c r="R231" s="22" t="b">
        <f>OR(COUNTIF(LST_MUSTERI_ADI,L231)&gt;0,L231=SISTEM!$C$9,L231=SISTEM!$C$10)</f>
        <v>0</v>
      </c>
    </row>
    <row r="232" spans="1:18" ht="17">
      <c r="A232" s="6"/>
      <c r="B232" s="95" t="str">
        <f t="shared" si="16"/>
        <v/>
      </c>
      <c r="C232" s="97"/>
      <c r="D232" s="95"/>
      <c r="E232" s="96"/>
      <c r="F232" s="96"/>
      <c r="G232" s="99"/>
      <c r="H232" s="95"/>
      <c r="I232" s="95"/>
      <c r="J232" s="95"/>
      <c r="K232" s="95"/>
      <c r="L232" s="96"/>
      <c r="M232" s="42" t="str">
        <f t="shared" si="12"/>
        <v/>
      </c>
      <c r="N232" s="42" t="str">
        <f t="shared" si="13"/>
        <v/>
      </c>
      <c r="O232" s="43" t="str">
        <f t="shared" si="14"/>
        <v/>
      </c>
      <c r="P232" s="42" t="str">
        <f t="shared" si="15"/>
        <v/>
      </c>
      <c r="Q232" s="22" t="str">
        <f>IF(AND(L232&lt;&gt;"",D232="Gelir",I232="Hayır"),L232&amp;"|"&amp;TEXT(COUNTIFS($L$7:L232,L232,$D$7:D232,"Gelir",$I$7:I232,"Hayır"),"000"),"")</f>
        <v/>
      </c>
      <c r="R232" s="22" t="b">
        <f>OR(COUNTIF(LST_MUSTERI_ADI,L232)&gt;0,L232=SISTEM!$C$9,L232=SISTEM!$C$10)</f>
        <v>0</v>
      </c>
    </row>
    <row r="233" spans="1:18" ht="17">
      <c r="A233" s="6"/>
      <c r="B233" s="95" t="str">
        <f t="shared" si="16"/>
        <v/>
      </c>
      <c r="C233" s="97"/>
      <c r="D233" s="95"/>
      <c r="E233" s="96"/>
      <c r="F233" s="96"/>
      <c r="G233" s="99"/>
      <c r="H233" s="95"/>
      <c r="I233" s="95"/>
      <c r="J233" s="95"/>
      <c r="K233" s="95"/>
      <c r="L233" s="96"/>
      <c r="M233" s="42" t="str">
        <f t="shared" si="12"/>
        <v/>
      </c>
      <c r="N233" s="42" t="str">
        <f t="shared" si="13"/>
        <v/>
      </c>
      <c r="O233" s="43" t="str">
        <f t="shared" si="14"/>
        <v/>
      </c>
      <c r="P233" s="42" t="str">
        <f t="shared" si="15"/>
        <v/>
      </c>
      <c r="Q233" s="22" t="str">
        <f>IF(AND(L233&lt;&gt;"",D233="Gelir",I233="Hayır"),L233&amp;"|"&amp;TEXT(COUNTIFS($L$7:L233,L233,$D$7:D233,"Gelir",$I$7:I233,"Hayır"),"000"),"")</f>
        <v/>
      </c>
      <c r="R233" s="22" t="b">
        <f>OR(COUNTIF(LST_MUSTERI_ADI,L233)&gt;0,L233=SISTEM!$C$9,L233=SISTEM!$C$10)</f>
        <v>0</v>
      </c>
    </row>
    <row r="234" spans="1:18" ht="17">
      <c r="A234" s="6"/>
      <c r="B234" s="95" t="str">
        <f t="shared" si="16"/>
        <v/>
      </c>
      <c r="C234" s="97"/>
      <c r="D234" s="95"/>
      <c r="E234" s="96"/>
      <c r="F234" s="96"/>
      <c r="G234" s="99"/>
      <c r="H234" s="95"/>
      <c r="I234" s="95"/>
      <c r="J234" s="95"/>
      <c r="K234" s="95"/>
      <c r="L234" s="96"/>
      <c r="M234" s="42" t="str">
        <f t="shared" si="12"/>
        <v/>
      </c>
      <c r="N234" s="42" t="str">
        <f t="shared" si="13"/>
        <v/>
      </c>
      <c r="O234" s="43" t="str">
        <f t="shared" si="14"/>
        <v/>
      </c>
      <c r="P234" s="42" t="str">
        <f t="shared" si="15"/>
        <v/>
      </c>
      <c r="Q234" s="22" t="str">
        <f>IF(AND(L234&lt;&gt;"",D234="Gelir",I234="Hayır"),L234&amp;"|"&amp;TEXT(COUNTIFS($L$7:L234,L234,$D$7:D234,"Gelir",$I$7:I234,"Hayır"),"000"),"")</f>
        <v/>
      </c>
      <c r="R234" s="22" t="b">
        <f>OR(COUNTIF(LST_MUSTERI_ADI,L234)&gt;0,L234=SISTEM!$C$9,L234=SISTEM!$C$10)</f>
        <v>0</v>
      </c>
    </row>
    <row r="235" spans="1:18" ht="17">
      <c r="A235" s="6"/>
      <c r="B235" s="95" t="str">
        <f t="shared" si="16"/>
        <v/>
      </c>
      <c r="C235" s="97"/>
      <c r="D235" s="95"/>
      <c r="E235" s="96"/>
      <c r="F235" s="96"/>
      <c r="G235" s="99"/>
      <c r="H235" s="95"/>
      <c r="I235" s="95"/>
      <c r="J235" s="95"/>
      <c r="K235" s="95"/>
      <c r="L235" s="96"/>
      <c r="M235" s="42" t="str">
        <f t="shared" si="12"/>
        <v/>
      </c>
      <c r="N235" s="42" t="str">
        <f t="shared" si="13"/>
        <v/>
      </c>
      <c r="O235" s="43" t="str">
        <f t="shared" si="14"/>
        <v/>
      </c>
      <c r="P235" s="42" t="str">
        <f t="shared" si="15"/>
        <v/>
      </c>
      <c r="Q235" s="22" t="str">
        <f>IF(AND(L235&lt;&gt;"",D235="Gelir",I235="Hayır"),L235&amp;"|"&amp;TEXT(COUNTIFS($L$7:L235,L235,$D$7:D235,"Gelir",$I$7:I235,"Hayır"),"000"),"")</f>
        <v/>
      </c>
      <c r="R235" s="22" t="b">
        <f>OR(COUNTIF(LST_MUSTERI_ADI,L235)&gt;0,L235=SISTEM!$C$9,L235=SISTEM!$C$10)</f>
        <v>0</v>
      </c>
    </row>
    <row r="236" spans="1:18" ht="17">
      <c r="A236" s="6"/>
      <c r="B236" s="95" t="str">
        <f t="shared" si="16"/>
        <v/>
      </c>
      <c r="C236" s="97"/>
      <c r="D236" s="95"/>
      <c r="E236" s="96"/>
      <c r="F236" s="96"/>
      <c r="G236" s="99"/>
      <c r="H236" s="95"/>
      <c r="I236" s="95"/>
      <c r="J236" s="95"/>
      <c r="K236" s="95"/>
      <c r="L236" s="96"/>
      <c r="M236" s="42" t="str">
        <f t="shared" si="12"/>
        <v/>
      </c>
      <c r="N236" s="42" t="str">
        <f t="shared" si="13"/>
        <v/>
      </c>
      <c r="O236" s="43" t="str">
        <f t="shared" si="14"/>
        <v/>
      </c>
      <c r="P236" s="42" t="str">
        <f t="shared" si="15"/>
        <v/>
      </c>
      <c r="Q236" s="22" t="str">
        <f>IF(AND(L236&lt;&gt;"",D236="Gelir",I236="Hayır"),L236&amp;"|"&amp;TEXT(COUNTIFS($L$7:L236,L236,$D$7:D236,"Gelir",$I$7:I236,"Hayır"),"000"),"")</f>
        <v/>
      </c>
      <c r="R236" s="22" t="b">
        <f>OR(COUNTIF(LST_MUSTERI_ADI,L236)&gt;0,L236=SISTEM!$C$9,L236=SISTEM!$C$10)</f>
        <v>0</v>
      </c>
    </row>
    <row r="237" spans="1:18" ht="17">
      <c r="A237" s="6"/>
      <c r="B237" s="95" t="str">
        <f t="shared" si="16"/>
        <v/>
      </c>
      <c r="C237" s="97"/>
      <c r="D237" s="95"/>
      <c r="E237" s="96"/>
      <c r="F237" s="96"/>
      <c r="G237" s="99"/>
      <c r="H237" s="95"/>
      <c r="I237" s="95"/>
      <c r="J237" s="95"/>
      <c r="K237" s="95"/>
      <c r="L237" s="96"/>
      <c r="M237" s="42" t="str">
        <f t="shared" si="12"/>
        <v/>
      </c>
      <c r="N237" s="42" t="str">
        <f t="shared" si="13"/>
        <v/>
      </c>
      <c r="O237" s="43" t="str">
        <f t="shared" si="14"/>
        <v/>
      </c>
      <c r="P237" s="42" t="str">
        <f t="shared" si="15"/>
        <v/>
      </c>
      <c r="Q237" s="22" t="str">
        <f>IF(AND(L237&lt;&gt;"",D237="Gelir",I237="Hayır"),L237&amp;"|"&amp;TEXT(COUNTIFS($L$7:L237,L237,$D$7:D237,"Gelir",$I$7:I237,"Hayır"),"000"),"")</f>
        <v/>
      </c>
      <c r="R237" s="22" t="b">
        <f>OR(COUNTIF(LST_MUSTERI_ADI,L237)&gt;0,L237=SISTEM!$C$9,L237=SISTEM!$C$10)</f>
        <v>0</v>
      </c>
    </row>
    <row r="238" spans="1:18" ht="17">
      <c r="A238" s="6"/>
      <c r="B238" s="95" t="str">
        <f t="shared" si="16"/>
        <v/>
      </c>
      <c r="C238" s="97"/>
      <c r="D238" s="95"/>
      <c r="E238" s="96"/>
      <c r="F238" s="96"/>
      <c r="G238" s="99"/>
      <c r="H238" s="95"/>
      <c r="I238" s="95"/>
      <c r="J238" s="95"/>
      <c r="K238" s="95"/>
      <c r="L238" s="96"/>
      <c r="M238" s="42" t="str">
        <f t="shared" si="12"/>
        <v/>
      </c>
      <c r="N238" s="42" t="str">
        <f t="shared" si="13"/>
        <v/>
      </c>
      <c r="O238" s="43" t="str">
        <f t="shared" si="14"/>
        <v/>
      </c>
      <c r="P238" s="42" t="str">
        <f t="shared" si="15"/>
        <v/>
      </c>
      <c r="Q238" s="22" t="str">
        <f>IF(AND(L238&lt;&gt;"",D238="Gelir",I238="Hayır"),L238&amp;"|"&amp;TEXT(COUNTIFS($L$7:L238,L238,$D$7:D238,"Gelir",$I$7:I238,"Hayır"),"000"),"")</f>
        <v/>
      </c>
      <c r="R238" s="22" t="b">
        <f>OR(COUNTIF(LST_MUSTERI_ADI,L238)&gt;0,L238=SISTEM!$C$9,L238=SISTEM!$C$10)</f>
        <v>0</v>
      </c>
    </row>
    <row r="239" spans="1:18" ht="17">
      <c r="A239" s="6"/>
      <c r="B239" s="95" t="str">
        <f t="shared" si="16"/>
        <v/>
      </c>
      <c r="C239" s="97"/>
      <c r="D239" s="95"/>
      <c r="E239" s="96"/>
      <c r="F239" s="96"/>
      <c r="G239" s="99"/>
      <c r="H239" s="95"/>
      <c r="I239" s="95"/>
      <c r="J239" s="95"/>
      <c r="K239" s="95"/>
      <c r="L239" s="96"/>
      <c r="M239" s="42" t="str">
        <f t="shared" si="12"/>
        <v/>
      </c>
      <c r="N239" s="42" t="str">
        <f t="shared" si="13"/>
        <v/>
      </c>
      <c r="O239" s="43" t="str">
        <f t="shared" si="14"/>
        <v/>
      </c>
      <c r="P239" s="42" t="str">
        <f t="shared" si="15"/>
        <v/>
      </c>
      <c r="Q239" s="22" t="str">
        <f>IF(AND(L239&lt;&gt;"",D239="Gelir",I239="Hayır"),L239&amp;"|"&amp;TEXT(COUNTIFS($L$7:L239,L239,$D$7:D239,"Gelir",$I$7:I239,"Hayır"),"000"),"")</f>
        <v/>
      </c>
      <c r="R239" s="22" t="b">
        <f>OR(COUNTIF(LST_MUSTERI_ADI,L239)&gt;0,L239=SISTEM!$C$9,L239=SISTEM!$C$10)</f>
        <v>0</v>
      </c>
    </row>
    <row r="240" spans="1:18" ht="17">
      <c r="A240" s="6"/>
      <c r="B240" s="95" t="str">
        <f t="shared" si="16"/>
        <v/>
      </c>
      <c r="C240" s="97"/>
      <c r="D240" s="95"/>
      <c r="E240" s="96"/>
      <c r="F240" s="96"/>
      <c r="G240" s="99"/>
      <c r="H240" s="95"/>
      <c r="I240" s="95"/>
      <c r="J240" s="95"/>
      <c r="K240" s="95"/>
      <c r="L240" s="96"/>
      <c r="M240" s="42" t="str">
        <f t="shared" si="12"/>
        <v/>
      </c>
      <c r="N240" s="42" t="str">
        <f t="shared" si="13"/>
        <v/>
      </c>
      <c r="O240" s="43" t="str">
        <f t="shared" si="14"/>
        <v/>
      </c>
      <c r="P240" s="42" t="str">
        <f t="shared" si="15"/>
        <v/>
      </c>
      <c r="Q240" s="22" t="str">
        <f>IF(AND(L240&lt;&gt;"",D240="Gelir",I240="Hayır"),L240&amp;"|"&amp;TEXT(COUNTIFS($L$7:L240,L240,$D$7:D240,"Gelir",$I$7:I240,"Hayır"),"000"),"")</f>
        <v/>
      </c>
      <c r="R240" s="22" t="b">
        <f>OR(COUNTIF(LST_MUSTERI_ADI,L240)&gt;0,L240=SISTEM!$C$9,L240=SISTEM!$C$10)</f>
        <v>0</v>
      </c>
    </row>
    <row r="241" spans="1:18" ht="17">
      <c r="A241" s="6"/>
      <c r="B241" s="95" t="str">
        <f t="shared" si="16"/>
        <v/>
      </c>
      <c r="C241" s="97"/>
      <c r="D241" s="95"/>
      <c r="E241" s="96"/>
      <c r="F241" s="96"/>
      <c r="G241" s="99"/>
      <c r="H241" s="95"/>
      <c r="I241" s="95"/>
      <c r="J241" s="95"/>
      <c r="K241" s="95"/>
      <c r="L241" s="96"/>
      <c r="M241" s="42" t="str">
        <f t="shared" si="12"/>
        <v/>
      </c>
      <c r="N241" s="42" t="str">
        <f t="shared" si="13"/>
        <v/>
      </c>
      <c r="O241" s="43" t="str">
        <f t="shared" si="14"/>
        <v/>
      </c>
      <c r="P241" s="42" t="str">
        <f t="shared" si="15"/>
        <v/>
      </c>
      <c r="Q241" s="22" t="str">
        <f>IF(AND(L241&lt;&gt;"",D241="Gelir",I241="Hayır"),L241&amp;"|"&amp;TEXT(COUNTIFS($L$7:L241,L241,$D$7:D241,"Gelir",$I$7:I241,"Hayır"),"000"),"")</f>
        <v/>
      </c>
      <c r="R241" s="22" t="b">
        <f>OR(COUNTIF(LST_MUSTERI_ADI,L241)&gt;0,L241=SISTEM!$C$9,L241=SISTEM!$C$10)</f>
        <v>0</v>
      </c>
    </row>
    <row r="242" spans="1:18" ht="17">
      <c r="A242" s="6"/>
      <c r="B242" s="95" t="str">
        <f t="shared" si="16"/>
        <v/>
      </c>
      <c r="C242" s="97"/>
      <c r="D242" s="95"/>
      <c r="E242" s="96"/>
      <c r="F242" s="96"/>
      <c r="G242" s="99"/>
      <c r="H242" s="95"/>
      <c r="I242" s="95"/>
      <c r="J242" s="95"/>
      <c r="K242" s="95"/>
      <c r="L242" s="96"/>
      <c r="M242" s="42" t="str">
        <f t="shared" si="12"/>
        <v/>
      </c>
      <c r="N242" s="42" t="str">
        <f t="shared" si="13"/>
        <v/>
      </c>
      <c r="O242" s="43" t="str">
        <f t="shared" si="14"/>
        <v/>
      </c>
      <c r="P242" s="42" t="str">
        <f t="shared" si="15"/>
        <v/>
      </c>
      <c r="Q242" s="22" t="str">
        <f>IF(AND(L242&lt;&gt;"",D242="Gelir",I242="Hayır"),L242&amp;"|"&amp;TEXT(COUNTIFS($L$7:L242,L242,$D$7:D242,"Gelir",$I$7:I242,"Hayır"),"000"),"")</f>
        <v/>
      </c>
      <c r="R242" s="22" t="b">
        <f>OR(COUNTIF(LST_MUSTERI_ADI,L242)&gt;0,L242=SISTEM!$C$9,L242=SISTEM!$C$10)</f>
        <v>0</v>
      </c>
    </row>
    <row r="243" spans="1:18" ht="17">
      <c r="A243" s="6"/>
      <c r="B243" s="95" t="str">
        <f t="shared" si="16"/>
        <v/>
      </c>
      <c r="C243" s="97"/>
      <c r="D243" s="95"/>
      <c r="E243" s="96"/>
      <c r="F243" s="96"/>
      <c r="G243" s="99"/>
      <c r="H243" s="95"/>
      <c r="I243" s="95"/>
      <c r="J243" s="95"/>
      <c r="K243" s="95"/>
      <c r="L243" s="96"/>
      <c r="M243" s="42" t="str">
        <f t="shared" si="12"/>
        <v/>
      </c>
      <c r="N243" s="42" t="str">
        <f t="shared" si="13"/>
        <v/>
      </c>
      <c r="O243" s="43" t="str">
        <f t="shared" si="14"/>
        <v/>
      </c>
      <c r="P243" s="42" t="str">
        <f t="shared" si="15"/>
        <v/>
      </c>
      <c r="Q243" s="22" t="str">
        <f>IF(AND(L243&lt;&gt;"",D243="Gelir",I243="Hayır"),L243&amp;"|"&amp;TEXT(COUNTIFS($L$7:L243,L243,$D$7:D243,"Gelir",$I$7:I243,"Hayır"),"000"),"")</f>
        <v/>
      </c>
      <c r="R243" s="22" t="b">
        <f>OR(COUNTIF(LST_MUSTERI_ADI,L243)&gt;0,L243=SISTEM!$C$9,L243=SISTEM!$C$10)</f>
        <v>0</v>
      </c>
    </row>
    <row r="244" spans="1:18" ht="17">
      <c r="A244" s="6"/>
      <c r="B244" s="95" t="str">
        <f t="shared" si="16"/>
        <v/>
      </c>
      <c r="C244" s="97"/>
      <c r="D244" s="95"/>
      <c r="E244" s="96"/>
      <c r="F244" s="96"/>
      <c r="G244" s="99"/>
      <c r="H244" s="95"/>
      <c r="I244" s="95"/>
      <c r="J244" s="95"/>
      <c r="K244" s="95"/>
      <c r="L244" s="96"/>
      <c r="M244" s="42" t="str">
        <f t="shared" si="12"/>
        <v/>
      </c>
      <c r="N244" s="42" t="str">
        <f t="shared" si="13"/>
        <v/>
      </c>
      <c r="O244" s="43" t="str">
        <f t="shared" si="14"/>
        <v/>
      </c>
      <c r="P244" s="42" t="str">
        <f t="shared" si="15"/>
        <v/>
      </c>
      <c r="Q244" s="22" t="str">
        <f>IF(AND(L244&lt;&gt;"",D244="Gelir",I244="Hayır"),L244&amp;"|"&amp;TEXT(COUNTIFS($L$7:L244,L244,$D$7:D244,"Gelir",$I$7:I244,"Hayır"),"000"),"")</f>
        <v/>
      </c>
      <c r="R244" s="22" t="b">
        <f>OR(COUNTIF(LST_MUSTERI_ADI,L244)&gt;0,L244=SISTEM!$C$9,L244=SISTEM!$C$10)</f>
        <v>0</v>
      </c>
    </row>
    <row r="245" spans="1:18" ht="17">
      <c r="A245" s="6"/>
      <c r="B245" s="95" t="str">
        <f t="shared" si="16"/>
        <v/>
      </c>
      <c r="C245" s="97"/>
      <c r="D245" s="95"/>
      <c r="E245" s="96"/>
      <c r="F245" s="96"/>
      <c r="G245" s="99"/>
      <c r="H245" s="95"/>
      <c r="I245" s="95"/>
      <c r="J245" s="95"/>
      <c r="K245" s="95"/>
      <c r="L245" s="96"/>
      <c r="M245" s="42" t="str">
        <f t="shared" si="12"/>
        <v/>
      </c>
      <c r="N245" s="42" t="str">
        <f t="shared" si="13"/>
        <v/>
      </c>
      <c r="O245" s="43" t="str">
        <f t="shared" si="14"/>
        <v/>
      </c>
      <c r="P245" s="42" t="str">
        <f t="shared" si="15"/>
        <v/>
      </c>
      <c r="Q245" s="22" t="str">
        <f>IF(AND(L245&lt;&gt;"",D245="Gelir",I245="Hayır"),L245&amp;"|"&amp;TEXT(COUNTIFS($L$7:L245,L245,$D$7:D245,"Gelir",$I$7:I245,"Hayır"),"000"),"")</f>
        <v/>
      </c>
      <c r="R245" s="22" t="b">
        <f>OR(COUNTIF(LST_MUSTERI_ADI,L245)&gt;0,L245=SISTEM!$C$9,L245=SISTEM!$C$10)</f>
        <v>0</v>
      </c>
    </row>
    <row r="246" spans="1:18" ht="17">
      <c r="A246" s="6"/>
      <c r="B246" s="95" t="str">
        <f t="shared" si="16"/>
        <v/>
      </c>
      <c r="C246" s="97"/>
      <c r="D246" s="95"/>
      <c r="E246" s="96"/>
      <c r="F246" s="96"/>
      <c r="G246" s="99"/>
      <c r="H246" s="95"/>
      <c r="I246" s="95"/>
      <c r="J246" s="95"/>
      <c r="K246" s="95"/>
      <c r="L246" s="96"/>
      <c r="M246" s="42" t="str">
        <f t="shared" si="12"/>
        <v/>
      </c>
      <c r="N246" s="42" t="str">
        <f t="shared" si="13"/>
        <v/>
      </c>
      <c r="O246" s="43" t="str">
        <f t="shared" si="14"/>
        <v/>
      </c>
      <c r="P246" s="42" t="str">
        <f t="shared" si="15"/>
        <v/>
      </c>
      <c r="Q246" s="22" t="str">
        <f>IF(AND(L246&lt;&gt;"",D246="Gelir",I246="Hayır"),L246&amp;"|"&amp;TEXT(COUNTIFS($L$7:L246,L246,$D$7:D246,"Gelir",$I$7:I246,"Hayır"),"000"),"")</f>
        <v/>
      </c>
      <c r="R246" s="22" t="b">
        <f>OR(COUNTIF(LST_MUSTERI_ADI,L246)&gt;0,L246=SISTEM!$C$9,L246=SISTEM!$C$10)</f>
        <v>0</v>
      </c>
    </row>
    <row r="247" spans="1:18" ht="17">
      <c r="A247" s="6"/>
      <c r="B247" s="95" t="str">
        <f t="shared" si="16"/>
        <v/>
      </c>
      <c r="C247" s="97"/>
      <c r="D247" s="95"/>
      <c r="E247" s="96"/>
      <c r="F247" s="96"/>
      <c r="G247" s="99"/>
      <c r="H247" s="95"/>
      <c r="I247" s="95"/>
      <c r="J247" s="95"/>
      <c r="K247" s="95"/>
      <c r="L247" s="96"/>
      <c r="M247" s="42" t="str">
        <f t="shared" si="12"/>
        <v/>
      </c>
      <c r="N247" s="42" t="str">
        <f t="shared" si="13"/>
        <v/>
      </c>
      <c r="O247" s="43" t="str">
        <f t="shared" si="14"/>
        <v/>
      </c>
      <c r="P247" s="42" t="str">
        <f t="shared" si="15"/>
        <v/>
      </c>
      <c r="Q247" s="22" t="str">
        <f>IF(AND(L247&lt;&gt;"",D247="Gelir",I247="Hayır"),L247&amp;"|"&amp;TEXT(COUNTIFS($L$7:L247,L247,$D$7:D247,"Gelir",$I$7:I247,"Hayır"),"000"),"")</f>
        <v/>
      </c>
      <c r="R247" s="22" t="b">
        <f>OR(COUNTIF(LST_MUSTERI_ADI,L247)&gt;0,L247=SISTEM!$C$9,L247=SISTEM!$C$10)</f>
        <v>0</v>
      </c>
    </row>
    <row r="248" spans="1:18" ht="17">
      <c r="A248" s="6"/>
      <c r="B248" s="95" t="str">
        <f t="shared" si="16"/>
        <v/>
      </c>
      <c r="C248" s="97"/>
      <c r="D248" s="95"/>
      <c r="E248" s="96"/>
      <c r="F248" s="96"/>
      <c r="G248" s="99"/>
      <c r="H248" s="95"/>
      <c r="I248" s="95"/>
      <c r="J248" s="95"/>
      <c r="K248" s="95"/>
      <c r="L248" s="96"/>
      <c r="M248" s="42" t="str">
        <f t="shared" si="12"/>
        <v/>
      </c>
      <c r="N248" s="42" t="str">
        <f t="shared" si="13"/>
        <v/>
      </c>
      <c r="O248" s="43" t="str">
        <f t="shared" si="14"/>
        <v/>
      </c>
      <c r="P248" s="42" t="str">
        <f t="shared" si="15"/>
        <v/>
      </c>
      <c r="Q248" s="22" t="str">
        <f>IF(AND(L248&lt;&gt;"",D248="Gelir",I248="Hayır"),L248&amp;"|"&amp;TEXT(COUNTIFS($L$7:L248,L248,$D$7:D248,"Gelir",$I$7:I248,"Hayır"),"000"),"")</f>
        <v/>
      </c>
      <c r="R248" s="22" t="b">
        <f>OR(COUNTIF(LST_MUSTERI_ADI,L248)&gt;0,L248=SISTEM!$C$9,L248=SISTEM!$C$10)</f>
        <v>0</v>
      </c>
    </row>
    <row r="249" spans="1:18" ht="17">
      <c r="A249" s="6"/>
      <c r="B249" s="95" t="str">
        <f t="shared" si="16"/>
        <v/>
      </c>
      <c r="C249" s="97"/>
      <c r="D249" s="95"/>
      <c r="E249" s="96"/>
      <c r="F249" s="96"/>
      <c r="G249" s="99"/>
      <c r="H249" s="95"/>
      <c r="I249" s="95"/>
      <c r="J249" s="95"/>
      <c r="K249" s="95"/>
      <c r="L249" s="96"/>
      <c r="M249" s="42" t="str">
        <f t="shared" si="12"/>
        <v/>
      </c>
      <c r="N249" s="42" t="str">
        <f t="shared" si="13"/>
        <v/>
      </c>
      <c r="O249" s="43" t="str">
        <f t="shared" si="14"/>
        <v/>
      </c>
      <c r="P249" s="42" t="str">
        <f t="shared" si="15"/>
        <v/>
      </c>
      <c r="Q249" s="22" t="str">
        <f>IF(AND(L249&lt;&gt;"",D249="Gelir",I249="Hayır"),L249&amp;"|"&amp;TEXT(COUNTIFS($L$7:L249,L249,$D$7:D249,"Gelir",$I$7:I249,"Hayır"),"000"),"")</f>
        <v/>
      </c>
      <c r="R249" s="22" t="b">
        <f>OR(COUNTIF(LST_MUSTERI_ADI,L249)&gt;0,L249=SISTEM!$C$9,L249=SISTEM!$C$10)</f>
        <v>0</v>
      </c>
    </row>
    <row r="250" spans="1:18" ht="17">
      <c r="A250" s="6"/>
      <c r="B250" s="95" t="str">
        <f t="shared" si="16"/>
        <v/>
      </c>
      <c r="C250" s="97"/>
      <c r="D250" s="95"/>
      <c r="E250" s="96"/>
      <c r="F250" s="96"/>
      <c r="G250" s="99"/>
      <c r="H250" s="95"/>
      <c r="I250" s="95"/>
      <c r="J250" s="95"/>
      <c r="K250" s="95"/>
      <c r="L250" s="96"/>
      <c r="M250" s="42" t="str">
        <f t="shared" si="12"/>
        <v/>
      </c>
      <c r="N250" s="42" t="str">
        <f t="shared" si="13"/>
        <v/>
      </c>
      <c r="O250" s="43" t="str">
        <f t="shared" si="14"/>
        <v/>
      </c>
      <c r="P250" s="42" t="str">
        <f t="shared" si="15"/>
        <v/>
      </c>
      <c r="Q250" s="22" t="str">
        <f>IF(AND(L250&lt;&gt;"",D250="Gelir",I250="Hayır"),L250&amp;"|"&amp;TEXT(COUNTIFS($L$7:L250,L250,$D$7:D250,"Gelir",$I$7:I250,"Hayır"),"000"),"")</f>
        <v/>
      </c>
      <c r="R250" s="22" t="b">
        <f>OR(COUNTIF(LST_MUSTERI_ADI,L250)&gt;0,L250=SISTEM!$C$9,L250=SISTEM!$C$10)</f>
        <v>0</v>
      </c>
    </row>
    <row r="251" spans="1:18" ht="17">
      <c r="A251" s="6"/>
      <c r="B251" s="95" t="str">
        <f t="shared" si="16"/>
        <v/>
      </c>
      <c r="C251" s="97"/>
      <c r="D251" s="95"/>
      <c r="E251" s="96"/>
      <c r="F251" s="96"/>
      <c r="G251" s="99"/>
      <c r="H251" s="95"/>
      <c r="I251" s="95"/>
      <c r="J251" s="95"/>
      <c r="K251" s="95"/>
      <c r="L251" s="96"/>
      <c r="M251" s="42" t="str">
        <f t="shared" si="12"/>
        <v/>
      </c>
      <c r="N251" s="42" t="str">
        <f t="shared" si="13"/>
        <v/>
      </c>
      <c r="O251" s="43" t="str">
        <f t="shared" si="14"/>
        <v/>
      </c>
      <c r="P251" s="42" t="str">
        <f t="shared" si="15"/>
        <v/>
      </c>
      <c r="Q251" s="22" t="str">
        <f>IF(AND(L251&lt;&gt;"",D251="Gelir",I251="Hayır"),L251&amp;"|"&amp;TEXT(COUNTIFS($L$7:L251,L251,$D$7:D251,"Gelir",$I$7:I251,"Hayır"),"000"),"")</f>
        <v/>
      </c>
      <c r="R251" s="22" t="b">
        <f>OR(COUNTIF(LST_MUSTERI_ADI,L251)&gt;0,L251=SISTEM!$C$9,L251=SISTEM!$C$10)</f>
        <v>0</v>
      </c>
    </row>
    <row r="252" spans="1:18" ht="17">
      <c r="A252" s="6"/>
      <c r="B252" s="95" t="str">
        <f t="shared" si="16"/>
        <v/>
      </c>
      <c r="C252" s="97"/>
      <c r="D252" s="95"/>
      <c r="E252" s="96"/>
      <c r="F252" s="96"/>
      <c r="G252" s="99"/>
      <c r="H252" s="95"/>
      <c r="I252" s="95"/>
      <c r="J252" s="95"/>
      <c r="K252" s="95"/>
      <c r="L252" s="96"/>
      <c r="M252" s="42" t="str">
        <f t="shared" si="12"/>
        <v/>
      </c>
      <c r="N252" s="42" t="str">
        <f t="shared" si="13"/>
        <v/>
      </c>
      <c r="O252" s="43" t="str">
        <f t="shared" si="14"/>
        <v/>
      </c>
      <c r="P252" s="42" t="str">
        <f t="shared" si="15"/>
        <v/>
      </c>
      <c r="Q252" s="22" t="str">
        <f>IF(AND(L252&lt;&gt;"",D252="Gelir",I252="Hayır"),L252&amp;"|"&amp;TEXT(COUNTIFS($L$7:L252,L252,$D$7:D252,"Gelir",$I$7:I252,"Hayır"),"000"),"")</f>
        <v/>
      </c>
      <c r="R252" s="22" t="b">
        <f>OR(COUNTIF(LST_MUSTERI_ADI,L252)&gt;0,L252=SISTEM!$C$9,L252=SISTEM!$C$10)</f>
        <v>0</v>
      </c>
    </row>
    <row r="253" spans="1:18" ht="17">
      <c r="A253" s="6"/>
      <c r="B253" s="95" t="str">
        <f t="shared" si="16"/>
        <v/>
      </c>
      <c r="C253" s="97"/>
      <c r="D253" s="95"/>
      <c r="E253" s="96"/>
      <c r="F253" s="96"/>
      <c r="G253" s="99"/>
      <c r="H253" s="95"/>
      <c r="I253" s="95"/>
      <c r="J253" s="95"/>
      <c r="K253" s="95"/>
      <c r="L253" s="96"/>
      <c r="M253" s="42" t="str">
        <f t="shared" si="12"/>
        <v/>
      </c>
      <c r="N253" s="42" t="str">
        <f t="shared" si="13"/>
        <v/>
      </c>
      <c r="O253" s="43" t="str">
        <f t="shared" si="14"/>
        <v/>
      </c>
      <c r="P253" s="42" t="str">
        <f t="shared" si="15"/>
        <v/>
      </c>
      <c r="Q253" s="22" t="str">
        <f>IF(AND(L253&lt;&gt;"",D253="Gelir",I253="Hayır"),L253&amp;"|"&amp;TEXT(COUNTIFS($L$7:L253,L253,$D$7:D253,"Gelir",$I$7:I253,"Hayır"),"000"),"")</f>
        <v/>
      </c>
      <c r="R253" s="22" t="b">
        <f>OR(COUNTIF(LST_MUSTERI_ADI,L253)&gt;0,L253=SISTEM!$C$9,L253=SISTEM!$C$10)</f>
        <v>0</v>
      </c>
    </row>
    <row r="254" spans="1:18" ht="17">
      <c r="A254" s="6"/>
      <c r="B254" s="95" t="str">
        <f t="shared" si="16"/>
        <v/>
      </c>
      <c r="C254" s="97"/>
      <c r="D254" s="95"/>
      <c r="E254" s="96"/>
      <c r="F254" s="96"/>
      <c r="G254" s="99"/>
      <c r="H254" s="95"/>
      <c r="I254" s="95"/>
      <c r="J254" s="95"/>
      <c r="K254" s="95"/>
      <c r="L254" s="96"/>
      <c r="M254" s="42" t="str">
        <f t="shared" si="12"/>
        <v/>
      </c>
      <c r="N254" s="42" t="str">
        <f t="shared" si="13"/>
        <v/>
      </c>
      <c r="O254" s="43" t="str">
        <f t="shared" si="14"/>
        <v/>
      </c>
      <c r="P254" s="42" t="str">
        <f t="shared" si="15"/>
        <v/>
      </c>
      <c r="Q254" s="22" t="str">
        <f>IF(AND(L254&lt;&gt;"",D254="Gelir",I254="Hayır"),L254&amp;"|"&amp;TEXT(COUNTIFS($L$7:L254,L254,$D$7:D254,"Gelir",$I$7:I254,"Hayır"),"000"),"")</f>
        <v/>
      </c>
      <c r="R254" s="22" t="b">
        <f>OR(COUNTIF(LST_MUSTERI_ADI,L254)&gt;0,L254=SISTEM!$C$9,L254=SISTEM!$C$10)</f>
        <v>0</v>
      </c>
    </row>
    <row r="255" spans="1:18" ht="17">
      <c r="A255" s="6"/>
      <c r="B255" s="95" t="str">
        <f t="shared" si="16"/>
        <v/>
      </c>
      <c r="C255" s="97"/>
      <c r="D255" s="95"/>
      <c r="E255" s="96"/>
      <c r="F255" s="96"/>
      <c r="G255" s="99"/>
      <c r="H255" s="95"/>
      <c r="I255" s="95"/>
      <c r="J255" s="95"/>
      <c r="K255" s="95"/>
      <c r="L255" s="96"/>
      <c r="M255" s="42" t="str">
        <f t="shared" si="12"/>
        <v/>
      </c>
      <c r="N255" s="42" t="str">
        <f t="shared" si="13"/>
        <v/>
      </c>
      <c r="O255" s="43" t="str">
        <f t="shared" si="14"/>
        <v/>
      </c>
      <c r="P255" s="42" t="str">
        <f t="shared" si="15"/>
        <v/>
      </c>
      <c r="Q255" s="22" t="str">
        <f>IF(AND(L255&lt;&gt;"",D255="Gelir",I255="Hayır"),L255&amp;"|"&amp;TEXT(COUNTIFS($L$7:L255,L255,$D$7:D255,"Gelir",$I$7:I255,"Hayır"),"000"),"")</f>
        <v/>
      </c>
      <c r="R255" s="22" t="b">
        <f>OR(COUNTIF(LST_MUSTERI_ADI,L255)&gt;0,L255=SISTEM!$C$9,L255=SISTEM!$C$10)</f>
        <v>0</v>
      </c>
    </row>
    <row r="256" spans="1:18" ht="17">
      <c r="A256" s="6"/>
      <c r="B256" s="95" t="str">
        <f t="shared" si="16"/>
        <v/>
      </c>
      <c r="C256" s="97"/>
      <c r="D256" s="95"/>
      <c r="E256" s="96"/>
      <c r="F256" s="96"/>
      <c r="G256" s="99"/>
      <c r="H256" s="95"/>
      <c r="I256" s="95"/>
      <c r="J256" s="95"/>
      <c r="K256" s="95"/>
      <c r="L256" s="96"/>
      <c r="M256" s="42" t="str">
        <f t="shared" si="12"/>
        <v/>
      </c>
      <c r="N256" s="42" t="str">
        <f t="shared" si="13"/>
        <v/>
      </c>
      <c r="O256" s="43" t="str">
        <f t="shared" si="14"/>
        <v/>
      </c>
      <c r="P256" s="42" t="str">
        <f t="shared" si="15"/>
        <v/>
      </c>
      <c r="Q256" s="22" t="str">
        <f>IF(AND(L256&lt;&gt;"",D256="Gelir",I256="Hayır"),L256&amp;"|"&amp;TEXT(COUNTIFS($L$7:L256,L256,$D$7:D256,"Gelir",$I$7:I256,"Hayır"),"000"),"")</f>
        <v/>
      </c>
      <c r="R256" s="22" t="b">
        <f>OR(COUNTIF(LST_MUSTERI_ADI,L256)&gt;0,L256=SISTEM!$C$9,L256=SISTEM!$C$10)</f>
        <v>0</v>
      </c>
    </row>
    <row r="257" spans="1:18" ht="17">
      <c r="A257" s="6"/>
      <c r="B257" s="95" t="str">
        <f t="shared" si="16"/>
        <v/>
      </c>
      <c r="C257" s="97"/>
      <c r="D257" s="95"/>
      <c r="E257" s="96"/>
      <c r="F257" s="96"/>
      <c r="G257" s="99"/>
      <c r="H257" s="95"/>
      <c r="I257" s="95"/>
      <c r="J257" s="95"/>
      <c r="K257" s="95"/>
      <c r="L257" s="96"/>
      <c r="M257" s="42" t="str">
        <f t="shared" si="12"/>
        <v/>
      </c>
      <c r="N257" s="42" t="str">
        <f t="shared" si="13"/>
        <v/>
      </c>
      <c r="O257" s="43" t="str">
        <f t="shared" si="14"/>
        <v/>
      </c>
      <c r="P257" s="42" t="str">
        <f t="shared" si="15"/>
        <v/>
      </c>
      <c r="Q257" s="22" t="str">
        <f>IF(AND(L257&lt;&gt;"",D257="Gelir",I257="Hayır"),L257&amp;"|"&amp;TEXT(COUNTIFS($L$7:L257,L257,$D$7:D257,"Gelir",$I$7:I257,"Hayır"),"000"),"")</f>
        <v/>
      </c>
      <c r="R257" s="22" t="b">
        <f>OR(COUNTIF(LST_MUSTERI_ADI,L257)&gt;0,L257=SISTEM!$C$9,L257=SISTEM!$C$10)</f>
        <v>0</v>
      </c>
    </row>
    <row r="258" spans="1:18" ht="17">
      <c r="A258" s="6"/>
      <c r="B258" s="95" t="str">
        <f t="shared" si="16"/>
        <v/>
      </c>
      <c r="C258" s="97"/>
      <c r="D258" s="95"/>
      <c r="E258" s="96"/>
      <c r="F258" s="96"/>
      <c r="G258" s="99"/>
      <c r="H258" s="95"/>
      <c r="I258" s="95"/>
      <c r="J258" s="95"/>
      <c r="K258" s="95"/>
      <c r="L258" s="96"/>
      <c r="M258" s="42" t="str">
        <f t="shared" si="12"/>
        <v/>
      </c>
      <c r="N258" s="42" t="str">
        <f t="shared" si="13"/>
        <v/>
      </c>
      <c r="O258" s="43" t="str">
        <f t="shared" si="14"/>
        <v/>
      </c>
      <c r="P258" s="42" t="str">
        <f t="shared" si="15"/>
        <v/>
      </c>
      <c r="Q258" s="22" t="str">
        <f>IF(AND(L258&lt;&gt;"",D258="Gelir",I258="Hayır"),L258&amp;"|"&amp;TEXT(COUNTIFS($L$7:L258,L258,$D$7:D258,"Gelir",$I$7:I258,"Hayır"),"000"),"")</f>
        <v/>
      </c>
      <c r="R258" s="22" t="b">
        <f>OR(COUNTIF(LST_MUSTERI_ADI,L258)&gt;0,L258=SISTEM!$C$9,L258=SISTEM!$C$10)</f>
        <v>0</v>
      </c>
    </row>
    <row r="259" spans="1:18" ht="17">
      <c r="A259" s="6"/>
      <c r="B259" s="95" t="str">
        <f t="shared" si="16"/>
        <v/>
      </c>
      <c r="C259" s="97"/>
      <c r="D259" s="95"/>
      <c r="E259" s="96"/>
      <c r="F259" s="96"/>
      <c r="G259" s="99"/>
      <c r="H259" s="95"/>
      <c r="I259" s="95"/>
      <c r="J259" s="95"/>
      <c r="K259" s="95"/>
      <c r="L259" s="96"/>
      <c r="M259" s="42" t="str">
        <f t="shared" si="12"/>
        <v/>
      </c>
      <c r="N259" s="42" t="str">
        <f t="shared" si="13"/>
        <v/>
      </c>
      <c r="O259" s="43" t="str">
        <f t="shared" si="14"/>
        <v/>
      </c>
      <c r="P259" s="42" t="str">
        <f t="shared" si="15"/>
        <v/>
      </c>
      <c r="Q259" s="22" t="str">
        <f>IF(AND(L259&lt;&gt;"",D259="Gelir",I259="Hayır"),L259&amp;"|"&amp;TEXT(COUNTIFS($L$7:L259,L259,$D$7:D259,"Gelir",$I$7:I259,"Hayır"),"000"),"")</f>
        <v/>
      </c>
      <c r="R259" s="22" t="b">
        <f>OR(COUNTIF(LST_MUSTERI_ADI,L259)&gt;0,L259=SISTEM!$C$9,L259=SISTEM!$C$10)</f>
        <v>0</v>
      </c>
    </row>
    <row r="260" spans="1:18" ht="17">
      <c r="A260" s="6"/>
      <c r="B260" s="95" t="str">
        <f t="shared" si="16"/>
        <v/>
      </c>
      <c r="C260" s="97"/>
      <c r="D260" s="95"/>
      <c r="E260" s="96"/>
      <c r="F260" s="96"/>
      <c r="G260" s="99"/>
      <c r="H260" s="95"/>
      <c r="I260" s="95"/>
      <c r="J260" s="95"/>
      <c r="K260" s="95"/>
      <c r="L260" s="96"/>
      <c r="M260" s="42" t="str">
        <f t="shared" si="12"/>
        <v/>
      </c>
      <c r="N260" s="42" t="str">
        <f t="shared" si="13"/>
        <v/>
      </c>
      <c r="O260" s="43" t="str">
        <f t="shared" si="14"/>
        <v/>
      </c>
      <c r="P260" s="42" t="str">
        <f t="shared" si="15"/>
        <v/>
      </c>
      <c r="Q260" s="22" t="str">
        <f>IF(AND(L260&lt;&gt;"",D260="Gelir",I260="Hayır"),L260&amp;"|"&amp;TEXT(COUNTIFS($L$7:L260,L260,$D$7:D260,"Gelir",$I$7:I260,"Hayır"),"000"),"")</f>
        <v/>
      </c>
      <c r="R260" s="22" t="b">
        <f>OR(COUNTIF(LST_MUSTERI_ADI,L260)&gt;0,L260=SISTEM!$C$9,L260=SISTEM!$C$10)</f>
        <v>0</v>
      </c>
    </row>
    <row r="261" spans="1:18" ht="17">
      <c r="A261" s="6"/>
      <c r="B261" s="95" t="str">
        <f t="shared" si="16"/>
        <v/>
      </c>
      <c r="C261" s="97"/>
      <c r="D261" s="95"/>
      <c r="E261" s="96"/>
      <c r="F261" s="96"/>
      <c r="G261" s="99"/>
      <c r="H261" s="95"/>
      <c r="I261" s="95"/>
      <c r="J261" s="95"/>
      <c r="K261" s="95"/>
      <c r="L261" s="96"/>
      <c r="M261" s="42" t="str">
        <f t="shared" si="12"/>
        <v/>
      </c>
      <c r="N261" s="42" t="str">
        <f t="shared" si="13"/>
        <v/>
      </c>
      <c r="O261" s="43" t="str">
        <f t="shared" si="14"/>
        <v/>
      </c>
      <c r="P261" s="42" t="str">
        <f t="shared" si="15"/>
        <v/>
      </c>
      <c r="Q261" s="22" t="str">
        <f>IF(AND(L261&lt;&gt;"",D261="Gelir",I261="Hayır"),L261&amp;"|"&amp;TEXT(COUNTIFS($L$7:L261,L261,$D$7:D261,"Gelir",$I$7:I261,"Hayır"),"000"),"")</f>
        <v/>
      </c>
      <c r="R261" s="22" t="b">
        <f>OR(COUNTIF(LST_MUSTERI_ADI,L261)&gt;0,L261=SISTEM!$C$9,L261=SISTEM!$C$10)</f>
        <v>0</v>
      </c>
    </row>
    <row r="262" spans="1:18" ht="17">
      <c r="A262" s="6"/>
      <c r="B262" s="95" t="str">
        <f t="shared" si="16"/>
        <v/>
      </c>
      <c r="C262" s="97"/>
      <c r="D262" s="95"/>
      <c r="E262" s="96"/>
      <c r="F262" s="96"/>
      <c r="G262" s="99"/>
      <c r="H262" s="95"/>
      <c r="I262" s="95"/>
      <c r="J262" s="95"/>
      <c r="K262" s="95"/>
      <c r="L262" s="96"/>
      <c r="M262" s="42" t="str">
        <f t="shared" si="12"/>
        <v/>
      </c>
      <c r="N262" s="42" t="str">
        <f t="shared" si="13"/>
        <v/>
      </c>
      <c r="O262" s="43" t="str">
        <f t="shared" si="14"/>
        <v/>
      </c>
      <c r="P262" s="42" t="str">
        <f t="shared" si="15"/>
        <v/>
      </c>
      <c r="Q262" s="22" t="str">
        <f>IF(AND(L262&lt;&gt;"",D262="Gelir",I262="Hayır"),L262&amp;"|"&amp;TEXT(COUNTIFS($L$7:L262,L262,$D$7:D262,"Gelir",$I$7:I262,"Hayır"),"000"),"")</f>
        <v/>
      </c>
      <c r="R262" s="22" t="b">
        <f>OR(COUNTIF(LST_MUSTERI_ADI,L262)&gt;0,L262=SISTEM!$C$9,L262=SISTEM!$C$10)</f>
        <v>0</v>
      </c>
    </row>
    <row r="263" spans="1:18" ht="17">
      <c r="A263" s="6"/>
      <c r="B263" s="95" t="str">
        <f t="shared" si="16"/>
        <v/>
      </c>
      <c r="C263" s="97"/>
      <c r="D263" s="95"/>
      <c r="E263" s="96"/>
      <c r="F263" s="96"/>
      <c r="G263" s="99"/>
      <c r="H263" s="95"/>
      <c r="I263" s="95"/>
      <c r="J263" s="95"/>
      <c r="K263" s="95"/>
      <c r="L263" s="96"/>
      <c r="M263" s="42" t="str">
        <f t="shared" ref="M263:M326" si="17">IF(C263="","",IF(D263="Gider",IF(H263&lt;&gt;"",H263,"CARİ MAHSUP"),IF(L263&lt;&gt;"",L263,H263)))</f>
        <v/>
      </c>
      <c r="N263" s="42" t="str">
        <f t="shared" ref="N263:N326" si="18">IF(C263="","",IF(D263="Gider",E263,IF(H263&lt;&gt;"",H263,E263)))</f>
        <v/>
      </c>
      <c r="O263" s="43" t="str">
        <f t="shared" ref="O263:O326" si="19">IF(C263="","",DATE(YEAR(C263),MONTH(C263),1))</f>
        <v/>
      </c>
      <c r="P263" s="42" t="str">
        <f t="shared" ref="P263:P326" si="20">IF(C263="","",IF(OR(D263="",E263="",G263=""),"EKSİK",IF(AND(D263="Gelir",I263="Hayır",L263&lt;&gt;""),IF(R263,"TAHAKKUK","TANIMSIZ BORÇLU"),IF(AND(D263="Gelir",I263="Evet",L263&lt;&gt;""),"TAHAKKUK NAKİT OLAMAZ",IF(AND(D263="Gelir",I263="Hayır",H263&lt;&gt;""),"NAKİTSİZDE KASA OLMAZ","UYGUN")))))</f>
        <v/>
      </c>
      <c r="Q263" s="22" t="str">
        <f>IF(AND(L263&lt;&gt;"",D263="Gelir",I263="Hayır"),L263&amp;"|"&amp;TEXT(COUNTIFS($L$7:L263,L263,$D$7:D263,"Gelir",$I$7:I263,"Hayır"),"000"),"")</f>
        <v/>
      </c>
      <c r="R263" s="22" t="b">
        <f>OR(COUNTIF(LST_MUSTERI_ADI,L263)&gt;0,L263=SISTEM!$C$9,L263=SISTEM!$C$10)</f>
        <v>0</v>
      </c>
    </row>
    <row r="264" spans="1:18" ht="17">
      <c r="A264" s="6"/>
      <c r="B264" s="95" t="str">
        <f t="shared" si="16"/>
        <v/>
      </c>
      <c r="C264" s="97"/>
      <c r="D264" s="95"/>
      <c r="E264" s="96"/>
      <c r="F264" s="96"/>
      <c r="G264" s="99"/>
      <c r="H264" s="95"/>
      <c r="I264" s="95"/>
      <c r="J264" s="95"/>
      <c r="K264" s="95"/>
      <c r="L264" s="96"/>
      <c r="M264" s="42" t="str">
        <f t="shared" si="17"/>
        <v/>
      </c>
      <c r="N264" s="42" t="str">
        <f t="shared" si="18"/>
        <v/>
      </c>
      <c r="O264" s="43" t="str">
        <f t="shared" si="19"/>
        <v/>
      </c>
      <c r="P264" s="42" t="str">
        <f t="shared" si="20"/>
        <v/>
      </c>
      <c r="Q264" s="22" t="str">
        <f>IF(AND(L264&lt;&gt;"",D264="Gelir",I264="Hayır"),L264&amp;"|"&amp;TEXT(COUNTIFS($L$7:L264,L264,$D$7:D264,"Gelir",$I$7:I264,"Hayır"),"000"),"")</f>
        <v/>
      </c>
      <c r="R264" s="22" t="b">
        <f>OR(COUNTIF(LST_MUSTERI_ADI,L264)&gt;0,L264=SISTEM!$C$9,L264=SISTEM!$C$10)</f>
        <v>0</v>
      </c>
    </row>
    <row r="265" spans="1:18" ht="17">
      <c r="A265" s="6"/>
      <c r="B265" s="95" t="str">
        <f t="shared" si="16"/>
        <v/>
      </c>
      <c r="C265" s="97"/>
      <c r="D265" s="95"/>
      <c r="E265" s="96"/>
      <c r="F265" s="96"/>
      <c r="G265" s="99"/>
      <c r="H265" s="95"/>
      <c r="I265" s="95"/>
      <c r="J265" s="95"/>
      <c r="K265" s="95"/>
      <c r="L265" s="96"/>
      <c r="M265" s="42" t="str">
        <f t="shared" si="17"/>
        <v/>
      </c>
      <c r="N265" s="42" t="str">
        <f t="shared" si="18"/>
        <v/>
      </c>
      <c r="O265" s="43" t="str">
        <f t="shared" si="19"/>
        <v/>
      </c>
      <c r="P265" s="42" t="str">
        <f t="shared" si="20"/>
        <v/>
      </c>
      <c r="Q265" s="22" t="str">
        <f>IF(AND(L265&lt;&gt;"",D265="Gelir",I265="Hayır"),L265&amp;"|"&amp;TEXT(COUNTIFS($L$7:L265,L265,$D$7:D265,"Gelir",$I$7:I265,"Hayır"),"000"),"")</f>
        <v/>
      </c>
      <c r="R265" s="22" t="b">
        <f>OR(COUNTIF(LST_MUSTERI_ADI,L265)&gt;0,L265=SISTEM!$C$9,L265=SISTEM!$C$10)</f>
        <v>0</v>
      </c>
    </row>
    <row r="266" spans="1:18" ht="17">
      <c r="A266" s="6"/>
      <c r="B266" s="95" t="str">
        <f t="shared" si="16"/>
        <v/>
      </c>
      <c r="C266" s="97"/>
      <c r="D266" s="95"/>
      <c r="E266" s="96"/>
      <c r="F266" s="96"/>
      <c r="G266" s="99"/>
      <c r="H266" s="95"/>
      <c r="I266" s="95"/>
      <c r="J266" s="95"/>
      <c r="K266" s="95"/>
      <c r="L266" s="96"/>
      <c r="M266" s="42" t="str">
        <f t="shared" si="17"/>
        <v/>
      </c>
      <c r="N266" s="42" t="str">
        <f t="shared" si="18"/>
        <v/>
      </c>
      <c r="O266" s="43" t="str">
        <f t="shared" si="19"/>
        <v/>
      </c>
      <c r="P266" s="42" t="str">
        <f t="shared" si="20"/>
        <v/>
      </c>
      <c r="Q266" s="22" t="str">
        <f>IF(AND(L266&lt;&gt;"",D266="Gelir",I266="Hayır"),L266&amp;"|"&amp;TEXT(COUNTIFS($L$7:L266,L266,$D$7:D266,"Gelir",$I$7:I266,"Hayır"),"000"),"")</f>
        <v/>
      </c>
      <c r="R266" s="22" t="b">
        <f>OR(COUNTIF(LST_MUSTERI_ADI,L266)&gt;0,L266=SISTEM!$C$9,L266=SISTEM!$C$10)</f>
        <v>0</v>
      </c>
    </row>
    <row r="267" spans="1:18" ht="17">
      <c r="A267" s="6"/>
      <c r="B267" s="95" t="str">
        <f t="shared" si="16"/>
        <v/>
      </c>
      <c r="C267" s="97"/>
      <c r="D267" s="95"/>
      <c r="E267" s="96"/>
      <c r="F267" s="96"/>
      <c r="G267" s="99"/>
      <c r="H267" s="95"/>
      <c r="I267" s="95"/>
      <c r="J267" s="95"/>
      <c r="K267" s="95"/>
      <c r="L267" s="96"/>
      <c r="M267" s="42" t="str">
        <f t="shared" si="17"/>
        <v/>
      </c>
      <c r="N267" s="42" t="str">
        <f t="shared" si="18"/>
        <v/>
      </c>
      <c r="O267" s="43" t="str">
        <f t="shared" si="19"/>
        <v/>
      </c>
      <c r="P267" s="42" t="str">
        <f t="shared" si="20"/>
        <v/>
      </c>
      <c r="Q267" s="22" t="str">
        <f>IF(AND(L267&lt;&gt;"",D267="Gelir",I267="Hayır"),L267&amp;"|"&amp;TEXT(COUNTIFS($L$7:L267,L267,$D$7:D267,"Gelir",$I$7:I267,"Hayır"),"000"),"")</f>
        <v/>
      </c>
      <c r="R267" s="22" t="b">
        <f>OR(COUNTIF(LST_MUSTERI_ADI,L267)&gt;0,L267=SISTEM!$C$9,L267=SISTEM!$C$10)</f>
        <v>0</v>
      </c>
    </row>
    <row r="268" spans="1:18" ht="17">
      <c r="A268" s="6"/>
      <c r="B268" s="95" t="str">
        <f t="shared" si="16"/>
        <v/>
      </c>
      <c r="C268" s="97"/>
      <c r="D268" s="95"/>
      <c r="E268" s="96"/>
      <c r="F268" s="96"/>
      <c r="G268" s="99"/>
      <c r="H268" s="95"/>
      <c r="I268" s="95"/>
      <c r="J268" s="95"/>
      <c r="K268" s="95"/>
      <c r="L268" s="96"/>
      <c r="M268" s="42" t="str">
        <f t="shared" si="17"/>
        <v/>
      </c>
      <c r="N268" s="42" t="str">
        <f t="shared" si="18"/>
        <v/>
      </c>
      <c r="O268" s="43" t="str">
        <f t="shared" si="19"/>
        <v/>
      </c>
      <c r="P268" s="42" t="str">
        <f t="shared" si="20"/>
        <v/>
      </c>
      <c r="Q268" s="22" t="str">
        <f>IF(AND(L268&lt;&gt;"",D268="Gelir",I268="Hayır"),L268&amp;"|"&amp;TEXT(COUNTIFS($L$7:L268,L268,$D$7:D268,"Gelir",$I$7:I268,"Hayır"),"000"),"")</f>
        <v/>
      </c>
      <c r="R268" s="22" t="b">
        <f>OR(COUNTIF(LST_MUSTERI_ADI,L268)&gt;0,L268=SISTEM!$C$9,L268=SISTEM!$C$10)</f>
        <v>0</v>
      </c>
    </row>
    <row r="269" spans="1:18" ht="17">
      <c r="A269" s="6"/>
      <c r="B269" s="95" t="str">
        <f t="shared" si="16"/>
        <v/>
      </c>
      <c r="C269" s="97"/>
      <c r="D269" s="95"/>
      <c r="E269" s="96"/>
      <c r="F269" s="96"/>
      <c r="G269" s="99"/>
      <c r="H269" s="95"/>
      <c r="I269" s="95"/>
      <c r="J269" s="95"/>
      <c r="K269" s="95"/>
      <c r="L269" s="96"/>
      <c r="M269" s="42" t="str">
        <f t="shared" si="17"/>
        <v/>
      </c>
      <c r="N269" s="42" t="str">
        <f t="shared" si="18"/>
        <v/>
      </c>
      <c r="O269" s="43" t="str">
        <f t="shared" si="19"/>
        <v/>
      </c>
      <c r="P269" s="42" t="str">
        <f t="shared" si="20"/>
        <v/>
      </c>
      <c r="Q269" s="22" t="str">
        <f>IF(AND(L269&lt;&gt;"",D269="Gelir",I269="Hayır"),L269&amp;"|"&amp;TEXT(COUNTIFS($L$7:L269,L269,$D$7:D269,"Gelir",$I$7:I269,"Hayır"),"000"),"")</f>
        <v/>
      </c>
      <c r="R269" s="22" t="b">
        <f>OR(COUNTIF(LST_MUSTERI_ADI,L269)&gt;0,L269=SISTEM!$C$9,L269=SISTEM!$C$10)</f>
        <v>0</v>
      </c>
    </row>
    <row r="270" spans="1:18" ht="17">
      <c r="A270" s="6"/>
      <c r="B270" s="95" t="str">
        <f t="shared" si="16"/>
        <v/>
      </c>
      <c r="C270" s="97"/>
      <c r="D270" s="95"/>
      <c r="E270" s="96"/>
      <c r="F270" s="96"/>
      <c r="G270" s="99"/>
      <c r="H270" s="95"/>
      <c r="I270" s="95"/>
      <c r="J270" s="95"/>
      <c r="K270" s="95"/>
      <c r="L270" s="96"/>
      <c r="M270" s="42" t="str">
        <f t="shared" si="17"/>
        <v/>
      </c>
      <c r="N270" s="42" t="str">
        <f t="shared" si="18"/>
        <v/>
      </c>
      <c r="O270" s="43" t="str">
        <f t="shared" si="19"/>
        <v/>
      </c>
      <c r="P270" s="42" t="str">
        <f t="shared" si="20"/>
        <v/>
      </c>
      <c r="Q270" s="22" t="str">
        <f>IF(AND(L270&lt;&gt;"",D270="Gelir",I270="Hayır"),L270&amp;"|"&amp;TEXT(COUNTIFS($L$7:L270,L270,$D$7:D270,"Gelir",$I$7:I270,"Hayır"),"000"),"")</f>
        <v/>
      </c>
      <c r="R270" s="22" t="b">
        <f>OR(COUNTIF(LST_MUSTERI_ADI,L270)&gt;0,L270=SISTEM!$C$9,L270=SISTEM!$C$10)</f>
        <v>0</v>
      </c>
    </row>
    <row r="271" spans="1:18" ht="17">
      <c r="A271" s="6"/>
      <c r="B271" s="95" t="str">
        <f t="shared" si="16"/>
        <v/>
      </c>
      <c r="C271" s="97"/>
      <c r="D271" s="95"/>
      <c r="E271" s="96"/>
      <c r="F271" s="96"/>
      <c r="G271" s="99"/>
      <c r="H271" s="95"/>
      <c r="I271" s="95"/>
      <c r="J271" s="95"/>
      <c r="K271" s="95"/>
      <c r="L271" s="96"/>
      <c r="M271" s="42" t="str">
        <f t="shared" si="17"/>
        <v/>
      </c>
      <c r="N271" s="42" t="str">
        <f t="shared" si="18"/>
        <v/>
      </c>
      <c r="O271" s="43" t="str">
        <f t="shared" si="19"/>
        <v/>
      </c>
      <c r="P271" s="42" t="str">
        <f t="shared" si="20"/>
        <v/>
      </c>
      <c r="Q271" s="22" t="str">
        <f>IF(AND(L271&lt;&gt;"",D271="Gelir",I271="Hayır"),L271&amp;"|"&amp;TEXT(COUNTIFS($L$7:L271,L271,$D$7:D271,"Gelir",$I$7:I271,"Hayır"),"000"),"")</f>
        <v/>
      </c>
      <c r="R271" s="22" t="b">
        <f>OR(COUNTIF(LST_MUSTERI_ADI,L271)&gt;0,L271=SISTEM!$C$9,L271=SISTEM!$C$10)</f>
        <v>0</v>
      </c>
    </row>
    <row r="272" spans="1:18" ht="17">
      <c r="A272" s="6"/>
      <c r="B272" s="95" t="str">
        <f t="shared" si="16"/>
        <v/>
      </c>
      <c r="C272" s="97"/>
      <c r="D272" s="95"/>
      <c r="E272" s="96"/>
      <c r="F272" s="96"/>
      <c r="G272" s="99"/>
      <c r="H272" s="95"/>
      <c r="I272" s="95"/>
      <c r="J272" s="95"/>
      <c r="K272" s="95"/>
      <c r="L272" s="96"/>
      <c r="M272" s="42" t="str">
        <f t="shared" si="17"/>
        <v/>
      </c>
      <c r="N272" s="42" t="str">
        <f t="shared" si="18"/>
        <v/>
      </c>
      <c r="O272" s="43" t="str">
        <f t="shared" si="19"/>
        <v/>
      </c>
      <c r="P272" s="42" t="str">
        <f t="shared" si="20"/>
        <v/>
      </c>
      <c r="Q272" s="22" t="str">
        <f>IF(AND(L272&lt;&gt;"",D272="Gelir",I272="Hayır"),L272&amp;"|"&amp;TEXT(COUNTIFS($L$7:L272,L272,$D$7:D272,"Gelir",$I$7:I272,"Hayır"),"000"),"")</f>
        <v/>
      </c>
      <c r="R272" s="22" t="b">
        <f>OR(COUNTIF(LST_MUSTERI_ADI,L272)&gt;0,L272=SISTEM!$C$9,L272=SISTEM!$C$10)</f>
        <v>0</v>
      </c>
    </row>
    <row r="273" spans="1:18" ht="17">
      <c r="A273" s="6"/>
      <c r="B273" s="95" t="str">
        <f t="shared" si="16"/>
        <v/>
      </c>
      <c r="C273" s="97"/>
      <c r="D273" s="95"/>
      <c r="E273" s="96"/>
      <c r="F273" s="96"/>
      <c r="G273" s="99"/>
      <c r="H273" s="95"/>
      <c r="I273" s="95"/>
      <c r="J273" s="95"/>
      <c r="K273" s="95"/>
      <c r="L273" s="96"/>
      <c r="M273" s="42" t="str">
        <f t="shared" si="17"/>
        <v/>
      </c>
      <c r="N273" s="42" t="str">
        <f t="shared" si="18"/>
        <v/>
      </c>
      <c r="O273" s="43" t="str">
        <f t="shared" si="19"/>
        <v/>
      </c>
      <c r="P273" s="42" t="str">
        <f t="shared" si="20"/>
        <v/>
      </c>
      <c r="Q273" s="22" t="str">
        <f>IF(AND(L273&lt;&gt;"",D273="Gelir",I273="Hayır"),L273&amp;"|"&amp;TEXT(COUNTIFS($L$7:L273,L273,$D$7:D273,"Gelir",$I$7:I273,"Hayır"),"000"),"")</f>
        <v/>
      </c>
      <c r="R273" s="22" t="b">
        <f>OR(COUNTIF(LST_MUSTERI_ADI,L273)&gt;0,L273=SISTEM!$C$9,L273=SISTEM!$C$10)</f>
        <v>0</v>
      </c>
    </row>
    <row r="274" spans="1:18" ht="17">
      <c r="A274" s="6"/>
      <c r="B274" s="95" t="str">
        <f t="shared" si="16"/>
        <v/>
      </c>
      <c r="C274" s="97"/>
      <c r="D274" s="95"/>
      <c r="E274" s="96"/>
      <c r="F274" s="96"/>
      <c r="G274" s="99"/>
      <c r="H274" s="95"/>
      <c r="I274" s="95"/>
      <c r="J274" s="95"/>
      <c r="K274" s="95"/>
      <c r="L274" s="96"/>
      <c r="M274" s="42" t="str">
        <f t="shared" si="17"/>
        <v/>
      </c>
      <c r="N274" s="42" t="str">
        <f t="shared" si="18"/>
        <v/>
      </c>
      <c r="O274" s="43" t="str">
        <f t="shared" si="19"/>
        <v/>
      </c>
      <c r="P274" s="42" t="str">
        <f t="shared" si="20"/>
        <v/>
      </c>
      <c r="Q274" s="22" t="str">
        <f>IF(AND(L274&lt;&gt;"",D274="Gelir",I274="Hayır"),L274&amp;"|"&amp;TEXT(COUNTIFS($L$7:L274,L274,$D$7:D274,"Gelir",$I$7:I274,"Hayır"),"000"),"")</f>
        <v/>
      </c>
      <c r="R274" s="22" t="b">
        <f>OR(COUNTIF(LST_MUSTERI_ADI,L274)&gt;0,L274=SISTEM!$C$9,L274=SISTEM!$C$10)</f>
        <v>0</v>
      </c>
    </row>
    <row r="275" spans="1:18" ht="17">
      <c r="A275" s="6"/>
      <c r="B275" s="95" t="str">
        <f t="shared" si="16"/>
        <v/>
      </c>
      <c r="C275" s="97"/>
      <c r="D275" s="95"/>
      <c r="E275" s="96"/>
      <c r="F275" s="96"/>
      <c r="G275" s="99"/>
      <c r="H275" s="95"/>
      <c r="I275" s="95"/>
      <c r="J275" s="95"/>
      <c r="K275" s="95"/>
      <c r="L275" s="96"/>
      <c r="M275" s="42" t="str">
        <f t="shared" si="17"/>
        <v/>
      </c>
      <c r="N275" s="42" t="str">
        <f t="shared" si="18"/>
        <v/>
      </c>
      <c r="O275" s="43" t="str">
        <f t="shared" si="19"/>
        <v/>
      </c>
      <c r="P275" s="42" t="str">
        <f t="shared" si="20"/>
        <v/>
      </c>
      <c r="Q275" s="22" t="str">
        <f>IF(AND(L275&lt;&gt;"",D275="Gelir",I275="Hayır"),L275&amp;"|"&amp;TEXT(COUNTIFS($L$7:L275,L275,$D$7:D275,"Gelir",$I$7:I275,"Hayır"),"000"),"")</f>
        <v/>
      </c>
      <c r="R275" s="22" t="b">
        <f>OR(COUNTIF(LST_MUSTERI_ADI,L275)&gt;0,L275=SISTEM!$C$9,L275=SISTEM!$C$10)</f>
        <v>0</v>
      </c>
    </row>
    <row r="276" spans="1:18" ht="17">
      <c r="A276" s="6"/>
      <c r="B276" s="95" t="str">
        <f t="shared" si="16"/>
        <v/>
      </c>
      <c r="C276" s="97"/>
      <c r="D276" s="95"/>
      <c r="E276" s="96"/>
      <c r="F276" s="96"/>
      <c r="G276" s="99"/>
      <c r="H276" s="95"/>
      <c r="I276" s="95"/>
      <c r="J276" s="95"/>
      <c r="K276" s="95"/>
      <c r="L276" s="96"/>
      <c r="M276" s="42" t="str">
        <f t="shared" si="17"/>
        <v/>
      </c>
      <c r="N276" s="42" t="str">
        <f t="shared" si="18"/>
        <v/>
      </c>
      <c r="O276" s="43" t="str">
        <f t="shared" si="19"/>
        <v/>
      </c>
      <c r="P276" s="42" t="str">
        <f t="shared" si="20"/>
        <v/>
      </c>
      <c r="Q276" s="22" t="str">
        <f>IF(AND(L276&lt;&gt;"",D276="Gelir",I276="Hayır"),L276&amp;"|"&amp;TEXT(COUNTIFS($L$7:L276,L276,$D$7:D276,"Gelir",$I$7:I276,"Hayır"),"000"),"")</f>
        <v/>
      </c>
      <c r="R276" s="22" t="b">
        <f>OR(COUNTIF(LST_MUSTERI_ADI,L276)&gt;0,L276=SISTEM!$C$9,L276=SISTEM!$C$10)</f>
        <v>0</v>
      </c>
    </row>
    <row r="277" spans="1:18" ht="17">
      <c r="A277" s="6"/>
      <c r="B277" s="95" t="str">
        <f t="shared" si="16"/>
        <v/>
      </c>
      <c r="C277" s="97"/>
      <c r="D277" s="95"/>
      <c r="E277" s="96"/>
      <c r="F277" s="96"/>
      <c r="G277" s="99"/>
      <c r="H277" s="95"/>
      <c r="I277" s="95"/>
      <c r="J277" s="95"/>
      <c r="K277" s="95"/>
      <c r="L277" s="96"/>
      <c r="M277" s="42" t="str">
        <f t="shared" si="17"/>
        <v/>
      </c>
      <c r="N277" s="42" t="str">
        <f t="shared" si="18"/>
        <v/>
      </c>
      <c r="O277" s="43" t="str">
        <f t="shared" si="19"/>
        <v/>
      </c>
      <c r="P277" s="42" t="str">
        <f t="shared" si="20"/>
        <v/>
      </c>
      <c r="Q277" s="22" t="str">
        <f>IF(AND(L277&lt;&gt;"",D277="Gelir",I277="Hayır"),L277&amp;"|"&amp;TEXT(COUNTIFS($L$7:L277,L277,$D$7:D277,"Gelir",$I$7:I277,"Hayır"),"000"),"")</f>
        <v/>
      </c>
      <c r="R277" s="22" t="b">
        <f>OR(COUNTIF(LST_MUSTERI_ADI,L277)&gt;0,L277=SISTEM!$C$9,L277=SISTEM!$C$10)</f>
        <v>0</v>
      </c>
    </row>
    <row r="278" spans="1:18" ht="17">
      <c r="A278" s="6"/>
      <c r="B278" s="95" t="str">
        <f t="shared" si="16"/>
        <v/>
      </c>
      <c r="C278" s="97"/>
      <c r="D278" s="95"/>
      <c r="E278" s="96"/>
      <c r="F278" s="96"/>
      <c r="G278" s="99"/>
      <c r="H278" s="95"/>
      <c r="I278" s="95"/>
      <c r="J278" s="95"/>
      <c r="K278" s="95"/>
      <c r="L278" s="96"/>
      <c r="M278" s="42" t="str">
        <f t="shared" si="17"/>
        <v/>
      </c>
      <c r="N278" s="42" t="str">
        <f t="shared" si="18"/>
        <v/>
      </c>
      <c r="O278" s="43" t="str">
        <f t="shared" si="19"/>
        <v/>
      </c>
      <c r="P278" s="42" t="str">
        <f t="shared" si="20"/>
        <v/>
      </c>
      <c r="Q278" s="22" t="str">
        <f>IF(AND(L278&lt;&gt;"",D278="Gelir",I278="Hayır"),L278&amp;"|"&amp;TEXT(COUNTIFS($L$7:L278,L278,$D$7:D278,"Gelir",$I$7:I278,"Hayır"),"000"),"")</f>
        <v/>
      </c>
      <c r="R278" s="22" t="b">
        <f>OR(COUNTIF(LST_MUSTERI_ADI,L278)&gt;0,L278=SISTEM!$C$9,L278=SISTEM!$C$10)</f>
        <v>0</v>
      </c>
    </row>
    <row r="279" spans="1:18" ht="17">
      <c r="A279" s="6"/>
      <c r="B279" s="95" t="str">
        <f t="shared" si="16"/>
        <v/>
      </c>
      <c r="C279" s="97"/>
      <c r="D279" s="95"/>
      <c r="E279" s="96"/>
      <c r="F279" s="96"/>
      <c r="G279" s="99"/>
      <c r="H279" s="95"/>
      <c r="I279" s="95"/>
      <c r="J279" s="95"/>
      <c r="K279" s="95"/>
      <c r="L279" s="96"/>
      <c r="M279" s="42" t="str">
        <f t="shared" si="17"/>
        <v/>
      </c>
      <c r="N279" s="42" t="str">
        <f t="shared" si="18"/>
        <v/>
      </c>
      <c r="O279" s="43" t="str">
        <f t="shared" si="19"/>
        <v/>
      </c>
      <c r="P279" s="42" t="str">
        <f t="shared" si="20"/>
        <v/>
      </c>
      <c r="Q279" s="22" t="str">
        <f>IF(AND(L279&lt;&gt;"",D279="Gelir",I279="Hayır"),L279&amp;"|"&amp;TEXT(COUNTIFS($L$7:L279,L279,$D$7:D279,"Gelir",$I$7:I279,"Hayır"),"000"),"")</f>
        <v/>
      </c>
      <c r="R279" s="22" t="b">
        <f>OR(COUNTIF(LST_MUSTERI_ADI,L279)&gt;0,L279=SISTEM!$C$9,L279=SISTEM!$C$10)</f>
        <v>0</v>
      </c>
    </row>
    <row r="280" spans="1:18" ht="17">
      <c r="A280" s="6"/>
      <c r="B280" s="95" t="str">
        <f t="shared" si="16"/>
        <v/>
      </c>
      <c r="C280" s="97"/>
      <c r="D280" s="95"/>
      <c r="E280" s="96"/>
      <c r="F280" s="96"/>
      <c r="G280" s="99"/>
      <c r="H280" s="95"/>
      <c r="I280" s="95"/>
      <c r="J280" s="95"/>
      <c r="K280" s="95"/>
      <c r="L280" s="96"/>
      <c r="M280" s="42" t="str">
        <f t="shared" si="17"/>
        <v/>
      </c>
      <c r="N280" s="42" t="str">
        <f t="shared" si="18"/>
        <v/>
      </c>
      <c r="O280" s="43" t="str">
        <f t="shared" si="19"/>
        <v/>
      </c>
      <c r="P280" s="42" t="str">
        <f t="shared" si="20"/>
        <v/>
      </c>
      <c r="Q280" s="22" t="str">
        <f>IF(AND(L280&lt;&gt;"",D280="Gelir",I280="Hayır"),L280&amp;"|"&amp;TEXT(COUNTIFS($L$7:L280,L280,$D$7:D280,"Gelir",$I$7:I280,"Hayır"),"000"),"")</f>
        <v/>
      </c>
      <c r="R280" s="22" t="b">
        <f>OR(COUNTIF(LST_MUSTERI_ADI,L280)&gt;0,L280=SISTEM!$C$9,L280=SISTEM!$C$10)</f>
        <v>0</v>
      </c>
    </row>
    <row r="281" spans="1:18" ht="17">
      <c r="A281" s="6"/>
      <c r="B281" s="95" t="str">
        <f t="shared" si="16"/>
        <v/>
      </c>
      <c r="C281" s="97"/>
      <c r="D281" s="95"/>
      <c r="E281" s="96"/>
      <c r="F281" s="96"/>
      <c r="G281" s="99"/>
      <c r="H281" s="95"/>
      <c r="I281" s="95"/>
      <c r="J281" s="95"/>
      <c r="K281" s="95"/>
      <c r="L281" s="96"/>
      <c r="M281" s="42" t="str">
        <f t="shared" si="17"/>
        <v/>
      </c>
      <c r="N281" s="42" t="str">
        <f t="shared" si="18"/>
        <v/>
      </c>
      <c r="O281" s="43" t="str">
        <f t="shared" si="19"/>
        <v/>
      </c>
      <c r="P281" s="42" t="str">
        <f t="shared" si="20"/>
        <v/>
      </c>
      <c r="Q281" s="22" t="str">
        <f>IF(AND(L281&lt;&gt;"",D281="Gelir",I281="Hayır"),L281&amp;"|"&amp;TEXT(COUNTIFS($L$7:L281,L281,$D$7:D281,"Gelir",$I$7:I281,"Hayır"),"000"),"")</f>
        <v/>
      </c>
      <c r="R281" s="22" t="b">
        <f>OR(COUNTIF(LST_MUSTERI_ADI,L281)&gt;0,L281=SISTEM!$C$9,L281=SISTEM!$C$10)</f>
        <v>0</v>
      </c>
    </row>
    <row r="282" spans="1:18" ht="17">
      <c r="A282" s="6"/>
      <c r="B282" s="95" t="str">
        <f t="shared" si="16"/>
        <v/>
      </c>
      <c r="C282" s="97"/>
      <c r="D282" s="95"/>
      <c r="E282" s="96"/>
      <c r="F282" s="96"/>
      <c r="G282" s="99"/>
      <c r="H282" s="95"/>
      <c r="I282" s="95"/>
      <c r="J282" s="95"/>
      <c r="K282" s="95"/>
      <c r="L282" s="96"/>
      <c r="M282" s="42" t="str">
        <f t="shared" si="17"/>
        <v/>
      </c>
      <c r="N282" s="42" t="str">
        <f t="shared" si="18"/>
        <v/>
      </c>
      <c r="O282" s="43" t="str">
        <f t="shared" si="19"/>
        <v/>
      </c>
      <c r="P282" s="42" t="str">
        <f t="shared" si="20"/>
        <v/>
      </c>
      <c r="Q282" s="22" t="str">
        <f>IF(AND(L282&lt;&gt;"",D282="Gelir",I282="Hayır"),L282&amp;"|"&amp;TEXT(COUNTIFS($L$7:L282,L282,$D$7:D282,"Gelir",$I$7:I282,"Hayır"),"000"),"")</f>
        <v/>
      </c>
      <c r="R282" s="22" t="b">
        <f>OR(COUNTIF(LST_MUSTERI_ADI,L282)&gt;0,L282=SISTEM!$C$9,L282=SISTEM!$C$10)</f>
        <v>0</v>
      </c>
    </row>
    <row r="283" spans="1:18" ht="17">
      <c r="A283" s="6"/>
      <c r="B283" s="95" t="str">
        <f t="shared" si="16"/>
        <v/>
      </c>
      <c r="C283" s="97"/>
      <c r="D283" s="95"/>
      <c r="E283" s="96"/>
      <c r="F283" s="96"/>
      <c r="G283" s="99"/>
      <c r="H283" s="95"/>
      <c r="I283" s="95"/>
      <c r="J283" s="95"/>
      <c r="K283" s="95"/>
      <c r="L283" s="96"/>
      <c r="M283" s="42" t="str">
        <f t="shared" si="17"/>
        <v/>
      </c>
      <c r="N283" s="42" t="str">
        <f t="shared" si="18"/>
        <v/>
      </c>
      <c r="O283" s="43" t="str">
        <f t="shared" si="19"/>
        <v/>
      </c>
      <c r="P283" s="42" t="str">
        <f t="shared" si="20"/>
        <v/>
      </c>
      <c r="Q283" s="22" t="str">
        <f>IF(AND(L283&lt;&gt;"",D283="Gelir",I283="Hayır"),L283&amp;"|"&amp;TEXT(COUNTIFS($L$7:L283,L283,$D$7:D283,"Gelir",$I$7:I283,"Hayır"),"000"),"")</f>
        <v/>
      </c>
      <c r="R283" s="22" t="b">
        <f>OR(COUNTIF(LST_MUSTERI_ADI,L283)&gt;0,L283=SISTEM!$C$9,L283=SISTEM!$C$10)</f>
        <v>0</v>
      </c>
    </row>
    <row r="284" spans="1:18" ht="17">
      <c r="A284" s="6"/>
      <c r="B284" s="95" t="str">
        <f t="shared" si="16"/>
        <v/>
      </c>
      <c r="C284" s="97"/>
      <c r="D284" s="95"/>
      <c r="E284" s="96"/>
      <c r="F284" s="96"/>
      <c r="G284" s="99"/>
      <c r="H284" s="95"/>
      <c r="I284" s="95"/>
      <c r="J284" s="95"/>
      <c r="K284" s="95"/>
      <c r="L284" s="96"/>
      <c r="M284" s="42" t="str">
        <f t="shared" si="17"/>
        <v/>
      </c>
      <c r="N284" s="42" t="str">
        <f t="shared" si="18"/>
        <v/>
      </c>
      <c r="O284" s="43" t="str">
        <f t="shared" si="19"/>
        <v/>
      </c>
      <c r="P284" s="42" t="str">
        <f t="shared" si="20"/>
        <v/>
      </c>
      <c r="Q284" s="22" t="str">
        <f>IF(AND(L284&lt;&gt;"",D284="Gelir",I284="Hayır"),L284&amp;"|"&amp;TEXT(COUNTIFS($L$7:L284,L284,$D$7:D284,"Gelir",$I$7:I284,"Hayır"),"000"),"")</f>
        <v/>
      </c>
      <c r="R284" s="22" t="b">
        <f>OR(COUNTIF(LST_MUSTERI_ADI,L284)&gt;0,L284=SISTEM!$C$9,L284=SISTEM!$C$10)</f>
        <v>0</v>
      </c>
    </row>
    <row r="285" spans="1:18" ht="17">
      <c r="A285" s="6"/>
      <c r="B285" s="95" t="str">
        <f t="shared" si="16"/>
        <v/>
      </c>
      <c r="C285" s="97"/>
      <c r="D285" s="95"/>
      <c r="E285" s="96"/>
      <c r="F285" s="96"/>
      <c r="G285" s="99"/>
      <c r="H285" s="95"/>
      <c r="I285" s="95"/>
      <c r="J285" s="95"/>
      <c r="K285" s="95"/>
      <c r="L285" s="96"/>
      <c r="M285" s="42" t="str">
        <f t="shared" si="17"/>
        <v/>
      </c>
      <c r="N285" s="42" t="str">
        <f t="shared" si="18"/>
        <v/>
      </c>
      <c r="O285" s="43" t="str">
        <f t="shared" si="19"/>
        <v/>
      </c>
      <c r="P285" s="42" t="str">
        <f t="shared" si="20"/>
        <v/>
      </c>
      <c r="Q285" s="22" t="str">
        <f>IF(AND(L285&lt;&gt;"",D285="Gelir",I285="Hayır"),L285&amp;"|"&amp;TEXT(COUNTIFS($L$7:L285,L285,$D$7:D285,"Gelir",$I$7:I285,"Hayır"),"000"),"")</f>
        <v/>
      </c>
      <c r="R285" s="22" t="b">
        <f>OR(COUNTIF(LST_MUSTERI_ADI,L285)&gt;0,L285=SISTEM!$C$9,L285=SISTEM!$C$10)</f>
        <v>0</v>
      </c>
    </row>
    <row r="286" spans="1:18" ht="17">
      <c r="A286" s="6"/>
      <c r="B286" s="95" t="str">
        <f t="shared" si="16"/>
        <v/>
      </c>
      <c r="C286" s="97"/>
      <c r="D286" s="95"/>
      <c r="E286" s="96"/>
      <c r="F286" s="96"/>
      <c r="G286" s="99"/>
      <c r="H286" s="95"/>
      <c r="I286" s="95"/>
      <c r="J286" s="95"/>
      <c r="K286" s="95"/>
      <c r="L286" s="96"/>
      <c r="M286" s="42" t="str">
        <f t="shared" si="17"/>
        <v/>
      </c>
      <c r="N286" s="42" t="str">
        <f t="shared" si="18"/>
        <v/>
      </c>
      <c r="O286" s="43" t="str">
        <f t="shared" si="19"/>
        <v/>
      </c>
      <c r="P286" s="42" t="str">
        <f t="shared" si="20"/>
        <v/>
      </c>
      <c r="Q286" s="22" t="str">
        <f>IF(AND(L286&lt;&gt;"",D286="Gelir",I286="Hayır"),L286&amp;"|"&amp;TEXT(COUNTIFS($L$7:L286,L286,$D$7:D286,"Gelir",$I$7:I286,"Hayır"),"000"),"")</f>
        <v/>
      </c>
      <c r="R286" s="22" t="b">
        <f>OR(COUNTIF(LST_MUSTERI_ADI,L286)&gt;0,L286=SISTEM!$C$9,L286=SISTEM!$C$10)</f>
        <v>0</v>
      </c>
    </row>
    <row r="287" spans="1:18" ht="17">
      <c r="A287" s="6"/>
      <c r="B287" s="95" t="str">
        <f t="shared" si="16"/>
        <v/>
      </c>
      <c r="C287" s="97"/>
      <c r="D287" s="95"/>
      <c r="E287" s="96"/>
      <c r="F287" s="96"/>
      <c r="G287" s="99"/>
      <c r="H287" s="95"/>
      <c r="I287" s="95"/>
      <c r="J287" s="95"/>
      <c r="K287" s="95"/>
      <c r="L287" s="96"/>
      <c r="M287" s="42" t="str">
        <f t="shared" si="17"/>
        <v/>
      </c>
      <c r="N287" s="42" t="str">
        <f t="shared" si="18"/>
        <v/>
      </c>
      <c r="O287" s="43" t="str">
        <f t="shared" si="19"/>
        <v/>
      </c>
      <c r="P287" s="42" t="str">
        <f t="shared" si="20"/>
        <v/>
      </c>
      <c r="Q287" s="22" t="str">
        <f>IF(AND(L287&lt;&gt;"",D287="Gelir",I287="Hayır"),L287&amp;"|"&amp;TEXT(COUNTIFS($L$7:L287,L287,$D$7:D287,"Gelir",$I$7:I287,"Hayır"),"000"),"")</f>
        <v/>
      </c>
      <c r="R287" s="22" t="b">
        <f>OR(COUNTIF(LST_MUSTERI_ADI,L287)&gt;0,L287=SISTEM!$C$9,L287=SISTEM!$C$10)</f>
        <v>0</v>
      </c>
    </row>
    <row r="288" spans="1:18" ht="17">
      <c r="A288" s="6"/>
      <c r="B288" s="95" t="str">
        <f t="shared" si="16"/>
        <v/>
      </c>
      <c r="C288" s="97"/>
      <c r="D288" s="95"/>
      <c r="E288" s="96"/>
      <c r="F288" s="96"/>
      <c r="G288" s="99"/>
      <c r="H288" s="95"/>
      <c r="I288" s="95"/>
      <c r="J288" s="95"/>
      <c r="K288" s="95"/>
      <c r="L288" s="96"/>
      <c r="M288" s="42" t="str">
        <f t="shared" si="17"/>
        <v/>
      </c>
      <c r="N288" s="42" t="str">
        <f t="shared" si="18"/>
        <v/>
      </c>
      <c r="O288" s="43" t="str">
        <f t="shared" si="19"/>
        <v/>
      </c>
      <c r="P288" s="42" t="str">
        <f t="shared" si="20"/>
        <v/>
      </c>
      <c r="Q288" s="22" t="str">
        <f>IF(AND(L288&lt;&gt;"",D288="Gelir",I288="Hayır"),L288&amp;"|"&amp;TEXT(COUNTIFS($L$7:L288,L288,$D$7:D288,"Gelir",$I$7:I288,"Hayır"),"000"),"")</f>
        <v/>
      </c>
      <c r="R288" s="22" t="b">
        <f>OR(COUNTIF(LST_MUSTERI_ADI,L288)&gt;0,L288=SISTEM!$C$9,L288=SISTEM!$C$10)</f>
        <v>0</v>
      </c>
    </row>
    <row r="289" spans="1:18" ht="17">
      <c r="A289" s="6"/>
      <c r="B289" s="95" t="str">
        <f t="shared" si="16"/>
        <v/>
      </c>
      <c r="C289" s="97"/>
      <c r="D289" s="95"/>
      <c r="E289" s="96"/>
      <c r="F289" s="96"/>
      <c r="G289" s="99"/>
      <c r="H289" s="95"/>
      <c r="I289" s="95"/>
      <c r="J289" s="95"/>
      <c r="K289" s="95"/>
      <c r="L289" s="96"/>
      <c r="M289" s="42" t="str">
        <f t="shared" si="17"/>
        <v/>
      </c>
      <c r="N289" s="42" t="str">
        <f t="shared" si="18"/>
        <v/>
      </c>
      <c r="O289" s="43" t="str">
        <f t="shared" si="19"/>
        <v/>
      </c>
      <c r="P289" s="42" t="str">
        <f t="shared" si="20"/>
        <v/>
      </c>
      <c r="Q289" s="22" t="str">
        <f>IF(AND(L289&lt;&gt;"",D289="Gelir",I289="Hayır"),L289&amp;"|"&amp;TEXT(COUNTIFS($L$7:L289,L289,$D$7:D289,"Gelir",$I$7:I289,"Hayır"),"000"),"")</f>
        <v/>
      </c>
      <c r="R289" s="22" t="b">
        <f>OR(COUNTIF(LST_MUSTERI_ADI,L289)&gt;0,L289=SISTEM!$C$9,L289=SISTEM!$C$10)</f>
        <v>0</v>
      </c>
    </row>
    <row r="290" spans="1:18" ht="17">
      <c r="A290" s="6"/>
      <c r="B290" s="95" t="str">
        <f t="shared" ref="B290:B353" si="21">IF(C290="","","GG"&amp;TEXT(ROW()-6,"00000"))</f>
        <v/>
      </c>
      <c r="C290" s="97"/>
      <c r="D290" s="95"/>
      <c r="E290" s="96"/>
      <c r="F290" s="96"/>
      <c r="G290" s="99"/>
      <c r="H290" s="95"/>
      <c r="I290" s="95"/>
      <c r="J290" s="95"/>
      <c r="K290" s="95"/>
      <c r="L290" s="96"/>
      <c r="M290" s="42" t="str">
        <f t="shared" si="17"/>
        <v/>
      </c>
      <c r="N290" s="42" t="str">
        <f t="shared" si="18"/>
        <v/>
      </c>
      <c r="O290" s="43" t="str">
        <f t="shared" si="19"/>
        <v/>
      </c>
      <c r="P290" s="42" t="str">
        <f t="shared" si="20"/>
        <v/>
      </c>
      <c r="Q290" s="22" t="str">
        <f>IF(AND(L290&lt;&gt;"",D290="Gelir",I290="Hayır"),L290&amp;"|"&amp;TEXT(COUNTIFS($L$7:L290,L290,$D$7:D290,"Gelir",$I$7:I290,"Hayır"),"000"),"")</f>
        <v/>
      </c>
      <c r="R290" s="22" t="b">
        <f>OR(COUNTIF(LST_MUSTERI_ADI,L290)&gt;0,L290=SISTEM!$C$9,L290=SISTEM!$C$10)</f>
        <v>0</v>
      </c>
    </row>
    <row r="291" spans="1:18" ht="17">
      <c r="A291" s="6"/>
      <c r="B291" s="95" t="str">
        <f t="shared" si="21"/>
        <v/>
      </c>
      <c r="C291" s="97"/>
      <c r="D291" s="95"/>
      <c r="E291" s="96"/>
      <c r="F291" s="96"/>
      <c r="G291" s="99"/>
      <c r="H291" s="95"/>
      <c r="I291" s="95"/>
      <c r="J291" s="95"/>
      <c r="K291" s="95"/>
      <c r="L291" s="96"/>
      <c r="M291" s="42" t="str">
        <f t="shared" si="17"/>
        <v/>
      </c>
      <c r="N291" s="42" t="str">
        <f t="shared" si="18"/>
        <v/>
      </c>
      <c r="O291" s="43" t="str">
        <f t="shared" si="19"/>
        <v/>
      </c>
      <c r="P291" s="42" t="str">
        <f t="shared" si="20"/>
        <v/>
      </c>
      <c r="Q291" s="22" t="str">
        <f>IF(AND(L291&lt;&gt;"",D291="Gelir",I291="Hayır"),L291&amp;"|"&amp;TEXT(COUNTIFS($L$7:L291,L291,$D$7:D291,"Gelir",$I$7:I291,"Hayır"),"000"),"")</f>
        <v/>
      </c>
      <c r="R291" s="22" t="b">
        <f>OR(COUNTIF(LST_MUSTERI_ADI,L291)&gt;0,L291=SISTEM!$C$9,L291=SISTEM!$C$10)</f>
        <v>0</v>
      </c>
    </row>
    <row r="292" spans="1:18" ht="17">
      <c r="A292" s="6"/>
      <c r="B292" s="95" t="str">
        <f t="shared" si="21"/>
        <v/>
      </c>
      <c r="C292" s="97"/>
      <c r="D292" s="95"/>
      <c r="E292" s="96"/>
      <c r="F292" s="96"/>
      <c r="G292" s="99"/>
      <c r="H292" s="95"/>
      <c r="I292" s="95"/>
      <c r="J292" s="95"/>
      <c r="K292" s="95"/>
      <c r="L292" s="96"/>
      <c r="M292" s="42" t="str">
        <f t="shared" si="17"/>
        <v/>
      </c>
      <c r="N292" s="42" t="str">
        <f t="shared" si="18"/>
        <v/>
      </c>
      <c r="O292" s="43" t="str">
        <f t="shared" si="19"/>
        <v/>
      </c>
      <c r="P292" s="42" t="str">
        <f t="shared" si="20"/>
        <v/>
      </c>
      <c r="Q292" s="22" t="str">
        <f>IF(AND(L292&lt;&gt;"",D292="Gelir",I292="Hayır"),L292&amp;"|"&amp;TEXT(COUNTIFS($L$7:L292,L292,$D$7:D292,"Gelir",$I$7:I292,"Hayır"),"000"),"")</f>
        <v/>
      </c>
      <c r="R292" s="22" t="b">
        <f>OR(COUNTIF(LST_MUSTERI_ADI,L292)&gt;0,L292=SISTEM!$C$9,L292=SISTEM!$C$10)</f>
        <v>0</v>
      </c>
    </row>
    <row r="293" spans="1:18" ht="17">
      <c r="A293" s="6"/>
      <c r="B293" s="95" t="str">
        <f t="shared" si="21"/>
        <v/>
      </c>
      <c r="C293" s="97"/>
      <c r="D293" s="95"/>
      <c r="E293" s="96"/>
      <c r="F293" s="96"/>
      <c r="G293" s="99"/>
      <c r="H293" s="95"/>
      <c r="I293" s="95"/>
      <c r="J293" s="95"/>
      <c r="K293" s="95"/>
      <c r="L293" s="96"/>
      <c r="M293" s="42" t="str">
        <f t="shared" si="17"/>
        <v/>
      </c>
      <c r="N293" s="42" t="str">
        <f t="shared" si="18"/>
        <v/>
      </c>
      <c r="O293" s="43" t="str">
        <f t="shared" si="19"/>
        <v/>
      </c>
      <c r="P293" s="42" t="str">
        <f t="shared" si="20"/>
        <v/>
      </c>
      <c r="Q293" s="22" t="str">
        <f>IF(AND(L293&lt;&gt;"",D293="Gelir",I293="Hayır"),L293&amp;"|"&amp;TEXT(COUNTIFS($L$7:L293,L293,$D$7:D293,"Gelir",$I$7:I293,"Hayır"),"000"),"")</f>
        <v/>
      </c>
      <c r="R293" s="22" t="b">
        <f>OR(COUNTIF(LST_MUSTERI_ADI,L293)&gt;0,L293=SISTEM!$C$9,L293=SISTEM!$C$10)</f>
        <v>0</v>
      </c>
    </row>
    <row r="294" spans="1:18" ht="17">
      <c r="A294" s="6"/>
      <c r="B294" s="95" t="str">
        <f t="shared" si="21"/>
        <v/>
      </c>
      <c r="C294" s="97"/>
      <c r="D294" s="95"/>
      <c r="E294" s="96"/>
      <c r="F294" s="96"/>
      <c r="G294" s="99"/>
      <c r="H294" s="95"/>
      <c r="I294" s="95"/>
      <c r="J294" s="95"/>
      <c r="K294" s="95"/>
      <c r="L294" s="96"/>
      <c r="M294" s="42" t="str">
        <f t="shared" si="17"/>
        <v/>
      </c>
      <c r="N294" s="42" t="str">
        <f t="shared" si="18"/>
        <v/>
      </c>
      <c r="O294" s="43" t="str">
        <f t="shared" si="19"/>
        <v/>
      </c>
      <c r="P294" s="42" t="str">
        <f t="shared" si="20"/>
        <v/>
      </c>
      <c r="Q294" s="22" t="str">
        <f>IF(AND(L294&lt;&gt;"",D294="Gelir",I294="Hayır"),L294&amp;"|"&amp;TEXT(COUNTIFS($L$7:L294,L294,$D$7:D294,"Gelir",$I$7:I294,"Hayır"),"000"),"")</f>
        <v/>
      </c>
      <c r="R294" s="22" t="b">
        <f>OR(COUNTIF(LST_MUSTERI_ADI,L294)&gt;0,L294=SISTEM!$C$9,L294=SISTEM!$C$10)</f>
        <v>0</v>
      </c>
    </row>
    <row r="295" spans="1:18" ht="17">
      <c r="A295" s="6"/>
      <c r="B295" s="95" t="str">
        <f t="shared" si="21"/>
        <v/>
      </c>
      <c r="C295" s="97"/>
      <c r="D295" s="95"/>
      <c r="E295" s="96"/>
      <c r="F295" s="96"/>
      <c r="G295" s="99"/>
      <c r="H295" s="95"/>
      <c r="I295" s="95"/>
      <c r="J295" s="95"/>
      <c r="K295" s="95"/>
      <c r="L295" s="96"/>
      <c r="M295" s="42" t="str">
        <f t="shared" si="17"/>
        <v/>
      </c>
      <c r="N295" s="42" t="str">
        <f t="shared" si="18"/>
        <v/>
      </c>
      <c r="O295" s="43" t="str">
        <f t="shared" si="19"/>
        <v/>
      </c>
      <c r="P295" s="42" t="str">
        <f t="shared" si="20"/>
        <v/>
      </c>
      <c r="Q295" s="22" t="str">
        <f>IF(AND(L295&lt;&gt;"",D295="Gelir",I295="Hayır"),L295&amp;"|"&amp;TEXT(COUNTIFS($L$7:L295,L295,$D$7:D295,"Gelir",$I$7:I295,"Hayır"),"000"),"")</f>
        <v/>
      </c>
      <c r="R295" s="22" t="b">
        <f>OR(COUNTIF(LST_MUSTERI_ADI,L295)&gt;0,L295=SISTEM!$C$9,L295=SISTEM!$C$10)</f>
        <v>0</v>
      </c>
    </row>
    <row r="296" spans="1:18" ht="17">
      <c r="A296" s="6"/>
      <c r="B296" s="95" t="str">
        <f t="shared" si="21"/>
        <v/>
      </c>
      <c r="C296" s="97"/>
      <c r="D296" s="95"/>
      <c r="E296" s="96"/>
      <c r="F296" s="96"/>
      <c r="G296" s="99"/>
      <c r="H296" s="95"/>
      <c r="I296" s="95"/>
      <c r="J296" s="95"/>
      <c r="K296" s="95"/>
      <c r="L296" s="96"/>
      <c r="M296" s="42" t="str">
        <f t="shared" si="17"/>
        <v/>
      </c>
      <c r="N296" s="42" t="str">
        <f t="shared" si="18"/>
        <v/>
      </c>
      <c r="O296" s="43" t="str">
        <f t="shared" si="19"/>
        <v/>
      </c>
      <c r="P296" s="42" t="str">
        <f t="shared" si="20"/>
        <v/>
      </c>
      <c r="Q296" s="22" t="str">
        <f>IF(AND(L296&lt;&gt;"",D296="Gelir",I296="Hayır"),L296&amp;"|"&amp;TEXT(COUNTIFS($L$7:L296,L296,$D$7:D296,"Gelir",$I$7:I296,"Hayır"),"000"),"")</f>
        <v/>
      </c>
      <c r="R296" s="22" t="b">
        <f>OR(COUNTIF(LST_MUSTERI_ADI,L296)&gt;0,L296=SISTEM!$C$9,L296=SISTEM!$C$10)</f>
        <v>0</v>
      </c>
    </row>
    <row r="297" spans="1:18" ht="17">
      <c r="A297" s="6"/>
      <c r="B297" s="95" t="str">
        <f t="shared" si="21"/>
        <v/>
      </c>
      <c r="C297" s="97"/>
      <c r="D297" s="95"/>
      <c r="E297" s="96"/>
      <c r="F297" s="96"/>
      <c r="G297" s="99"/>
      <c r="H297" s="95"/>
      <c r="I297" s="95"/>
      <c r="J297" s="95"/>
      <c r="K297" s="95"/>
      <c r="L297" s="96"/>
      <c r="M297" s="42" t="str">
        <f t="shared" si="17"/>
        <v/>
      </c>
      <c r="N297" s="42" t="str">
        <f t="shared" si="18"/>
        <v/>
      </c>
      <c r="O297" s="43" t="str">
        <f t="shared" si="19"/>
        <v/>
      </c>
      <c r="P297" s="42" t="str">
        <f t="shared" si="20"/>
        <v/>
      </c>
      <c r="Q297" s="22" t="str">
        <f>IF(AND(L297&lt;&gt;"",D297="Gelir",I297="Hayır"),L297&amp;"|"&amp;TEXT(COUNTIFS($L$7:L297,L297,$D$7:D297,"Gelir",$I$7:I297,"Hayır"),"000"),"")</f>
        <v/>
      </c>
      <c r="R297" s="22" t="b">
        <f>OR(COUNTIF(LST_MUSTERI_ADI,L297)&gt;0,L297=SISTEM!$C$9,L297=SISTEM!$C$10)</f>
        <v>0</v>
      </c>
    </row>
    <row r="298" spans="1:18" ht="17">
      <c r="A298" s="6"/>
      <c r="B298" s="95" t="str">
        <f t="shared" si="21"/>
        <v/>
      </c>
      <c r="C298" s="97"/>
      <c r="D298" s="95"/>
      <c r="E298" s="96"/>
      <c r="F298" s="96"/>
      <c r="G298" s="99"/>
      <c r="H298" s="95"/>
      <c r="I298" s="95"/>
      <c r="J298" s="95"/>
      <c r="K298" s="95"/>
      <c r="L298" s="96"/>
      <c r="M298" s="42" t="str">
        <f t="shared" si="17"/>
        <v/>
      </c>
      <c r="N298" s="42" t="str">
        <f t="shared" si="18"/>
        <v/>
      </c>
      <c r="O298" s="43" t="str">
        <f t="shared" si="19"/>
        <v/>
      </c>
      <c r="P298" s="42" t="str">
        <f t="shared" si="20"/>
        <v/>
      </c>
      <c r="Q298" s="22" t="str">
        <f>IF(AND(L298&lt;&gt;"",D298="Gelir",I298="Hayır"),L298&amp;"|"&amp;TEXT(COUNTIFS($L$7:L298,L298,$D$7:D298,"Gelir",$I$7:I298,"Hayır"),"000"),"")</f>
        <v/>
      </c>
      <c r="R298" s="22" t="b">
        <f>OR(COUNTIF(LST_MUSTERI_ADI,L298)&gt;0,L298=SISTEM!$C$9,L298=SISTEM!$C$10)</f>
        <v>0</v>
      </c>
    </row>
    <row r="299" spans="1:18" ht="17">
      <c r="A299" s="6"/>
      <c r="B299" s="95" t="str">
        <f t="shared" si="21"/>
        <v/>
      </c>
      <c r="C299" s="97"/>
      <c r="D299" s="95"/>
      <c r="E299" s="96"/>
      <c r="F299" s="96"/>
      <c r="G299" s="99"/>
      <c r="H299" s="95"/>
      <c r="I299" s="95"/>
      <c r="J299" s="95"/>
      <c r="K299" s="95"/>
      <c r="L299" s="96"/>
      <c r="M299" s="42" t="str">
        <f t="shared" si="17"/>
        <v/>
      </c>
      <c r="N299" s="42" t="str">
        <f t="shared" si="18"/>
        <v/>
      </c>
      <c r="O299" s="43" t="str">
        <f t="shared" si="19"/>
        <v/>
      </c>
      <c r="P299" s="42" t="str">
        <f t="shared" si="20"/>
        <v/>
      </c>
      <c r="Q299" s="22" t="str">
        <f>IF(AND(L299&lt;&gt;"",D299="Gelir",I299="Hayır"),L299&amp;"|"&amp;TEXT(COUNTIFS($L$7:L299,L299,$D$7:D299,"Gelir",$I$7:I299,"Hayır"),"000"),"")</f>
        <v/>
      </c>
      <c r="R299" s="22" t="b">
        <f>OR(COUNTIF(LST_MUSTERI_ADI,L299)&gt;0,L299=SISTEM!$C$9,L299=SISTEM!$C$10)</f>
        <v>0</v>
      </c>
    </row>
    <row r="300" spans="1:18" ht="17">
      <c r="A300" s="6"/>
      <c r="B300" s="95" t="str">
        <f t="shared" si="21"/>
        <v/>
      </c>
      <c r="C300" s="97"/>
      <c r="D300" s="95"/>
      <c r="E300" s="96"/>
      <c r="F300" s="96"/>
      <c r="G300" s="99"/>
      <c r="H300" s="95"/>
      <c r="I300" s="95"/>
      <c r="J300" s="95"/>
      <c r="K300" s="95"/>
      <c r="L300" s="96"/>
      <c r="M300" s="42" t="str">
        <f t="shared" si="17"/>
        <v/>
      </c>
      <c r="N300" s="42" t="str">
        <f t="shared" si="18"/>
        <v/>
      </c>
      <c r="O300" s="43" t="str">
        <f t="shared" si="19"/>
        <v/>
      </c>
      <c r="P300" s="42" t="str">
        <f t="shared" si="20"/>
        <v/>
      </c>
      <c r="Q300" s="22" t="str">
        <f>IF(AND(L300&lt;&gt;"",D300="Gelir",I300="Hayır"),L300&amp;"|"&amp;TEXT(COUNTIFS($L$7:L300,L300,$D$7:D300,"Gelir",$I$7:I300,"Hayır"),"000"),"")</f>
        <v/>
      </c>
      <c r="R300" s="22" t="b">
        <f>OR(COUNTIF(LST_MUSTERI_ADI,L300)&gt;0,L300=SISTEM!$C$9,L300=SISTEM!$C$10)</f>
        <v>0</v>
      </c>
    </row>
    <row r="301" spans="1:18" ht="17">
      <c r="A301" s="6"/>
      <c r="B301" s="95" t="str">
        <f t="shared" si="21"/>
        <v/>
      </c>
      <c r="C301" s="97"/>
      <c r="D301" s="95"/>
      <c r="E301" s="96"/>
      <c r="F301" s="96"/>
      <c r="G301" s="99"/>
      <c r="H301" s="95"/>
      <c r="I301" s="95"/>
      <c r="J301" s="95"/>
      <c r="K301" s="95"/>
      <c r="L301" s="96"/>
      <c r="M301" s="42" t="str">
        <f t="shared" si="17"/>
        <v/>
      </c>
      <c r="N301" s="42" t="str">
        <f t="shared" si="18"/>
        <v/>
      </c>
      <c r="O301" s="43" t="str">
        <f t="shared" si="19"/>
        <v/>
      </c>
      <c r="P301" s="42" t="str">
        <f t="shared" si="20"/>
        <v/>
      </c>
    </row>
    <row r="302" spans="1:18" ht="17">
      <c r="A302" s="6"/>
      <c r="B302" s="95" t="str">
        <f t="shared" si="21"/>
        <v/>
      </c>
      <c r="C302" s="97"/>
      <c r="D302" s="95"/>
      <c r="E302" s="96"/>
      <c r="F302" s="96"/>
      <c r="G302" s="99"/>
      <c r="H302" s="95"/>
      <c r="I302" s="95"/>
      <c r="J302" s="95"/>
      <c r="K302" s="95"/>
      <c r="L302" s="96"/>
      <c r="M302" s="42" t="str">
        <f t="shared" si="17"/>
        <v/>
      </c>
      <c r="N302" s="42" t="str">
        <f t="shared" si="18"/>
        <v/>
      </c>
      <c r="O302" s="43" t="str">
        <f t="shared" si="19"/>
        <v/>
      </c>
      <c r="P302" s="42" t="str">
        <f t="shared" si="20"/>
        <v/>
      </c>
    </row>
    <row r="303" spans="1:18" ht="17">
      <c r="A303" s="6"/>
      <c r="B303" s="95" t="str">
        <f t="shared" si="21"/>
        <v/>
      </c>
      <c r="C303" s="97"/>
      <c r="D303" s="95"/>
      <c r="E303" s="96"/>
      <c r="F303" s="96"/>
      <c r="G303" s="99"/>
      <c r="H303" s="95"/>
      <c r="I303" s="95"/>
      <c r="J303" s="95"/>
      <c r="K303" s="95"/>
      <c r="L303" s="96"/>
      <c r="M303" s="42" t="str">
        <f t="shared" si="17"/>
        <v/>
      </c>
      <c r="N303" s="42" t="str">
        <f t="shared" si="18"/>
        <v/>
      </c>
      <c r="O303" s="43" t="str">
        <f t="shared" si="19"/>
        <v/>
      </c>
      <c r="P303" s="42" t="str">
        <f t="shared" si="20"/>
        <v/>
      </c>
    </row>
    <row r="304" spans="1:18" ht="17">
      <c r="A304" s="6"/>
      <c r="B304" s="95" t="str">
        <f t="shared" si="21"/>
        <v/>
      </c>
      <c r="C304" s="97"/>
      <c r="D304" s="95"/>
      <c r="E304" s="96"/>
      <c r="F304" s="96"/>
      <c r="G304" s="99"/>
      <c r="H304" s="95"/>
      <c r="I304" s="95"/>
      <c r="J304" s="95"/>
      <c r="K304" s="95"/>
      <c r="L304" s="96"/>
      <c r="M304" s="42" t="str">
        <f t="shared" si="17"/>
        <v/>
      </c>
      <c r="N304" s="42" t="str">
        <f t="shared" si="18"/>
        <v/>
      </c>
      <c r="O304" s="43" t="str">
        <f t="shared" si="19"/>
        <v/>
      </c>
      <c r="P304" s="42" t="str">
        <f t="shared" si="20"/>
        <v/>
      </c>
    </row>
    <row r="305" spans="1:16" ht="17">
      <c r="A305" s="6"/>
      <c r="B305" s="95" t="str">
        <f t="shared" si="21"/>
        <v/>
      </c>
      <c r="C305" s="97"/>
      <c r="D305" s="95"/>
      <c r="E305" s="96"/>
      <c r="F305" s="96"/>
      <c r="G305" s="99"/>
      <c r="H305" s="95"/>
      <c r="I305" s="95"/>
      <c r="J305" s="95"/>
      <c r="K305" s="95"/>
      <c r="L305" s="96"/>
      <c r="M305" s="42" t="str">
        <f t="shared" si="17"/>
        <v/>
      </c>
      <c r="N305" s="42" t="str">
        <f t="shared" si="18"/>
        <v/>
      </c>
      <c r="O305" s="43" t="str">
        <f t="shared" si="19"/>
        <v/>
      </c>
      <c r="P305" s="42" t="str">
        <f t="shared" si="20"/>
        <v/>
      </c>
    </row>
    <row r="306" spans="1:16" ht="17">
      <c r="A306" s="6"/>
      <c r="B306" s="95" t="str">
        <f t="shared" si="21"/>
        <v/>
      </c>
      <c r="C306" s="97"/>
      <c r="D306" s="95"/>
      <c r="E306" s="96"/>
      <c r="F306" s="96"/>
      <c r="G306" s="99"/>
      <c r="H306" s="95"/>
      <c r="I306" s="95"/>
      <c r="J306" s="95"/>
      <c r="K306" s="95"/>
      <c r="L306" s="96"/>
      <c r="M306" s="42" t="str">
        <f t="shared" si="17"/>
        <v/>
      </c>
      <c r="N306" s="42" t="str">
        <f t="shared" si="18"/>
        <v/>
      </c>
      <c r="O306" s="43" t="str">
        <f t="shared" si="19"/>
        <v/>
      </c>
      <c r="P306" s="42" t="str">
        <f t="shared" si="20"/>
        <v/>
      </c>
    </row>
    <row r="307" spans="1:16" ht="17">
      <c r="A307" s="6"/>
      <c r="B307" s="95" t="str">
        <f t="shared" si="21"/>
        <v/>
      </c>
      <c r="C307" s="97"/>
      <c r="D307" s="95"/>
      <c r="E307" s="96"/>
      <c r="F307" s="96"/>
      <c r="G307" s="99"/>
      <c r="H307" s="95"/>
      <c r="I307" s="95"/>
      <c r="J307" s="95"/>
      <c r="K307" s="95"/>
      <c r="L307" s="96"/>
      <c r="M307" s="42" t="str">
        <f t="shared" si="17"/>
        <v/>
      </c>
      <c r="N307" s="42" t="str">
        <f t="shared" si="18"/>
        <v/>
      </c>
      <c r="O307" s="43" t="str">
        <f t="shared" si="19"/>
        <v/>
      </c>
      <c r="P307" s="42" t="str">
        <f t="shared" si="20"/>
        <v/>
      </c>
    </row>
    <row r="308" spans="1:16" ht="17">
      <c r="A308" s="6"/>
      <c r="B308" s="95" t="str">
        <f t="shared" si="21"/>
        <v/>
      </c>
      <c r="C308" s="97"/>
      <c r="D308" s="95"/>
      <c r="E308" s="96"/>
      <c r="F308" s="96"/>
      <c r="G308" s="99"/>
      <c r="H308" s="95"/>
      <c r="I308" s="95"/>
      <c r="J308" s="95"/>
      <c r="K308" s="95"/>
      <c r="L308" s="96"/>
      <c r="M308" s="42" t="str">
        <f t="shared" si="17"/>
        <v/>
      </c>
      <c r="N308" s="42" t="str">
        <f t="shared" si="18"/>
        <v/>
      </c>
      <c r="O308" s="43" t="str">
        <f t="shared" si="19"/>
        <v/>
      </c>
      <c r="P308" s="42" t="str">
        <f t="shared" si="20"/>
        <v/>
      </c>
    </row>
    <row r="309" spans="1:16" ht="17">
      <c r="A309" s="6"/>
      <c r="B309" s="95" t="str">
        <f t="shared" si="21"/>
        <v/>
      </c>
      <c r="C309" s="97"/>
      <c r="D309" s="95"/>
      <c r="E309" s="96"/>
      <c r="F309" s="96"/>
      <c r="G309" s="99"/>
      <c r="H309" s="95"/>
      <c r="I309" s="95"/>
      <c r="J309" s="95"/>
      <c r="K309" s="95"/>
      <c r="L309" s="96"/>
      <c r="M309" s="42" t="str">
        <f t="shared" si="17"/>
        <v/>
      </c>
      <c r="N309" s="42" t="str">
        <f t="shared" si="18"/>
        <v/>
      </c>
      <c r="O309" s="43" t="str">
        <f t="shared" si="19"/>
        <v/>
      </c>
      <c r="P309" s="42" t="str">
        <f t="shared" si="20"/>
        <v/>
      </c>
    </row>
    <row r="310" spans="1:16" ht="17">
      <c r="A310" s="6"/>
      <c r="B310" s="95" t="str">
        <f t="shared" si="21"/>
        <v/>
      </c>
      <c r="C310" s="97"/>
      <c r="D310" s="95"/>
      <c r="E310" s="96"/>
      <c r="F310" s="96"/>
      <c r="G310" s="99"/>
      <c r="H310" s="95"/>
      <c r="I310" s="95"/>
      <c r="J310" s="95"/>
      <c r="K310" s="95"/>
      <c r="L310" s="96"/>
      <c r="M310" s="42" t="str">
        <f t="shared" si="17"/>
        <v/>
      </c>
      <c r="N310" s="42" t="str">
        <f t="shared" si="18"/>
        <v/>
      </c>
      <c r="O310" s="43" t="str">
        <f t="shared" si="19"/>
        <v/>
      </c>
      <c r="P310" s="42" t="str">
        <f t="shared" si="20"/>
        <v/>
      </c>
    </row>
    <row r="311" spans="1:16" ht="17">
      <c r="A311" s="6"/>
      <c r="B311" s="95" t="str">
        <f t="shared" si="21"/>
        <v/>
      </c>
      <c r="C311" s="97"/>
      <c r="D311" s="95"/>
      <c r="E311" s="96"/>
      <c r="F311" s="96"/>
      <c r="G311" s="99"/>
      <c r="H311" s="95"/>
      <c r="I311" s="95"/>
      <c r="J311" s="95"/>
      <c r="K311" s="95"/>
      <c r="L311" s="96"/>
      <c r="M311" s="42" t="str">
        <f t="shared" si="17"/>
        <v/>
      </c>
      <c r="N311" s="42" t="str">
        <f t="shared" si="18"/>
        <v/>
      </c>
      <c r="O311" s="43" t="str">
        <f t="shared" si="19"/>
        <v/>
      </c>
      <c r="P311" s="42" t="str">
        <f t="shared" si="20"/>
        <v/>
      </c>
    </row>
    <row r="312" spans="1:16" ht="17">
      <c r="A312" s="6"/>
      <c r="B312" s="95" t="str">
        <f t="shared" si="21"/>
        <v/>
      </c>
      <c r="C312" s="97"/>
      <c r="D312" s="95"/>
      <c r="E312" s="96"/>
      <c r="F312" s="96"/>
      <c r="G312" s="99"/>
      <c r="H312" s="95"/>
      <c r="I312" s="95"/>
      <c r="J312" s="95"/>
      <c r="K312" s="95"/>
      <c r="L312" s="96"/>
      <c r="M312" s="42" t="str">
        <f t="shared" si="17"/>
        <v/>
      </c>
      <c r="N312" s="42" t="str">
        <f t="shared" si="18"/>
        <v/>
      </c>
      <c r="O312" s="43" t="str">
        <f t="shared" si="19"/>
        <v/>
      </c>
      <c r="P312" s="42" t="str">
        <f t="shared" si="20"/>
        <v/>
      </c>
    </row>
    <row r="313" spans="1:16" ht="17">
      <c r="A313" s="6"/>
      <c r="B313" s="95" t="str">
        <f t="shared" si="21"/>
        <v/>
      </c>
      <c r="C313" s="97"/>
      <c r="D313" s="95"/>
      <c r="E313" s="96"/>
      <c r="F313" s="96"/>
      <c r="G313" s="99"/>
      <c r="H313" s="95"/>
      <c r="I313" s="95"/>
      <c r="J313" s="95"/>
      <c r="K313" s="95"/>
      <c r="L313" s="96"/>
      <c r="M313" s="42" t="str">
        <f t="shared" si="17"/>
        <v/>
      </c>
      <c r="N313" s="42" t="str">
        <f t="shared" si="18"/>
        <v/>
      </c>
      <c r="O313" s="43" t="str">
        <f t="shared" si="19"/>
        <v/>
      </c>
      <c r="P313" s="42" t="str">
        <f t="shared" si="20"/>
        <v/>
      </c>
    </row>
    <row r="314" spans="1:16" ht="17">
      <c r="A314" s="6"/>
      <c r="B314" s="95" t="str">
        <f t="shared" si="21"/>
        <v/>
      </c>
      <c r="C314" s="97"/>
      <c r="D314" s="95"/>
      <c r="E314" s="96"/>
      <c r="F314" s="96"/>
      <c r="G314" s="99"/>
      <c r="H314" s="95"/>
      <c r="I314" s="95"/>
      <c r="J314" s="95"/>
      <c r="K314" s="95"/>
      <c r="L314" s="96"/>
      <c r="M314" s="42" t="str">
        <f t="shared" si="17"/>
        <v/>
      </c>
      <c r="N314" s="42" t="str">
        <f t="shared" si="18"/>
        <v/>
      </c>
      <c r="O314" s="43" t="str">
        <f t="shared" si="19"/>
        <v/>
      </c>
      <c r="P314" s="42" t="str">
        <f t="shared" si="20"/>
        <v/>
      </c>
    </row>
    <row r="315" spans="1:16" ht="17">
      <c r="A315" s="6"/>
      <c r="B315" s="95" t="str">
        <f t="shared" si="21"/>
        <v/>
      </c>
      <c r="C315" s="97"/>
      <c r="D315" s="95"/>
      <c r="E315" s="96"/>
      <c r="F315" s="96"/>
      <c r="G315" s="99"/>
      <c r="H315" s="95"/>
      <c r="I315" s="95"/>
      <c r="J315" s="95"/>
      <c r="K315" s="95"/>
      <c r="L315" s="96"/>
      <c r="M315" s="42" t="str">
        <f t="shared" si="17"/>
        <v/>
      </c>
      <c r="N315" s="42" t="str">
        <f t="shared" si="18"/>
        <v/>
      </c>
      <c r="O315" s="43" t="str">
        <f t="shared" si="19"/>
        <v/>
      </c>
      <c r="P315" s="42" t="str">
        <f t="shared" si="20"/>
        <v/>
      </c>
    </row>
    <row r="316" spans="1:16" ht="17">
      <c r="A316" s="6"/>
      <c r="B316" s="95" t="str">
        <f t="shared" si="21"/>
        <v/>
      </c>
      <c r="C316" s="97"/>
      <c r="D316" s="95"/>
      <c r="E316" s="96"/>
      <c r="F316" s="96"/>
      <c r="G316" s="99"/>
      <c r="H316" s="95"/>
      <c r="I316" s="95"/>
      <c r="J316" s="95"/>
      <c r="K316" s="95"/>
      <c r="L316" s="96"/>
      <c r="M316" s="42" t="str">
        <f t="shared" si="17"/>
        <v/>
      </c>
      <c r="N316" s="42" t="str">
        <f t="shared" si="18"/>
        <v/>
      </c>
      <c r="O316" s="43" t="str">
        <f t="shared" si="19"/>
        <v/>
      </c>
      <c r="P316" s="42" t="str">
        <f t="shared" si="20"/>
        <v/>
      </c>
    </row>
    <row r="317" spans="1:16" ht="17">
      <c r="A317" s="6"/>
      <c r="B317" s="95" t="str">
        <f t="shared" si="21"/>
        <v/>
      </c>
      <c r="C317" s="97"/>
      <c r="D317" s="95"/>
      <c r="E317" s="96"/>
      <c r="F317" s="96"/>
      <c r="G317" s="99"/>
      <c r="H317" s="95"/>
      <c r="I317" s="95"/>
      <c r="J317" s="95"/>
      <c r="K317" s="95"/>
      <c r="L317" s="96"/>
      <c r="M317" s="42" t="str">
        <f t="shared" si="17"/>
        <v/>
      </c>
      <c r="N317" s="42" t="str">
        <f t="shared" si="18"/>
        <v/>
      </c>
      <c r="O317" s="43" t="str">
        <f t="shared" si="19"/>
        <v/>
      </c>
      <c r="P317" s="42" t="str">
        <f t="shared" si="20"/>
        <v/>
      </c>
    </row>
    <row r="318" spans="1:16" ht="17">
      <c r="A318" s="6"/>
      <c r="B318" s="95" t="str">
        <f t="shared" si="21"/>
        <v/>
      </c>
      <c r="C318" s="97"/>
      <c r="D318" s="95"/>
      <c r="E318" s="96"/>
      <c r="F318" s="96"/>
      <c r="G318" s="99"/>
      <c r="H318" s="95"/>
      <c r="I318" s="95"/>
      <c r="J318" s="95"/>
      <c r="K318" s="95"/>
      <c r="L318" s="96"/>
      <c r="M318" s="42" t="str">
        <f t="shared" si="17"/>
        <v/>
      </c>
      <c r="N318" s="42" t="str">
        <f t="shared" si="18"/>
        <v/>
      </c>
      <c r="O318" s="43" t="str">
        <f t="shared" si="19"/>
        <v/>
      </c>
      <c r="P318" s="42" t="str">
        <f t="shared" si="20"/>
        <v/>
      </c>
    </row>
    <row r="319" spans="1:16" ht="17">
      <c r="A319" s="6"/>
      <c r="B319" s="95" t="str">
        <f t="shared" si="21"/>
        <v/>
      </c>
      <c r="C319" s="97"/>
      <c r="D319" s="95"/>
      <c r="E319" s="96"/>
      <c r="F319" s="96"/>
      <c r="G319" s="99"/>
      <c r="H319" s="95"/>
      <c r="I319" s="95"/>
      <c r="J319" s="95"/>
      <c r="K319" s="95"/>
      <c r="L319" s="96"/>
      <c r="M319" s="42" t="str">
        <f t="shared" si="17"/>
        <v/>
      </c>
      <c r="N319" s="42" t="str">
        <f t="shared" si="18"/>
        <v/>
      </c>
      <c r="O319" s="43" t="str">
        <f t="shared" si="19"/>
        <v/>
      </c>
      <c r="P319" s="42" t="str">
        <f t="shared" si="20"/>
        <v/>
      </c>
    </row>
    <row r="320" spans="1:16" ht="17">
      <c r="A320" s="6"/>
      <c r="B320" s="95" t="str">
        <f t="shared" si="21"/>
        <v/>
      </c>
      <c r="C320" s="97"/>
      <c r="D320" s="95"/>
      <c r="E320" s="96"/>
      <c r="F320" s="96"/>
      <c r="G320" s="99"/>
      <c r="H320" s="95"/>
      <c r="I320" s="95"/>
      <c r="J320" s="95"/>
      <c r="K320" s="95"/>
      <c r="L320" s="96"/>
      <c r="M320" s="42" t="str">
        <f t="shared" si="17"/>
        <v/>
      </c>
      <c r="N320" s="42" t="str">
        <f t="shared" si="18"/>
        <v/>
      </c>
      <c r="O320" s="43" t="str">
        <f t="shared" si="19"/>
        <v/>
      </c>
      <c r="P320" s="42" t="str">
        <f t="shared" si="20"/>
        <v/>
      </c>
    </row>
    <row r="321" spans="1:16" ht="17">
      <c r="A321" s="6"/>
      <c r="B321" s="95" t="str">
        <f t="shared" si="21"/>
        <v/>
      </c>
      <c r="C321" s="97"/>
      <c r="D321" s="95"/>
      <c r="E321" s="96"/>
      <c r="F321" s="96"/>
      <c r="G321" s="99"/>
      <c r="H321" s="95"/>
      <c r="I321" s="95"/>
      <c r="J321" s="95"/>
      <c r="K321" s="95"/>
      <c r="L321" s="96"/>
      <c r="M321" s="42" t="str">
        <f t="shared" si="17"/>
        <v/>
      </c>
      <c r="N321" s="42" t="str">
        <f t="shared" si="18"/>
        <v/>
      </c>
      <c r="O321" s="43" t="str">
        <f t="shared" si="19"/>
        <v/>
      </c>
      <c r="P321" s="42" t="str">
        <f t="shared" si="20"/>
        <v/>
      </c>
    </row>
    <row r="322" spans="1:16" ht="17">
      <c r="A322" s="6"/>
      <c r="B322" s="95" t="str">
        <f t="shared" si="21"/>
        <v/>
      </c>
      <c r="C322" s="97"/>
      <c r="D322" s="95"/>
      <c r="E322" s="96"/>
      <c r="F322" s="96"/>
      <c r="G322" s="99"/>
      <c r="H322" s="95"/>
      <c r="I322" s="95"/>
      <c r="J322" s="95"/>
      <c r="K322" s="95"/>
      <c r="L322" s="96"/>
      <c r="M322" s="42" t="str">
        <f t="shared" si="17"/>
        <v/>
      </c>
      <c r="N322" s="42" t="str">
        <f t="shared" si="18"/>
        <v/>
      </c>
      <c r="O322" s="43" t="str">
        <f t="shared" si="19"/>
        <v/>
      </c>
      <c r="P322" s="42" t="str">
        <f t="shared" si="20"/>
        <v/>
      </c>
    </row>
    <row r="323" spans="1:16" ht="17">
      <c r="A323" s="6"/>
      <c r="B323" s="95" t="str">
        <f t="shared" si="21"/>
        <v/>
      </c>
      <c r="C323" s="97"/>
      <c r="D323" s="95"/>
      <c r="E323" s="96"/>
      <c r="F323" s="96"/>
      <c r="G323" s="99"/>
      <c r="H323" s="95"/>
      <c r="I323" s="95"/>
      <c r="J323" s="95"/>
      <c r="K323" s="95"/>
      <c r="L323" s="96"/>
      <c r="M323" s="42" t="str">
        <f t="shared" si="17"/>
        <v/>
      </c>
      <c r="N323" s="42" t="str">
        <f t="shared" si="18"/>
        <v/>
      </c>
      <c r="O323" s="43" t="str">
        <f t="shared" si="19"/>
        <v/>
      </c>
      <c r="P323" s="42" t="str">
        <f t="shared" si="20"/>
        <v/>
      </c>
    </row>
    <row r="324" spans="1:16" ht="17">
      <c r="A324" s="6"/>
      <c r="B324" s="95" t="str">
        <f t="shared" si="21"/>
        <v/>
      </c>
      <c r="C324" s="97"/>
      <c r="D324" s="95"/>
      <c r="E324" s="96"/>
      <c r="F324" s="96"/>
      <c r="G324" s="99"/>
      <c r="H324" s="95"/>
      <c r="I324" s="95"/>
      <c r="J324" s="95"/>
      <c r="K324" s="95"/>
      <c r="L324" s="96"/>
      <c r="M324" s="42" t="str">
        <f t="shared" si="17"/>
        <v/>
      </c>
      <c r="N324" s="42" t="str">
        <f t="shared" si="18"/>
        <v/>
      </c>
      <c r="O324" s="43" t="str">
        <f t="shared" si="19"/>
        <v/>
      </c>
      <c r="P324" s="42" t="str">
        <f t="shared" si="20"/>
        <v/>
      </c>
    </row>
    <row r="325" spans="1:16" ht="17">
      <c r="A325" s="6"/>
      <c r="B325" s="95" t="str">
        <f t="shared" si="21"/>
        <v/>
      </c>
      <c r="C325" s="97"/>
      <c r="D325" s="95"/>
      <c r="E325" s="96"/>
      <c r="F325" s="96"/>
      <c r="G325" s="99"/>
      <c r="H325" s="95"/>
      <c r="I325" s="95"/>
      <c r="J325" s="95"/>
      <c r="K325" s="95"/>
      <c r="L325" s="96"/>
      <c r="M325" s="42" t="str">
        <f t="shared" si="17"/>
        <v/>
      </c>
      <c r="N325" s="42" t="str">
        <f t="shared" si="18"/>
        <v/>
      </c>
      <c r="O325" s="43" t="str">
        <f t="shared" si="19"/>
        <v/>
      </c>
      <c r="P325" s="42" t="str">
        <f t="shared" si="20"/>
        <v/>
      </c>
    </row>
    <row r="326" spans="1:16" ht="17">
      <c r="A326" s="6"/>
      <c r="B326" s="95" t="str">
        <f t="shared" si="21"/>
        <v/>
      </c>
      <c r="C326" s="97"/>
      <c r="D326" s="95"/>
      <c r="E326" s="96"/>
      <c r="F326" s="96"/>
      <c r="G326" s="99"/>
      <c r="H326" s="95"/>
      <c r="I326" s="95"/>
      <c r="J326" s="95"/>
      <c r="K326" s="95"/>
      <c r="L326" s="96"/>
      <c r="M326" s="42" t="str">
        <f t="shared" si="17"/>
        <v/>
      </c>
      <c r="N326" s="42" t="str">
        <f t="shared" si="18"/>
        <v/>
      </c>
      <c r="O326" s="43" t="str">
        <f t="shared" si="19"/>
        <v/>
      </c>
      <c r="P326" s="42" t="str">
        <f t="shared" si="20"/>
        <v/>
      </c>
    </row>
    <row r="327" spans="1:16" ht="17">
      <c r="A327" s="6"/>
      <c r="B327" s="95" t="str">
        <f t="shared" si="21"/>
        <v/>
      </c>
      <c r="C327" s="97"/>
      <c r="D327" s="95"/>
      <c r="E327" s="96"/>
      <c r="F327" s="96"/>
      <c r="G327" s="99"/>
      <c r="H327" s="95"/>
      <c r="I327" s="95"/>
      <c r="J327" s="95"/>
      <c r="K327" s="95"/>
      <c r="L327" s="96"/>
      <c r="M327" s="42" t="str">
        <f t="shared" ref="M327:M390" si="22">IF(C327="","",IF(D327="Gider",IF(H327&lt;&gt;"",H327,"CARİ MAHSUP"),IF(L327&lt;&gt;"",L327,H327)))</f>
        <v/>
      </c>
      <c r="N327" s="42" t="str">
        <f t="shared" ref="N327:N390" si="23">IF(C327="","",IF(D327="Gider",E327,IF(H327&lt;&gt;"",H327,E327)))</f>
        <v/>
      </c>
      <c r="O327" s="43" t="str">
        <f t="shared" ref="O327:O390" si="24">IF(C327="","",DATE(YEAR(C327),MONTH(C327),1))</f>
        <v/>
      </c>
      <c r="P327" s="42" t="str">
        <f t="shared" ref="P327:P390" si="25">IF(C327="","",IF(OR(D327="",E327="",G327=""),"EKSİK",IF(AND(D327="Gelir",I327="Hayır",L327&lt;&gt;""),IF(R327,"TAHAKKUK","TANIMSIZ BORÇLU"),IF(AND(D327="Gelir",I327="Evet",L327&lt;&gt;""),"TAHAKKUK NAKİT OLAMAZ",IF(AND(D327="Gelir",I327="Hayır",H327&lt;&gt;""),"NAKİTSİZDE KASA OLMAZ","UYGUN")))))</f>
        <v/>
      </c>
    </row>
    <row r="328" spans="1:16" ht="17">
      <c r="A328" s="6"/>
      <c r="B328" s="95" t="str">
        <f t="shared" si="21"/>
        <v/>
      </c>
      <c r="C328" s="97"/>
      <c r="D328" s="95"/>
      <c r="E328" s="96"/>
      <c r="F328" s="96"/>
      <c r="G328" s="99"/>
      <c r="H328" s="95"/>
      <c r="I328" s="95"/>
      <c r="J328" s="95"/>
      <c r="K328" s="95"/>
      <c r="L328" s="96"/>
      <c r="M328" s="42" t="str">
        <f t="shared" si="22"/>
        <v/>
      </c>
      <c r="N328" s="42" t="str">
        <f t="shared" si="23"/>
        <v/>
      </c>
      <c r="O328" s="43" t="str">
        <f t="shared" si="24"/>
        <v/>
      </c>
      <c r="P328" s="42" t="str">
        <f t="shared" si="25"/>
        <v/>
      </c>
    </row>
    <row r="329" spans="1:16" ht="17">
      <c r="A329" s="6"/>
      <c r="B329" s="95" t="str">
        <f t="shared" si="21"/>
        <v/>
      </c>
      <c r="C329" s="97"/>
      <c r="D329" s="95"/>
      <c r="E329" s="96"/>
      <c r="F329" s="96"/>
      <c r="G329" s="99"/>
      <c r="H329" s="95"/>
      <c r="I329" s="95"/>
      <c r="J329" s="95"/>
      <c r="K329" s="95"/>
      <c r="L329" s="96"/>
      <c r="M329" s="42" t="str">
        <f t="shared" si="22"/>
        <v/>
      </c>
      <c r="N329" s="42" t="str">
        <f t="shared" si="23"/>
        <v/>
      </c>
      <c r="O329" s="43" t="str">
        <f t="shared" si="24"/>
        <v/>
      </c>
      <c r="P329" s="42" t="str">
        <f t="shared" si="25"/>
        <v/>
      </c>
    </row>
    <row r="330" spans="1:16" ht="17">
      <c r="A330" s="6"/>
      <c r="B330" s="95" t="str">
        <f t="shared" si="21"/>
        <v/>
      </c>
      <c r="C330" s="97"/>
      <c r="D330" s="95"/>
      <c r="E330" s="96"/>
      <c r="F330" s="96"/>
      <c r="G330" s="99"/>
      <c r="H330" s="95"/>
      <c r="I330" s="95"/>
      <c r="J330" s="95"/>
      <c r="K330" s="95"/>
      <c r="L330" s="96"/>
      <c r="M330" s="42" t="str">
        <f t="shared" si="22"/>
        <v/>
      </c>
      <c r="N330" s="42" t="str">
        <f t="shared" si="23"/>
        <v/>
      </c>
      <c r="O330" s="43" t="str">
        <f t="shared" si="24"/>
        <v/>
      </c>
      <c r="P330" s="42" t="str">
        <f t="shared" si="25"/>
        <v/>
      </c>
    </row>
    <row r="331" spans="1:16" ht="17">
      <c r="A331" s="6"/>
      <c r="B331" s="95" t="str">
        <f t="shared" si="21"/>
        <v/>
      </c>
      <c r="C331" s="97"/>
      <c r="D331" s="95"/>
      <c r="E331" s="96"/>
      <c r="F331" s="96"/>
      <c r="G331" s="99"/>
      <c r="H331" s="95"/>
      <c r="I331" s="95"/>
      <c r="J331" s="95"/>
      <c r="K331" s="95"/>
      <c r="L331" s="96"/>
      <c r="M331" s="42" t="str">
        <f t="shared" si="22"/>
        <v/>
      </c>
      <c r="N331" s="42" t="str">
        <f t="shared" si="23"/>
        <v/>
      </c>
      <c r="O331" s="43" t="str">
        <f t="shared" si="24"/>
        <v/>
      </c>
      <c r="P331" s="42" t="str">
        <f t="shared" si="25"/>
        <v/>
      </c>
    </row>
    <row r="332" spans="1:16" ht="17">
      <c r="A332" s="6"/>
      <c r="B332" s="95" t="str">
        <f t="shared" si="21"/>
        <v/>
      </c>
      <c r="C332" s="97"/>
      <c r="D332" s="95"/>
      <c r="E332" s="96"/>
      <c r="F332" s="96"/>
      <c r="G332" s="99"/>
      <c r="H332" s="95"/>
      <c r="I332" s="95"/>
      <c r="J332" s="95"/>
      <c r="K332" s="95"/>
      <c r="L332" s="96"/>
      <c r="M332" s="42" t="str">
        <f t="shared" si="22"/>
        <v/>
      </c>
      <c r="N332" s="42" t="str">
        <f t="shared" si="23"/>
        <v/>
      </c>
      <c r="O332" s="43" t="str">
        <f t="shared" si="24"/>
        <v/>
      </c>
      <c r="P332" s="42" t="str">
        <f t="shared" si="25"/>
        <v/>
      </c>
    </row>
    <row r="333" spans="1:16" ht="17">
      <c r="A333" s="6"/>
      <c r="B333" s="95" t="str">
        <f t="shared" si="21"/>
        <v/>
      </c>
      <c r="C333" s="97"/>
      <c r="D333" s="95"/>
      <c r="E333" s="96"/>
      <c r="F333" s="96"/>
      <c r="G333" s="99"/>
      <c r="H333" s="95"/>
      <c r="I333" s="95"/>
      <c r="J333" s="95"/>
      <c r="K333" s="95"/>
      <c r="L333" s="96"/>
      <c r="M333" s="42" t="str">
        <f t="shared" si="22"/>
        <v/>
      </c>
      <c r="N333" s="42" t="str">
        <f t="shared" si="23"/>
        <v/>
      </c>
      <c r="O333" s="43" t="str">
        <f t="shared" si="24"/>
        <v/>
      </c>
      <c r="P333" s="42" t="str">
        <f t="shared" si="25"/>
        <v/>
      </c>
    </row>
    <row r="334" spans="1:16" ht="17">
      <c r="A334" s="6"/>
      <c r="B334" s="95" t="str">
        <f t="shared" si="21"/>
        <v/>
      </c>
      <c r="C334" s="97"/>
      <c r="D334" s="95"/>
      <c r="E334" s="96"/>
      <c r="F334" s="96"/>
      <c r="G334" s="99"/>
      <c r="H334" s="95"/>
      <c r="I334" s="95"/>
      <c r="J334" s="95"/>
      <c r="K334" s="95"/>
      <c r="L334" s="96"/>
      <c r="M334" s="42" t="str">
        <f t="shared" si="22"/>
        <v/>
      </c>
      <c r="N334" s="42" t="str">
        <f t="shared" si="23"/>
        <v/>
      </c>
      <c r="O334" s="43" t="str">
        <f t="shared" si="24"/>
        <v/>
      </c>
      <c r="P334" s="42" t="str">
        <f t="shared" si="25"/>
        <v/>
      </c>
    </row>
    <row r="335" spans="1:16" ht="17">
      <c r="A335" s="6"/>
      <c r="B335" s="95" t="str">
        <f t="shared" si="21"/>
        <v/>
      </c>
      <c r="C335" s="97"/>
      <c r="D335" s="95"/>
      <c r="E335" s="96"/>
      <c r="F335" s="96"/>
      <c r="G335" s="99"/>
      <c r="H335" s="95"/>
      <c r="I335" s="95"/>
      <c r="J335" s="95"/>
      <c r="K335" s="95"/>
      <c r="L335" s="96"/>
      <c r="M335" s="42" t="str">
        <f t="shared" si="22"/>
        <v/>
      </c>
      <c r="N335" s="42" t="str">
        <f t="shared" si="23"/>
        <v/>
      </c>
      <c r="O335" s="43" t="str">
        <f t="shared" si="24"/>
        <v/>
      </c>
      <c r="P335" s="42" t="str">
        <f t="shared" si="25"/>
        <v/>
      </c>
    </row>
    <row r="336" spans="1:16" ht="17">
      <c r="A336" s="6"/>
      <c r="B336" s="95" t="str">
        <f t="shared" si="21"/>
        <v/>
      </c>
      <c r="C336" s="97"/>
      <c r="D336" s="95"/>
      <c r="E336" s="96"/>
      <c r="F336" s="96"/>
      <c r="G336" s="99"/>
      <c r="H336" s="95"/>
      <c r="I336" s="95"/>
      <c r="J336" s="95"/>
      <c r="K336" s="95"/>
      <c r="L336" s="96"/>
      <c r="M336" s="42" t="str">
        <f t="shared" si="22"/>
        <v/>
      </c>
      <c r="N336" s="42" t="str">
        <f t="shared" si="23"/>
        <v/>
      </c>
      <c r="O336" s="43" t="str">
        <f t="shared" si="24"/>
        <v/>
      </c>
      <c r="P336" s="42" t="str">
        <f t="shared" si="25"/>
        <v/>
      </c>
    </row>
    <row r="337" spans="1:16" ht="17">
      <c r="A337" s="6"/>
      <c r="B337" s="95" t="str">
        <f t="shared" si="21"/>
        <v/>
      </c>
      <c r="C337" s="97"/>
      <c r="D337" s="95"/>
      <c r="E337" s="96"/>
      <c r="F337" s="96"/>
      <c r="G337" s="99"/>
      <c r="H337" s="95"/>
      <c r="I337" s="95"/>
      <c r="J337" s="95"/>
      <c r="K337" s="95"/>
      <c r="L337" s="96"/>
      <c r="M337" s="42" t="str">
        <f t="shared" si="22"/>
        <v/>
      </c>
      <c r="N337" s="42" t="str">
        <f t="shared" si="23"/>
        <v/>
      </c>
      <c r="O337" s="43" t="str">
        <f t="shared" si="24"/>
        <v/>
      </c>
      <c r="P337" s="42" t="str">
        <f t="shared" si="25"/>
        <v/>
      </c>
    </row>
    <row r="338" spans="1:16" ht="17">
      <c r="A338" s="6"/>
      <c r="B338" s="95" t="str">
        <f t="shared" si="21"/>
        <v/>
      </c>
      <c r="C338" s="97"/>
      <c r="D338" s="95"/>
      <c r="E338" s="96"/>
      <c r="F338" s="96"/>
      <c r="G338" s="99"/>
      <c r="H338" s="95"/>
      <c r="I338" s="95"/>
      <c r="J338" s="95"/>
      <c r="K338" s="95"/>
      <c r="L338" s="96"/>
      <c r="M338" s="42" t="str">
        <f t="shared" si="22"/>
        <v/>
      </c>
      <c r="N338" s="42" t="str">
        <f t="shared" si="23"/>
        <v/>
      </c>
      <c r="O338" s="43" t="str">
        <f t="shared" si="24"/>
        <v/>
      </c>
      <c r="P338" s="42" t="str">
        <f t="shared" si="25"/>
        <v/>
      </c>
    </row>
    <row r="339" spans="1:16" ht="17">
      <c r="A339" s="6"/>
      <c r="B339" s="95" t="str">
        <f t="shared" si="21"/>
        <v/>
      </c>
      <c r="C339" s="97"/>
      <c r="D339" s="95"/>
      <c r="E339" s="96"/>
      <c r="F339" s="96"/>
      <c r="G339" s="99"/>
      <c r="H339" s="95"/>
      <c r="I339" s="95"/>
      <c r="J339" s="95"/>
      <c r="K339" s="95"/>
      <c r="L339" s="96"/>
      <c r="M339" s="42" t="str">
        <f t="shared" si="22"/>
        <v/>
      </c>
      <c r="N339" s="42" t="str">
        <f t="shared" si="23"/>
        <v/>
      </c>
      <c r="O339" s="43" t="str">
        <f t="shared" si="24"/>
        <v/>
      </c>
      <c r="P339" s="42" t="str">
        <f t="shared" si="25"/>
        <v/>
      </c>
    </row>
    <row r="340" spans="1:16" ht="17">
      <c r="A340" s="6"/>
      <c r="B340" s="95" t="str">
        <f t="shared" si="21"/>
        <v/>
      </c>
      <c r="C340" s="97"/>
      <c r="D340" s="95"/>
      <c r="E340" s="96"/>
      <c r="F340" s="96"/>
      <c r="G340" s="99"/>
      <c r="H340" s="95"/>
      <c r="I340" s="95"/>
      <c r="J340" s="95"/>
      <c r="K340" s="95"/>
      <c r="L340" s="96"/>
      <c r="M340" s="42" t="str">
        <f t="shared" si="22"/>
        <v/>
      </c>
      <c r="N340" s="42" t="str">
        <f t="shared" si="23"/>
        <v/>
      </c>
      <c r="O340" s="43" t="str">
        <f t="shared" si="24"/>
        <v/>
      </c>
      <c r="P340" s="42" t="str">
        <f t="shared" si="25"/>
        <v/>
      </c>
    </row>
    <row r="341" spans="1:16" ht="17">
      <c r="A341" s="6"/>
      <c r="B341" s="95" t="str">
        <f t="shared" si="21"/>
        <v/>
      </c>
      <c r="C341" s="97"/>
      <c r="D341" s="95"/>
      <c r="E341" s="96"/>
      <c r="F341" s="96"/>
      <c r="G341" s="99"/>
      <c r="H341" s="95"/>
      <c r="I341" s="95"/>
      <c r="J341" s="95"/>
      <c r="K341" s="95"/>
      <c r="L341" s="96"/>
      <c r="M341" s="42" t="str">
        <f t="shared" si="22"/>
        <v/>
      </c>
      <c r="N341" s="42" t="str">
        <f t="shared" si="23"/>
        <v/>
      </c>
      <c r="O341" s="43" t="str">
        <f t="shared" si="24"/>
        <v/>
      </c>
      <c r="P341" s="42" t="str">
        <f t="shared" si="25"/>
        <v/>
      </c>
    </row>
    <row r="342" spans="1:16" ht="17">
      <c r="A342" s="6"/>
      <c r="B342" s="95" t="str">
        <f t="shared" si="21"/>
        <v/>
      </c>
      <c r="C342" s="97"/>
      <c r="D342" s="95"/>
      <c r="E342" s="96"/>
      <c r="F342" s="96"/>
      <c r="G342" s="99"/>
      <c r="H342" s="95"/>
      <c r="I342" s="95"/>
      <c r="J342" s="95"/>
      <c r="K342" s="95"/>
      <c r="L342" s="96"/>
      <c r="M342" s="42" t="str">
        <f t="shared" si="22"/>
        <v/>
      </c>
      <c r="N342" s="42" t="str">
        <f t="shared" si="23"/>
        <v/>
      </c>
      <c r="O342" s="43" t="str">
        <f t="shared" si="24"/>
        <v/>
      </c>
      <c r="P342" s="42" t="str">
        <f t="shared" si="25"/>
        <v/>
      </c>
    </row>
    <row r="343" spans="1:16" ht="17">
      <c r="A343" s="6"/>
      <c r="B343" s="95" t="str">
        <f t="shared" si="21"/>
        <v/>
      </c>
      <c r="C343" s="97"/>
      <c r="D343" s="95"/>
      <c r="E343" s="96"/>
      <c r="F343" s="96"/>
      <c r="G343" s="99"/>
      <c r="H343" s="95"/>
      <c r="I343" s="95"/>
      <c r="J343" s="95"/>
      <c r="K343" s="95"/>
      <c r="L343" s="96"/>
      <c r="M343" s="42" t="str">
        <f t="shared" si="22"/>
        <v/>
      </c>
      <c r="N343" s="42" t="str">
        <f t="shared" si="23"/>
        <v/>
      </c>
      <c r="O343" s="43" t="str">
        <f t="shared" si="24"/>
        <v/>
      </c>
      <c r="P343" s="42" t="str">
        <f t="shared" si="25"/>
        <v/>
      </c>
    </row>
    <row r="344" spans="1:16" ht="17">
      <c r="A344" s="6"/>
      <c r="B344" s="95" t="str">
        <f t="shared" si="21"/>
        <v/>
      </c>
      <c r="C344" s="97"/>
      <c r="D344" s="95"/>
      <c r="E344" s="96"/>
      <c r="F344" s="96"/>
      <c r="G344" s="99"/>
      <c r="H344" s="95"/>
      <c r="I344" s="95"/>
      <c r="J344" s="95"/>
      <c r="K344" s="95"/>
      <c r="L344" s="96"/>
      <c r="M344" s="42" t="str">
        <f t="shared" si="22"/>
        <v/>
      </c>
      <c r="N344" s="42" t="str">
        <f t="shared" si="23"/>
        <v/>
      </c>
      <c r="O344" s="43" t="str">
        <f t="shared" si="24"/>
        <v/>
      </c>
      <c r="P344" s="42" t="str">
        <f t="shared" si="25"/>
        <v/>
      </c>
    </row>
    <row r="345" spans="1:16" ht="17">
      <c r="A345" s="6"/>
      <c r="B345" s="95" t="str">
        <f t="shared" si="21"/>
        <v/>
      </c>
      <c r="C345" s="97"/>
      <c r="D345" s="95"/>
      <c r="E345" s="96"/>
      <c r="F345" s="96"/>
      <c r="G345" s="99"/>
      <c r="H345" s="95"/>
      <c r="I345" s="95"/>
      <c r="J345" s="95"/>
      <c r="K345" s="95"/>
      <c r="L345" s="96"/>
      <c r="M345" s="42" t="str">
        <f t="shared" si="22"/>
        <v/>
      </c>
      <c r="N345" s="42" t="str">
        <f t="shared" si="23"/>
        <v/>
      </c>
      <c r="O345" s="43" t="str">
        <f t="shared" si="24"/>
        <v/>
      </c>
      <c r="P345" s="42" t="str">
        <f t="shared" si="25"/>
        <v/>
      </c>
    </row>
    <row r="346" spans="1:16" ht="17">
      <c r="A346" s="6"/>
      <c r="B346" s="95" t="str">
        <f t="shared" si="21"/>
        <v/>
      </c>
      <c r="C346" s="97"/>
      <c r="D346" s="95"/>
      <c r="E346" s="96"/>
      <c r="F346" s="96"/>
      <c r="G346" s="99"/>
      <c r="H346" s="95"/>
      <c r="I346" s="95"/>
      <c r="J346" s="95"/>
      <c r="K346" s="95"/>
      <c r="L346" s="96"/>
      <c r="M346" s="42" t="str">
        <f t="shared" si="22"/>
        <v/>
      </c>
      <c r="N346" s="42" t="str">
        <f t="shared" si="23"/>
        <v/>
      </c>
      <c r="O346" s="43" t="str">
        <f t="shared" si="24"/>
        <v/>
      </c>
      <c r="P346" s="42" t="str">
        <f t="shared" si="25"/>
        <v/>
      </c>
    </row>
    <row r="347" spans="1:16" ht="17">
      <c r="A347" s="6"/>
      <c r="B347" s="95" t="str">
        <f t="shared" si="21"/>
        <v/>
      </c>
      <c r="C347" s="97"/>
      <c r="D347" s="95"/>
      <c r="E347" s="96"/>
      <c r="F347" s="96"/>
      <c r="G347" s="99"/>
      <c r="H347" s="95"/>
      <c r="I347" s="95"/>
      <c r="J347" s="95"/>
      <c r="K347" s="95"/>
      <c r="L347" s="96"/>
      <c r="M347" s="42" t="str">
        <f t="shared" si="22"/>
        <v/>
      </c>
      <c r="N347" s="42" t="str">
        <f t="shared" si="23"/>
        <v/>
      </c>
      <c r="O347" s="43" t="str">
        <f t="shared" si="24"/>
        <v/>
      </c>
      <c r="P347" s="42" t="str">
        <f t="shared" si="25"/>
        <v/>
      </c>
    </row>
    <row r="348" spans="1:16" ht="17">
      <c r="A348" s="6"/>
      <c r="B348" s="95" t="str">
        <f t="shared" si="21"/>
        <v/>
      </c>
      <c r="C348" s="97"/>
      <c r="D348" s="95"/>
      <c r="E348" s="96"/>
      <c r="F348" s="96"/>
      <c r="G348" s="99"/>
      <c r="H348" s="95"/>
      <c r="I348" s="95"/>
      <c r="J348" s="95"/>
      <c r="K348" s="95"/>
      <c r="L348" s="96"/>
      <c r="M348" s="42" t="str">
        <f t="shared" si="22"/>
        <v/>
      </c>
      <c r="N348" s="42" t="str">
        <f t="shared" si="23"/>
        <v/>
      </c>
      <c r="O348" s="43" t="str">
        <f t="shared" si="24"/>
        <v/>
      </c>
      <c r="P348" s="42" t="str">
        <f t="shared" si="25"/>
        <v/>
      </c>
    </row>
    <row r="349" spans="1:16" ht="17">
      <c r="A349" s="6"/>
      <c r="B349" s="95" t="str">
        <f t="shared" si="21"/>
        <v/>
      </c>
      <c r="C349" s="97"/>
      <c r="D349" s="95"/>
      <c r="E349" s="96"/>
      <c r="F349" s="96"/>
      <c r="G349" s="99"/>
      <c r="H349" s="95"/>
      <c r="I349" s="95"/>
      <c r="J349" s="95"/>
      <c r="K349" s="95"/>
      <c r="L349" s="96"/>
      <c r="M349" s="42" t="str">
        <f t="shared" si="22"/>
        <v/>
      </c>
      <c r="N349" s="42" t="str">
        <f t="shared" si="23"/>
        <v/>
      </c>
      <c r="O349" s="43" t="str">
        <f t="shared" si="24"/>
        <v/>
      </c>
      <c r="P349" s="42" t="str">
        <f t="shared" si="25"/>
        <v/>
      </c>
    </row>
    <row r="350" spans="1:16" ht="17">
      <c r="A350" s="6"/>
      <c r="B350" s="95" t="str">
        <f t="shared" si="21"/>
        <v/>
      </c>
      <c r="C350" s="97"/>
      <c r="D350" s="95"/>
      <c r="E350" s="96"/>
      <c r="F350" s="96"/>
      <c r="G350" s="99"/>
      <c r="H350" s="95"/>
      <c r="I350" s="95"/>
      <c r="J350" s="95"/>
      <c r="K350" s="95"/>
      <c r="L350" s="96"/>
      <c r="M350" s="42" t="str">
        <f t="shared" si="22"/>
        <v/>
      </c>
      <c r="N350" s="42" t="str">
        <f t="shared" si="23"/>
        <v/>
      </c>
      <c r="O350" s="43" t="str">
        <f t="shared" si="24"/>
        <v/>
      </c>
      <c r="P350" s="42" t="str">
        <f t="shared" si="25"/>
        <v/>
      </c>
    </row>
    <row r="351" spans="1:16" ht="17">
      <c r="A351" s="6"/>
      <c r="B351" s="95" t="str">
        <f t="shared" si="21"/>
        <v/>
      </c>
      <c r="C351" s="97"/>
      <c r="D351" s="95"/>
      <c r="E351" s="96"/>
      <c r="F351" s="96"/>
      <c r="G351" s="99"/>
      <c r="H351" s="95"/>
      <c r="I351" s="95"/>
      <c r="J351" s="95"/>
      <c r="K351" s="95"/>
      <c r="L351" s="96"/>
      <c r="M351" s="42" t="str">
        <f t="shared" si="22"/>
        <v/>
      </c>
      <c r="N351" s="42" t="str">
        <f t="shared" si="23"/>
        <v/>
      </c>
      <c r="O351" s="43" t="str">
        <f t="shared" si="24"/>
        <v/>
      </c>
      <c r="P351" s="42" t="str">
        <f t="shared" si="25"/>
        <v/>
      </c>
    </row>
    <row r="352" spans="1:16" ht="17">
      <c r="A352" s="6"/>
      <c r="B352" s="95" t="str">
        <f t="shared" si="21"/>
        <v/>
      </c>
      <c r="C352" s="97"/>
      <c r="D352" s="95"/>
      <c r="E352" s="96"/>
      <c r="F352" s="96"/>
      <c r="G352" s="99"/>
      <c r="H352" s="95"/>
      <c r="I352" s="95"/>
      <c r="J352" s="95"/>
      <c r="K352" s="95"/>
      <c r="L352" s="96"/>
      <c r="M352" s="42" t="str">
        <f t="shared" si="22"/>
        <v/>
      </c>
      <c r="N352" s="42" t="str">
        <f t="shared" si="23"/>
        <v/>
      </c>
      <c r="O352" s="43" t="str">
        <f t="shared" si="24"/>
        <v/>
      </c>
      <c r="P352" s="42" t="str">
        <f t="shared" si="25"/>
        <v/>
      </c>
    </row>
    <row r="353" spans="1:16" ht="17">
      <c r="A353" s="6"/>
      <c r="B353" s="95" t="str">
        <f t="shared" si="21"/>
        <v/>
      </c>
      <c r="C353" s="97"/>
      <c r="D353" s="95"/>
      <c r="E353" s="96"/>
      <c r="F353" s="96"/>
      <c r="G353" s="99"/>
      <c r="H353" s="95"/>
      <c r="I353" s="95"/>
      <c r="J353" s="95"/>
      <c r="K353" s="95"/>
      <c r="L353" s="96"/>
      <c r="M353" s="42" t="str">
        <f t="shared" si="22"/>
        <v/>
      </c>
      <c r="N353" s="42" t="str">
        <f t="shared" si="23"/>
        <v/>
      </c>
      <c r="O353" s="43" t="str">
        <f t="shared" si="24"/>
        <v/>
      </c>
      <c r="P353" s="42" t="str">
        <f t="shared" si="25"/>
        <v/>
      </c>
    </row>
    <row r="354" spans="1:16" ht="17">
      <c r="A354" s="6"/>
      <c r="B354" s="95" t="str">
        <f t="shared" ref="B354:B417" si="26">IF(C354="","","GG"&amp;TEXT(ROW()-6,"00000"))</f>
        <v/>
      </c>
      <c r="C354" s="97"/>
      <c r="D354" s="95"/>
      <c r="E354" s="96"/>
      <c r="F354" s="96"/>
      <c r="G354" s="99"/>
      <c r="H354" s="95"/>
      <c r="I354" s="95"/>
      <c r="J354" s="95"/>
      <c r="K354" s="95"/>
      <c r="L354" s="96"/>
      <c r="M354" s="42" t="str">
        <f t="shared" si="22"/>
        <v/>
      </c>
      <c r="N354" s="42" t="str">
        <f t="shared" si="23"/>
        <v/>
      </c>
      <c r="O354" s="43" t="str">
        <f t="shared" si="24"/>
        <v/>
      </c>
      <c r="P354" s="42" t="str">
        <f t="shared" si="25"/>
        <v/>
      </c>
    </row>
    <row r="355" spans="1:16" ht="17">
      <c r="A355" s="6"/>
      <c r="B355" s="95" t="str">
        <f t="shared" si="26"/>
        <v/>
      </c>
      <c r="C355" s="97"/>
      <c r="D355" s="95"/>
      <c r="E355" s="96"/>
      <c r="F355" s="96"/>
      <c r="G355" s="99"/>
      <c r="H355" s="95"/>
      <c r="I355" s="95"/>
      <c r="J355" s="95"/>
      <c r="K355" s="95"/>
      <c r="L355" s="96"/>
      <c r="M355" s="42" t="str">
        <f t="shared" si="22"/>
        <v/>
      </c>
      <c r="N355" s="42" t="str">
        <f t="shared" si="23"/>
        <v/>
      </c>
      <c r="O355" s="43" t="str">
        <f t="shared" si="24"/>
        <v/>
      </c>
      <c r="P355" s="42" t="str">
        <f t="shared" si="25"/>
        <v/>
      </c>
    </row>
    <row r="356" spans="1:16" ht="17">
      <c r="A356" s="6"/>
      <c r="B356" s="95" t="str">
        <f t="shared" si="26"/>
        <v/>
      </c>
      <c r="C356" s="97"/>
      <c r="D356" s="95"/>
      <c r="E356" s="96"/>
      <c r="F356" s="96"/>
      <c r="G356" s="99"/>
      <c r="H356" s="95"/>
      <c r="I356" s="95"/>
      <c r="J356" s="95"/>
      <c r="K356" s="95"/>
      <c r="L356" s="96"/>
      <c r="M356" s="42" t="str">
        <f t="shared" si="22"/>
        <v/>
      </c>
      <c r="N356" s="42" t="str">
        <f t="shared" si="23"/>
        <v/>
      </c>
      <c r="O356" s="43" t="str">
        <f t="shared" si="24"/>
        <v/>
      </c>
      <c r="P356" s="42" t="str">
        <f t="shared" si="25"/>
        <v/>
      </c>
    </row>
    <row r="357" spans="1:16" ht="17">
      <c r="A357" s="6"/>
      <c r="B357" s="95" t="str">
        <f t="shared" si="26"/>
        <v/>
      </c>
      <c r="C357" s="97"/>
      <c r="D357" s="95"/>
      <c r="E357" s="96"/>
      <c r="F357" s="96"/>
      <c r="G357" s="99"/>
      <c r="H357" s="95"/>
      <c r="I357" s="95"/>
      <c r="J357" s="95"/>
      <c r="K357" s="95"/>
      <c r="L357" s="96"/>
      <c r="M357" s="42" t="str">
        <f t="shared" si="22"/>
        <v/>
      </c>
      <c r="N357" s="42" t="str">
        <f t="shared" si="23"/>
        <v/>
      </c>
      <c r="O357" s="43" t="str">
        <f t="shared" si="24"/>
        <v/>
      </c>
      <c r="P357" s="42" t="str">
        <f t="shared" si="25"/>
        <v/>
      </c>
    </row>
    <row r="358" spans="1:16" ht="17">
      <c r="A358" s="6"/>
      <c r="B358" s="95" t="str">
        <f t="shared" si="26"/>
        <v/>
      </c>
      <c r="C358" s="97"/>
      <c r="D358" s="95"/>
      <c r="E358" s="96"/>
      <c r="F358" s="96"/>
      <c r="G358" s="99"/>
      <c r="H358" s="95"/>
      <c r="I358" s="95"/>
      <c r="J358" s="95"/>
      <c r="K358" s="95"/>
      <c r="L358" s="96"/>
      <c r="M358" s="42" t="str">
        <f t="shared" si="22"/>
        <v/>
      </c>
      <c r="N358" s="42" t="str">
        <f t="shared" si="23"/>
        <v/>
      </c>
      <c r="O358" s="43" t="str">
        <f t="shared" si="24"/>
        <v/>
      </c>
      <c r="P358" s="42" t="str">
        <f t="shared" si="25"/>
        <v/>
      </c>
    </row>
    <row r="359" spans="1:16" ht="17">
      <c r="A359" s="6"/>
      <c r="B359" s="95" t="str">
        <f t="shared" si="26"/>
        <v/>
      </c>
      <c r="C359" s="97"/>
      <c r="D359" s="95"/>
      <c r="E359" s="96"/>
      <c r="F359" s="96"/>
      <c r="G359" s="99"/>
      <c r="H359" s="95"/>
      <c r="I359" s="95"/>
      <c r="J359" s="95"/>
      <c r="K359" s="95"/>
      <c r="L359" s="96"/>
      <c r="M359" s="42" t="str">
        <f t="shared" si="22"/>
        <v/>
      </c>
      <c r="N359" s="42" t="str">
        <f t="shared" si="23"/>
        <v/>
      </c>
      <c r="O359" s="43" t="str">
        <f t="shared" si="24"/>
        <v/>
      </c>
      <c r="P359" s="42" t="str">
        <f t="shared" si="25"/>
        <v/>
      </c>
    </row>
    <row r="360" spans="1:16" ht="17">
      <c r="A360" s="6"/>
      <c r="B360" s="95" t="str">
        <f t="shared" si="26"/>
        <v/>
      </c>
      <c r="C360" s="97"/>
      <c r="D360" s="95"/>
      <c r="E360" s="96"/>
      <c r="F360" s="96"/>
      <c r="G360" s="99"/>
      <c r="H360" s="95"/>
      <c r="I360" s="95"/>
      <c r="J360" s="95"/>
      <c r="K360" s="95"/>
      <c r="L360" s="96"/>
      <c r="M360" s="42" t="str">
        <f t="shared" si="22"/>
        <v/>
      </c>
      <c r="N360" s="42" t="str">
        <f t="shared" si="23"/>
        <v/>
      </c>
      <c r="O360" s="43" t="str">
        <f t="shared" si="24"/>
        <v/>
      </c>
      <c r="P360" s="42" t="str">
        <f t="shared" si="25"/>
        <v/>
      </c>
    </row>
    <row r="361" spans="1:16" ht="17">
      <c r="A361" s="6"/>
      <c r="B361" s="95" t="str">
        <f t="shared" si="26"/>
        <v/>
      </c>
      <c r="C361" s="97"/>
      <c r="D361" s="95"/>
      <c r="E361" s="96"/>
      <c r="F361" s="96"/>
      <c r="G361" s="99"/>
      <c r="H361" s="95"/>
      <c r="I361" s="95"/>
      <c r="J361" s="95"/>
      <c r="K361" s="95"/>
      <c r="L361" s="96"/>
      <c r="M361" s="42" t="str">
        <f t="shared" si="22"/>
        <v/>
      </c>
      <c r="N361" s="42" t="str">
        <f t="shared" si="23"/>
        <v/>
      </c>
      <c r="O361" s="43" t="str">
        <f t="shared" si="24"/>
        <v/>
      </c>
      <c r="P361" s="42" t="str">
        <f t="shared" si="25"/>
        <v/>
      </c>
    </row>
    <row r="362" spans="1:16" ht="17">
      <c r="A362" s="6"/>
      <c r="B362" s="95" t="str">
        <f t="shared" si="26"/>
        <v/>
      </c>
      <c r="C362" s="97"/>
      <c r="D362" s="95"/>
      <c r="E362" s="96"/>
      <c r="F362" s="96"/>
      <c r="G362" s="99"/>
      <c r="H362" s="95"/>
      <c r="I362" s="95"/>
      <c r="J362" s="95"/>
      <c r="K362" s="95"/>
      <c r="L362" s="96"/>
      <c r="M362" s="42" t="str">
        <f t="shared" si="22"/>
        <v/>
      </c>
      <c r="N362" s="42" t="str">
        <f t="shared" si="23"/>
        <v/>
      </c>
      <c r="O362" s="43" t="str">
        <f t="shared" si="24"/>
        <v/>
      </c>
      <c r="P362" s="42" t="str">
        <f t="shared" si="25"/>
        <v/>
      </c>
    </row>
    <row r="363" spans="1:16" ht="17">
      <c r="A363" s="6"/>
      <c r="B363" s="95" t="str">
        <f t="shared" si="26"/>
        <v/>
      </c>
      <c r="C363" s="97"/>
      <c r="D363" s="95"/>
      <c r="E363" s="96"/>
      <c r="F363" s="96"/>
      <c r="G363" s="99"/>
      <c r="H363" s="95"/>
      <c r="I363" s="95"/>
      <c r="J363" s="95"/>
      <c r="K363" s="95"/>
      <c r="L363" s="96"/>
      <c r="M363" s="42" t="str">
        <f t="shared" si="22"/>
        <v/>
      </c>
      <c r="N363" s="42" t="str">
        <f t="shared" si="23"/>
        <v/>
      </c>
      <c r="O363" s="43" t="str">
        <f t="shared" si="24"/>
        <v/>
      </c>
      <c r="P363" s="42" t="str">
        <f t="shared" si="25"/>
        <v/>
      </c>
    </row>
    <row r="364" spans="1:16" ht="17">
      <c r="A364" s="6"/>
      <c r="B364" s="95" t="str">
        <f t="shared" si="26"/>
        <v/>
      </c>
      <c r="C364" s="97"/>
      <c r="D364" s="95"/>
      <c r="E364" s="96"/>
      <c r="F364" s="96"/>
      <c r="G364" s="99"/>
      <c r="H364" s="95"/>
      <c r="I364" s="95"/>
      <c r="J364" s="95"/>
      <c r="K364" s="95"/>
      <c r="L364" s="96"/>
      <c r="M364" s="42" t="str">
        <f t="shared" si="22"/>
        <v/>
      </c>
      <c r="N364" s="42" t="str">
        <f t="shared" si="23"/>
        <v/>
      </c>
      <c r="O364" s="43" t="str">
        <f t="shared" si="24"/>
        <v/>
      </c>
      <c r="P364" s="42" t="str">
        <f t="shared" si="25"/>
        <v/>
      </c>
    </row>
    <row r="365" spans="1:16" ht="17">
      <c r="A365" s="6"/>
      <c r="B365" s="95" t="str">
        <f t="shared" si="26"/>
        <v/>
      </c>
      <c r="C365" s="97"/>
      <c r="D365" s="95"/>
      <c r="E365" s="96"/>
      <c r="F365" s="96"/>
      <c r="G365" s="99"/>
      <c r="H365" s="95"/>
      <c r="I365" s="95"/>
      <c r="J365" s="95"/>
      <c r="K365" s="95"/>
      <c r="L365" s="96"/>
      <c r="M365" s="42" t="str">
        <f t="shared" si="22"/>
        <v/>
      </c>
      <c r="N365" s="42" t="str">
        <f t="shared" si="23"/>
        <v/>
      </c>
      <c r="O365" s="43" t="str">
        <f t="shared" si="24"/>
        <v/>
      </c>
      <c r="P365" s="42" t="str">
        <f t="shared" si="25"/>
        <v/>
      </c>
    </row>
    <row r="366" spans="1:16" ht="17">
      <c r="A366" s="6"/>
      <c r="B366" s="95" t="str">
        <f t="shared" si="26"/>
        <v/>
      </c>
      <c r="C366" s="97"/>
      <c r="D366" s="95"/>
      <c r="E366" s="96"/>
      <c r="F366" s="96"/>
      <c r="G366" s="99"/>
      <c r="H366" s="95"/>
      <c r="I366" s="95"/>
      <c r="J366" s="95"/>
      <c r="K366" s="95"/>
      <c r="L366" s="96"/>
      <c r="M366" s="42" t="str">
        <f t="shared" si="22"/>
        <v/>
      </c>
      <c r="N366" s="42" t="str">
        <f t="shared" si="23"/>
        <v/>
      </c>
      <c r="O366" s="43" t="str">
        <f t="shared" si="24"/>
        <v/>
      </c>
      <c r="P366" s="42" t="str">
        <f t="shared" si="25"/>
        <v/>
      </c>
    </row>
    <row r="367" spans="1:16" ht="17">
      <c r="A367" s="6"/>
      <c r="B367" s="95" t="str">
        <f t="shared" si="26"/>
        <v/>
      </c>
      <c r="C367" s="97"/>
      <c r="D367" s="95"/>
      <c r="E367" s="96"/>
      <c r="F367" s="96"/>
      <c r="G367" s="99"/>
      <c r="H367" s="95"/>
      <c r="I367" s="95"/>
      <c r="J367" s="95"/>
      <c r="K367" s="95"/>
      <c r="L367" s="96"/>
      <c r="M367" s="42" t="str">
        <f t="shared" si="22"/>
        <v/>
      </c>
      <c r="N367" s="42" t="str">
        <f t="shared" si="23"/>
        <v/>
      </c>
      <c r="O367" s="43" t="str">
        <f t="shared" si="24"/>
        <v/>
      </c>
      <c r="P367" s="42" t="str">
        <f t="shared" si="25"/>
        <v/>
      </c>
    </row>
    <row r="368" spans="1:16" ht="17">
      <c r="A368" s="6"/>
      <c r="B368" s="95" t="str">
        <f t="shared" si="26"/>
        <v/>
      </c>
      <c r="C368" s="97"/>
      <c r="D368" s="95"/>
      <c r="E368" s="96"/>
      <c r="F368" s="96"/>
      <c r="G368" s="99"/>
      <c r="H368" s="95"/>
      <c r="I368" s="95"/>
      <c r="J368" s="95"/>
      <c r="K368" s="95"/>
      <c r="L368" s="96"/>
      <c r="M368" s="42" t="str">
        <f t="shared" si="22"/>
        <v/>
      </c>
      <c r="N368" s="42" t="str">
        <f t="shared" si="23"/>
        <v/>
      </c>
      <c r="O368" s="43" t="str">
        <f t="shared" si="24"/>
        <v/>
      </c>
      <c r="P368" s="42" t="str">
        <f t="shared" si="25"/>
        <v/>
      </c>
    </row>
    <row r="369" spans="1:16" ht="17">
      <c r="A369" s="6"/>
      <c r="B369" s="95" t="str">
        <f t="shared" si="26"/>
        <v/>
      </c>
      <c r="C369" s="97"/>
      <c r="D369" s="95"/>
      <c r="E369" s="96"/>
      <c r="F369" s="96"/>
      <c r="G369" s="99"/>
      <c r="H369" s="95"/>
      <c r="I369" s="95"/>
      <c r="J369" s="95"/>
      <c r="K369" s="95"/>
      <c r="L369" s="96"/>
      <c r="M369" s="42" t="str">
        <f t="shared" si="22"/>
        <v/>
      </c>
      <c r="N369" s="42" t="str">
        <f t="shared" si="23"/>
        <v/>
      </c>
      <c r="O369" s="43" t="str">
        <f t="shared" si="24"/>
        <v/>
      </c>
      <c r="P369" s="42" t="str">
        <f t="shared" si="25"/>
        <v/>
      </c>
    </row>
    <row r="370" spans="1:16" ht="17">
      <c r="A370" s="6"/>
      <c r="B370" s="95" t="str">
        <f t="shared" si="26"/>
        <v/>
      </c>
      <c r="C370" s="97"/>
      <c r="D370" s="95"/>
      <c r="E370" s="96"/>
      <c r="F370" s="96"/>
      <c r="G370" s="99"/>
      <c r="H370" s="95"/>
      <c r="I370" s="95"/>
      <c r="J370" s="95"/>
      <c r="K370" s="95"/>
      <c r="L370" s="96"/>
      <c r="M370" s="42" t="str">
        <f t="shared" si="22"/>
        <v/>
      </c>
      <c r="N370" s="42" t="str">
        <f t="shared" si="23"/>
        <v/>
      </c>
      <c r="O370" s="43" t="str">
        <f t="shared" si="24"/>
        <v/>
      </c>
      <c r="P370" s="42" t="str">
        <f t="shared" si="25"/>
        <v/>
      </c>
    </row>
    <row r="371" spans="1:16" ht="17">
      <c r="A371" s="6"/>
      <c r="B371" s="95" t="str">
        <f t="shared" si="26"/>
        <v/>
      </c>
      <c r="C371" s="97"/>
      <c r="D371" s="95"/>
      <c r="E371" s="96"/>
      <c r="F371" s="96"/>
      <c r="G371" s="99"/>
      <c r="H371" s="95"/>
      <c r="I371" s="95"/>
      <c r="J371" s="95"/>
      <c r="K371" s="95"/>
      <c r="L371" s="96"/>
      <c r="M371" s="42" t="str">
        <f t="shared" si="22"/>
        <v/>
      </c>
      <c r="N371" s="42" t="str">
        <f t="shared" si="23"/>
        <v/>
      </c>
      <c r="O371" s="43" t="str">
        <f t="shared" si="24"/>
        <v/>
      </c>
      <c r="P371" s="42" t="str">
        <f t="shared" si="25"/>
        <v/>
      </c>
    </row>
    <row r="372" spans="1:16" ht="17">
      <c r="A372" s="6"/>
      <c r="B372" s="95" t="str">
        <f t="shared" si="26"/>
        <v/>
      </c>
      <c r="C372" s="97"/>
      <c r="D372" s="95"/>
      <c r="E372" s="96"/>
      <c r="F372" s="96"/>
      <c r="G372" s="99"/>
      <c r="H372" s="95"/>
      <c r="I372" s="95"/>
      <c r="J372" s="95"/>
      <c r="K372" s="95"/>
      <c r="L372" s="96"/>
      <c r="M372" s="42" t="str">
        <f t="shared" si="22"/>
        <v/>
      </c>
      <c r="N372" s="42" t="str">
        <f t="shared" si="23"/>
        <v/>
      </c>
      <c r="O372" s="43" t="str">
        <f t="shared" si="24"/>
        <v/>
      </c>
      <c r="P372" s="42" t="str">
        <f t="shared" si="25"/>
        <v/>
      </c>
    </row>
    <row r="373" spans="1:16" ht="17">
      <c r="A373" s="6"/>
      <c r="B373" s="95" t="str">
        <f t="shared" si="26"/>
        <v/>
      </c>
      <c r="C373" s="97"/>
      <c r="D373" s="95"/>
      <c r="E373" s="96"/>
      <c r="F373" s="96"/>
      <c r="G373" s="99"/>
      <c r="H373" s="95"/>
      <c r="I373" s="95"/>
      <c r="J373" s="95"/>
      <c r="K373" s="95"/>
      <c r="L373" s="96"/>
      <c r="M373" s="42" t="str">
        <f t="shared" si="22"/>
        <v/>
      </c>
      <c r="N373" s="42" t="str">
        <f t="shared" si="23"/>
        <v/>
      </c>
      <c r="O373" s="43" t="str">
        <f t="shared" si="24"/>
        <v/>
      </c>
      <c r="P373" s="42" t="str">
        <f t="shared" si="25"/>
        <v/>
      </c>
    </row>
    <row r="374" spans="1:16" ht="17">
      <c r="A374" s="6"/>
      <c r="B374" s="95" t="str">
        <f t="shared" si="26"/>
        <v/>
      </c>
      <c r="C374" s="97"/>
      <c r="D374" s="95"/>
      <c r="E374" s="96"/>
      <c r="F374" s="96"/>
      <c r="G374" s="99"/>
      <c r="H374" s="95"/>
      <c r="I374" s="95"/>
      <c r="J374" s="95"/>
      <c r="K374" s="95"/>
      <c r="L374" s="96"/>
      <c r="M374" s="42" t="str">
        <f t="shared" si="22"/>
        <v/>
      </c>
      <c r="N374" s="42" t="str">
        <f t="shared" si="23"/>
        <v/>
      </c>
      <c r="O374" s="43" t="str">
        <f t="shared" si="24"/>
        <v/>
      </c>
      <c r="P374" s="42" t="str">
        <f t="shared" si="25"/>
        <v/>
      </c>
    </row>
    <row r="375" spans="1:16" ht="17">
      <c r="A375" s="6"/>
      <c r="B375" s="95" t="str">
        <f t="shared" si="26"/>
        <v/>
      </c>
      <c r="C375" s="97"/>
      <c r="D375" s="95"/>
      <c r="E375" s="96"/>
      <c r="F375" s="96"/>
      <c r="G375" s="99"/>
      <c r="H375" s="95"/>
      <c r="I375" s="95"/>
      <c r="J375" s="95"/>
      <c r="K375" s="95"/>
      <c r="L375" s="96"/>
      <c r="M375" s="42" t="str">
        <f t="shared" si="22"/>
        <v/>
      </c>
      <c r="N375" s="42" t="str">
        <f t="shared" si="23"/>
        <v/>
      </c>
      <c r="O375" s="43" t="str">
        <f t="shared" si="24"/>
        <v/>
      </c>
      <c r="P375" s="42" t="str">
        <f t="shared" si="25"/>
        <v/>
      </c>
    </row>
    <row r="376" spans="1:16" ht="17">
      <c r="A376" s="6"/>
      <c r="B376" s="95" t="str">
        <f t="shared" si="26"/>
        <v/>
      </c>
      <c r="C376" s="97"/>
      <c r="D376" s="95"/>
      <c r="E376" s="96"/>
      <c r="F376" s="96"/>
      <c r="G376" s="99"/>
      <c r="H376" s="95"/>
      <c r="I376" s="95"/>
      <c r="J376" s="95"/>
      <c r="K376" s="95"/>
      <c r="L376" s="96"/>
      <c r="M376" s="42" t="str">
        <f t="shared" si="22"/>
        <v/>
      </c>
      <c r="N376" s="42" t="str">
        <f t="shared" si="23"/>
        <v/>
      </c>
      <c r="O376" s="43" t="str">
        <f t="shared" si="24"/>
        <v/>
      </c>
      <c r="P376" s="42" t="str">
        <f t="shared" si="25"/>
        <v/>
      </c>
    </row>
    <row r="377" spans="1:16" ht="17">
      <c r="A377" s="6"/>
      <c r="B377" s="95" t="str">
        <f t="shared" si="26"/>
        <v/>
      </c>
      <c r="C377" s="97"/>
      <c r="D377" s="95"/>
      <c r="E377" s="96"/>
      <c r="F377" s="96"/>
      <c r="G377" s="99"/>
      <c r="H377" s="95"/>
      <c r="I377" s="95"/>
      <c r="J377" s="95"/>
      <c r="K377" s="95"/>
      <c r="L377" s="96"/>
      <c r="M377" s="42" t="str">
        <f t="shared" si="22"/>
        <v/>
      </c>
      <c r="N377" s="42" t="str">
        <f t="shared" si="23"/>
        <v/>
      </c>
      <c r="O377" s="43" t="str">
        <f t="shared" si="24"/>
        <v/>
      </c>
      <c r="P377" s="42" t="str">
        <f t="shared" si="25"/>
        <v/>
      </c>
    </row>
    <row r="378" spans="1:16" ht="17">
      <c r="A378" s="6"/>
      <c r="B378" s="95" t="str">
        <f t="shared" si="26"/>
        <v/>
      </c>
      <c r="C378" s="97"/>
      <c r="D378" s="95"/>
      <c r="E378" s="96"/>
      <c r="F378" s="96"/>
      <c r="G378" s="99"/>
      <c r="H378" s="95"/>
      <c r="I378" s="95"/>
      <c r="J378" s="95"/>
      <c r="K378" s="95"/>
      <c r="L378" s="96"/>
      <c r="M378" s="42" t="str">
        <f t="shared" si="22"/>
        <v/>
      </c>
      <c r="N378" s="42" t="str">
        <f t="shared" si="23"/>
        <v/>
      </c>
      <c r="O378" s="43" t="str">
        <f t="shared" si="24"/>
        <v/>
      </c>
      <c r="P378" s="42" t="str">
        <f t="shared" si="25"/>
        <v/>
      </c>
    </row>
    <row r="379" spans="1:16" ht="17">
      <c r="A379" s="6"/>
      <c r="B379" s="95" t="str">
        <f t="shared" si="26"/>
        <v/>
      </c>
      <c r="C379" s="97"/>
      <c r="D379" s="95"/>
      <c r="E379" s="96"/>
      <c r="F379" s="96"/>
      <c r="G379" s="99"/>
      <c r="H379" s="95"/>
      <c r="I379" s="95"/>
      <c r="J379" s="95"/>
      <c r="K379" s="95"/>
      <c r="L379" s="96"/>
      <c r="M379" s="42" t="str">
        <f t="shared" si="22"/>
        <v/>
      </c>
      <c r="N379" s="42" t="str">
        <f t="shared" si="23"/>
        <v/>
      </c>
      <c r="O379" s="43" t="str">
        <f t="shared" si="24"/>
        <v/>
      </c>
      <c r="P379" s="42" t="str">
        <f t="shared" si="25"/>
        <v/>
      </c>
    </row>
    <row r="380" spans="1:16" ht="17">
      <c r="A380" s="6"/>
      <c r="B380" s="95" t="str">
        <f t="shared" si="26"/>
        <v/>
      </c>
      <c r="C380" s="97"/>
      <c r="D380" s="95"/>
      <c r="E380" s="96"/>
      <c r="F380" s="96"/>
      <c r="G380" s="99"/>
      <c r="H380" s="95"/>
      <c r="I380" s="95"/>
      <c r="J380" s="95"/>
      <c r="K380" s="95"/>
      <c r="L380" s="96"/>
      <c r="M380" s="42" t="str">
        <f t="shared" si="22"/>
        <v/>
      </c>
      <c r="N380" s="42" t="str">
        <f t="shared" si="23"/>
        <v/>
      </c>
      <c r="O380" s="43" t="str">
        <f t="shared" si="24"/>
        <v/>
      </c>
      <c r="P380" s="42" t="str">
        <f t="shared" si="25"/>
        <v/>
      </c>
    </row>
    <row r="381" spans="1:16" ht="17">
      <c r="A381" s="6"/>
      <c r="B381" s="95" t="str">
        <f t="shared" si="26"/>
        <v/>
      </c>
      <c r="C381" s="97"/>
      <c r="D381" s="95"/>
      <c r="E381" s="96"/>
      <c r="F381" s="96"/>
      <c r="G381" s="99"/>
      <c r="H381" s="95"/>
      <c r="I381" s="95"/>
      <c r="J381" s="95"/>
      <c r="K381" s="95"/>
      <c r="L381" s="96"/>
      <c r="M381" s="42" t="str">
        <f t="shared" si="22"/>
        <v/>
      </c>
      <c r="N381" s="42" t="str">
        <f t="shared" si="23"/>
        <v/>
      </c>
      <c r="O381" s="43" t="str">
        <f t="shared" si="24"/>
        <v/>
      </c>
      <c r="P381" s="42" t="str">
        <f t="shared" si="25"/>
        <v/>
      </c>
    </row>
    <row r="382" spans="1:16" ht="17">
      <c r="A382" s="6"/>
      <c r="B382" s="95" t="str">
        <f t="shared" si="26"/>
        <v/>
      </c>
      <c r="C382" s="97"/>
      <c r="D382" s="95"/>
      <c r="E382" s="96"/>
      <c r="F382" s="96"/>
      <c r="G382" s="99"/>
      <c r="H382" s="95"/>
      <c r="I382" s="95"/>
      <c r="J382" s="95"/>
      <c r="K382" s="95"/>
      <c r="L382" s="96"/>
      <c r="M382" s="42" t="str">
        <f t="shared" si="22"/>
        <v/>
      </c>
      <c r="N382" s="42" t="str">
        <f t="shared" si="23"/>
        <v/>
      </c>
      <c r="O382" s="43" t="str">
        <f t="shared" si="24"/>
        <v/>
      </c>
      <c r="P382" s="42" t="str">
        <f t="shared" si="25"/>
        <v/>
      </c>
    </row>
    <row r="383" spans="1:16" ht="17">
      <c r="A383" s="6"/>
      <c r="B383" s="95" t="str">
        <f t="shared" si="26"/>
        <v/>
      </c>
      <c r="C383" s="97"/>
      <c r="D383" s="95"/>
      <c r="E383" s="96"/>
      <c r="F383" s="96"/>
      <c r="G383" s="99"/>
      <c r="H383" s="95"/>
      <c r="I383" s="95"/>
      <c r="J383" s="95"/>
      <c r="K383" s="95"/>
      <c r="L383" s="96"/>
      <c r="M383" s="42" t="str">
        <f t="shared" si="22"/>
        <v/>
      </c>
      <c r="N383" s="42" t="str">
        <f t="shared" si="23"/>
        <v/>
      </c>
      <c r="O383" s="43" t="str">
        <f t="shared" si="24"/>
        <v/>
      </c>
      <c r="P383" s="42" t="str">
        <f t="shared" si="25"/>
        <v/>
      </c>
    </row>
    <row r="384" spans="1:16" ht="17">
      <c r="A384" s="6"/>
      <c r="B384" s="95" t="str">
        <f t="shared" si="26"/>
        <v/>
      </c>
      <c r="C384" s="97"/>
      <c r="D384" s="95"/>
      <c r="E384" s="96"/>
      <c r="F384" s="96"/>
      <c r="G384" s="99"/>
      <c r="H384" s="95"/>
      <c r="I384" s="95"/>
      <c r="J384" s="95"/>
      <c r="K384" s="95"/>
      <c r="L384" s="96"/>
      <c r="M384" s="42" t="str">
        <f t="shared" si="22"/>
        <v/>
      </c>
      <c r="N384" s="42" t="str">
        <f t="shared" si="23"/>
        <v/>
      </c>
      <c r="O384" s="43" t="str">
        <f t="shared" si="24"/>
        <v/>
      </c>
      <c r="P384" s="42" t="str">
        <f t="shared" si="25"/>
        <v/>
      </c>
    </row>
    <row r="385" spans="1:16" ht="17">
      <c r="A385" s="6"/>
      <c r="B385" s="95" t="str">
        <f t="shared" si="26"/>
        <v/>
      </c>
      <c r="C385" s="97"/>
      <c r="D385" s="95"/>
      <c r="E385" s="96"/>
      <c r="F385" s="96"/>
      <c r="G385" s="99"/>
      <c r="H385" s="95"/>
      <c r="I385" s="95"/>
      <c r="J385" s="95"/>
      <c r="K385" s="95"/>
      <c r="L385" s="96"/>
      <c r="M385" s="42" t="str">
        <f t="shared" si="22"/>
        <v/>
      </c>
      <c r="N385" s="42" t="str">
        <f t="shared" si="23"/>
        <v/>
      </c>
      <c r="O385" s="43" t="str">
        <f t="shared" si="24"/>
        <v/>
      </c>
      <c r="P385" s="42" t="str">
        <f t="shared" si="25"/>
        <v/>
      </c>
    </row>
    <row r="386" spans="1:16" ht="17">
      <c r="A386" s="6"/>
      <c r="B386" s="95" t="str">
        <f t="shared" si="26"/>
        <v/>
      </c>
      <c r="C386" s="97"/>
      <c r="D386" s="95"/>
      <c r="E386" s="96"/>
      <c r="F386" s="96"/>
      <c r="G386" s="99"/>
      <c r="H386" s="95"/>
      <c r="I386" s="95"/>
      <c r="J386" s="95"/>
      <c r="K386" s="95"/>
      <c r="L386" s="96"/>
      <c r="M386" s="42" t="str">
        <f t="shared" si="22"/>
        <v/>
      </c>
      <c r="N386" s="42" t="str">
        <f t="shared" si="23"/>
        <v/>
      </c>
      <c r="O386" s="43" t="str">
        <f t="shared" si="24"/>
        <v/>
      </c>
      <c r="P386" s="42" t="str">
        <f t="shared" si="25"/>
        <v/>
      </c>
    </row>
    <row r="387" spans="1:16" ht="17">
      <c r="A387" s="6"/>
      <c r="B387" s="95" t="str">
        <f t="shared" si="26"/>
        <v/>
      </c>
      <c r="C387" s="97"/>
      <c r="D387" s="95"/>
      <c r="E387" s="96"/>
      <c r="F387" s="96"/>
      <c r="G387" s="99"/>
      <c r="H387" s="95"/>
      <c r="I387" s="95"/>
      <c r="J387" s="95"/>
      <c r="K387" s="95"/>
      <c r="L387" s="96"/>
      <c r="M387" s="42" t="str">
        <f t="shared" si="22"/>
        <v/>
      </c>
      <c r="N387" s="42" t="str">
        <f t="shared" si="23"/>
        <v/>
      </c>
      <c r="O387" s="43" t="str">
        <f t="shared" si="24"/>
        <v/>
      </c>
      <c r="P387" s="42" t="str">
        <f t="shared" si="25"/>
        <v/>
      </c>
    </row>
    <row r="388" spans="1:16" ht="17">
      <c r="A388" s="6"/>
      <c r="B388" s="95" t="str">
        <f t="shared" si="26"/>
        <v/>
      </c>
      <c r="C388" s="97"/>
      <c r="D388" s="95"/>
      <c r="E388" s="96"/>
      <c r="F388" s="96"/>
      <c r="G388" s="99"/>
      <c r="H388" s="95"/>
      <c r="I388" s="95"/>
      <c r="J388" s="95"/>
      <c r="K388" s="95"/>
      <c r="L388" s="96"/>
      <c r="M388" s="42" t="str">
        <f t="shared" si="22"/>
        <v/>
      </c>
      <c r="N388" s="42" t="str">
        <f t="shared" si="23"/>
        <v/>
      </c>
      <c r="O388" s="43" t="str">
        <f t="shared" si="24"/>
        <v/>
      </c>
      <c r="P388" s="42" t="str">
        <f t="shared" si="25"/>
        <v/>
      </c>
    </row>
    <row r="389" spans="1:16" ht="17">
      <c r="A389" s="6"/>
      <c r="B389" s="95" t="str">
        <f t="shared" si="26"/>
        <v/>
      </c>
      <c r="C389" s="97"/>
      <c r="D389" s="95"/>
      <c r="E389" s="96"/>
      <c r="F389" s="96"/>
      <c r="G389" s="99"/>
      <c r="H389" s="95"/>
      <c r="I389" s="95"/>
      <c r="J389" s="95"/>
      <c r="K389" s="95"/>
      <c r="L389" s="96"/>
      <c r="M389" s="42" t="str">
        <f t="shared" si="22"/>
        <v/>
      </c>
      <c r="N389" s="42" t="str">
        <f t="shared" si="23"/>
        <v/>
      </c>
      <c r="O389" s="43" t="str">
        <f t="shared" si="24"/>
        <v/>
      </c>
      <c r="P389" s="42" t="str">
        <f t="shared" si="25"/>
        <v/>
      </c>
    </row>
    <row r="390" spans="1:16" ht="17">
      <c r="A390" s="6"/>
      <c r="B390" s="95" t="str">
        <f t="shared" si="26"/>
        <v/>
      </c>
      <c r="C390" s="97"/>
      <c r="D390" s="95"/>
      <c r="E390" s="96"/>
      <c r="F390" s="96"/>
      <c r="G390" s="99"/>
      <c r="H390" s="95"/>
      <c r="I390" s="95"/>
      <c r="J390" s="95"/>
      <c r="K390" s="95"/>
      <c r="L390" s="96"/>
      <c r="M390" s="42" t="str">
        <f t="shared" si="22"/>
        <v/>
      </c>
      <c r="N390" s="42" t="str">
        <f t="shared" si="23"/>
        <v/>
      </c>
      <c r="O390" s="43" t="str">
        <f t="shared" si="24"/>
        <v/>
      </c>
      <c r="P390" s="42" t="str">
        <f t="shared" si="25"/>
        <v/>
      </c>
    </row>
    <row r="391" spans="1:16" ht="17">
      <c r="A391" s="6"/>
      <c r="B391" s="95" t="str">
        <f t="shared" si="26"/>
        <v/>
      </c>
      <c r="C391" s="97"/>
      <c r="D391" s="95"/>
      <c r="E391" s="96"/>
      <c r="F391" s="96"/>
      <c r="G391" s="99"/>
      <c r="H391" s="95"/>
      <c r="I391" s="95"/>
      <c r="J391" s="95"/>
      <c r="K391" s="95"/>
      <c r="L391" s="96"/>
      <c r="M391" s="42" t="str">
        <f t="shared" ref="M391:M454" si="27">IF(C391="","",IF(D391="Gider",IF(H391&lt;&gt;"",H391,"CARİ MAHSUP"),IF(L391&lt;&gt;"",L391,H391)))</f>
        <v/>
      </c>
      <c r="N391" s="42" t="str">
        <f t="shared" ref="N391:N454" si="28">IF(C391="","",IF(D391="Gider",E391,IF(H391&lt;&gt;"",H391,E391)))</f>
        <v/>
      </c>
      <c r="O391" s="43" t="str">
        <f t="shared" ref="O391:O454" si="29">IF(C391="","",DATE(YEAR(C391),MONTH(C391),1))</f>
        <v/>
      </c>
      <c r="P391" s="42" t="str">
        <f t="shared" ref="P391:P454" si="30">IF(C391="","",IF(OR(D391="",E391="",G391=""),"EKSİK",IF(AND(D391="Gelir",I391="Hayır",L391&lt;&gt;""),IF(R391,"TAHAKKUK","TANIMSIZ BORÇLU"),IF(AND(D391="Gelir",I391="Evet",L391&lt;&gt;""),"TAHAKKUK NAKİT OLAMAZ",IF(AND(D391="Gelir",I391="Hayır",H391&lt;&gt;""),"NAKİTSİZDE KASA OLMAZ","UYGUN")))))</f>
        <v/>
      </c>
    </row>
    <row r="392" spans="1:16" ht="17">
      <c r="A392" s="6"/>
      <c r="B392" s="95" t="str">
        <f t="shared" si="26"/>
        <v/>
      </c>
      <c r="C392" s="97"/>
      <c r="D392" s="95"/>
      <c r="E392" s="96"/>
      <c r="F392" s="96"/>
      <c r="G392" s="99"/>
      <c r="H392" s="95"/>
      <c r="I392" s="95"/>
      <c r="J392" s="95"/>
      <c r="K392" s="95"/>
      <c r="L392" s="96"/>
      <c r="M392" s="42" t="str">
        <f t="shared" si="27"/>
        <v/>
      </c>
      <c r="N392" s="42" t="str">
        <f t="shared" si="28"/>
        <v/>
      </c>
      <c r="O392" s="43" t="str">
        <f t="shared" si="29"/>
        <v/>
      </c>
      <c r="P392" s="42" t="str">
        <f t="shared" si="30"/>
        <v/>
      </c>
    </row>
    <row r="393" spans="1:16" ht="17">
      <c r="A393" s="6"/>
      <c r="B393" s="95" t="str">
        <f t="shared" si="26"/>
        <v/>
      </c>
      <c r="C393" s="97"/>
      <c r="D393" s="95"/>
      <c r="E393" s="96"/>
      <c r="F393" s="96"/>
      <c r="G393" s="99"/>
      <c r="H393" s="95"/>
      <c r="I393" s="95"/>
      <c r="J393" s="95"/>
      <c r="K393" s="95"/>
      <c r="L393" s="96"/>
      <c r="M393" s="42" t="str">
        <f t="shared" si="27"/>
        <v/>
      </c>
      <c r="N393" s="42" t="str">
        <f t="shared" si="28"/>
        <v/>
      </c>
      <c r="O393" s="43" t="str">
        <f t="shared" si="29"/>
        <v/>
      </c>
      <c r="P393" s="42" t="str">
        <f t="shared" si="30"/>
        <v/>
      </c>
    </row>
    <row r="394" spans="1:16" ht="17">
      <c r="A394" s="6"/>
      <c r="B394" s="95" t="str">
        <f t="shared" si="26"/>
        <v/>
      </c>
      <c r="C394" s="97"/>
      <c r="D394" s="95"/>
      <c r="E394" s="96"/>
      <c r="F394" s="96"/>
      <c r="G394" s="99"/>
      <c r="H394" s="95"/>
      <c r="I394" s="95"/>
      <c r="J394" s="95"/>
      <c r="K394" s="95"/>
      <c r="L394" s="96"/>
      <c r="M394" s="42" t="str">
        <f t="shared" si="27"/>
        <v/>
      </c>
      <c r="N394" s="42" t="str">
        <f t="shared" si="28"/>
        <v/>
      </c>
      <c r="O394" s="43" t="str">
        <f t="shared" si="29"/>
        <v/>
      </c>
      <c r="P394" s="42" t="str">
        <f t="shared" si="30"/>
        <v/>
      </c>
    </row>
    <row r="395" spans="1:16" ht="17">
      <c r="A395" s="6"/>
      <c r="B395" s="95" t="str">
        <f t="shared" si="26"/>
        <v/>
      </c>
      <c r="C395" s="97"/>
      <c r="D395" s="95"/>
      <c r="E395" s="96"/>
      <c r="F395" s="96"/>
      <c r="G395" s="99"/>
      <c r="H395" s="95"/>
      <c r="I395" s="95"/>
      <c r="J395" s="95"/>
      <c r="K395" s="95"/>
      <c r="L395" s="96"/>
      <c r="M395" s="42" t="str">
        <f t="shared" si="27"/>
        <v/>
      </c>
      <c r="N395" s="42" t="str">
        <f t="shared" si="28"/>
        <v/>
      </c>
      <c r="O395" s="43" t="str">
        <f t="shared" si="29"/>
        <v/>
      </c>
      <c r="P395" s="42" t="str">
        <f t="shared" si="30"/>
        <v/>
      </c>
    </row>
    <row r="396" spans="1:16" ht="17">
      <c r="A396" s="6"/>
      <c r="B396" s="95" t="str">
        <f t="shared" si="26"/>
        <v/>
      </c>
      <c r="C396" s="97"/>
      <c r="D396" s="95"/>
      <c r="E396" s="96"/>
      <c r="F396" s="96"/>
      <c r="G396" s="99"/>
      <c r="H396" s="95"/>
      <c r="I396" s="95"/>
      <c r="J396" s="95"/>
      <c r="K396" s="95"/>
      <c r="L396" s="96"/>
      <c r="M396" s="42" t="str">
        <f t="shared" si="27"/>
        <v/>
      </c>
      <c r="N396" s="42" t="str">
        <f t="shared" si="28"/>
        <v/>
      </c>
      <c r="O396" s="43" t="str">
        <f t="shared" si="29"/>
        <v/>
      </c>
      <c r="P396" s="42" t="str">
        <f t="shared" si="30"/>
        <v/>
      </c>
    </row>
    <row r="397" spans="1:16" ht="17">
      <c r="A397" s="6"/>
      <c r="B397" s="95" t="str">
        <f t="shared" si="26"/>
        <v/>
      </c>
      <c r="C397" s="97"/>
      <c r="D397" s="95"/>
      <c r="E397" s="96"/>
      <c r="F397" s="96"/>
      <c r="G397" s="99"/>
      <c r="H397" s="95"/>
      <c r="I397" s="95"/>
      <c r="J397" s="95"/>
      <c r="K397" s="95"/>
      <c r="L397" s="96"/>
      <c r="M397" s="42" t="str">
        <f t="shared" si="27"/>
        <v/>
      </c>
      <c r="N397" s="42" t="str">
        <f t="shared" si="28"/>
        <v/>
      </c>
      <c r="O397" s="43" t="str">
        <f t="shared" si="29"/>
        <v/>
      </c>
      <c r="P397" s="42" t="str">
        <f t="shared" si="30"/>
        <v/>
      </c>
    </row>
    <row r="398" spans="1:16" ht="17">
      <c r="A398" s="6"/>
      <c r="B398" s="95" t="str">
        <f t="shared" si="26"/>
        <v/>
      </c>
      <c r="C398" s="97"/>
      <c r="D398" s="95"/>
      <c r="E398" s="96"/>
      <c r="F398" s="96"/>
      <c r="G398" s="99"/>
      <c r="H398" s="95"/>
      <c r="I398" s="95"/>
      <c r="J398" s="95"/>
      <c r="K398" s="95"/>
      <c r="L398" s="96"/>
      <c r="M398" s="42" t="str">
        <f t="shared" si="27"/>
        <v/>
      </c>
      <c r="N398" s="42" t="str">
        <f t="shared" si="28"/>
        <v/>
      </c>
      <c r="O398" s="43" t="str">
        <f t="shared" si="29"/>
        <v/>
      </c>
      <c r="P398" s="42" t="str">
        <f t="shared" si="30"/>
        <v/>
      </c>
    </row>
    <row r="399" spans="1:16" ht="17">
      <c r="A399" s="6"/>
      <c r="B399" s="95" t="str">
        <f t="shared" si="26"/>
        <v/>
      </c>
      <c r="C399" s="97"/>
      <c r="D399" s="95"/>
      <c r="E399" s="96"/>
      <c r="F399" s="96"/>
      <c r="G399" s="99"/>
      <c r="H399" s="95"/>
      <c r="I399" s="95"/>
      <c r="J399" s="95"/>
      <c r="K399" s="95"/>
      <c r="L399" s="96"/>
      <c r="M399" s="42" t="str">
        <f t="shared" si="27"/>
        <v/>
      </c>
      <c r="N399" s="42" t="str">
        <f t="shared" si="28"/>
        <v/>
      </c>
      <c r="O399" s="43" t="str">
        <f t="shared" si="29"/>
        <v/>
      </c>
      <c r="P399" s="42" t="str">
        <f t="shared" si="30"/>
        <v/>
      </c>
    </row>
    <row r="400" spans="1:16" ht="17">
      <c r="A400" s="6"/>
      <c r="B400" s="95" t="str">
        <f t="shared" si="26"/>
        <v/>
      </c>
      <c r="C400" s="97"/>
      <c r="D400" s="95"/>
      <c r="E400" s="96"/>
      <c r="F400" s="96"/>
      <c r="G400" s="99"/>
      <c r="H400" s="95"/>
      <c r="I400" s="95"/>
      <c r="J400" s="95"/>
      <c r="K400" s="95"/>
      <c r="L400" s="96"/>
      <c r="M400" s="42" t="str">
        <f t="shared" si="27"/>
        <v/>
      </c>
      <c r="N400" s="42" t="str">
        <f t="shared" si="28"/>
        <v/>
      </c>
      <c r="O400" s="43" t="str">
        <f t="shared" si="29"/>
        <v/>
      </c>
      <c r="P400" s="42" t="str">
        <f t="shared" si="30"/>
        <v/>
      </c>
    </row>
    <row r="401" spans="1:16" ht="17">
      <c r="A401" s="6"/>
      <c r="B401" s="95" t="str">
        <f t="shared" si="26"/>
        <v/>
      </c>
      <c r="C401" s="97"/>
      <c r="D401" s="95"/>
      <c r="E401" s="96"/>
      <c r="F401" s="96"/>
      <c r="G401" s="99"/>
      <c r="H401" s="95"/>
      <c r="I401" s="95"/>
      <c r="J401" s="95"/>
      <c r="K401" s="95"/>
      <c r="L401" s="96"/>
      <c r="M401" s="42" t="str">
        <f t="shared" si="27"/>
        <v/>
      </c>
      <c r="N401" s="42" t="str">
        <f t="shared" si="28"/>
        <v/>
      </c>
      <c r="O401" s="43" t="str">
        <f t="shared" si="29"/>
        <v/>
      </c>
      <c r="P401" s="42" t="str">
        <f t="shared" si="30"/>
        <v/>
      </c>
    </row>
    <row r="402" spans="1:16" ht="17">
      <c r="A402" s="6"/>
      <c r="B402" s="95" t="str">
        <f t="shared" si="26"/>
        <v/>
      </c>
      <c r="C402" s="97"/>
      <c r="D402" s="95"/>
      <c r="E402" s="96"/>
      <c r="F402" s="96"/>
      <c r="G402" s="99"/>
      <c r="H402" s="95"/>
      <c r="I402" s="95"/>
      <c r="J402" s="95"/>
      <c r="K402" s="95"/>
      <c r="L402" s="96"/>
      <c r="M402" s="42" t="str">
        <f t="shared" si="27"/>
        <v/>
      </c>
      <c r="N402" s="42" t="str">
        <f t="shared" si="28"/>
        <v/>
      </c>
      <c r="O402" s="43" t="str">
        <f t="shared" si="29"/>
        <v/>
      </c>
      <c r="P402" s="42" t="str">
        <f t="shared" si="30"/>
        <v/>
      </c>
    </row>
    <row r="403" spans="1:16" ht="17">
      <c r="A403" s="6"/>
      <c r="B403" s="95" t="str">
        <f t="shared" si="26"/>
        <v/>
      </c>
      <c r="C403" s="97"/>
      <c r="D403" s="95"/>
      <c r="E403" s="96"/>
      <c r="F403" s="96"/>
      <c r="G403" s="99"/>
      <c r="H403" s="95"/>
      <c r="I403" s="95"/>
      <c r="J403" s="95"/>
      <c r="K403" s="95"/>
      <c r="L403" s="96"/>
      <c r="M403" s="42" t="str">
        <f t="shared" si="27"/>
        <v/>
      </c>
      <c r="N403" s="42" t="str">
        <f t="shared" si="28"/>
        <v/>
      </c>
      <c r="O403" s="43" t="str">
        <f t="shared" si="29"/>
        <v/>
      </c>
      <c r="P403" s="42" t="str">
        <f t="shared" si="30"/>
        <v/>
      </c>
    </row>
    <row r="404" spans="1:16" ht="17">
      <c r="A404" s="6"/>
      <c r="B404" s="95" t="str">
        <f t="shared" si="26"/>
        <v/>
      </c>
      <c r="C404" s="97"/>
      <c r="D404" s="95"/>
      <c r="E404" s="96"/>
      <c r="F404" s="96"/>
      <c r="G404" s="99"/>
      <c r="H404" s="95"/>
      <c r="I404" s="95"/>
      <c r="J404" s="95"/>
      <c r="K404" s="95"/>
      <c r="L404" s="96"/>
      <c r="M404" s="42" t="str">
        <f t="shared" si="27"/>
        <v/>
      </c>
      <c r="N404" s="42" t="str">
        <f t="shared" si="28"/>
        <v/>
      </c>
      <c r="O404" s="43" t="str">
        <f t="shared" si="29"/>
        <v/>
      </c>
      <c r="P404" s="42" t="str">
        <f t="shared" si="30"/>
        <v/>
      </c>
    </row>
    <row r="405" spans="1:16" ht="17">
      <c r="A405" s="6"/>
      <c r="B405" s="95" t="str">
        <f t="shared" si="26"/>
        <v/>
      </c>
      <c r="C405" s="97"/>
      <c r="D405" s="95"/>
      <c r="E405" s="96"/>
      <c r="F405" s="96"/>
      <c r="G405" s="99"/>
      <c r="H405" s="95"/>
      <c r="I405" s="95"/>
      <c r="J405" s="95"/>
      <c r="K405" s="95"/>
      <c r="L405" s="96"/>
      <c r="M405" s="42" t="str">
        <f t="shared" si="27"/>
        <v/>
      </c>
      <c r="N405" s="42" t="str">
        <f t="shared" si="28"/>
        <v/>
      </c>
      <c r="O405" s="43" t="str">
        <f t="shared" si="29"/>
        <v/>
      </c>
      <c r="P405" s="42" t="str">
        <f t="shared" si="30"/>
        <v/>
      </c>
    </row>
    <row r="406" spans="1:16" ht="17">
      <c r="A406" s="6"/>
      <c r="B406" s="95" t="str">
        <f t="shared" si="26"/>
        <v/>
      </c>
      <c r="C406" s="97"/>
      <c r="D406" s="95"/>
      <c r="E406" s="96"/>
      <c r="F406" s="96"/>
      <c r="G406" s="99"/>
      <c r="H406" s="95"/>
      <c r="I406" s="95"/>
      <c r="J406" s="95"/>
      <c r="K406" s="95"/>
      <c r="L406" s="96"/>
      <c r="M406" s="42" t="str">
        <f t="shared" si="27"/>
        <v/>
      </c>
      <c r="N406" s="42" t="str">
        <f t="shared" si="28"/>
        <v/>
      </c>
      <c r="O406" s="43" t="str">
        <f t="shared" si="29"/>
        <v/>
      </c>
      <c r="P406" s="42" t="str">
        <f t="shared" si="30"/>
        <v/>
      </c>
    </row>
    <row r="407" spans="1:16" ht="17">
      <c r="A407" s="6"/>
      <c r="B407" s="95" t="str">
        <f t="shared" si="26"/>
        <v/>
      </c>
      <c r="C407" s="97"/>
      <c r="D407" s="95"/>
      <c r="E407" s="96"/>
      <c r="F407" s="96"/>
      <c r="G407" s="99"/>
      <c r="H407" s="95"/>
      <c r="I407" s="95"/>
      <c r="J407" s="95"/>
      <c r="K407" s="95"/>
      <c r="L407" s="96"/>
      <c r="M407" s="42" t="str">
        <f t="shared" si="27"/>
        <v/>
      </c>
      <c r="N407" s="42" t="str">
        <f t="shared" si="28"/>
        <v/>
      </c>
      <c r="O407" s="43" t="str">
        <f t="shared" si="29"/>
        <v/>
      </c>
      <c r="P407" s="42" t="str">
        <f t="shared" si="30"/>
        <v/>
      </c>
    </row>
    <row r="408" spans="1:16" ht="17">
      <c r="A408" s="6"/>
      <c r="B408" s="95" t="str">
        <f t="shared" si="26"/>
        <v/>
      </c>
      <c r="C408" s="97"/>
      <c r="D408" s="95"/>
      <c r="E408" s="96"/>
      <c r="F408" s="96"/>
      <c r="G408" s="99"/>
      <c r="H408" s="95"/>
      <c r="I408" s="95"/>
      <c r="J408" s="95"/>
      <c r="K408" s="95"/>
      <c r="L408" s="96"/>
      <c r="M408" s="42" t="str">
        <f t="shared" si="27"/>
        <v/>
      </c>
      <c r="N408" s="42" t="str">
        <f t="shared" si="28"/>
        <v/>
      </c>
      <c r="O408" s="43" t="str">
        <f t="shared" si="29"/>
        <v/>
      </c>
      <c r="P408" s="42" t="str">
        <f t="shared" si="30"/>
        <v/>
      </c>
    </row>
    <row r="409" spans="1:16" ht="17">
      <c r="A409" s="6"/>
      <c r="B409" s="95" t="str">
        <f t="shared" si="26"/>
        <v/>
      </c>
      <c r="C409" s="97"/>
      <c r="D409" s="95"/>
      <c r="E409" s="96"/>
      <c r="F409" s="96"/>
      <c r="G409" s="99"/>
      <c r="H409" s="95"/>
      <c r="I409" s="95"/>
      <c r="J409" s="95"/>
      <c r="K409" s="95"/>
      <c r="L409" s="96"/>
      <c r="M409" s="42" t="str">
        <f t="shared" si="27"/>
        <v/>
      </c>
      <c r="N409" s="42" t="str">
        <f t="shared" si="28"/>
        <v/>
      </c>
      <c r="O409" s="43" t="str">
        <f t="shared" si="29"/>
        <v/>
      </c>
      <c r="P409" s="42" t="str">
        <f t="shared" si="30"/>
        <v/>
      </c>
    </row>
    <row r="410" spans="1:16" ht="17">
      <c r="A410" s="6"/>
      <c r="B410" s="95" t="str">
        <f t="shared" si="26"/>
        <v/>
      </c>
      <c r="C410" s="97"/>
      <c r="D410" s="95"/>
      <c r="E410" s="96"/>
      <c r="F410" s="96"/>
      <c r="G410" s="99"/>
      <c r="H410" s="95"/>
      <c r="I410" s="95"/>
      <c r="J410" s="95"/>
      <c r="K410" s="95"/>
      <c r="L410" s="96"/>
      <c r="M410" s="42" t="str">
        <f t="shared" si="27"/>
        <v/>
      </c>
      <c r="N410" s="42" t="str">
        <f t="shared" si="28"/>
        <v/>
      </c>
      <c r="O410" s="43" t="str">
        <f t="shared" si="29"/>
        <v/>
      </c>
      <c r="P410" s="42" t="str">
        <f t="shared" si="30"/>
        <v/>
      </c>
    </row>
    <row r="411" spans="1:16" ht="17">
      <c r="A411" s="6"/>
      <c r="B411" s="95" t="str">
        <f t="shared" si="26"/>
        <v/>
      </c>
      <c r="C411" s="97"/>
      <c r="D411" s="95"/>
      <c r="E411" s="96"/>
      <c r="F411" s="96"/>
      <c r="G411" s="99"/>
      <c r="H411" s="95"/>
      <c r="I411" s="95"/>
      <c r="J411" s="95"/>
      <c r="K411" s="95"/>
      <c r="L411" s="96"/>
      <c r="M411" s="42" t="str">
        <f t="shared" si="27"/>
        <v/>
      </c>
      <c r="N411" s="42" t="str">
        <f t="shared" si="28"/>
        <v/>
      </c>
      <c r="O411" s="43" t="str">
        <f t="shared" si="29"/>
        <v/>
      </c>
      <c r="P411" s="42" t="str">
        <f t="shared" si="30"/>
        <v/>
      </c>
    </row>
    <row r="412" spans="1:16" ht="17">
      <c r="A412" s="6"/>
      <c r="B412" s="95" t="str">
        <f t="shared" si="26"/>
        <v/>
      </c>
      <c r="C412" s="97"/>
      <c r="D412" s="95"/>
      <c r="E412" s="96"/>
      <c r="F412" s="96"/>
      <c r="G412" s="99"/>
      <c r="H412" s="95"/>
      <c r="I412" s="95"/>
      <c r="J412" s="95"/>
      <c r="K412" s="95"/>
      <c r="L412" s="96"/>
      <c r="M412" s="42" t="str">
        <f t="shared" si="27"/>
        <v/>
      </c>
      <c r="N412" s="42" t="str">
        <f t="shared" si="28"/>
        <v/>
      </c>
      <c r="O412" s="43" t="str">
        <f t="shared" si="29"/>
        <v/>
      </c>
      <c r="P412" s="42" t="str">
        <f t="shared" si="30"/>
        <v/>
      </c>
    </row>
    <row r="413" spans="1:16" ht="17">
      <c r="A413" s="6"/>
      <c r="B413" s="95" t="str">
        <f t="shared" si="26"/>
        <v/>
      </c>
      <c r="C413" s="97"/>
      <c r="D413" s="95"/>
      <c r="E413" s="96"/>
      <c r="F413" s="96"/>
      <c r="G413" s="99"/>
      <c r="H413" s="95"/>
      <c r="I413" s="95"/>
      <c r="J413" s="95"/>
      <c r="K413" s="95"/>
      <c r="L413" s="96"/>
      <c r="M413" s="42" t="str">
        <f t="shared" si="27"/>
        <v/>
      </c>
      <c r="N413" s="42" t="str">
        <f t="shared" si="28"/>
        <v/>
      </c>
      <c r="O413" s="43" t="str">
        <f t="shared" si="29"/>
        <v/>
      </c>
      <c r="P413" s="42" t="str">
        <f t="shared" si="30"/>
        <v/>
      </c>
    </row>
    <row r="414" spans="1:16" ht="17">
      <c r="A414" s="6"/>
      <c r="B414" s="95" t="str">
        <f t="shared" si="26"/>
        <v/>
      </c>
      <c r="C414" s="97"/>
      <c r="D414" s="95"/>
      <c r="E414" s="96"/>
      <c r="F414" s="96"/>
      <c r="G414" s="99"/>
      <c r="H414" s="95"/>
      <c r="I414" s="95"/>
      <c r="J414" s="95"/>
      <c r="K414" s="95"/>
      <c r="L414" s="96"/>
      <c r="M414" s="42" t="str">
        <f t="shared" si="27"/>
        <v/>
      </c>
      <c r="N414" s="42" t="str">
        <f t="shared" si="28"/>
        <v/>
      </c>
      <c r="O414" s="43" t="str">
        <f t="shared" si="29"/>
        <v/>
      </c>
      <c r="P414" s="42" t="str">
        <f t="shared" si="30"/>
        <v/>
      </c>
    </row>
    <row r="415" spans="1:16" ht="17">
      <c r="A415" s="6"/>
      <c r="B415" s="95" t="str">
        <f t="shared" si="26"/>
        <v/>
      </c>
      <c r="C415" s="97"/>
      <c r="D415" s="95"/>
      <c r="E415" s="96"/>
      <c r="F415" s="96"/>
      <c r="G415" s="99"/>
      <c r="H415" s="95"/>
      <c r="I415" s="95"/>
      <c r="J415" s="95"/>
      <c r="K415" s="95"/>
      <c r="L415" s="96"/>
      <c r="M415" s="42" t="str">
        <f t="shared" si="27"/>
        <v/>
      </c>
      <c r="N415" s="42" t="str">
        <f t="shared" si="28"/>
        <v/>
      </c>
      <c r="O415" s="43" t="str">
        <f t="shared" si="29"/>
        <v/>
      </c>
      <c r="P415" s="42" t="str">
        <f t="shared" si="30"/>
        <v/>
      </c>
    </row>
    <row r="416" spans="1:16" ht="17">
      <c r="A416" s="6"/>
      <c r="B416" s="95" t="str">
        <f t="shared" si="26"/>
        <v/>
      </c>
      <c r="C416" s="97"/>
      <c r="D416" s="95"/>
      <c r="E416" s="96"/>
      <c r="F416" s="96"/>
      <c r="G416" s="99"/>
      <c r="H416" s="95"/>
      <c r="I416" s="95"/>
      <c r="J416" s="95"/>
      <c r="K416" s="95"/>
      <c r="L416" s="96"/>
      <c r="M416" s="42" t="str">
        <f t="shared" si="27"/>
        <v/>
      </c>
      <c r="N416" s="42" t="str">
        <f t="shared" si="28"/>
        <v/>
      </c>
      <c r="O416" s="43" t="str">
        <f t="shared" si="29"/>
        <v/>
      </c>
      <c r="P416" s="42" t="str">
        <f t="shared" si="30"/>
        <v/>
      </c>
    </row>
    <row r="417" spans="1:16" ht="17">
      <c r="A417" s="6"/>
      <c r="B417" s="95" t="str">
        <f t="shared" si="26"/>
        <v/>
      </c>
      <c r="C417" s="97"/>
      <c r="D417" s="95"/>
      <c r="E417" s="96"/>
      <c r="F417" s="96"/>
      <c r="G417" s="99"/>
      <c r="H417" s="95"/>
      <c r="I417" s="95"/>
      <c r="J417" s="95"/>
      <c r="K417" s="95"/>
      <c r="L417" s="96"/>
      <c r="M417" s="42" t="str">
        <f t="shared" si="27"/>
        <v/>
      </c>
      <c r="N417" s="42" t="str">
        <f t="shared" si="28"/>
        <v/>
      </c>
      <c r="O417" s="43" t="str">
        <f t="shared" si="29"/>
        <v/>
      </c>
      <c r="P417" s="42" t="str">
        <f t="shared" si="30"/>
        <v/>
      </c>
    </row>
    <row r="418" spans="1:16" ht="17">
      <c r="A418" s="6"/>
      <c r="B418" s="95" t="str">
        <f t="shared" ref="B418:B481" si="31">IF(C418="","","GG"&amp;TEXT(ROW()-6,"00000"))</f>
        <v/>
      </c>
      <c r="C418" s="97"/>
      <c r="D418" s="95"/>
      <c r="E418" s="96"/>
      <c r="F418" s="96"/>
      <c r="G418" s="99"/>
      <c r="H418" s="95"/>
      <c r="I418" s="95"/>
      <c r="J418" s="95"/>
      <c r="K418" s="95"/>
      <c r="L418" s="96"/>
      <c r="M418" s="42" t="str">
        <f t="shared" si="27"/>
        <v/>
      </c>
      <c r="N418" s="42" t="str">
        <f t="shared" si="28"/>
        <v/>
      </c>
      <c r="O418" s="43" t="str">
        <f t="shared" si="29"/>
        <v/>
      </c>
      <c r="P418" s="42" t="str">
        <f t="shared" si="30"/>
        <v/>
      </c>
    </row>
    <row r="419" spans="1:16" ht="17">
      <c r="A419" s="6"/>
      <c r="B419" s="95" t="str">
        <f t="shared" si="31"/>
        <v/>
      </c>
      <c r="C419" s="97"/>
      <c r="D419" s="95"/>
      <c r="E419" s="96"/>
      <c r="F419" s="96"/>
      <c r="G419" s="99"/>
      <c r="H419" s="95"/>
      <c r="I419" s="95"/>
      <c r="J419" s="95"/>
      <c r="K419" s="95"/>
      <c r="L419" s="96"/>
      <c r="M419" s="42" t="str">
        <f t="shared" si="27"/>
        <v/>
      </c>
      <c r="N419" s="42" t="str">
        <f t="shared" si="28"/>
        <v/>
      </c>
      <c r="O419" s="43" t="str">
        <f t="shared" si="29"/>
        <v/>
      </c>
      <c r="P419" s="42" t="str">
        <f t="shared" si="30"/>
        <v/>
      </c>
    </row>
    <row r="420" spans="1:16" ht="17">
      <c r="A420" s="6"/>
      <c r="B420" s="95" t="str">
        <f t="shared" si="31"/>
        <v/>
      </c>
      <c r="C420" s="97"/>
      <c r="D420" s="95"/>
      <c r="E420" s="96"/>
      <c r="F420" s="96"/>
      <c r="G420" s="99"/>
      <c r="H420" s="95"/>
      <c r="I420" s="95"/>
      <c r="J420" s="95"/>
      <c r="K420" s="95"/>
      <c r="L420" s="96"/>
      <c r="M420" s="42" t="str">
        <f t="shared" si="27"/>
        <v/>
      </c>
      <c r="N420" s="42" t="str">
        <f t="shared" si="28"/>
        <v/>
      </c>
      <c r="O420" s="43" t="str">
        <f t="shared" si="29"/>
        <v/>
      </c>
      <c r="P420" s="42" t="str">
        <f t="shared" si="30"/>
        <v/>
      </c>
    </row>
    <row r="421" spans="1:16" ht="17">
      <c r="A421" s="6"/>
      <c r="B421" s="95" t="str">
        <f t="shared" si="31"/>
        <v/>
      </c>
      <c r="C421" s="97"/>
      <c r="D421" s="95"/>
      <c r="E421" s="96"/>
      <c r="F421" s="96"/>
      <c r="G421" s="99"/>
      <c r="H421" s="95"/>
      <c r="I421" s="95"/>
      <c r="J421" s="95"/>
      <c r="K421" s="95"/>
      <c r="L421" s="96"/>
      <c r="M421" s="42" t="str">
        <f t="shared" si="27"/>
        <v/>
      </c>
      <c r="N421" s="42" t="str">
        <f t="shared" si="28"/>
        <v/>
      </c>
      <c r="O421" s="43" t="str">
        <f t="shared" si="29"/>
        <v/>
      </c>
      <c r="P421" s="42" t="str">
        <f t="shared" si="30"/>
        <v/>
      </c>
    </row>
    <row r="422" spans="1:16" ht="17">
      <c r="A422" s="6"/>
      <c r="B422" s="95" t="str">
        <f t="shared" si="31"/>
        <v/>
      </c>
      <c r="C422" s="97"/>
      <c r="D422" s="95"/>
      <c r="E422" s="96"/>
      <c r="F422" s="96"/>
      <c r="G422" s="99"/>
      <c r="H422" s="95"/>
      <c r="I422" s="95"/>
      <c r="J422" s="95"/>
      <c r="K422" s="95"/>
      <c r="L422" s="96"/>
      <c r="M422" s="42" t="str">
        <f t="shared" si="27"/>
        <v/>
      </c>
      <c r="N422" s="42" t="str">
        <f t="shared" si="28"/>
        <v/>
      </c>
      <c r="O422" s="43" t="str">
        <f t="shared" si="29"/>
        <v/>
      </c>
      <c r="P422" s="42" t="str">
        <f t="shared" si="30"/>
        <v/>
      </c>
    </row>
    <row r="423" spans="1:16" ht="17">
      <c r="A423" s="6"/>
      <c r="B423" s="95" t="str">
        <f t="shared" si="31"/>
        <v/>
      </c>
      <c r="C423" s="97"/>
      <c r="D423" s="95"/>
      <c r="E423" s="96"/>
      <c r="F423" s="96"/>
      <c r="G423" s="99"/>
      <c r="H423" s="95"/>
      <c r="I423" s="95"/>
      <c r="J423" s="95"/>
      <c r="K423" s="95"/>
      <c r="L423" s="96"/>
      <c r="M423" s="42" t="str">
        <f t="shared" si="27"/>
        <v/>
      </c>
      <c r="N423" s="42" t="str">
        <f t="shared" si="28"/>
        <v/>
      </c>
      <c r="O423" s="43" t="str">
        <f t="shared" si="29"/>
        <v/>
      </c>
      <c r="P423" s="42" t="str">
        <f t="shared" si="30"/>
        <v/>
      </c>
    </row>
    <row r="424" spans="1:16" ht="17">
      <c r="A424" s="6"/>
      <c r="B424" s="95" t="str">
        <f t="shared" si="31"/>
        <v/>
      </c>
      <c r="C424" s="97"/>
      <c r="D424" s="95"/>
      <c r="E424" s="96"/>
      <c r="F424" s="96"/>
      <c r="G424" s="99"/>
      <c r="H424" s="95"/>
      <c r="I424" s="95"/>
      <c r="J424" s="95"/>
      <c r="K424" s="95"/>
      <c r="L424" s="96"/>
      <c r="M424" s="42" t="str">
        <f t="shared" si="27"/>
        <v/>
      </c>
      <c r="N424" s="42" t="str">
        <f t="shared" si="28"/>
        <v/>
      </c>
      <c r="O424" s="43" t="str">
        <f t="shared" si="29"/>
        <v/>
      </c>
      <c r="P424" s="42" t="str">
        <f t="shared" si="30"/>
        <v/>
      </c>
    </row>
    <row r="425" spans="1:16" ht="17">
      <c r="A425" s="6"/>
      <c r="B425" s="95" t="str">
        <f t="shared" si="31"/>
        <v/>
      </c>
      <c r="C425" s="97"/>
      <c r="D425" s="95"/>
      <c r="E425" s="96"/>
      <c r="F425" s="96"/>
      <c r="G425" s="99"/>
      <c r="H425" s="95"/>
      <c r="I425" s="95"/>
      <c r="J425" s="95"/>
      <c r="K425" s="95"/>
      <c r="L425" s="96"/>
      <c r="M425" s="42" t="str">
        <f t="shared" si="27"/>
        <v/>
      </c>
      <c r="N425" s="42" t="str">
        <f t="shared" si="28"/>
        <v/>
      </c>
      <c r="O425" s="43" t="str">
        <f t="shared" si="29"/>
        <v/>
      </c>
      <c r="P425" s="42" t="str">
        <f t="shared" si="30"/>
        <v/>
      </c>
    </row>
    <row r="426" spans="1:16" ht="17">
      <c r="A426" s="6"/>
      <c r="B426" s="95" t="str">
        <f t="shared" si="31"/>
        <v/>
      </c>
      <c r="C426" s="97"/>
      <c r="D426" s="95"/>
      <c r="E426" s="96"/>
      <c r="F426" s="96"/>
      <c r="G426" s="99"/>
      <c r="H426" s="95"/>
      <c r="I426" s="95"/>
      <c r="J426" s="95"/>
      <c r="K426" s="95"/>
      <c r="L426" s="96"/>
      <c r="M426" s="42" t="str">
        <f t="shared" si="27"/>
        <v/>
      </c>
      <c r="N426" s="42" t="str">
        <f t="shared" si="28"/>
        <v/>
      </c>
      <c r="O426" s="43" t="str">
        <f t="shared" si="29"/>
        <v/>
      </c>
      <c r="P426" s="42" t="str">
        <f t="shared" si="30"/>
        <v/>
      </c>
    </row>
    <row r="427" spans="1:16" ht="17">
      <c r="A427" s="6"/>
      <c r="B427" s="95" t="str">
        <f t="shared" si="31"/>
        <v/>
      </c>
      <c r="C427" s="97"/>
      <c r="D427" s="95"/>
      <c r="E427" s="96"/>
      <c r="F427" s="96"/>
      <c r="G427" s="99"/>
      <c r="H427" s="95"/>
      <c r="I427" s="95"/>
      <c r="J427" s="95"/>
      <c r="K427" s="95"/>
      <c r="L427" s="96"/>
      <c r="M427" s="42" t="str">
        <f t="shared" si="27"/>
        <v/>
      </c>
      <c r="N427" s="42" t="str">
        <f t="shared" si="28"/>
        <v/>
      </c>
      <c r="O427" s="43" t="str">
        <f t="shared" si="29"/>
        <v/>
      </c>
      <c r="P427" s="42" t="str">
        <f t="shared" si="30"/>
        <v/>
      </c>
    </row>
    <row r="428" spans="1:16" ht="17">
      <c r="A428" s="6"/>
      <c r="B428" s="95" t="str">
        <f t="shared" si="31"/>
        <v/>
      </c>
      <c r="C428" s="97"/>
      <c r="D428" s="95"/>
      <c r="E428" s="96"/>
      <c r="F428" s="96"/>
      <c r="G428" s="99"/>
      <c r="H428" s="95"/>
      <c r="I428" s="95"/>
      <c r="J428" s="95"/>
      <c r="K428" s="95"/>
      <c r="L428" s="96"/>
      <c r="M428" s="42" t="str">
        <f t="shared" si="27"/>
        <v/>
      </c>
      <c r="N428" s="42" t="str">
        <f t="shared" si="28"/>
        <v/>
      </c>
      <c r="O428" s="43" t="str">
        <f t="shared" si="29"/>
        <v/>
      </c>
      <c r="P428" s="42" t="str">
        <f t="shared" si="30"/>
        <v/>
      </c>
    </row>
    <row r="429" spans="1:16" ht="17">
      <c r="A429" s="6"/>
      <c r="B429" s="95" t="str">
        <f t="shared" si="31"/>
        <v/>
      </c>
      <c r="C429" s="97"/>
      <c r="D429" s="95"/>
      <c r="E429" s="96"/>
      <c r="F429" s="96"/>
      <c r="G429" s="99"/>
      <c r="H429" s="95"/>
      <c r="I429" s="95"/>
      <c r="J429" s="95"/>
      <c r="K429" s="95"/>
      <c r="L429" s="96"/>
      <c r="M429" s="42" t="str">
        <f t="shared" si="27"/>
        <v/>
      </c>
      <c r="N429" s="42" t="str">
        <f t="shared" si="28"/>
        <v/>
      </c>
      <c r="O429" s="43" t="str">
        <f t="shared" si="29"/>
        <v/>
      </c>
      <c r="P429" s="42" t="str">
        <f t="shared" si="30"/>
        <v/>
      </c>
    </row>
    <row r="430" spans="1:16" ht="17">
      <c r="A430" s="6"/>
      <c r="B430" s="95" t="str">
        <f t="shared" si="31"/>
        <v/>
      </c>
      <c r="C430" s="97"/>
      <c r="D430" s="95"/>
      <c r="E430" s="96"/>
      <c r="F430" s="96"/>
      <c r="G430" s="99"/>
      <c r="H430" s="95"/>
      <c r="I430" s="95"/>
      <c r="J430" s="95"/>
      <c r="K430" s="95"/>
      <c r="L430" s="96"/>
      <c r="M430" s="42" t="str">
        <f t="shared" si="27"/>
        <v/>
      </c>
      <c r="N430" s="42" t="str">
        <f t="shared" si="28"/>
        <v/>
      </c>
      <c r="O430" s="43" t="str">
        <f t="shared" si="29"/>
        <v/>
      </c>
      <c r="P430" s="42" t="str">
        <f t="shared" si="30"/>
        <v/>
      </c>
    </row>
    <row r="431" spans="1:16" ht="17">
      <c r="A431" s="6"/>
      <c r="B431" s="95" t="str">
        <f t="shared" si="31"/>
        <v/>
      </c>
      <c r="C431" s="97"/>
      <c r="D431" s="95"/>
      <c r="E431" s="96"/>
      <c r="F431" s="96"/>
      <c r="G431" s="99"/>
      <c r="H431" s="95"/>
      <c r="I431" s="95"/>
      <c r="J431" s="95"/>
      <c r="K431" s="95"/>
      <c r="L431" s="96"/>
      <c r="M431" s="42" t="str">
        <f t="shared" si="27"/>
        <v/>
      </c>
      <c r="N431" s="42" t="str">
        <f t="shared" si="28"/>
        <v/>
      </c>
      <c r="O431" s="43" t="str">
        <f t="shared" si="29"/>
        <v/>
      </c>
      <c r="P431" s="42" t="str">
        <f t="shared" si="30"/>
        <v/>
      </c>
    </row>
    <row r="432" spans="1:16" ht="17">
      <c r="A432" s="6"/>
      <c r="B432" s="95" t="str">
        <f t="shared" si="31"/>
        <v/>
      </c>
      <c r="C432" s="97"/>
      <c r="D432" s="95"/>
      <c r="E432" s="96"/>
      <c r="F432" s="96"/>
      <c r="G432" s="99"/>
      <c r="H432" s="95"/>
      <c r="I432" s="95"/>
      <c r="J432" s="95"/>
      <c r="K432" s="95"/>
      <c r="L432" s="96"/>
      <c r="M432" s="42" t="str">
        <f t="shared" si="27"/>
        <v/>
      </c>
      <c r="N432" s="42" t="str">
        <f t="shared" si="28"/>
        <v/>
      </c>
      <c r="O432" s="43" t="str">
        <f t="shared" si="29"/>
        <v/>
      </c>
      <c r="P432" s="42" t="str">
        <f t="shared" si="30"/>
        <v/>
      </c>
    </row>
    <row r="433" spans="1:16" ht="17">
      <c r="A433" s="6"/>
      <c r="B433" s="95" t="str">
        <f t="shared" si="31"/>
        <v/>
      </c>
      <c r="C433" s="97"/>
      <c r="D433" s="95"/>
      <c r="E433" s="96"/>
      <c r="F433" s="96"/>
      <c r="G433" s="99"/>
      <c r="H433" s="95"/>
      <c r="I433" s="95"/>
      <c r="J433" s="95"/>
      <c r="K433" s="95"/>
      <c r="L433" s="96"/>
      <c r="M433" s="42" t="str">
        <f t="shared" si="27"/>
        <v/>
      </c>
      <c r="N433" s="42" t="str">
        <f t="shared" si="28"/>
        <v/>
      </c>
      <c r="O433" s="43" t="str">
        <f t="shared" si="29"/>
        <v/>
      </c>
      <c r="P433" s="42" t="str">
        <f t="shared" si="30"/>
        <v/>
      </c>
    </row>
    <row r="434" spans="1:16" ht="17">
      <c r="A434" s="6"/>
      <c r="B434" s="95" t="str">
        <f t="shared" si="31"/>
        <v/>
      </c>
      <c r="C434" s="97"/>
      <c r="D434" s="95"/>
      <c r="E434" s="96"/>
      <c r="F434" s="96"/>
      <c r="G434" s="99"/>
      <c r="H434" s="95"/>
      <c r="I434" s="95"/>
      <c r="J434" s="95"/>
      <c r="K434" s="95"/>
      <c r="L434" s="96"/>
      <c r="M434" s="42" t="str">
        <f t="shared" si="27"/>
        <v/>
      </c>
      <c r="N434" s="42" t="str">
        <f t="shared" si="28"/>
        <v/>
      </c>
      <c r="O434" s="43" t="str">
        <f t="shared" si="29"/>
        <v/>
      </c>
      <c r="P434" s="42" t="str">
        <f t="shared" si="30"/>
        <v/>
      </c>
    </row>
    <row r="435" spans="1:16" ht="17">
      <c r="A435" s="6"/>
      <c r="B435" s="95" t="str">
        <f t="shared" si="31"/>
        <v/>
      </c>
      <c r="C435" s="97"/>
      <c r="D435" s="95"/>
      <c r="E435" s="96"/>
      <c r="F435" s="96"/>
      <c r="G435" s="99"/>
      <c r="H435" s="95"/>
      <c r="I435" s="95"/>
      <c r="J435" s="95"/>
      <c r="K435" s="95"/>
      <c r="L435" s="96"/>
      <c r="M435" s="42" t="str">
        <f t="shared" si="27"/>
        <v/>
      </c>
      <c r="N435" s="42" t="str">
        <f t="shared" si="28"/>
        <v/>
      </c>
      <c r="O435" s="43" t="str">
        <f t="shared" si="29"/>
        <v/>
      </c>
      <c r="P435" s="42" t="str">
        <f t="shared" si="30"/>
        <v/>
      </c>
    </row>
    <row r="436" spans="1:16" ht="17">
      <c r="A436" s="6"/>
      <c r="B436" s="95" t="str">
        <f t="shared" si="31"/>
        <v/>
      </c>
      <c r="C436" s="97"/>
      <c r="D436" s="95"/>
      <c r="E436" s="96"/>
      <c r="F436" s="96"/>
      <c r="G436" s="99"/>
      <c r="H436" s="95"/>
      <c r="I436" s="95"/>
      <c r="J436" s="95"/>
      <c r="K436" s="95"/>
      <c r="L436" s="96"/>
      <c r="M436" s="42" t="str">
        <f t="shared" si="27"/>
        <v/>
      </c>
      <c r="N436" s="42" t="str">
        <f t="shared" si="28"/>
        <v/>
      </c>
      <c r="O436" s="43" t="str">
        <f t="shared" si="29"/>
        <v/>
      </c>
      <c r="P436" s="42" t="str">
        <f t="shared" si="30"/>
        <v/>
      </c>
    </row>
    <row r="437" spans="1:16" ht="17">
      <c r="A437" s="6"/>
      <c r="B437" s="95" t="str">
        <f t="shared" si="31"/>
        <v/>
      </c>
      <c r="C437" s="97"/>
      <c r="D437" s="95"/>
      <c r="E437" s="96"/>
      <c r="F437" s="96"/>
      <c r="G437" s="99"/>
      <c r="H437" s="95"/>
      <c r="I437" s="95"/>
      <c r="J437" s="95"/>
      <c r="K437" s="95"/>
      <c r="L437" s="96"/>
      <c r="M437" s="42" t="str">
        <f t="shared" si="27"/>
        <v/>
      </c>
      <c r="N437" s="42" t="str">
        <f t="shared" si="28"/>
        <v/>
      </c>
      <c r="O437" s="43" t="str">
        <f t="shared" si="29"/>
        <v/>
      </c>
      <c r="P437" s="42" t="str">
        <f t="shared" si="30"/>
        <v/>
      </c>
    </row>
    <row r="438" spans="1:16" ht="17">
      <c r="A438" s="6"/>
      <c r="B438" s="95" t="str">
        <f t="shared" si="31"/>
        <v/>
      </c>
      <c r="C438" s="97"/>
      <c r="D438" s="95"/>
      <c r="E438" s="96"/>
      <c r="F438" s="96"/>
      <c r="G438" s="99"/>
      <c r="H438" s="95"/>
      <c r="I438" s="95"/>
      <c r="J438" s="95"/>
      <c r="K438" s="95"/>
      <c r="L438" s="96"/>
      <c r="M438" s="42" t="str">
        <f t="shared" si="27"/>
        <v/>
      </c>
      <c r="N438" s="42" t="str">
        <f t="shared" si="28"/>
        <v/>
      </c>
      <c r="O438" s="43" t="str">
        <f t="shared" si="29"/>
        <v/>
      </c>
      <c r="P438" s="42" t="str">
        <f t="shared" si="30"/>
        <v/>
      </c>
    </row>
    <row r="439" spans="1:16" ht="17">
      <c r="A439" s="6"/>
      <c r="B439" s="95" t="str">
        <f t="shared" si="31"/>
        <v/>
      </c>
      <c r="C439" s="97"/>
      <c r="D439" s="95"/>
      <c r="E439" s="96"/>
      <c r="F439" s="96"/>
      <c r="G439" s="99"/>
      <c r="H439" s="95"/>
      <c r="I439" s="95"/>
      <c r="J439" s="95"/>
      <c r="K439" s="95"/>
      <c r="L439" s="96"/>
      <c r="M439" s="42" t="str">
        <f t="shared" si="27"/>
        <v/>
      </c>
      <c r="N439" s="42" t="str">
        <f t="shared" si="28"/>
        <v/>
      </c>
      <c r="O439" s="43" t="str">
        <f t="shared" si="29"/>
        <v/>
      </c>
      <c r="P439" s="42" t="str">
        <f t="shared" si="30"/>
        <v/>
      </c>
    </row>
    <row r="440" spans="1:16" ht="17">
      <c r="A440" s="6"/>
      <c r="B440" s="95" t="str">
        <f t="shared" si="31"/>
        <v/>
      </c>
      <c r="C440" s="97"/>
      <c r="D440" s="95"/>
      <c r="E440" s="96"/>
      <c r="F440" s="96"/>
      <c r="G440" s="99"/>
      <c r="H440" s="95"/>
      <c r="I440" s="95"/>
      <c r="J440" s="95"/>
      <c r="K440" s="95"/>
      <c r="L440" s="96"/>
      <c r="M440" s="42" t="str">
        <f t="shared" si="27"/>
        <v/>
      </c>
      <c r="N440" s="42" t="str">
        <f t="shared" si="28"/>
        <v/>
      </c>
      <c r="O440" s="43" t="str">
        <f t="shared" si="29"/>
        <v/>
      </c>
      <c r="P440" s="42" t="str">
        <f t="shared" si="30"/>
        <v/>
      </c>
    </row>
    <row r="441" spans="1:16" ht="17">
      <c r="A441" s="6"/>
      <c r="B441" s="95" t="str">
        <f t="shared" si="31"/>
        <v/>
      </c>
      <c r="C441" s="97"/>
      <c r="D441" s="95"/>
      <c r="E441" s="96"/>
      <c r="F441" s="96"/>
      <c r="G441" s="99"/>
      <c r="H441" s="95"/>
      <c r="I441" s="95"/>
      <c r="J441" s="95"/>
      <c r="K441" s="95"/>
      <c r="L441" s="96"/>
      <c r="M441" s="42" t="str">
        <f t="shared" si="27"/>
        <v/>
      </c>
      <c r="N441" s="42" t="str">
        <f t="shared" si="28"/>
        <v/>
      </c>
      <c r="O441" s="43" t="str">
        <f t="shared" si="29"/>
        <v/>
      </c>
      <c r="P441" s="42" t="str">
        <f t="shared" si="30"/>
        <v/>
      </c>
    </row>
    <row r="442" spans="1:16" ht="17">
      <c r="A442" s="6"/>
      <c r="B442" s="95" t="str">
        <f t="shared" si="31"/>
        <v/>
      </c>
      <c r="C442" s="97"/>
      <c r="D442" s="95"/>
      <c r="E442" s="96"/>
      <c r="F442" s="96"/>
      <c r="G442" s="99"/>
      <c r="H442" s="95"/>
      <c r="I442" s="95"/>
      <c r="J442" s="95"/>
      <c r="K442" s="95"/>
      <c r="L442" s="96"/>
      <c r="M442" s="42" t="str">
        <f t="shared" si="27"/>
        <v/>
      </c>
      <c r="N442" s="42" t="str">
        <f t="shared" si="28"/>
        <v/>
      </c>
      <c r="O442" s="43" t="str">
        <f t="shared" si="29"/>
        <v/>
      </c>
      <c r="P442" s="42" t="str">
        <f t="shared" si="30"/>
        <v/>
      </c>
    </row>
    <row r="443" spans="1:16" ht="17">
      <c r="A443" s="6"/>
      <c r="B443" s="95" t="str">
        <f t="shared" si="31"/>
        <v/>
      </c>
      <c r="C443" s="97"/>
      <c r="D443" s="95"/>
      <c r="E443" s="96"/>
      <c r="F443" s="96"/>
      <c r="G443" s="99"/>
      <c r="H443" s="95"/>
      <c r="I443" s="95"/>
      <c r="J443" s="95"/>
      <c r="K443" s="95"/>
      <c r="L443" s="96"/>
      <c r="M443" s="42" t="str">
        <f t="shared" si="27"/>
        <v/>
      </c>
      <c r="N443" s="42" t="str">
        <f t="shared" si="28"/>
        <v/>
      </c>
      <c r="O443" s="43" t="str">
        <f t="shared" si="29"/>
        <v/>
      </c>
      <c r="P443" s="42" t="str">
        <f t="shared" si="30"/>
        <v/>
      </c>
    </row>
    <row r="444" spans="1:16" ht="17">
      <c r="A444" s="6"/>
      <c r="B444" s="95" t="str">
        <f t="shared" si="31"/>
        <v/>
      </c>
      <c r="C444" s="97"/>
      <c r="D444" s="95"/>
      <c r="E444" s="96"/>
      <c r="F444" s="96"/>
      <c r="G444" s="99"/>
      <c r="H444" s="95"/>
      <c r="I444" s="95"/>
      <c r="J444" s="95"/>
      <c r="K444" s="95"/>
      <c r="L444" s="96"/>
      <c r="M444" s="42" t="str">
        <f t="shared" si="27"/>
        <v/>
      </c>
      <c r="N444" s="42" t="str">
        <f t="shared" si="28"/>
        <v/>
      </c>
      <c r="O444" s="43" t="str">
        <f t="shared" si="29"/>
        <v/>
      </c>
      <c r="P444" s="42" t="str">
        <f t="shared" si="30"/>
        <v/>
      </c>
    </row>
    <row r="445" spans="1:16" ht="17">
      <c r="A445" s="6"/>
      <c r="B445" s="95" t="str">
        <f t="shared" si="31"/>
        <v/>
      </c>
      <c r="C445" s="97"/>
      <c r="D445" s="95"/>
      <c r="E445" s="96"/>
      <c r="F445" s="96"/>
      <c r="G445" s="99"/>
      <c r="H445" s="95"/>
      <c r="I445" s="95"/>
      <c r="J445" s="95"/>
      <c r="K445" s="95"/>
      <c r="L445" s="96"/>
      <c r="M445" s="42" t="str">
        <f t="shared" si="27"/>
        <v/>
      </c>
      <c r="N445" s="42" t="str">
        <f t="shared" si="28"/>
        <v/>
      </c>
      <c r="O445" s="43" t="str">
        <f t="shared" si="29"/>
        <v/>
      </c>
      <c r="P445" s="42" t="str">
        <f t="shared" si="30"/>
        <v/>
      </c>
    </row>
    <row r="446" spans="1:16" ht="17">
      <c r="A446" s="6"/>
      <c r="B446" s="95" t="str">
        <f t="shared" si="31"/>
        <v/>
      </c>
      <c r="C446" s="97"/>
      <c r="D446" s="95"/>
      <c r="E446" s="96"/>
      <c r="F446" s="96"/>
      <c r="G446" s="99"/>
      <c r="H446" s="95"/>
      <c r="I446" s="95"/>
      <c r="J446" s="95"/>
      <c r="K446" s="95"/>
      <c r="L446" s="96"/>
      <c r="M446" s="42" t="str">
        <f t="shared" si="27"/>
        <v/>
      </c>
      <c r="N446" s="42" t="str">
        <f t="shared" si="28"/>
        <v/>
      </c>
      <c r="O446" s="43" t="str">
        <f t="shared" si="29"/>
        <v/>
      </c>
      <c r="P446" s="42" t="str">
        <f t="shared" si="30"/>
        <v/>
      </c>
    </row>
    <row r="447" spans="1:16" ht="17">
      <c r="A447" s="6"/>
      <c r="B447" s="95" t="str">
        <f t="shared" si="31"/>
        <v/>
      </c>
      <c r="C447" s="97"/>
      <c r="D447" s="95"/>
      <c r="E447" s="96"/>
      <c r="F447" s="96"/>
      <c r="G447" s="99"/>
      <c r="H447" s="95"/>
      <c r="I447" s="95"/>
      <c r="J447" s="95"/>
      <c r="K447" s="95"/>
      <c r="L447" s="96"/>
      <c r="M447" s="42" t="str">
        <f t="shared" si="27"/>
        <v/>
      </c>
      <c r="N447" s="42" t="str">
        <f t="shared" si="28"/>
        <v/>
      </c>
      <c r="O447" s="43" t="str">
        <f t="shared" si="29"/>
        <v/>
      </c>
      <c r="P447" s="42" t="str">
        <f t="shared" si="30"/>
        <v/>
      </c>
    </row>
    <row r="448" spans="1:16" ht="17">
      <c r="A448" s="6"/>
      <c r="B448" s="95" t="str">
        <f t="shared" si="31"/>
        <v/>
      </c>
      <c r="C448" s="97"/>
      <c r="D448" s="95"/>
      <c r="E448" s="96"/>
      <c r="F448" s="96"/>
      <c r="G448" s="99"/>
      <c r="H448" s="95"/>
      <c r="I448" s="95"/>
      <c r="J448" s="95"/>
      <c r="K448" s="95"/>
      <c r="L448" s="96"/>
      <c r="M448" s="42" t="str">
        <f t="shared" si="27"/>
        <v/>
      </c>
      <c r="N448" s="42" t="str">
        <f t="shared" si="28"/>
        <v/>
      </c>
      <c r="O448" s="43" t="str">
        <f t="shared" si="29"/>
        <v/>
      </c>
      <c r="P448" s="42" t="str">
        <f t="shared" si="30"/>
        <v/>
      </c>
    </row>
    <row r="449" spans="1:16" ht="17">
      <c r="A449" s="6"/>
      <c r="B449" s="95" t="str">
        <f t="shared" si="31"/>
        <v/>
      </c>
      <c r="C449" s="97"/>
      <c r="D449" s="95"/>
      <c r="E449" s="96"/>
      <c r="F449" s="96"/>
      <c r="G449" s="99"/>
      <c r="H449" s="95"/>
      <c r="I449" s="95"/>
      <c r="J449" s="95"/>
      <c r="K449" s="95"/>
      <c r="L449" s="96"/>
      <c r="M449" s="42" t="str">
        <f t="shared" si="27"/>
        <v/>
      </c>
      <c r="N449" s="42" t="str">
        <f t="shared" si="28"/>
        <v/>
      </c>
      <c r="O449" s="43" t="str">
        <f t="shared" si="29"/>
        <v/>
      </c>
      <c r="P449" s="42" t="str">
        <f t="shared" si="30"/>
        <v/>
      </c>
    </row>
    <row r="450" spans="1:16" ht="17">
      <c r="A450" s="6"/>
      <c r="B450" s="95" t="str">
        <f t="shared" si="31"/>
        <v/>
      </c>
      <c r="C450" s="97"/>
      <c r="D450" s="95"/>
      <c r="E450" s="96"/>
      <c r="F450" s="96"/>
      <c r="G450" s="99"/>
      <c r="H450" s="95"/>
      <c r="I450" s="95"/>
      <c r="J450" s="95"/>
      <c r="K450" s="95"/>
      <c r="L450" s="96"/>
      <c r="M450" s="42" t="str">
        <f t="shared" si="27"/>
        <v/>
      </c>
      <c r="N450" s="42" t="str">
        <f t="shared" si="28"/>
        <v/>
      </c>
      <c r="O450" s="43" t="str">
        <f t="shared" si="29"/>
        <v/>
      </c>
      <c r="P450" s="42" t="str">
        <f t="shared" si="30"/>
        <v/>
      </c>
    </row>
    <row r="451" spans="1:16" ht="17">
      <c r="A451" s="6"/>
      <c r="B451" s="95" t="str">
        <f t="shared" si="31"/>
        <v/>
      </c>
      <c r="C451" s="97"/>
      <c r="D451" s="95"/>
      <c r="E451" s="96"/>
      <c r="F451" s="96"/>
      <c r="G451" s="99"/>
      <c r="H451" s="95"/>
      <c r="I451" s="95"/>
      <c r="J451" s="95"/>
      <c r="K451" s="95"/>
      <c r="L451" s="96"/>
      <c r="M451" s="42" t="str">
        <f t="shared" si="27"/>
        <v/>
      </c>
      <c r="N451" s="42" t="str">
        <f t="shared" si="28"/>
        <v/>
      </c>
      <c r="O451" s="43" t="str">
        <f t="shared" si="29"/>
        <v/>
      </c>
      <c r="P451" s="42" t="str">
        <f t="shared" si="30"/>
        <v/>
      </c>
    </row>
    <row r="452" spans="1:16" ht="17">
      <c r="A452" s="6"/>
      <c r="B452" s="95" t="str">
        <f t="shared" si="31"/>
        <v/>
      </c>
      <c r="C452" s="97"/>
      <c r="D452" s="95"/>
      <c r="E452" s="96"/>
      <c r="F452" s="96"/>
      <c r="G452" s="99"/>
      <c r="H452" s="95"/>
      <c r="I452" s="95"/>
      <c r="J452" s="95"/>
      <c r="K452" s="95"/>
      <c r="L452" s="96"/>
      <c r="M452" s="42" t="str">
        <f t="shared" si="27"/>
        <v/>
      </c>
      <c r="N452" s="42" t="str">
        <f t="shared" si="28"/>
        <v/>
      </c>
      <c r="O452" s="43" t="str">
        <f t="shared" si="29"/>
        <v/>
      </c>
      <c r="P452" s="42" t="str">
        <f t="shared" si="30"/>
        <v/>
      </c>
    </row>
    <row r="453" spans="1:16" ht="17">
      <c r="A453" s="6"/>
      <c r="B453" s="95" t="str">
        <f t="shared" si="31"/>
        <v/>
      </c>
      <c r="C453" s="97"/>
      <c r="D453" s="95"/>
      <c r="E453" s="96"/>
      <c r="F453" s="96"/>
      <c r="G453" s="99"/>
      <c r="H453" s="95"/>
      <c r="I453" s="95"/>
      <c r="J453" s="95"/>
      <c r="K453" s="95"/>
      <c r="L453" s="96"/>
      <c r="M453" s="42" t="str">
        <f t="shared" si="27"/>
        <v/>
      </c>
      <c r="N453" s="42" t="str">
        <f t="shared" si="28"/>
        <v/>
      </c>
      <c r="O453" s="43" t="str">
        <f t="shared" si="29"/>
        <v/>
      </c>
      <c r="P453" s="42" t="str">
        <f t="shared" si="30"/>
        <v/>
      </c>
    </row>
    <row r="454" spans="1:16" ht="17">
      <c r="A454" s="6"/>
      <c r="B454" s="95" t="str">
        <f t="shared" si="31"/>
        <v/>
      </c>
      <c r="C454" s="97"/>
      <c r="D454" s="95"/>
      <c r="E454" s="96"/>
      <c r="F454" s="96"/>
      <c r="G454" s="99"/>
      <c r="H454" s="95"/>
      <c r="I454" s="95"/>
      <c r="J454" s="95"/>
      <c r="K454" s="95"/>
      <c r="L454" s="96"/>
      <c r="M454" s="42" t="str">
        <f t="shared" si="27"/>
        <v/>
      </c>
      <c r="N454" s="42" t="str">
        <f t="shared" si="28"/>
        <v/>
      </c>
      <c r="O454" s="43" t="str">
        <f t="shared" si="29"/>
        <v/>
      </c>
      <c r="P454" s="42" t="str">
        <f t="shared" si="30"/>
        <v/>
      </c>
    </row>
    <row r="455" spans="1:16" ht="17">
      <c r="A455" s="6"/>
      <c r="B455" s="95" t="str">
        <f t="shared" si="31"/>
        <v/>
      </c>
      <c r="C455" s="97"/>
      <c r="D455" s="95"/>
      <c r="E455" s="96"/>
      <c r="F455" s="96"/>
      <c r="G455" s="99"/>
      <c r="H455" s="95"/>
      <c r="I455" s="95"/>
      <c r="J455" s="95"/>
      <c r="K455" s="95"/>
      <c r="L455" s="96"/>
      <c r="M455" s="42" t="str">
        <f t="shared" ref="M455:M518" si="32">IF(C455="","",IF(D455="Gider",IF(H455&lt;&gt;"",H455,"CARİ MAHSUP"),IF(L455&lt;&gt;"",L455,H455)))</f>
        <v/>
      </c>
      <c r="N455" s="42" t="str">
        <f t="shared" ref="N455:N518" si="33">IF(C455="","",IF(D455="Gider",E455,IF(H455&lt;&gt;"",H455,E455)))</f>
        <v/>
      </c>
      <c r="O455" s="43" t="str">
        <f t="shared" ref="O455:O518" si="34">IF(C455="","",DATE(YEAR(C455),MONTH(C455),1))</f>
        <v/>
      </c>
      <c r="P455" s="42" t="str">
        <f t="shared" ref="P455:P518" si="35">IF(C455="","",IF(OR(D455="",E455="",G455=""),"EKSİK",IF(AND(D455="Gelir",I455="Hayır",L455&lt;&gt;""),IF(R455,"TAHAKKUK","TANIMSIZ BORÇLU"),IF(AND(D455="Gelir",I455="Evet",L455&lt;&gt;""),"TAHAKKUK NAKİT OLAMAZ",IF(AND(D455="Gelir",I455="Hayır",H455&lt;&gt;""),"NAKİTSİZDE KASA OLMAZ","UYGUN")))))</f>
        <v/>
      </c>
    </row>
    <row r="456" spans="1:16" ht="17">
      <c r="A456" s="6"/>
      <c r="B456" s="95" t="str">
        <f t="shared" si="31"/>
        <v/>
      </c>
      <c r="C456" s="97"/>
      <c r="D456" s="95"/>
      <c r="E456" s="96"/>
      <c r="F456" s="96"/>
      <c r="G456" s="99"/>
      <c r="H456" s="95"/>
      <c r="I456" s="95"/>
      <c r="J456" s="95"/>
      <c r="K456" s="95"/>
      <c r="L456" s="96"/>
      <c r="M456" s="42" t="str">
        <f t="shared" si="32"/>
        <v/>
      </c>
      <c r="N456" s="42" t="str">
        <f t="shared" si="33"/>
        <v/>
      </c>
      <c r="O456" s="43" t="str">
        <f t="shared" si="34"/>
        <v/>
      </c>
      <c r="P456" s="42" t="str">
        <f t="shared" si="35"/>
        <v/>
      </c>
    </row>
    <row r="457" spans="1:16" ht="17">
      <c r="A457" s="6"/>
      <c r="B457" s="95" t="str">
        <f t="shared" si="31"/>
        <v/>
      </c>
      <c r="C457" s="97"/>
      <c r="D457" s="95"/>
      <c r="E457" s="96"/>
      <c r="F457" s="96"/>
      <c r="G457" s="99"/>
      <c r="H457" s="95"/>
      <c r="I457" s="95"/>
      <c r="J457" s="95"/>
      <c r="K457" s="95"/>
      <c r="L457" s="96"/>
      <c r="M457" s="42" t="str">
        <f t="shared" si="32"/>
        <v/>
      </c>
      <c r="N457" s="42" t="str">
        <f t="shared" si="33"/>
        <v/>
      </c>
      <c r="O457" s="43" t="str">
        <f t="shared" si="34"/>
        <v/>
      </c>
      <c r="P457" s="42" t="str">
        <f t="shared" si="35"/>
        <v/>
      </c>
    </row>
    <row r="458" spans="1:16" ht="17">
      <c r="A458" s="6"/>
      <c r="B458" s="95" t="str">
        <f t="shared" si="31"/>
        <v/>
      </c>
      <c r="C458" s="97"/>
      <c r="D458" s="95"/>
      <c r="E458" s="96"/>
      <c r="F458" s="96"/>
      <c r="G458" s="99"/>
      <c r="H458" s="95"/>
      <c r="I458" s="95"/>
      <c r="J458" s="95"/>
      <c r="K458" s="95"/>
      <c r="L458" s="96"/>
      <c r="M458" s="42" t="str">
        <f t="shared" si="32"/>
        <v/>
      </c>
      <c r="N458" s="42" t="str">
        <f t="shared" si="33"/>
        <v/>
      </c>
      <c r="O458" s="43" t="str">
        <f t="shared" si="34"/>
        <v/>
      </c>
      <c r="P458" s="42" t="str">
        <f t="shared" si="35"/>
        <v/>
      </c>
    </row>
    <row r="459" spans="1:16" ht="17">
      <c r="A459" s="6"/>
      <c r="B459" s="95" t="str">
        <f t="shared" si="31"/>
        <v/>
      </c>
      <c r="C459" s="97"/>
      <c r="D459" s="95"/>
      <c r="E459" s="96"/>
      <c r="F459" s="96"/>
      <c r="G459" s="99"/>
      <c r="H459" s="95"/>
      <c r="I459" s="95"/>
      <c r="J459" s="95"/>
      <c r="K459" s="95"/>
      <c r="L459" s="96"/>
      <c r="M459" s="42" t="str">
        <f t="shared" si="32"/>
        <v/>
      </c>
      <c r="N459" s="42" t="str">
        <f t="shared" si="33"/>
        <v/>
      </c>
      <c r="O459" s="43" t="str">
        <f t="shared" si="34"/>
        <v/>
      </c>
      <c r="P459" s="42" t="str">
        <f t="shared" si="35"/>
        <v/>
      </c>
    </row>
    <row r="460" spans="1:16" ht="17">
      <c r="A460" s="6"/>
      <c r="B460" s="95" t="str">
        <f t="shared" si="31"/>
        <v/>
      </c>
      <c r="C460" s="97"/>
      <c r="D460" s="95"/>
      <c r="E460" s="96"/>
      <c r="F460" s="96"/>
      <c r="G460" s="99"/>
      <c r="H460" s="95"/>
      <c r="I460" s="95"/>
      <c r="J460" s="95"/>
      <c r="K460" s="95"/>
      <c r="L460" s="96"/>
      <c r="M460" s="42" t="str">
        <f t="shared" si="32"/>
        <v/>
      </c>
      <c r="N460" s="42" t="str">
        <f t="shared" si="33"/>
        <v/>
      </c>
      <c r="O460" s="43" t="str">
        <f t="shared" si="34"/>
        <v/>
      </c>
      <c r="P460" s="42" t="str">
        <f t="shared" si="35"/>
        <v/>
      </c>
    </row>
    <row r="461" spans="1:16" ht="17">
      <c r="A461" s="6"/>
      <c r="B461" s="95" t="str">
        <f t="shared" si="31"/>
        <v/>
      </c>
      <c r="C461" s="97"/>
      <c r="D461" s="95"/>
      <c r="E461" s="96"/>
      <c r="F461" s="96"/>
      <c r="G461" s="99"/>
      <c r="H461" s="95"/>
      <c r="I461" s="95"/>
      <c r="J461" s="95"/>
      <c r="K461" s="95"/>
      <c r="L461" s="96"/>
      <c r="M461" s="42" t="str">
        <f t="shared" si="32"/>
        <v/>
      </c>
      <c r="N461" s="42" t="str">
        <f t="shared" si="33"/>
        <v/>
      </c>
      <c r="O461" s="43" t="str">
        <f t="shared" si="34"/>
        <v/>
      </c>
      <c r="P461" s="42" t="str">
        <f t="shared" si="35"/>
        <v/>
      </c>
    </row>
    <row r="462" spans="1:16" ht="17">
      <c r="A462" s="6"/>
      <c r="B462" s="95" t="str">
        <f t="shared" si="31"/>
        <v/>
      </c>
      <c r="C462" s="97"/>
      <c r="D462" s="95"/>
      <c r="E462" s="96"/>
      <c r="F462" s="96"/>
      <c r="G462" s="99"/>
      <c r="H462" s="95"/>
      <c r="I462" s="95"/>
      <c r="J462" s="95"/>
      <c r="K462" s="95"/>
      <c r="L462" s="96"/>
      <c r="M462" s="42" t="str">
        <f t="shared" si="32"/>
        <v/>
      </c>
      <c r="N462" s="42" t="str">
        <f t="shared" si="33"/>
        <v/>
      </c>
      <c r="O462" s="43" t="str">
        <f t="shared" si="34"/>
        <v/>
      </c>
      <c r="P462" s="42" t="str">
        <f t="shared" si="35"/>
        <v/>
      </c>
    </row>
    <row r="463" spans="1:16" ht="17">
      <c r="A463" s="6"/>
      <c r="B463" s="95" t="str">
        <f t="shared" si="31"/>
        <v/>
      </c>
      <c r="C463" s="97"/>
      <c r="D463" s="95"/>
      <c r="E463" s="96"/>
      <c r="F463" s="96"/>
      <c r="G463" s="99"/>
      <c r="H463" s="95"/>
      <c r="I463" s="95"/>
      <c r="J463" s="95"/>
      <c r="K463" s="95"/>
      <c r="L463" s="96"/>
      <c r="M463" s="42" t="str">
        <f t="shared" si="32"/>
        <v/>
      </c>
      <c r="N463" s="42" t="str">
        <f t="shared" si="33"/>
        <v/>
      </c>
      <c r="O463" s="43" t="str">
        <f t="shared" si="34"/>
        <v/>
      </c>
      <c r="P463" s="42" t="str">
        <f t="shared" si="35"/>
        <v/>
      </c>
    </row>
    <row r="464" spans="1:16" ht="17">
      <c r="A464" s="6"/>
      <c r="B464" s="95" t="str">
        <f t="shared" si="31"/>
        <v/>
      </c>
      <c r="C464" s="97"/>
      <c r="D464" s="95"/>
      <c r="E464" s="96"/>
      <c r="F464" s="96"/>
      <c r="G464" s="99"/>
      <c r="H464" s="95"/>
      <c r="I464" s="95"/>
      <c r="J464" s="95"/>
      <c r="K464" s="95"/>
      <c r="L464" s="96"/>
      <c r="M464" s="42" t="str">
        <f t="shared" si="32"/>
        <v/>
      </c>
      <c r="N464" s="42" t="str">
        <f t="shared" si="33"/>
        <v/>
      </c>
      <c r="O464" s="43" t="str">
        <f t="shared" si="34"/>
        <v/>
      </c>
      <c r="P464" s="42" t="str">
        <f t="shared" si="35"/>
        <v/>
      </c>
    </row>
    <row r="465" spans="1:16" ht="17">
      <c r="A465" s="6"/>
      <c r="B465" s="95" t="str">
        <f t="shared" si="31"/>
        <v/>
      </c>
      <c r="C465" s="97"/>
      <c r="D465" s="95"/>
      <c r="E465" s="96"/>
      <c r="F465" s="96"/>
      <c r="G465" s="99"/>
      <c r="H465" s="95"/>
      <c r="I465" s="95"/>
      <c r="J465" s="95"/>
      <c r="K465" s="95"/>
      <c r="L465" s="96"/>
      <c r="M465" s="42" t="str">
        <f t="shared" si="32"/>
        <v/>
      </c>
      <c r="N465" s="42" t="str">
        <f t="shared" si="33"/>
        <v/>
      </c>
      <c r="O465" s="43" t="str">
        <f t="shared" si="34"/>
        <v/>
      </c>
      <c r="P465" s="42" t="str">
        <f t="shared" si="35"/>
        <v/>
      </c>
    </row>
    <row r="466" spans="1:16" ht="17">
      <c r="A466" s="6"/>
      <c r="B466" s="95" t="str">
        <f t="shared" si="31"/>
        <v/>
      </c>
      <c r="C466" s="97"/>
      <c r="D466" s="95"/>
      <c r="E466" s="96"/>
      <c r="F466" s="96"/>
      <c r="G466" s="99"/>
      <c r="H466" s="95"/>
      <c r="I466" s="95"/>
      <c r="J466" s="95"/>
      <c r="K466" s="95"/>
      <c r="L466" s="96"/>
      <c r="M466" s="42" t="str">
        <f t="shared" si="32"/>
        <v/>
      </c>
      <c r="N466" s="42" t="str">
        <f t="shared" si="33"/>
        <v/>
      </c>
      <c r="O466" s="43" t="str">
        <f t="shared" si="34"/>
        <v/>
      </c>
      <c r="P466" s="42" t="str">
        <f t="shared" si="35"/>
        <v/>
      </c>
    </row>
    <row r="467" spans="1:16" ht="17">
      <c r="A467" s="6"/>
      <c r="B467" s="95" t="str">
        <f t="shared" si="31"/>
        <v/>
      </c>
      <c r="C467" s="97"/>
      <c r="D467" s="95"/>
      <c r="E467" s="96"/>
      <c r="F467" s="96"/>
      <c r="G467" s="99"/>
      <c r="H467" s="95"/>
      <c r="I467" s="95"/>
      <c r="J467" s="95"/>
      <c r="K467" s="95"/>
      <c r="L467" s="96"/>
      <c r="M467" s="42" t="str">
        <f t="shared" si="32"/>
        <v/>
      </c>
      <c r="N467" s="42" t="str">
        <f t="shared" si="33"/>
        <v/>
      </c>
      <c r="O467" s="43" t="str">
        <f t="shared" si="34"/>
        <v/>
      </c>
      <c r="P467" s="42" t="str">
        <f t="shared" si="35"/>
        <v/>
      </c>
    </row>
    <row r="468" spans="1:16" ht="17">
      <c r="A468" s="6"/>
      <c r="B468" s="95" t="str">
        <f t="shared" si="31"/>
        <v/>
      </c>
      <c r="C468" s="97"/>
      <c r="D468" s="95"/>
      <c r="E468" s="96"/>
      <c r="F468" s="96"/>
      <c r="G468" s="99"/>
      <c r="H468" s="95"/>
      <c r="I468" s="95"/>
      <c r="J468" s="95"/>
      <c r="K468" s="95"/>
      <c r="L468" s="96"/>
      <c r="M468" s="42" t="str">
        <f t="shared" si="32"/>
        <v/>
      </c>
      <c r="N468" s="42" t="str">
        <f t="shared" si="33"/>
        <v/>
      </c>
      <c r="O468" s="43" t="str">
        <f t="shared" si="34"/>
        <v/>
      </c>
      <c r="P468" s="42" t="str">
        <f t="shared" si="35"/>
        <v/>
      </c>
    </row>
    <row r="469" spans="1:16" ht="17">
      <c r="A469" s="6"/>
      <c r="B469" s="95" t="str">
        <f t="shared" si="31"/>
        <v/>
      </c>
      <c r="C469" s="97"/>
      <c r="D469" s="95"/>
      <c r="E469" s="96"/>
      <c r="F469" s="96"/>
      <c r="G469" s="99"/>
      <c r="H469" s="95"/>
      <c r="I469" s="95"/>
      <c r="J469" s="95"/>
      <c r="K469" s="95"/>
      <c r="L469" s="96"/>
      <c r="M469" s="42" t="str">
        <f t="shared" si="32"/>
        <v/>
      </c>
      <c r="N469" s="42" t="str">
        <f t="shared" si="33"/>
        <v/>
      </c>
      <c r="O469" s="43" t="str">
        <f t="shared" si="34"/>
        <v/>
      </c>
      <c r="P469" s="42" t="str">
        <f t="shared" si="35"/>
        <v/>
      </c>
    </row>
    <row r="470" spans="1:16" ht="17">
      <c r="A470" s="6"/>
      <c r="B470" s="95" t="str">
        <f t="shared" si="31"/>
        <v/>
      </c>
      <c r="C470" s="97"/>
      <c r="D470" s="95"/>
      <c r="E470" s="96"/>
      <c r="F470" s="96"/>
      <c r="G470" s="99"/>
      <c r="H470" s="95"/>
      <c r="I470" s="95"/>
      <c r="J470" s="95"/>
      <c r="K470" s="95"/>
      <c r="L470" s="96"/>
      <c r="M470" s="42" t="str">
        <f t="shared" si="32"/>
        <v/>
      </c>
      <c r="N470" s="42" t="str">
        <f t="shared" si="33"/>
        <v/>
      </c>
      <c r="O470" s="43" t="str">
        <f t="shared" si="34"/>
        <v/>
      </c>
      <c r="P470" s="42" t="str">
        <f t="shared" si="35"/>
        <v/>
      </c>
    </row>
    <row r="471" spans="1:16" ht="17">
      <c r="A471" s="6"/>
      <c r="B471" s="95" t="str">
        <f t="shared" si="31"/>
        <v/>
      </c>
      <c r="C471" s="97"/>
      <c r="D471" s="95"/>
      <c r="E471" s="96"/>
      <c r="F471" s="96"/>
      <c r="G471" s="99"/>
      <c r="H471" s="95"/>
      <c r="I471" s="95"/>
      <c r="J471" s="95"/>
      <c r="K471" s="95"/>
      <c r="L471" s="96"/>
      <c r="M471" s="42" t="str">
        <f t="shared" si="32"/>
        <v/>
      </c>
      <c r="N471" s="42" t="str">
        <f t="shared" si="33"/>
        <v/>
      </c>
      <c r="O471" s="43" t="str">
        <f t="shared" si="34"/>
        <v/>
      </c>
      <c r="P471" s="42" t="str">
        <f t="shared" si="35"/>
        <v/>
      </c>
    </row>
    <row r="472" spans="1:16" ht="17">
      <c r="A472" s="6"/>
      <c r="B472" s="95" t="str">
        <f t="shared" si="31"/>
        <v/>
      </c>
      <c r="C472" s="97"/>
      <c r="D472" s="95"/>
      <c r="E472" s="96"/>
      <c r="F472" s="96"/>
      <c r="G472" s="99"/>
      <c r="H472" s="95"/>
      <c r="I472" s="95"/>
      <c r="J472" s="95"/>
      <c r="K472" s="95"/>
      <c r="L472" s="96"/>
      <c r="M472" s="42" t="str">
        <f t="shared" si="32"/>
        <v/>
      </c>
      <c r="N472" s="42" t="str">
        <f t="shared" si="33"/>
        <v/>
      </c>
      <c r="O472" s="43" t="str">
        <f t="shared" si="34"/>
        <v/>
      </c>
      <c r="P472" s="42" t="str">
        <f t="shared" si="35"/>
        <v/>
      </c>
    </row>
    <row r="473" spans="1:16" ht="17">
      <c r="A473" s="6"/>
      <c r="B473" s="95" t="str">
        <f t="shared" si="31"/>
        <v/>
      </c>
      <c r="C473" s="97"/>
      <c r="D473" s="95"/>
      <c r="E473" s="96"/>
      <c r="F473" s="96"/>
      <c r="G473" s="99"/>
      <c r="H473" s="95"/>
      <c r="I473" s="95"/>
      <c r="J473" s="95"/>
      <c r="K473" s="95"/>
      <c r="L473" s="96"/>
      <c r="M473" s="42" t="str">
        <f t="shared" si="32"/>
        <v/>
      </c>
      <c r="N473" s="42" t="str">
        <f t="shared" si="33"/>
        <v/>
      </c>
      <c r="O473" s="43" t="str">
        <f t="shared" si="34"/>
        <v/>
      </c>
      <c r="P473" s="42" t="str">
        <f t="shared" si="35"/>
        <v/>
      </c>
    </row>
    <row r="474" spans="1:16" ht="17">
      <c r="A474" s="6"/>
      <c r="B474" s="95" t="str">
        <f t="shared" si="31"/>
        <v/>
      </c>
      <c r="C474" s="97"/>
      <c r="D474" s="95"/>
      <c r="E474" s="96"/>
      <c r="F474" s="96"/>
      <c r="G474" s="99"/>
      <c r="H474" s="95"/>
      <c r="I474" s="95"/>
      <c r="J474" s="95"/>
      <c r="K474" s="95"/>
      <c r="L474" s="96"/>
      <c r="M474" s="42" t="str">
        <f t="shared" si="32"/>
        <v/>
      </c>
      <c r="N474" s="42" t="str">
        <f t="shared" si="33"/>
        <v/>
      </c>
      <c r="O474" s="43" t="str">
        <f t="shared" si="34"/>
        <v/>
      </c>
      <c r="P474" s="42" t="str">
        <f t="shared" si="35"/>
        <v/>
      </c>
    </row>
    <row r="475" spans="1:16" ht="17">
      <c r="A475" s="6"/>
      <c r="B475" s="95" t="str">
        <f t="shared" si="31"/>
        <v/>
      </c>
      <c r="C475" s="97"/>
      <c r="D475" s="95"/>
      <c r="E475" s="96"/>
      <c r="F475" s="96"/>
      <c r="G475" s="99"/>
      <c r="H475" s="95"/>
      <c r="I475" s="95"/>
      <c r="J475" s="95"/>
      <c r="K475" s="95"/>
      <c r="L475" s="96"/>
      <c r="M475" s="42" t="str">
        <f t="shared" si="32"/>
        <v/>
      </c>
      <c r="N475" s="42" t="str">
        <f t="shared" si="33"/>
        <v/>
      </c>
      <c r="O475" s="43" t="str">
        <f t="shared" si="34"/>
        <v/>
      </c>
      <c r="P475" s="42" t="str">
        <f t="shared" si="35"/>
        <v/>
      </c>
    </row>
    <row r="476" spans="1:16" ht="17">
      <c r="A476" s="6"/>
      <c r="B476" s="95" t="str">
        <f t="shared" si="31"/>
        <v/>
      </c>
      <c r="C476" s="97"/>
      <c r="D476" s="95"/>
      <c r="E476" s="96"/>
      <c r="F476" s="96"/>
      <c r="G476" s="99"/>
      <c r="H476" s="95"/>
      <c r="I476" s="95"/>
      <c r="J476" s="95"/>
      <c r="K476" s="95"/>
      <c r="L476" s="96"/>
      <c r="M476" s="42" t="str">
        <f t="shared" si="32"/>
        <v/>
      </c>
      <c r="N476" s="42" t="str">
        <f t="shared" si="33"/>
        <v/>
      </c>
      <c r="O476" s="43" t="str">
        <f t="shared" si="34"/>
        <v/>
      </c>
      <c r="P476" s="42" t="str">
        <f t="shared" si="35"/>
        <v/>
      </c>
    </row>
    <row r="477" spans="1:16" ht="17">
      <c r="A477" s="6"/>
      <c r="B477" s="95" t="str">
        <f t="shared" si="31"/>
        <v/>
      </c>
      <c r="C477" s="97"/>
      <c r="D477" s="95"/>
      <c r="E477" s="96"/>
      <c r="F477" s="96"/>
      <c r="G477" s="99"/>
      <c r="H477" s="95"/>
      <c r="I477" s="95"/>
      <c r="J477" s="95"/>
      <c r="K477" s="95"/>
      <c r="L477" s="96"/>
      <c r="M477" s="42" t="str">
        <f t="shared" si="32"/>
        <v/>
      </c>
      <c r="N477" s="42" t="str">
        <f t="shared" si="33"/>
        <v/>
      </c>
      <c r="O477" s="43" t="str">
        <f t="shared" si="34"/>
        <v/>
      </c>
      <c r="P477" s="42" t="str">
        <f t="shared" si="35"/>
        <v/>
      </c>
    </row>
    <row r="478" spans="1:16" ht="17">
      <c r="A478" s="6"/>
      <c r="B478" s="95" t="str">
        <f t="shared" si="31"/>
        <v/>
      </c>
      <c r="C478" s="97"/>
      <c r="D478" s="95"/>
      <c r="E478" s="96"/>
      <c r="F478" s="96"/>
      <c r="G478" s="99"/>
      <c r="H478" s="95"/>
      <c r="I478" s="95"/>
      <c r="J478" s="95"/>
      <c r="K478" s="95"/>
      <c r="L478" s="96"/>
      <c r="M478" s="42" t="str">
        <f t="shared" si="32"/>
        <v/>
      </c>
      <c r="N478" s="42" t="str">
        <f t="shared" si="33"/>
        <v/>
      </c>
      <c r="O478" s="43" t="str">
        <f t="shared" si="34"/>
        <v/>
      </c>
      <c r="P478" s="42" t="str">
        <f t="shared" si="35"/>
        <v/>
      </c>
    </row>
    <row r="479" spans="1:16" ht="17">
      <c r="A479" s="6"/>
      <c r="B479" s="95" t="str">
        <f t="shared" si="31"/>
        <v/>
      </c>
      <c r="C479" s="97"/>
      <c r="D479" s="95"/>
      <c r="E479" s="96"/>
      <c r="F479" s="96"/>
      <c r="G479" s="99"/>
      <c r="H479" s="95"/>
      <c r="I479" s="95"/>
      <c r="J479" s="95"/>
      <c r="K479" s="95"/>
      <c r="L479" s="96"/>
      <c r="M479" s="42" t="str">
        <f t="shared" si="32"/>
        <v/>
      </c>
      <c r="N479" s="42" t="str">
        <f t="shared" si="33"/>
        <v/>
      </c>
      <c r="O479" s="43" t="str">
        <f t="shared" si="34"/>
        <v/>
      </c>
      <c r="P479" s="42" t="str">
        <f t="shared" si="35"/>
        <v/>
      </c>
    </row>
    <row r="480" spans="1:16" ht="17">
      <c r="A480" s="6"/>
      <c r="B480" s="95" t="str">
        <f t="shared" si="31"/>
        <v/>
      </c>
      <c r="C480" s="97"/>
      <c r="D480" s="95"/>
      <c r="E480" s="96"/>
      <c r="F480" s="96"/>
      <c r="G480" s="99"/>
      <c r="H480" s="95"/>
      <c r="I480" s="95"/>
      <c r="J480" s="95"/>
      <c r="K480" s="95"/>
      <c r="L480" s="96"/>
      <c r="M480" s="42" t="str">
        <f t="shared" si="32"/>
        <v/>
      </c>
      <c r="N480" s="42" t="str">
        <f t="shared" si="33"/>
        <v/>
      </c>
      <c r="O480" s="43" t="str">
        <f t="shared" si="34"/>
        <v/>
      </c>
      <c r="P480" s="42" t="str">
        <f t="shared" si="35"/>
        <v/>
      </c>
    </row>
    <row r="481" spans="1:16" ht="17">
      <c r="A481" s="6"/>
      <c r="B481" s="95" t="str">
        <f t="shared" si="31"/>
        <v/>
      </c>
      <c r="C481" s="97"/>
      <c r="D481" s="95"/>
      <c r="E481" s="96"/>
      <c r="F481" s="96"/>
      <c r="G481" s="99"/>
      <c r="H481" s="95"/>
      <c r="I481" s="95"/>
      <c r="J481" s="95"/>
      <c r="K481" s="95"/>
      <c r="L481" s="96"/>
      <c r="M481" s="42" t="str">
        <f t="shared" si="32"/>
        <v/>
      </c>
      <c r="N481" s="42" t="str">
        <f t="shared" si="33"/>
        <v/>
      </c>
      <c r="O481" s="43" t="str">
        <f t="shared" si="34"/>
        <v/>
      </c>
      <c r="P481" s="42" t="str">
        <f t="shared" si="35"/>
        <v/>
      </c>
    </row>
    <row r="482" spans="1:16" ht="17">
      <c r="A482" s="6"/>
      <c r="B482" s="95" t="str">
        <f t="shared" ref="B482:B545" si="36">IF(C482="","","GG"&amp;TEXT(ROW()-6,"00000"))</f>
        <v/>
      </c>
      <c r="C482" s="97"/>
      <c r="D482" s="95"/>
      <c r="E482" s="96"/>
      <c r="F482" s="96"/>
      <c r="G482" s="99"/>
      <c r="H482" s="95"/>
      <c r="I482" s="95"/>
      <c r="J482" s="95"/>
      <c r="K482" s="95"/>
      <c r="L482" s="96"/>
      <c r="M482" s="42" t="str">
        <f t="shared" si="32"/>
        <v/>
      </c>
      <c r="N482" s="42" t="str">
        <f t="shared" si="33"/>
        <v/>
      </c>
      <c r="O482" s="43" t="str">
        <f t="shared" si="34"/>
        <v/>
      </c>
      <c r="P482" s="42" t="str">
        <f t="shared" si="35"/>
        <v/>
      </c>
    </row>
    <row r="483" spans="1:16" ht="17">
      <c r="A483" s="6"/>
      <c r="B483" s="95" t="str">
        <f t="shared" si="36"/>
        <v/>
      </c>
      <c r="C483" s="97"/>
      <c r="D483" s="95"/>
      <c r="E483" s="96"/>
      <c r="F483" s="96"/>
      <c r="G483" s="99"/>
      <c r="H483" s="95"/>
      <c r="I483" s="95"/>
      <c r="J483" s="95"/>
      <c r="K483" s="95"/>
      <c r="L483" s="96"/>
      <c r="M483" s="42" t="str">
        <f t="shared" si="32"/>
        <v/>
      </c>
      <c r="N483" s="42" t="str">
        <f t="shared" si="33"/>
        <v/>
      </c>
      <c r="O483" s="43" t="str">
        <f t="shared" si="34"/>
        <v/>
      </c>
      <c r="P483" s="42" t="str">
        <f t="shared" si="35"/>
        <v/>
      </c>
    </row>
    <row r="484" spans="1:16" ht="17">
      <c r="A484" s="6"/>
      <c r="B484" s="95" t="str">
        <f t="shared" si="36"/>
        <v/>
      </c>
      <c r="C484" s="97"/>
      <c r="D484" s="95"/>
      <c r="E484" s="96"/>
      <c r="F484" s="96"/>
      <c r="G484" s="99"/>
      <c r="H484" s="95"/>
      <c r="I484" s="95"/>
      <c r="J484" s="95"/>
      <c r="K484" s="95"/>
      <c r="L484" s="96"/>
      <c r="M484" s="42" t="str">
        <f t="shared" si="32"/>
        <v/>
      </c>
      <c r="N484" s="42" t="str">
        <f t="shared" si="33"/>
        <v/>
      </c>
      <c r="O484" s="43" t="str">
        <f t="shared" si="34"/>
        <v/>
      </c>
      <c r="P484" s="42" t="str">
        <f t="shared" si="35"/>
        <v/>
      </c>
    </row>
    <row r="485" spans="1:16" ht="17">
      <c r="A485" s="6"/>
      <c r="B485" s="95" t="str">
        <f t="shared" si="36"/>
        <v/>
      </c>
      <c r="C485" s="97"/>
      <c r="D485" s="95"/>
      <c r="E485" s="96"/>
      <c r="F485" s="96"/>
      <c r="G485" s="99"/>
      <c r="H485" s="95"/>
      <c r="I485" s="95"/>
      <c r="J485" s="95"/>
      <c r="K485" s="95"/>
      <c r="L485" s="96"/>
      <c r="M485" s="42" t="str">
        <f t="shared" si="32"/>
        <v/>
      </c>
      <c r="N485" s="42" t="str">
        <f t="shared" si="33"/>
        <v/>
      </c>
      <c r="O485" s="43" t="str">
        <f t="shared" si="34"/>
        <v/>
      </c>
      <c r="P485" s="42" t="str">
        <f t="shared" si="35"/>
        <v/>
      </c>
    </row>
    <row r="486" spans="1:16" ht="17">
      <c r="A486" s="6"/>
      <c r="B486" s="95" t="str">
        <f t="shared" si="36"/>
        <v/>
      </c>
      <c r="C486" s="97"/>
      <c r="D486" s="95"/>
      <c r="E486" s="96"/>
      <c r="F486" s="96"/>
      <c r="G486" s="99"/>
      <c r="H486" s="95"/>
      <c r="I486" s="95"/>
      <c r="J486" s="95"/>
      <c r="K486" s="95"/>
      <c r="L486" s="96"/>
      <c r="M486" s="42" t="str">
        <f t="shared" si="32"/>
        <v/>
      </c>
      <c r="N486" s="42" t="str">
        <f t="shared" si="33"/>
        <v/>
      </c>
      <c r="O486" s="43" t="str">
        <f t="shared" si="34"/>
        <v/>
      </c>
      <c r="P486" s="42" t="str">
        <f t="shared" si="35"/>
        <v/>
      </c>
    </row>
    <row r="487" spans="1:16" ht="17">
      <c r="A487" s="6"/>
      <c r="B487" s="95" t="str">
        <f t="shared" si="36"/>
        <v/>
      </c>
      <c r="C487" s="97"/>
      <c r="D487" s="95"/>
      <c r="E487" s="96"/>
      <c r="F487" s="96"/>
      <c r="G487" s="99"/>
      <c r="H487" s="95"/>
      <c r="I487" s="95"/>
      <c r="J487" s="95"/>
      <c r="K487" s="95"/>
      <c r="L487" s="96"/>
      <c r="M487" s="42" t="str">
        <f t="shared" si="32"/>
        <v/>
      </c>
      <c r="N487" s="42" t="str">
        <f t="shared" si="33"/>
        <v/>
      </c>
      <c r="O487" s="43" t="str">
        <f t="shared" si="34"/>
        <v/>
      </c>
      <c r="P487" s="42" t="str">
        <f t="shared" si="35"/>
        <v/>
      </c>
    </row>
    <row r="488" spans="1:16" ht="17">
      <c r="A488" s="6"/>
      <c r="B488" s="95" t="str">
        <f t="shared" si="36"/>
        <v/>
      </c>
      <c r="C488" s="97"/>
      <c r="D488" s="95"/>
      <c r="E488" s="96"/>
      <c r="F488" s="96"/>
      <c r="G488" s="99"/>
      <c r="H488" s="95"/>
      <c r="I488" s="95"/>
      <c r="J488" s="95"/>
      <c r="K488" s="95"/>
      <c r="L488" s="96"/>
      <c r="M488" s="42" t="str">
        <f t="shared" si="32"/>
        <v/>
      </c>
      <c r="N488" s="42" t="str">
        <f t="shared" si="33"/>
        <v/>
      </c>
      <c r="O488" s="43" t="str">
        <f t="shared" si="34"/>
        <v/>
      </c>
      <c r="P488" s="42" t="str">
        <f t="shared" si="35"/>
        <v/>
      </c>
    </row>
    <row r="489" spans="1:16" ht="17">
      <c r="A489" s="6"/>
      <c r="B489" s="95" t="str">
        <f t="shared" si="36"/>
        <v/>
      </c>
      <c r="C489" s="97"/>
      <c r="D489" s="95"/>
      <c r="E489" s="96"/>
      <c r="F489" s="96"/>
      <c r="G489" s="99"/>
      <c r="H489" s="95"/>
      <c r="I489" s="95"/>
      <c r="J489" s="95"/>
      <c r="K489" s="95"/>
      <c r="L489" s="96"/>
      <c r="M489" s="42" t="str">
        <f t="shared" si="32"/>
        <v/>
      </c>
      <c r="N489" s="42" t="str">
        <f t="shared" si="33"/>
        <v/>
      </c>
      <c r="O489" s="43" t="str">
        <f t="shared" si="34"/>
        <v/>
      </c>
      <c r="P489" s="42" t="str">
        <f t="shared" si="35"/>
        <v/>
      </c>
    </row>
    <row r="490" spans="1:16" ht="17">
      <c r="A490" s="6"/>
      <c r="B490" s="95" t="str">
        <f t="shared" si="36"/>
        <v/>
      </c>
      <c r="C490" s="97"/>
      <c r="D490" s="95"/>
      <c r="E490" s="96"/>
      <c r="F490" s="96"/>
      <c r="G490" s="99"/>
      <c r="H490" s="95"/>
      <c r="I490" s="95"/>
      <c r="J490" s="95"/>
      <c r="K490" s="95"/>
      <c r="L490" s="96"/>
      <c r="M490" s="42" t="str">
        <f t="shared" si="32"/>
        <v/>
      </c>
      <c r="N490" s="42" t="str">
        <f t="shared" si="33"/>
        <v/>
      </c>
      <c r="O490" s="43" t="str">
        <f t="shared" si="34"/>
        <v/>
      </c>
      <c r="P490" s="42" t="str">
        <f t="shared" si="35"/>
        <v/>
      </c>
    </row>
    <row r="491" spans="1:16" ht="17">
      <c r="A491" s="6"/>
      <c r="B491" s="95" t="str">
        <f t="shared" si="36"/>
        <v/>
      </c>
      <c r="C491" s="97"/>
      <c r="D491" s="95"/>
      <c r="E491" s="96"/>
      <c r="F491" s="96"/>
      <c r="G491" s="99"/>
      <c r="H491" s="95"/>
      <c r="I491" s="95"/>
      <c r="J491" s="95"/>
      <c r="K491" s="95"/>
      <c r="L491" s="96"/>
      <c r="M491" s="42" t="str">
        <f t="shared" si="32"/>
        <v/>
      </c>
      <c r="N491" s="42" t="str">
        <f t="shared" si="33"/>
        <v/>
      </c>
      <c r="O491" s="43" t="str">
        <f t="shared" si="34"/>
        <v/>
      </c>
      <c r="P491" s="42" t="str">
        <f t="shared" si="35"/>
        <v/>
      </c>
    </row>
    <row r="492" spans="1:16" ht="17">
      <c r="A492" s="6"/>
      <c r="B492" s="95" t="str">
        <f t="shared" si="36"/>
        <v/>
      </c>
      <c r="C492" s="97"/>
      <c r="D492" s="95"/>
      <c r="E492" s="96"/>
      <c r="F492" s="96"/>
      <c r="G492" s="99"/>
      <c r="H492" s="95"/>
      <c r="I492" s="95"/>
      <c r="J492" s="95"/>
      <c r="K492" s="95"/>
      <c r="L492" s="96"/>
      <c r="M492" s="42" t="str">
        <f t="shared" si="32"/>
        <v/>
      </c>
      <c r="N492" s="42" t="str">
        <f t="shared" si="33"/>
        <v/>
      </c>
      <c r="O492" s="43" t="str">
        <f t="shared" si="34"/>
        <v/>
      </c>
      <c r="P492" s="42" t="str">
        <f t="shared" si="35"/>
        <v/>
      </c>
    </row>
    <row r="493" spans="1:16" ht="17">
      <c r="A493" s="6"/>
      <c r="B493" s="95" t="str">
        <f t="shared" si="36"/>
        <v/>
      </c>
      <c r="C493" s="97"/>
      <c r="D493" s="95"/>
      <c r="E493" s="96"/>
      <c r="F493" s="96"/>
      <c r="G493" s="99"/>
      <c r="H493" s="95"/>
      <c r="I493" s="95"/>
      <c r="J493" s="95"/>
      <c r="K493" s="95"/>
      <c r="L493" s="96"/>
      <c r="M493" s="42" t="str">
        <f t="shared" si="32"/>
        <v/>
      </c>
      <c r="N493" s="42" t="str">
        <f t="shared" si="33"/>
        <v/>
      </c>
      <c r="O493" s="43" t="str">
        <f t="shared" si="34"/>
        <v/>
      </c>
      <c r="P493" s="42" t="str">
        <f t="shared" si="35"/>
        <v/>
      </c>
    </row>
    <row r="494" spans="1:16" ht="17">
      <c r="A494" s="6"/>
      <c r="B494" s="95" t="str">
        <f t="shared" si="36"/>
        <v/>
      </c>
      <c r="C494" s="97"/>
      <c r="D494" s="95"/>
      <c r="E494" s="96"/>
      <c r="F494" s="96"/>
      <c r="G494" s="99"/>
      <c r="H494" s="95"/>
      <c r="I494" s="95"/>
      <c r="J494" s="95"/>
      <c r="K494" s="95"/>
      <c r="L494" s="96"/>
      <c r="M494" s="42" t="str">
        <f t="shared" si="32"/>
        <v/>
      </c>
      <c r="N494" s="42" t="str">
        <f t="shared" si="33"/>
        <v/>
      </c>
      <c r="O494" s="43" t="str">
        <f t="shared" si="34"/>
        <v/>
      </c>
      <c r="P494" s="42" t="str">
        <f t="shared" si="35"/>
        <v/>
      </c>
    </row>
    <row r="495" spans="1:16" ht="17">
      <c r="A495" s="6"/>
      <c r="B495" s="95" t="str">
        <f t="shared" si="36"/>
        <v/>
      </c>
      <c r="C495" s="97"/>
      <c r="D495" s="95"/>
      <c r="E495" s="96"/>
      <c r="F495" s="96"/>
      <c r="G495" s="99"/>
      <c r="H495" s="95"/>
      <c r="I495" s="95"/>
      <c r="J495" s="95"/>
      <c r="K495" s="95"/>
      <c r="L495" s="96"/>
      <c r="M495" s="42" t="str">
        <f t="shared" si="32"/>
        <v/>
      </c>
      <c r="N495" s="42" t="str">
        <f t="shared" si="33"/>
        <v/>
      </c>
      <c r="O495" s="43" t="str">
        <f t="shared" si="34"/>
        <v/>
      </c>
      <c r="P495" s="42" t="str">
        <f t="shared" si="35"/>
        <v/>
      </c>
    </row>
    <row r="496" spans="1:16" ht="17">
      <c r="A496" s="6"/>
      <c r="B496" s="95" t="str">
        <f t="shared" si="36"/>
        <v/>
      </c>
      <c r="C496" s="97"/>
      <c r="D496" s="95"/>
      <c r="E496" s="96"/>
      <c r="F496" s="96"/>
      <c r="G496" s="99"/>
      <c r="H496" s="95"/>
      <c r="I496" s="95"/>
      <c r="J496" s="95"/>
      <c r="K496" s="95"/>
      <c r="L496" s="96"/>
      <c r="M496" s="42" t="str">
        <f t="shared" si="32"/>
        <v/>
      </c>
      <c r="N496" s="42" t="str">
        <f t="shared" si="33"/>
        <v/>
      </c>
      <c r="O496" s="43" t="str">
        <f t="shared" si="34"/>
        <v/>
      </c>
      <c r="P496" s="42" t="str">
        <f t="shared" si="35"/>
        <v/>
      </c>
    </row>
    <row r="497" spans="1:16" ht="17">
      <c r="A497" s="6"/>
      <c r="B497" s="95" t="str">
        <f t="shared" si="36"/>
        <v/>
      </c>
      <c r="C497" s="97"/>
      <c r="D497" s="95"/>
      <c r="E497" s="96"/>
      <c r="F497" s="96"/>
      <c r="G497" s="99"/>
      <c r="H497" s="95"/>
      <c r="I497" s="95"/>
      <c r="J497" s="95"/>
      <c r="K497" s="95"/>
      <c r="L497" s="96"/>
      <c r="M497" s="42" t="str">
        <f t="shared" si="32"/>
        <v/>
      </c>
      <c r="N497" s="42" t="str">
        <f t="shared" si="33"/>
        <v/>
      </c>
      <c r="O497" s="43" t="str">
        <f t="shared" si="34"/>
        <v/>
      </c>
      <c r="P497" s="42" t="str">
        <f t="shared" si="35"/>
        <v/>
      </c>
    </row>
    <row r="498" spans="1:16" ht="17">
      <c r="A498" s="6"/>
      <c r="B498" s="95" t="str">
        <f t="shared" si="36"/>
        <v/>
      </c>
      <c r="C498" s="97"/>
      <c r="D498" s="95"/>
      <c r="E498" s="96"/>
      <c r="F498" s="96"/>
      <c r="G498" s="99"/>
      <c r="H498" s="95"/>
      <c r="I498" s="95"/>
      <c r="J498" s="95"/>
      <c r="K498" s="95"/>
      <c r="L498" s="96"/>
      <c r="M498" s="42" t="str">
        <f t="shared" si="32"/>
        <v/>
      </c>
      <c r="N498" s="42" t="str">
        <f t="shared" si="33"/>
        <v/>
      </c>
      <c r="O498" s="43" t="str">
        <f t="shared" si="34"/>
        <v/>
      </c>
      <c r="P498" s="42" t="str">
        <f t="shared" si="35"/>
        <v/>
      </c>
    </row>
    <row r="499" spans="1:16" ht="17">
      <c r="A499" s="6"/>
      <c r="B499" s="95" t="str">
        <f t="shared" si="36"/>
        <v/>
      </c>
      <c r="C499" s="97"/>
      <c r="D499" s="95"/>
      <c r="E499" s="96"/>
      <c r="F499" s="96"/>
      <c r="G499" s="99"/>
      <c r="H499" s="95"/>
      <c r="I499" s="95"/>
      <c r="J499" s="95"/>
      <c r="K499" s="95"/>
      <c r="L499" s="96"/>
      <c r="M499" s="42" t="str">
        <f t="shared" si="32"/>
        <v/>
      </c>
      <c r="N499" s="42" t="str">
        <f t="shared" si="33"/>
        <v/>
      </c>
      <c r="O499" s="43" t="str">
        <f t="shared" si="34"/>
        <v/>
      </c>
      <c r="P499" s="42" t="str">
        <f t="shared" si="35"/>
        <v/>
      </c>
    </row>
    <row r="500" spans="1:16" ht="17">
      <c r="A500" s="6"/>
      <c r="B500" s="95" t="str">
        <f t="shared" si="36"/>
        <v/>
      </c>
      <c r="C500" s="97"/>
      <c r="D500" s="95"/>
      <c r="E500" s="96"/>
      <c r="F500" s="96"/>
      <c r="G500" s="99"/>
      <c r="H500" s="95"/>
      <c r="I500" s="95"/>
      <c r="J500" s="95"/>
      <c r="K500" s="95"/>
      <c r="L500" s="96"/>
      <c r="M500" s="42" t="str">
        <f t="shared" si="32"/>
        <v/>
      </c>
      <c r="N500" s="42" t="str">
        <f t="shared" si="33"/>
        <v/>
      </c>
      <c r="O500" s="43" t="str">
        <f t="shared" si="34"/>
        <v/>
      </c>
      <c r="P500" s="42" t="str">
        <f t="shared" si="35"/>
        <v/>
      </c>
    </row>
    <row r="501" spans="1:16" ht="17">
      <c r="A501" s="6"/>
      <c r="B501" s="95" t="str">
        <f t="shared" si="36"/>
        <v/>
      </c>
      <c r="C501" s="97"/>
      <c r="D501" s="95"/>
      <c r="E501" s="96"/>
      <c r="F501" s="96"/>
      <c r="G501" s="99"/>
      <c r="H501" s="95"/>
      <c r="I501" s="95"/>
      <c r="J501" s="95"/>
      <c r="K501" s="95"/>
      <c r="L501" s="96"/>
      <c r="M501" s="42" t="str">
        <f t="shared" si="32"/>
        <v/>
      </c>
      <c r="N501" s="42" t="str">
        <f t="shared" si="33"/>
        <v/>
      </c>
      <c r="O501" s="43" t="str">
        <f t="shared" si="34"/>
        <v/>
      </c>
      <c r="P501" s="42" t="str">
        <f t="shared" si="35"/>
        <v/>
      </c>
    </row>
    <row r="502" spans="1:16" ht="17">
      <c r="A502" s="6"/>
      <c r="B502" s="95" t="str">
        <f t="shared" si="36"/>
        <v/>
      </c>
      <c r="C502" s="97"/>
      <c r="D502" s="95"/>
      <c r="E502" s="96"/>
      <c r="F502" s="96"/>
      <c r="G502" s="99"/>
      <c r="H502" s="95"/>
      <c r="I502" s="95"/>
      <c r="J502" s="95"/>
      <c r="K502" s="95"/>
      <c r="L502" s="96"/>
      <c r="M502" s="42" t="str">
        <f t="shared" si="32"/>
        <v/>
      </c>
      <c r="N502" s="42" t="str">
        <f t="shared" si="33"/>
        <v/>
      </c>
      <c r="O502" s="43" t="str">
        <f t="shared" si="34"/>
        <v/>
      </c>
      <c r="P502" s="42" t="str">
        <f t="shared" si="35"/>
        <v/>
      </c>
    </row>
    <row r="503" spans="1:16" ht="17">
      <c r="A503" s="6"/>
      <c r="B503" s="95" t="str">
        <f t="shared" si="36"/>
        <v/>
      </c>
      <c r="C503" s="97"/>
      <c r="D503" s="95"/>
      <c r="E503" s="96"/>
      <c r="F503" s="96"/>
      <c r="G503" s="99"/>
      <c r="H503" s="95"/>
      <c r="I503" s="95"/>
      <c r="J503" s="95"/>
      <c r="K503" s="95"/>
      <c r="L503" s="96"/>
      <c r="M503" s="42" t="str">
        <f t="shared" si="32"/>
        <v/>
      </c>
      <c r="N503" s="42" t="str">
        <f t="shared" si="33"/>
        <v/>
      </c>
      <c r="O503" s="43" t="str">
        <f t="shared" si="34"/>
        <v/>
      </c>
      <c r="P503" s="42" t="str">
        <f t="shared" si="35"/>
        <v/>
      </c>
    </row>
    <row r="504" spans="1:16" ht="17">
      <c r="A504" s="6"/>
      <c r="B504" s="95" t="str">
        <f t="shared" si="36"/>
        <v/>
      </c>
      <c r="C504" s="97"/>
      <c r="D504" s="95"/>
      <c r="E504" s="96"/>
      <c r="F504" s="96"/>
      <c r="G504" s="99"/>
      <c r="H504" s="95"/>
      <c r="I504" s="95"/>
      <c r="J504" s="95"/>
      <c r="K504" s="95"/>
      <c r="L504" s="96"/>
      <c r="M504" s="42" t="str">
        <f t="shared" si="32"/>
        <v/>
      </c>
      <c r="N504" s="42" t="str">
        <f t="shared" si="33"/>
        <v/>
      </c>
      <c r="O504" s="43" t="str">
        <f t="shared" si="34"/>
        <v/>
      </c>
      <c r="P504" s="42" t="str">
        <f t="shared" si="35"/>
        <v/>
      </c>
    </row>
    <row r="505" spans="1:16" ht="17">
      <c r="A505" s="6"/>
      <c r="B505" s="95" t="str">
        <f t="shared" si="36"/>
        <v/>
      </c>
      <c r="C505" s="97"/>
      <c r="D505" s="95"/>
      <c r="E505" s="96"/>
      <c r="F505" s="96"/>
      <c r="G505" s="99"/>
      <c r="H505" s="95"/>
      <c r="I505" s="95"/>
      <c r="J505" s="95"/>
      <c r="K505" s="95"/>
      <c r="L505" s="96"/>
      <c r="M505" s="42" t="str">
        <f t="shared" si="32"/>
        <v/>
      </c>
      <c r="N505" s="42" t="str">
        <f t="shared" si="33"/>
        <v/>
      </c>
      <c r="O505" s="43" t="str">
        <f t="shared" si="34"/>
        <v/>
      </c>
      <c r="P505" s="42" t="str">
        <f t="shared" si="35"/>
        <v/>
      </c>
    </row>
    <row r="506" spans="1:16" ht="17">
      <c r="A506" s="6"/>
      <c r="B506" s="95" t="str">
        <f t="shared" si="36"/>
        <v/>
      </c>
      <c r="C506" s="97"/>
      <c r="D506" s="95"/>
      <c r="E506" s="96"/>
      <c r="F506" s="96"/>
      <c r="G506" s="99"/>
      <c r="H506" s="95"/>
      <c r="I506" s="95"/>
      <c r="J506" s="95"/>
      <c r="K506" s="95"/>
      <c r="L506" s="96"/>
      <c r="M506" s="42" t="str">
        <f t="shared" si="32"/>
        <v/>
      </c>
      <c r="N506" s="42" t="str">
        <f t="shared" si="33"/>
        <v/>
      </c>
      <c r="O506" s="43" t="str">
        <f t="shared" si="34"/>
        <v/>
      </c>
      <c r="P506" s="42" t="str">
        <f t="shared" si="35"/>
        <v/>
      </c>
    </row>
    <row r="507" spans="1:16" ht="17">
      <c r="A507" s="6"/>
      <c r="B507" s="95" t="str">
        <f t="shared" si="36"/>
        <v/>
      </c>
      <c r="C507" s="97"/>
      <c r="D507" s="95"/>
      <c r="E507" s="96"/>
      <c r="F507" s="96"/>
      <c r="G507" s="99"/>
      <c r="H507" s="95"/>
      <c r="I507" s="95"/>
      <c r="J507" s="95"/>
      <c r="K507" s="95"/>
      <c r="L507" s="96"/>
      <c r="M507" s="42" t="str">
        <f t="shared" si="32"/>
        <v/>
      </c>
      <c r="N507" s="42" t="str">
        <f t="shared" si="33"/>
        <v/>
      </c>
      <c r="O507" s="43" t="str">
        <f t="shared" si="34"/>
        <v/>
      </c>
      <c r="P507" s="42" t="str">
        <f t="shared" si="35"/>
        <v/>
      </c>
    </row>
    <row r="508" spans="1:16" ht="17">
      <c r="A508" s="6"/>
      <c r="B508" s="95" t="str">
        <f t="shared" si="36"/>
        <v/>
      </c>
      <c r="C508" s="97"/>
      <c r="D508" s="95"/>
      <c r="E508" s="96"/>
      <c r="F508" s="96"/>
      <c r="G508" s="99"/>
      <c r="H508" s="95"/>
      <c r="I508" s="95"/>
      <c r="J508" s="95"/>
      <c r="K508" s="95"/>
      <c r="L508" s="96"/>
      <c r="M508" s="42" t="str">
        <f t="shared" si="32"/>
        <v/>
      </c>
      <c r="N508" s="42" t="str">
        <f t="shared" si="33"/>
        <v/>
      </c>
      <c r="O508" s="43" t="str">
        <f t="shared" si="34"/>
        <v/>
      </c>
      <c r="P508" s="42" t="str">
        <f t="shared" si="35"/>
        <v/>
      </c>
    </row>
    <row r="509" spans="1:16" ht="17">
      <c r="A509" s="6"/>
      <c r="B509" s="95" t="str">
        <f t="shared" si="36"/>
        <v/>
      </c>
      <c r="C509" s="97"/>
      <c r="D509" s="95"/>
      <c r="E509" s="96"/>
      <c r="F509" s="96"/>
      <c r="G509" s="99"/>
      <c r="H509" s="95"/>
      <c r="I509" s="95"/>
      <c r="J509" s="95"/>
      <c r="K509" s="95"/>
      <c r="L509" s="96"/>
      <c r="M509" s="42" t="str">
        <f t="shared" si="32"/>
        <v/>
      </c>
      <c r="N509" s="42" t="str">
        <f t="shared" si="33"/>
        <v/>
      </c>
      <c r="O509" s="43" t="str">
        <f t="shared" si="34"/>
        <v/>
      </c>
      <c r="P509" s="42" t="str">
        <f t="shared" si="35"/>
        <v/>
      </c>
    </row>
    <row r="510" spans="1:16" ht="17">
      <c r="A510" s="6"/>
      <c r="B510" s="95" t="str">
        <f t="shared" si="36"/>
        <v/>
      </c>
      <c r="C510" s="97"/>
      <c r="D510" s="95"/>
      <c r="E510" s="96"/>
      <c r="F510" s="96"/>
      <c r="G510" s="99"/>
      <c r="H510" s="95"/>
      <c r="I510" s="95"/>
      <c r="J510" s="95"/>
      <c r="K510" s="95"/>
      <c r="L510" s="96"/>
      <c r="M510" s="42" t="str">
        <f t="shared" si="32"/>
        <v/>
      </c>
      <c r="N510" s="42" t="str">
        <f t="shared" si="33"/>
        <v/>
      </c>
      <c r="O510" s="43" t="str">
        <f t="shared" si="34"/>
        <v/>
      </c>
      <c r="P510" s="42" t="str">
        <f t="shared" si="35"/>
        <v/>
      </c>
    </row>
    <row r="511" spans="1:16" ht="17">
      <c r="A511" s="6"/>
      <c r="B511" s="95" t="str">
        <f t="shared" si="36"/>
        <v/>
      </c>
      <c r="C511" s="97"/>
      <c r="D511" s="95"/>
      <c r="E511" s="96"/>
      <c r="F511" s="96"/>
      <c r="G511" s="99"/>
      <c r="H511" s="95"/>
      <c r="I511" s="95"/>
      <c r="J511" s="95"/>
      <c r="K511" s="95"/>
      <c r="L511" s="96"/>
      <c r="M511" s="42" t="str">
        <f t="shared" si="32"/>
        <v/>
      </c>
      <c r="N511" s="42" t="str">
        <f t="shared" si="33"/>
        <v/>
      </c>
      <c r="O511" s="43" t="str">
        <f t="shared" si="34"/>
        <v/>
      </c>
      <c r="P511" s="42" t="str">
        <f t="shared" si="35"/>
        <v/>
      </c>
    </row>
    <row r="512" spans="1:16" ht="17">
      <c r="A512" s="6"/>
      <c r="B512" s="95" t="str">
        <f t="shared" si="36"/>
        <v/>
      </c>
      <c r="C512" s="97"/>
      <c r="D512" s="95"/>
      <c r="E512" s="96"/>
      <c r="F512" s="96"/>
      <c r="G512" s="99"/>
      <c r="H512" s="95"/>
      <c r="I512" s="95"/>
      <c r="J512" s="95"/>
      <c r="K512" s="95"/>
      <c r="L512" s="96"/>
      <c r="M512" s="42" t="str">
        <f t="shared" si="32"/>
        <v/>
      </c>
      <c r="N512" s="42" t="str">
        <f t="shared" si="33"/>
        <v/>
      </c>
      <c r="O512" s="43" t="str">
        <f t="shared" si="34"/>
        <v/>
      </c>
      <c r="P512" s="42" t="str">
        <f t="shared" si="35"/>
        <v/>
      </c>
    </row>
    <row r="513" spans="1:16" ht="17">
      <c r="A513" s="6"/>
      <c r="B513" s="95" t="str">
        <f t="shared" si="36"/>
        <v/>
      </c>
      <c r="C513" s="97"/>
      <c r="D513" s="95"/>
      <c r="E513" s="96"/>
      <c r="F513" s="96"/>
      <c r="G513" s="99"/>
      <c r="H513" s="95"/>
      <c r="I513" s="95"/>
      <c r="J513" s="95"/>
      <c r="K513" s="95"/>
      <c r="L513" s="96"/>
      <c r="M513" s="42" t="str">
        <f t="shared" si="32"/>
        <v/>
      </c>
      <c r="N513" s="42" t="str">
        <f t="shared" si="33"/>
        <v/>
      </c>
      <c r="O513" s="43" t="str">
        <f t="shared" si="34"/>
        <v/>
      </c>
      <c r="P513" s="42" t="str">
        <f t="shared" si="35"/>
        <v/>
      </c>
    </row>
    <row r="514" spans="1:16" ht="17">
      <c r="A514" s="6"/>
      <c r="B514" s="95" t="str">
        <f t="shared" si="36"/>
        <v/>
      </c>
      <c r="C514" s="97"/>
      <c r="D514" s="95"/>
      <c r="E514" s="96"/>
      <c r="F514" s="96"/>
      <c r="G514" s="99"/>
      <c r="H514" s="95"/>
      <c r="I514" s="95"/>
      <c r="J514" s="95"/>
      <c r="K514" s="95"/>
      <c r="L514" s="96"/>
      <c r="M514" s="42" t="str">
        <f t="shared" si="32"/>
        <v/>
      </c>
      <c r="N514" s="42" t="str">
        <f t="shared" si="33"/>
        <v/>
      </c>
      <c r="O514" s="43" t="str">
        <f t="shared" si="34"/>
        <v/>
      </c>
      <c r="P514" s="42" t="str">
        <f t="shared" si="35"/>
        <v/>
      </c>
    </row>
    <row r="515" spans="1:16" ht="17">
      <c r="A515" s="6"/>
      <c r="B515" s="95" t="str">
        <f t="shared" si="36"/>
        <v/>
      </c>
      <c r="C515" s="97"/>
      <c r="D515" s="95"/>
      <c r="E515" s="96"/>
      <c r="F515" s="96"/>
      <c r="G515" s="99"/>
      <c r="H515" s="95"/>
      <c r="I515" s="95"/>
      <c r="J515" s="95"/>
      <c r="K515" s="95"/>
      <c r="L515" s="96"/>
      <c r="M515" s="42" t="str">
        <f t="shared" si="32"/>
        <v/>
      </c>
      <c r="N515" s="42" t="str">
        <f t="shared" si="33"/>
        <v/>
      </c>
      <c r="O515" s="43" t="str">
        <f t="shared" si="34"/>
        <v/>
      </c>
      <c r="P515" s="42" t="str">
        <f t="shared" si="35"/>
        <v/>
      </c>
    </row>
    <row r="516" spans="1:16" ht="17">
      <c r="A516" s="6"/>
      <c r="B516" s="95" t="str">
        <f t="shared" si="36"/>
        <v/>
      </c>
      <c r="C516" s="97"/>
      <c r="D516" s="95"/>
      <c r="E516" s="96"/>
      <c r="F516" s="96"/>
      <c r="G516" s="99"/>
      <c r="H516" s="95"/>
      <c r="I516" s="95"/>
      <c r="J516" s="95"/>
      <c r="K516" s="95"/>
      <c r="L516" s="96"/>
      <c r="M516" s="42" t="str">
        <f t="shared" si="32"/>
        <v/>
      </c>
      <c r="N516" s="42" t="str">
        <f t="shared" si="33"/>
        <v/>
      </c>
      <c r="O516" s="43" t="str">
        <f t="shared" si="34"/>
        <v/>
      </c>
      <c r="P516" s="42" t="str">
        <f t="shared" si="35"/>
        <v/>
      </c>
    </row>
    <row r="517" spans="1:16" ht="17">
      <c r="A517" s="6"/>
      <c r="B517" s="95" t="str">
        <f t="shared" si="36"/>
        <v/>
      </c>
      <c r="C517" s="97"/>
      <c r="D517" s="95"/>
      <c r="E517" s="96"/>
      <c r="F517" s="96"/>
      <c r="G517" s="99"/>
      <c r="H517" s="95"/>
      <c r="I517" s="95"/>
      <c r="J517" s="95"/>
      <c r="K517" s="95"/>
      <c r="L517" s="96"/>
      <c r="M517" s="42" t="str">
        <f t="shared" si="32"/>
        <v/>
      </c>
      <c r="N517" s="42" t="str">
        <f t="shared" si="33"/>
        <v/>
      </c>
      <c r="O517" s="43" t="str">
        <f t="shared" si="34"/>
        <v/>
      </c>
      <c r="P517" s="42" t="str">
        <f t="shared" si="35"/>
        <v/>
      </c>
    </row>
    <row r="518" spans="1:16" ht="17">
      <c r="A518" s="6"/>
      <c r="B518" s="95" t="str">
        <f t="shared" si="36"/>
        <v/>
      </c>
      <c r="C518" s="97"/>
      <c r="D518" s="95"/>
      <c r="E518" s="96"/>
      <c r="F518" s="96"/>
      <c r="G518" s="99"/>
      <c r="H518" s="95"/>
      <c r="I518" s="95"/>
      <c r="J518" s="95"/>
      <c r="K518" s="95"/>
      <c r="L518" s="96"/>
      <c r="M518" s="42" t="str">
        <f t="shared" si="32"/>
        <v/>
      </c>
      <c r="N518" s="42" t="str">
        <f t="shared" si="33"/>
        <v/>
      </c>
      <c r="O518" s="43" t="str">
        <f t="shared" si="34"/>
        <v/>
      </c>
      <c r="P518" s="42" t="str">
        <f t="shared" si="35"/>
        <v/>
      </c>
    </row>
    <row r="519" spans="1:16" ht="17">
      <c r="A519" s="6"/>
      <c r="B519" s="95" t="str">
        <f t="shared" si="36"/>
        <v/>
      </c>
      <c r="C519" s="97"/>
      <c r="D519" s="95"/>
      <c r="E519" s="96"/>
      <c r="F519" s="96"/>
      <c r="G519" s="99"/>
      <c r="H519" s="95"/>
      <c r="I519" s="95"/>
      <c r="J519" s="95"/>
      <c r="K519" s="95"/>
      <c r="L519" s="96"/>
      <c r="M519" s="42" t="str">
        <f t="shared" ref="M519:M582" si="37">IF(C519="","",IF(D519="Gider",IF(H519&lt;&gt;"",H519,"CARİ MAHSUP"),IF(L519&lt;&gt;"",L519,H519)))</f>
        <v/>
      </c>
      <c r="N519" s="42" t="str">
        <f t="shared" ref="N519:N582" si="38">IF(C519="","",IF(D519="Gider",E519,IF(H519&lt;&gt;"",H519,E519)))</f>
        <v/>
      </c>
      <c r="O519" s="43" t="str">
        <f t="shared" ref="O519:O582" si="39">IF(C519="","",DATE(YEAR(C519),MONTH(C519),1))</f>
        <v/>
      </c>
      <c r="P519" s="42" t="str">
        <f t="shared" ref="P519:P582" si="40">IF(C519="","",IF(OR(D519="",E519="",G519=""),"EKSİK",IF(AND(D519="Gelir",I519="Hayır",L519&lt;&gt;""),IF(R519,"TAHAKKUK","TANIMSIZ BORÇLU"),IF(AND(D519="Gelir",I519="Evet",L519&lt;&gt;""),"TAHAKKUK NAKİT OLAMAZ",IF(AND(D519="Gelir",I519="Hayır",H519&lt;&gt;""),"NAKİTSİZDE KASA OLMAZ","UYGUN")))))</f>
        <v/>
      </c>
    </row>
    <row r="520" spans="1:16" ht="17">
      <c r="A520" s="6"/>
      <c r="B520" s="95" t="str">
        <f t="shared" si="36"/>
        <v/>
      </c>
      <c r="C520" s="97"/>
      <c r="D520" s="95"/>
      <c r="E520" s="96"/>
      <c r="F520" s="96"/>
      <c r="G520" s="99"/>
      <c r="H520" s="95"/>
      <c r="I520" s="95"/>
      <c r="J520" s="95"/>
      <c r="K520" s="95"/>
      <c r="L520" s="96"/>
      <c r="M520" s="42" t="str">
        <f t="shared" si="37"/>
        <v/>
      </c>
      <c r="N520" s="42" t="str">
        <f t="shared" si="38"/>
        <v/>
      </c>
      <c r="O520" s="43" t="str">
        <f t="shared" si="39"/>
        <v/>
      </c>
      <c r="P520" s="42" t="str">
        <f t="shared" si="40"/>
        <v/>
      </c>
    </row>
    <row r="521" spans="1:16" ht="17">
      <c r="A521" s="6"/>
      <c r="B521" s="95" t="str">
        <f t="shared" si="36"/>
        <v/>
      </c>
      <c r="C521" s="97"/>
      <c r="D521" s="95"/>
      <c r="E521" s="96"/>
      <c r="F521" s="96"/>
      <c r="G521" s="99"/>
      <c r="H521" s="95"/>
      <c r="I521" s="95"/>
      <c r="J521" s="95"/>
      <c r="K521" s="95"/>
      <c r="L521" s="96"/>
      <c r="M521" s="42" t="str">
        <f t="shared" si="37"/>
        <v/>
      </c>
      <c r="N521" s="42" t="str">
        <f t="shared" si="38"/>
        <v/>
      </c>
      <c r="O521" s="43" t="str">
        <f t="shared" si="39"/>
        <v/>
      </c>
      <c r="P521" s="42" t="str">
        <f t="shared" si="40"/>
        <v/>
      </c>
    </row>
    <row r="522" spans="1:16" ht="17">
      <c r="A522" s="6"/>
      <c r="B522" s="95" t="str">
        <f t="shared" si="36"/>
        <v/>
      </c>
      <c r="C522" s="97"/>
      <c r="D522" s="95"/>
      <c r="E522" s="96"/>
      <c r="F522" s="96"/>
      <c r="G522" s="99"/>
      <c r="H522" s="95"/>
      <c r="I522" s="95"/>
      <c r="J522" s="95"/>
      <c r="K522" s="95"/>
      <c r="L522" s="96"/>
      <c r="M522" s="42" t="str">
        <f t="shared" si="37"/>
        <v/>
      </c>
      <c r="N522" s="42" t="str">
        <f t="shared" si="38"/>
        <v/>
      </c>
      <c r="O522" s="43" t="str">
        <f t="shared" si="39"/>
        <v/>
      </c>
      <c r="P522" s="42" t="str">
        <f t="shared" si="40"/>
        <v/>
      </c>
    </row>
    <row r="523" spans="1:16" ht="17">
      <c r="A523" s="6"/>
      <c r="B523" s="95" t="str">
        <f t="shared" si="36"/>
        <v/>
      </c>
      <c r="C523" s="97"/>
      <c r="D523" s="95"/>
      <c r="E523" s="96"/>
      <c r="F523" s="96"/>
      <c r="G523" s="99"/>
      <c r="H523" s="95"/>
      <c r="I523" s="95"/>
      <c r="J523" s="95"/>
      <c r="K523" s="95"/>
      <c r="L523" s="96"/>
      <c r="M523" s="42" t="str">
        <f t="shared" si="37"/>
        <v/>
      </c>
      <c r="N523" s="42" t="str">
        <f t="shared" si="38"/>
        <v/>
      </c>
      <c r="O523" s="43" t="str">
        <f t="shared" si="39"/>
        <v/>
      </c>
      <c r="P523" s="42" t="str">
        <f t="shared" si="40"/>
        <v/>
      </c>
    </row>
    <row r="524" spans="1:16" ht="17">
      <c r="A524" s="6"/>
      <c r="B524" s="95" t="str">
        <f t="shared" si="36"/>
        <v/>
      </c>
      <c r="C524" s="97"/>
      <c r="D524" s="95"/>
      <c r="E524" s="96"/>
      <c r="F524" s="96"/>
      <c r="G524" s="99"/>
      <c r="H524" s="95"/>
      <c r="I524" s="95"/>
      <c r="J524" s="95"/>
      <c r="K524" s="95"/>
      <c r="L524" s="96"/>
      <c r="M524" s="42" t="str">
        <f t="shared" si="37"/>
        <v/>
      </c>
      <c r="N524" s="42" t="str">
        <f t="shared" si="38"/>
        <v/>
      </c>
      <c r="O524" s="43" t="str">
        <f t="shared" si="39"/>
        <v/>
      </c>
      <c r="P524" s="42" t="str">
        <f t="shared" si="40"/>
        <v/>
      </c>
    </row>
    <row r="525" spans="1:16" ht="17">
      <c r="A525" s="6"/>
      <c r="B525" s="95" t="str">
        <f t="shared" si="36"/>
        <v/>
      </c>
      <c r="C525" s="97"/>
      <c r="D525" s="95"/>
      <c r="E525" s="96"/>
      <c r="F525" s="96"/>
      <c r="G525" s="99"/>
      <c r="H525" s="95"/>
      <c r="I525" s="95"/>
      <c r="J525" s="95"/>
      <c r="K525" s="95"/>
      <c r="L525" s="96"/>
      <c r="M525" s="42" t="str">
        <f t="shared" si="37"/>
        <v/>
      </c>
      <c r="N525" s="42" t="str">
        <f t="shared" si="38"/>
        <v/>
      </c>
      <c r="O525" s="43" t="str">
        <f t="shared" si="39"/>
        <v/>
      </c>
      <c r="P525" s="42" t="str">
        <f t="shared" si="40"/>
        <v/>
      </c>
    </row>
    <row r="526" spans="1:16" ht="17">
      <c r="A526" s="6"/>
      <c r="B526" s="95" t="str">
        <f t="shared" si="36"/>
        <v/>
      </c>
      <c r="C526" s="97"/>
      <c r="D526" s="95"/>
      <c r="E526" s="96"/>
      <c r="F526" s="96"/>
      <c r="G526" s="99"/>
      <c r="H526" s="95"/>
      <c r="I526" s="95"/>
      <c r="J526" s="95"/>
      <c r="K526" s="95"/>
      <c r="L526" s="96"/>
      <c r="M526" s="42" t="str">
        <f t="shared" si="37"/>
        <v/>
      </c>
      <c r="N526" s="42" t="str">
        <f t="shared" si="38"/>
        <v/>
      </c>
      <c r="O526" s="43" t="str">
        <f t="shared" si="39"/>
        <v/>
      </c>
      <c r="P526" s="42" t="str">
        <f t="shared" si="40"/>
        <v/>
      </c>
    </row>
    <row r="527" spans="1:16" ht="17">
      <c r="A527" s="6"/>
      <c r="B527" s="95" t="str">
        <f t="shared" si="36"/>
        <v/>
      </c>
      <c r="C527" s="97"/>
      <c r="D527" s="95"/>
      <c r="E527" s="96"/>
      <c r="F527" s="96"/>
      <c r="G527" s="99"/>
      <c r="H527" s="95"/>
      <c r="I527" s="95"/>
      <c r="J527" s="95"/>
      <c r="K527" s="95"/>
      <c r="L527" s="96"/>
      <c r="M527" s="42" t="str">
        <f t="shared" si="37"/>
        <v/>
      </c>
      <c r="N527" s="42" t="str">
        <f t="shared" si="38"/>
        <v/>
      </c>
      <c r="O527" s="43" t="str">
        <f t="shared" si="39"/>
        <v/>
      </c>
      <c r="P527" s="42" t="str">
        <f t="shared" si="40"/>
        <v/>
      </c>
    </row>
    <row r="528" spans="1:16" ht="17">
      <c r="A528" s="6"/>
      <c r="B528" s="95" t="str">
        <f t="shared" si="36"/>
        <v/>
      </c>
      <c r="C528" s="97"/>
      <c r="D528" s="95"/>
      <c r="E528" s="96"/>
      <c r="F528" s="96"/>
      <c r="G528" s="99"/>
      <c r="H528" s="95"/>
      <c r="I528" s="95"/>
      <c r="J528" s="95"/>
      <c r="K528" s="95"/>
      <c r="L528" s="96"/>
      <c r="M528" s="42" t="str">
        <f t="shared" si="37"/>
        <v/>
      </c>
      <c r="N528" s="42" t="str">
        <f t="shared" si="38"/>
        <v/>
      </c>
      <c r="O528" s="43" t="str">
        <f t="shared" si="39"/>
        <v/>
      </c>
      <c r="P528" s="42" t="str">
        <f t="shared" si="40"/>
        <v/>
      </c>
    </row>
    <row r="529" spans="1:16" ht="17">
      <c r="A529" s="6"/>
      <c r="B529" s="95" t="str">
        <f t="shared" si="36"/>
        <v/>
      </c>
      <c r="C529" s="97"/>
      <c r="D529" s="95"/>
      <c r="E529" s="96"/>
      <c r="F529" s="96"/>
      <c r="G529" s="99"/>
      <c r="H529" s="95"/>
      <c r="I529" s="95"/>
      <c r="J529" s="95"/>
      <c r="K529" s="95"/>
      <c r="L529" s="96"/>
      <c r="M529" s="42" t="str">
        <f t="shared" si="37"/>
        <v/>
      </c>
      <c r="N529" s="42" t="str">
        <f t="shared" si="38"/>
        <v/>
      </c>
      <c r="O529" s="43" t="str">
        <f t="shared" si="39"/>
        <v/>
      </c>
      <c r="P529" s="42" t="str">
        <f t="shared" si="40"/>
        <v/>
      </c>
    </row>
    <row r="530" spans="1:16" ht="17">
      <c r="A530" s="6"/>
      <c r="B530" s="95" t="str">
        <f t="shared" si="36"/>
        <v/>
      </c>
      <c r="C530" s="97"/>
      <c r="D530" s="95"/>
      <c r="E530" s="96"/>
      <c r="F530" s="96"/>
      <c r="G530" s="99"/>
      <c r="H530" s="95"/>
      <c r="I530" s="95"/>
      <c r="J530" s="95"/>
      <c r="K530" s="95"/>
      <c r="L530" s="96"/>
      <c r="M530" s="42" t="str">
        <f t="shared" si="37"/>
        <v/>
      </c>
      <c r="N530" s="42" t="str">
        <f t="shared" si="38"/>
        <v/>
      </c>
      <c r="O530" s="43" t="str">
        <f t="shared" si="39"/>
        <v/>
      </c>
      <c r="P530" s="42" t="str">
        <f t="shared" si="40"/>
        <v/>
      </c>
    </row>
    <row r="531" spans="1:16" ht="17">
      <c r="A531" s="6"/>
      <c r="B531" s="95" t="str">
        <f t="shared" si="36"/>
        <v/>
      </c>
      <c r="C531" s="97"/>
      <c r="D531" s="95"/>
      <c r="E531" s="96"/>
      <c r="F531" s="96"/>
      <c r="G531" s="99"/>
      <c r="H531" s="95"/>
      <c r="I531" s="95"/>
      <c r="J531" s="95"/>
      <c r="K531" s="95"/>
      <c r="L531" s="96"/>
      <c r="M531" s="42" t="str">
        <f t="shared" si="37"/>
        <v/>
      </c>
      <c r="N531" s="42" t="str">
        <f t="shared" si="38"/>
        <v/>
      </c>
      <c r="O531" s="43" t="str">
        <f t="shared" si="39"/>
        <v/>
      </c>
      <c r="P531" s="42" t="str">
        <f t="shared" si="40"/>
        <v/>
      </c>
    </row>
    <row r="532" spans="1:16" ht="17">
      <c r="A532" s="6"/>
      <c r="B532" s="95" t="str">
        <f t="shared" si="36"/>
        <v/>
      </c>
      <c r="C532" s="97"/>
      <c r="D532" s="95"/>
      <c r="E532" s="96"/>
      <c r="F532" s="96"/>
      <c r="G532" s="99"/>
      <c r="H532" s="95"/>
      <c r="I532" s="95"/>
      <c r="J532" s="95"/>
      <c r="K532" s="95"/>
      <c r="L532" s="96"/>
      <c r="M532" s="42" t="str">
        <f t="shared" si="37"/>
        <v/>
      </c>
      <c r="N532" s="42" t="str">
        <f t="shared" si="38"/>
        <v/>
      </c>
      <c r="O532" s="43" t="str">
        <f t="shared" si="39"/>
        <v/>
      </c>
      <c r="P532" s="42" t="str">
        <f t="shared" si="40"/>
        <v/>
      </c>
    </row>
    <row r="533" spans="1:16" ht="17">
      <c r="A533" s="6"/>
      <c r="B533" s="95" t="str">
        <f t="shared" si="36"/>
        <v/>
      </c>
      <c r="C533" s="97"/>
      <c r="D533" s="95"/>
      <c r="E533" s="96"/>
      <c r="F533" s="96"/>
      <c r="G533" s="99"/>
      <c r="H533" s="95"/>
      <c r="I533" s="95"/>
      <c r="J533" s="95"/>
      <c r="K533" s="95"/>
      <c r="L533" s="96"/>
      <c r="M533" s="42" t="str">
        <f t="shared" si="37"/>
        <v/>
      </c>
      <c r="N533" s="42" t="str">
        <f t="shared" si="38"/>
        <v/>
      </c>
      <c r="O533" s="43" t="str">
        <f t="shared" si="39"/>
        <v/>
      </c>
      <c r="P533" s="42" t="str">
        <f t="shared" si="40"/>
        <v/>
      </c>
    </row>
    <row r="534" spans="1:16" ht="17">
      <c r="A534" s="6"/>
      <c r="B534" s="95" t="str">
        <f t="shared" si="36"/>
        <v/>
      </c>
      <c r="C534" s="97"/>
      <c r="D534" s="95"/>
      <c r="E534" s="96"/>
      <c r="F534" s="96"/>
      <c r="G534" s="99"/>
      <c r="H534" s="95"/>
      <c r="I534" s="95"/>
      <c r="J534" s="95"/>
      <c r="K534" s="95"/>
      <c r="L534" s="96"/>
      <c r="M534" s="42" t="str">
        <f t="shared" si="37"/>
        <v/>
      </c>
      <c r="N534" s="42" t="str">
        <f t="shared" si="38"/>
        <v/>
      </c>
      <c r="O534" s="43" t="str">
        <f t="shared" si="39"/>
        <v/>
      </c>
      <c r="P534" s="42" t="str">
        <f t="shared" si="40"/>
        <v/>
      </c>
    </row>
    <row r="535" spans="1:16" ht="17">
      <c r="A535" s="6"/>
      <c r="B535" s="95" t="str">
        <f t="shared" si="36"/>
        <v/>
      </c>
      <c r="C535" s="97"/>
      <c r="D535" s="95"/>
      <c r="E535" s="96"/>
      <c r="F535" s="96"/>
      <c r="G535" s="99"/>
      <c r="H535" s="95"/>
      <c r="I535" s="95"/>
      <c r="J535" s="95"/>
      <c r="K535" s="95"/>
      <c r="L535" s="96"/>
      <c r="M535" s="42" t="str">
        <f t="shared" si="37"/>
        <v/>
      </c>
      <c r="N535" s="42" t="str">
        <f t="shared" si="38"/>
        <v/>
      </c>
      <c r="O535" s="43" t="str">
        <f t="shared" si="39"/>
        <v/>
      </c>
      <c r="P535" s="42" t="str">
        <f t="shared" si="40"/>
        <v/>
      </c>
    </row>
    <row r="536" spans="1:16" ht="17">
      <c r="A536" s="6"/>
      <c r="B536" s="95" t="str">
        <f t="shared" si="36"/>
        <v/>
      </c>
      <c r="C536" s="97"/>
      <c r="D536" s="95"/>
      <c r="E536" s="96"/>
      <c r="F536" s="96"/>
      <c r="G536" s="99"/>
      <c r="H536" s="95"/>
      <c r="I536" s="95"/>
      <c r="J536" s="95"/>
      <c r="K536" s="95"/>
      <c r="L536" s="96"/>
      <c r="M536" s="42" t="str">
        <f t="shared" si="37"/>
        <v/>
      </c>
      <c r="N536" s="42" t="str">
        <f t="shared" si="38"/>
        <v/>
      </c>
      <c r="O536" s="43" t="str">
        <f t="shared" si="39"/>
        <v/>
      </c>
      <c r="P536" s="42" t="str">
        <f t="shared" si="40"/>
        <v/>
      </c>
    </row>
    <row r="537" spans="1:16" ht="17">
      <c r="A537" s="6"/>
      <c r="B537" s="95" t="str">
        <f t="shared" si="36"/>
        <v/>
      </c>
      <c r="C537" s="97"/>
      <c r="D537" s="95"/>
      <c r="E537" s="96"/>
      <c r="F537" s="96"/>
      <c r="G537" s="99"/>
      <c r="H537" s="95"/>
      <c r="I537" s="95"/>
      <c r="J537" s="95"/>
      <c r="K537" s="95"/>
      <c r="L537" s="96"/>
      <c r="M537" s="42" t="str">
        <f t="shared" si="37"/>
        <v/>
      </c>
      <c r="N537" s="42" t="str">
        <f t="shared" si="38"/>
        <v/>
      </c>
      <c r="O537" s="43" t="str">
        <f t="shared" si="39"/>
        <v/>
      </c>
      <c r="P537" s="42" t="str">
        <f t="shared" si="40"/>
        <v/>
      </c>
    </row>
    <row r="538" spans="1:16" ht="17">
      <c r="A538" s="6"/>
      <c r="B538" s="95" t="str">
        <f t="shared" si="36"/>
        <v/>
      </c>
      <c r="C538" s="97"/>
      <c r="D538" s="95"/>
      <c r="E538" s="96"/>
      <c r="F538" s="96"/>
      <c r="G538" s="99"/>
      <c r="H538" s="95"/>
      <c r="I538" s="95"/>
      <c r="J538" s="95"/>
      <c r="K538" s="95"/>
      <c r="L538" s="96"/>
      <c r="M538" s="42" t="str">
        <f t="shared" si="37"/>
        <v/>
      </c>
      <c r="N538" s="42" t="str">
        <f t="shared" si="38"/>
        <v/>
      </c>
      <c r="O538" s="43" t="str">
        <f t="shared" si="39"/>
        <v/>
      </c>
      <c r="P538" s="42" t="str">
        <f t="shared" si="40"/>
        <v/>
      </c>
    </row>
    <row r="539" spans="1:16" ht="17">
      <c r="A539" s="6"/>
      <c r="B539" s="95" t="str">
        <f t="shared" si="36"/>
        <v/>
      </c>
      <c r="C539" s="97"/>
      <c r="D539" s="95"/>
      <c r="E539" s="96"/>
      <c r="F539" s="96"/>
      <c r="G539" s="99"/>
      <c r="H539" s="95"/>
      <c r="I539" s="95"/>
      <c r="J539" s="95"/>
      <c r="K539" s="95"/>
      <c r="L539" s="96"/>
      <c r="M539" s="42" t="str">
        <f t="shared" si="37"/>
        <v/>
      </c>
      <c r="N539" s="42" t="str">
        <f t="shared" si="38"/>
        <v/>
      </c>
      <c r="O539" s="43" t="str">
        <f t="shared" si="39"/>
        <v/>
      </c>
      <c r="P539" s="42" t="str">
        <f t="shared" si="40"/>
        <v/>
      </c>
    </row>
    <row r="540" spans="1:16" ht="17">
      <c r="A540" s="6"/>
      <c r="B540" s="95" t="str">
        <f t="shared" si="36"/>
        <v/>
      </c>
      <c r="C540" s="97"/>
      <c r="D540" s="95"/>
      <c r="E540" s="96"/>
      <c r="F540" s="96"/>
      <c r="G540" s="99"/>
      <c r="H540" s="95"/>
      <c r="I540" s="95"/>
      <c r="J540" s="95"/>
      <c r="K540" s="95"/>
      <c r="L540" s="96"/>
      <c r="M540" s="42" t="str">
        <f t="shared" si="37"/>
        <v/>
      </c>
      <c r="N540" s="42" t="str">
        <f t="shared" si="38"/>
        <v/>
      </c>
      <c r="O540" s="43" t="str">
        <f t="shared" si="39"/>
        <v/>
      </c>
      <c r="P540" s="42" t="str">
        <f t="shared" si="40"/>
        <v/>
      </c>
    </row>
    <row r="541" spans="1:16" ht="17">
      <c r="A541" s="6"/>
      <c r="B541" s="95" t="str">
        <f t="shared" si="36"/>
        <v/>
      </c>
      <c r="C541" s="97"/>
      <c r="D541" s="95"/>
      <c r="E541" s="96"/>
      <c r="F541" s="96"/>
      <c r="G541" s="99"/>
      <c r="H541" s="95"/>
      <c r="I541" s="95"/>
      <c r="J541" s="95"/>
      <c r="K541" s="95"/>
      <c r="L541" s="96"/>
      <c r="M541" s="42" t="str">
        <f t="shared" si="37"/>
        <v/>
      </c>
      <c r="N541" s="42" t="str">
        <f t="shared" si="38"/>
        <v/>
      </c>
      <c r="O541" s="43" t="str">
        <f t="shared" si="39"/>
        <v/>
      </c>
      <c r="P541" s="42" t="str">
        <f t="shared" si="40"/>
        <v/>
      </c>
    </row>
    <row r="542" spans="1:16" ht="17">
      <c r="A542" s="6"/>
      <c r="B542" s="95" t="str">
        <f t="shared" si="36"/>
        <v/>
      </c>
      <c r="C542" s="97"/>
      <c r="D542" s="95"/>
      <c r="E542" s="96"/>
      <c r="F542" s="96"/>
      <c r="G542" s="99"/>
      <c r="H542" s="95"/>
      <c r="I542" s="95"/>
      <c r="J542" s="95"/>
      <c r="K542" s="95"/>
      <c r="L542" s="96"/>
      <c r="M542" s="42" t="str">
        <f t="shared" si="37"/>
        <v/>
      </c>
      <c r="N542" s="42" t="str">
        <f t="shared" si="38"/>
        <v/>
      </c>
      <c r="O542" s="43" t="str">
        <f t="shared" si="39"/>
        <v/>
      </c>
      <c r="P542" s="42" t="str">
        <f t="shared" si="40"/>
        <v/>
      </c>
    </row>
    <row r="543" spans="1:16" ht="17">
      <c r="A543" s="6"/>
      <c r="B543" s="95" t="str">
        <f t="shared" si="36"/>
        <v/>
      </c>
      <c r="C543" s="97"/>
      <c r="D543" s="95"/>
      <c r="E543" s="96"/>
      <c r="F543" s="96"/>
      <c r="G543" s="99"/>
      <c r="H543" s="95"/>
      <c r="I543" s="95"/>
      <c r="J543" s="95"/>
      <c r="K543" s="95"/>
      <c r="L543" s="96"/>
      <c r="M543" s="42" t="str">
        <f t="shared" si="37"/>
        <v/>
      </c>
      <c r="N543" s="42" t="str">
        <f t="shared" si="38"/>
        <v/>
      </c>
      <c r="O543" s="43" t="str">
        <f t="shared" si="39"/>
        <v/>
      </c>
      <c r="P543" s="42" t="str">
        <f t="shared" si="40"/>
        <v/>
      </c>
    </row>
    <row r="544" spans="1:16" ht="17">
      <c r="A544" s="6"/>
      <c r="B544" s="95" t="str">
        <f t="shared" si="36"/>
        <v/>
      </c>
      <c r="C544" s="97"/>
      <c r="D544" s="95"/>
      <c r="E544" s="96"/>
      <c r="F544" s="96"/>
      <c r="G544" s="99"/>
      <c r="H544" s="95"/>
      <c r="I544" s="95"/>
      <c r="J544" s="95"/>
      <c r="K544" s="95"/>
      <c r="L544" s="96"/>
      <c r="M544" s="42" t="str">
        <f t="shared" si="37"/>
        <v/>
      </c>
      <c r="N544" s="42" t="str">
        <f t="shared" si="38"/>
        <v/>
      </c>
      <c r="O544" s="43" t="str">
        <f t="shared" si="39"/>
        <v/>
      </c>
      <c r="P544" s="42" t="str">
        <f t="shared" si="40"/>
        <v/>
      </c>
    </row>
    <row r="545" spans="1:16" ht="17">
      <c r="A545" s="6"/>
      <c r="B545" s="95" t="str">
        <f t="shared" si="36"/>
        <v/>
      </c>
      <c r="C545" s="97"/>
      <c r="D545" s="95"/>
      <c r="E545" s="96"/>
      <c r="F545" s="96"/>
      <c r="G545" s="99"/>
      <c r="H545" s="95"/>
      <c r="I545" s="95"/>
      <c r="J545" s="95"/>
      <c r="K545" s="95"/>
      <c r="L545" s="96"/>
      <c r="M545" s="42" t="str">
        <f t="shared" si="37"/>
        <v/>
      </c>
      <c r="N545" s="42" t="str">
        <f t="shared" si="38"/>
        <v/>
      </c>
      <c r="O545" s="43" t="str">
        <f t="shared" si="39"/>
        <v/>
      </c>
      <c r="P545" s="42" t="str">
        <f t="shared" si="40"/>
        <v/>
      </c>
    </row>
    <row r="546" spans="1:16" ht="17">
      <c r="A546" s="6"/>
      <c r="B546" s="95" t="str">
        <f t="shared" ref="B546:B609" si="41">IF(C546="","","GG"&amp;TEXT(ROW()-6,"00000"))</f>
        <v/>
      </c>
      <c r="C546" s="97"/>
      <c r="D546" s="95"/>
      <c r="E546" s="96"/>
      <c r="F546" s="96"/>
      <c r="G546" s="99"/>
      <c r="H546" s="95"/>
      <c r="I546" s="95"/>
      <c r="J546" s="95"/>
      <c r="K546" s="95"/>
      <c r="L546" s="96"/>
      <c r="M546" s="42" t="str">
        <f t="shared" si="37"/>
        <v/>
      </c>
      <c r="N546" s="42" t="str">
        <f t="shared" si="38"/>
        <v/>
      </c>
      <c r="O546" s="43" t="str">
        <f t="shared" si="39"/>
        <v/>
      </c>
      <c r="P546" s="42" t="str">
        <f t="shared" si="40"/>
        <v/>
      </c>
    </row>
    <row r="547" spans="1:16" ht="17">
      <c r="A547" s="6"/>
      <c r="B547" s="95" t="str">
        <f t="shared" si="41"/>
        <v/>
      </c>
      <c r="C547" s="97"/>
      <c r="D547" s="95"/>
      <c r="E547" s="96"/>
      <c r="F547" s="96"/>
      <c r="G547" s="99"/>
      <c r="H547" s="95"/>
      <c r="I547" s="95"/>
      <c r="J547" s="95"/>
      <c r="K547" s="95"/>
      <c r="L547" s="96"/>
      <c r="M547" s="42" t="str">
        <f t="shared" si="37"/>
        <v/>
      </c>
      <c r="N547" s="42" t="str">
        <f t="shared" si="38"/>
        <v/>
      </c>
      <c r="O547" s="43" t="str">
        <f t="shared" si="39"/>
        <v/>
      </c>
      <c r="P547" s="42" t="str">
        <f t="shared" si="40"/>
        <v/>
      </c>
    </row>
    <row r="548" spans="1:16" ht="17">
      <c r="A548" s="6"/>
      <c r="B548" s="95" t="str">
        <f t="shared" si="41"/>
        <v/>
      </c>
      <c r="C548" s="97"/>
      <c r="D548" s="95"/>
      <c r="E548" s="96"/>
      <c r="F548" s="96"/>
      <c r="G548" s="99"/>
      <c r="H548" s="95"/>
      <c r="I548" s="95"/>
      <c r="J548" s="95"/>
      <c r="K548" s="95"/>
      <c r="L548" s="96"/>
      <c r="M548" s="42" t="str">
        <f t="shared" si="37"/>
        <v/>
      </c>
      <c r="N548" s="42" t="str">
        <f t="shared" si="38"/>
        <v/>
      </c>
      <c r="O548" s="43" t="str">
        <f t="shared" si="39"/>
        <v/>
      </c>
      <c r="P548" s="42" t="str">
        <f t="shared" si="40"/>
        <v/>
      </c>
    </row>
    <row r="549" spans="1:16" ht="17">
      <c r="A549" s="6"/>
      <c r="B549" s="95" t="str">
        <f t="shared" si="41"/>
        <v/>
      </c>
      <c r="C549" s="97"/>
      <c r="D549" s="95"/>
      <c r="E549" s="96"/>
      <c r="F549" s="96"/>
      <c r="G549" s="99"/>
      <c r="H549" s="95"/>
      <c r="I549" s="95"/>
      <c r="J549" s="95"/>
      <c r="K549" s="95"/>
      <c r="L549" s="96"/>
      <c r="M549" s="42" t="str">
        <f t="shared" si="37"/>
        <v/>
      </c>
      <c r="N549" s="42" t="str">
        <f t="shared" si="38"/>
        <v/>
      </c>
      <c r="O549" s="43" t="str">
        <f t="shared" si="39"/>
        <v/>
      </c>
      <c r="P549" s="42" t="str">
        <f t="shared" si="40"/>
        <v/>
      </c>
    </row>
    <row r="550" spans="1:16" ht="17">
      <c r="A550" s="6"/>
      <c r="B550" s="95" t="str">
        <f t="shared" si="41"/>
        <v/>
      </c>
      <c r="C550" s="97"/>
      <c r="D550" s="95"/>
      <c r="E550" s="96"/>
      <c r="F550" s="96"/>
      <c r="G550" s="99"/>
      <c r="H550" s="95"/>
      <c r="I550" s="95"/>
      <c r="J550" s="95"/>
      <c r="K550" s="95"/>
      <c r="L550" s="96"/>
      <c r="M550" s="42" t="str">
        <f t="shared" si="37"/>
        <v/>
      </c>
      <c r="N550" s="42" t="str">
        <f t="shared" si="38"/>
        <v/>
      </c>
      <c r="O550" s="43" t="str">
        <f t="shared" si="39"/>
        <v/>
      </c>
      <c r="P550" s="42" t="str">
        <f t="shared" si="40"/>
        <v/>
      </c>
    </row>
    <row r="551" spans="1:16" ht="17">
      <c r="A551" s="6"/>
      <c r="B551" s="95" t="str">
        <f t="shared" si="41"/>
        <v/>
      </c>
      <c r="C551" s="97"/>
      <c r="D551" s="95"/>
      <c r="E551" s="96"/>
      <c r="F551" s="96"/>
      <c r="G551" s="99"/>
      <c r="H551" s="95"/>
      <c r="I551" s="95"/>
      <c r="J551" s="95"/>
      <c r="K551" s="95"/>
      <c r="L551" s="96"/>
      <c r="M551" s="42" t="str">
        <f t="shared" si="37"/>
        <v/>
      </c>
      <c r="N551" s="42" t="str">
        <f t="shared" si="38"/>
        <v/>
      </c>
      <c r="O551" s="43" t="str">
        <f t="shared" si="39"/>
        <v/>
      </c>
      <c r="P551" s="42" t="str">
        <f t="shared" si="40"/>
        <v/>
      </c>
    </row>
    <row r="552" spans="1:16" ht="17">
      <c r="A552" s="6"/>
      <c r="B552" s="95" t="str">
        <f t="shared" si="41"/>
        <v/>
      </c>
      <c r="C552" s="97"/>
      <c r="D552" s="95"/>
      <c r="E552" s="96"/>
      <c r="F552" s="96"/>
      <c r="G552" s="99"/>
      <c r="H552" s="95"/>
      <c r="I552" s="95"/>
      <c r="J552" s="95"/>
      <c r="K552" s="95"/>
      <c r="L552" s="96"/>
      <c r="M552" s="42" t="str">
        <f t="shared" si="37"/>
        <v/>
      </c>
      <c r="N552" s="42" t="str">
        <f t="shared" si="38"/>
        <v/>
      </c>
      <c r="O552" s="43" t="str">
        <f t="shared" si="39"/>
        <v/>
      </c>
      <c r="P552" s="42" t="str">
        <f t="shared" si="40"/>
        <v/>
      </c>
    </row>
    <row r="553" spans="1:16" ht="17">
      <c r="A553" s="6"/>
      <c r="B553" s="95" t="str">
        <f t="shared" si="41"/>
        <v/>
      </c>
      <c r="C553" s="97"/>
      <c r="D553" s="95"/>
      <c r="E553" s="96"/>
      <c r="F553" s="96"/>
      <c r="G553" s="99"/>
      <c r="H553" s="95"/>
      <c r="I553" s="95"/>
      <c r="J553" s="95"/>
      <c r="K553" s="95"/>
      <c r="L553" s="96"/>
      <c r="M553" s="42" t="str">
        <f t="shared" si="37"/>
        <v/>
      </c>
      <c r="N553" s="42" t="str">
        <f t="shared" si="38"/>
        <v/>
      </c>
      <c r="O553" s="43" t="str">
        <f t="shared" si="39"/>
        <v/>
      </c>
      <c r="P553" s="42" t="str">
        <f t="shared" si="40"/>
        <v/>
      </c>
    </row>
    <row r="554" spans="1:16" ht="17">
      <c r="A554" s="6"/>
      <c r="B554" s="95" t="str">
        <f t="shared" si="41"/>
        <v/>
      </c>
      <c r="C554" s="97"/>
      <c r="D554" s="95"/>
      <c r="E554" s="96"/>
      <c r="F554" s="96"/>
      <c r="G554" s="99"/>
      <c r="H554" s="95"/>
      <c r="I554" s="95"/>
      <c r="J554" s="95"/>
      <c r="K554" s="95"/>
      <c r="L554" s="96"/>
      <c r="M554" s="42" t="str">
        <f t="shared" si="37"/>
        <v/>
      </c>
      <c r="N554" s="42" t="str">
        <f t="shared" si="38"/>
        <v/>
      </c>
      <c r="O554" s="43" t="str">
        <f t="shared" si="39"/>
        <v/>
      </c>
      <c r="P554" s="42" t="str">
        <f t="shared" si="40"/>
        <v/>
      </c>
    </row>
    <row r="555" spans="1:16" ht="17">
      <c r="A555" s="6"/>
      <c r="B555" s="95" t="str">
        <f t="shared" si="41"/>
        <v/>
      </c>
      <c r="C555" s="97"/>
      <c r="D555" s="95"/>
      <c r="E555" s="96"/>
      <c r="F555" s="96"/>
      <c r="G555" s="99"/>
      <c r="H555" s="95"/>
      <c r="I555" s="95"/>
      <c r="J555" s="95"/>
      <c r="K555" s="95"/>
      <c r="L555" s="96"/>
      <c r="M555" s="42" t="str">
        <f t="shared" si="37"/>
        <v/>
      </c>
      <c r="N555" s="42" t="str">
        <f t="shared" si="38"/>
        <v/>
      </c>
      <c r="O555" s="43" t="str">
        <f t="shared" si="39"/>
        <v/>
      </c>
      <c r="P555" s="42" t="str">
        <f t="shared" si="40"/>
        <v/>
      </c>
    </row>
    <row r="556" spans="1:16" ht="17">
      <c r="A556" s="6"/>
      <c r="B556" s="95" t="str">
        <f t="shared" si="41"/>
        <v/>
      </c>
      <c r="C556" s="97"/>
      <c r="D556" s="95"/>
      <c r="E556" s="96"/>
      <c r="F556" s="96"/>
      <c r="G556" s="99"/>
      <c r="H556" s="95"/>
      <c r="I556" s="95"/>
      <c r="J556" s="95"/>
      <c r="K556" s="95"/>
      <c r="L556" s="96"/>
      <c r="M556" s="42" t="str">
        <f t="shared" si="37"/>
        <v/>
      </c>
      <c r="N556" s="42" t="str">
        <f t="shared" si="38"/>
        <v/>
      </c>
      <c r="O556" s="43" t="str">
        <f t="shared" si="39"/>
        <v/>
      </c>
      <c r="P556" s="42" t="str">
        <f t="shared" si="40"/>
        <v/>
      </c>
    </row>
    <row r="557" spans="1:16" ht="17">
      <c r="A557" s="6"/>
      <c r="B557" s="95" t="str">
        <f t="shared" si="41"/>
        <v/>
      </c>
      <c r="C557" s="97"/>
      <c r="D557" s="95"/>
      <c r="E557" s="96"/>
      <c r="F557" s="96"/>
      <c r="G557" s="99"/>
      <c r="H557" s="95"/>
      <c r="I557" s="95"/>
      <c r="J557" s="95"/>
      <c r="K557" s="95"/>
      <c r="L557" s="96"/>
      <c r="M557" s="42" t="str">
        <f t="shared" si="37"/>
        <v/>
      </c>
      <c r="N557" s="42" t="str">
        <f t="shared" si="38"/>
        <v/>
      </c>
      <c r="O557" s="43" t="str">
        <f t="shared" si="39"/>
        <v/>
      </c>
      <c r="P557" s="42" t="str">
        <f t="shared" si="40"/>
        <v/>
      </c>
    </row>
    <row r="558" spans="1:16" ht="17">
      <c r="A558" s="6"/>
      <c r="B558" s="95" t="str">
        <f t="shared" si="41"/>
        <v/>
      </c>
      <c r="C558" s="97"/>
      <c r="D558" s="95"/>
      <c r="E558" s="96"/>
      <c r="F558" s="96"/>
      <c r="G558" s="99"/>
      <c r="H558" s="95"/>
      <c r="I558" s="95"/>
      <c r="J558" s="95"/>
      <c r="K558" s="95"/>
      <c r="L558" s="96"/>
      <c r="M558" s="42" t="str">
        <f t="shared" si="37"/>
        <v/>
      </c>
      <c r="N558" s="42" t="str">
        <f t="shared" si="38"/>
        <v/>
      </c>
      <c r="O558" s="43" t="str">
        <f t="shared" si="39"/>
        <v/>
      </c>
      <c r="P558" s="42" t="str">
        <f t="shared" si="40"/>
        <v/>
      </c>
    </row>
    <row r="559" spans="1:16" ht="17">
      <c r="A559" s="6"/>
      <c r="B559" s="95" t="str">
        <f t="shared" si="41"/>
        <v/>
      </c>
      <c r="C559" s="97"/>
      <c r="D559" s="95"/>
      <c r="E559" s="96"/>
      <c r="F559" s="96"/>
      <c r="G559" s="99"/>
      <c r="H559" s="95"/>
      <c r="I559" s="95"/>
      <c r="J559" s="95"/>
      <c r="K559" s="95"/>
      <c r="L559" s="96"/>
      <c r="M559" s="42" t="str">
        <f t="shared" si="37"/>
        <v/>
      </c>
      <c r="N559" s="42" t="str">
        <f t="shared" si="38"/>
        <v/>
      </c>
      <c r="O559" s="43" t="str">
        <f t="shared" si="39"/>
        <v/>
      </c>
      <c r="P559" s="42" t="str">
        <f t="shared" si="40"/>
        <v/>
      </c>
    </row>
    <row r="560" spans="1:16" ht="17">
      <c r="A560" s="6"/>
      <c r="B560" s="95" t="str">
        <f t="shared" si="41"/>
        <v/>
      </c>
      <c r="C560" s="97"/>
      <c r="D560" s="95"/>
      <c r="E560" s="96"/>
      <c r="F560" s="96"/>
      <c r="G560" s="99"/>
      <c r="H560" s="95"/>
      <c r="I560" s="95"/>
      <c r="J560" s="95"/>
      <c r="K560" s="95"/>
      <c r="L560" s="96"/>
      <c r="M560" s="42" t="str">
        <f t="shared" si="37"/>
        <v/>
      </c>
      <c r="N560" s="42" t="str">
        <f t="shared" si="38"/>
        <v/>
      </c>
      <c r="O560" s="43" t="str">
        <f t="shared" si="39"/>
        <v/>
      </c>
      <c r="P560" s="42" t="str">
        <f t="shared" si="40"/>
        <v/>
      </c>
    </row>
    <row r="561" spans="1:16" ht="17">
      <c r="A561" s="6"/>
      <c r="B561" s="95" t="str">
        <f t="shared" si="41"/>
        <v/>
      </c>
      <c r="C561" s="97"/>
      <c r="D561" s="95"/>
      <c r="E561" s="96"/>
      <c r="F561" s="96"/>
      <c r="G561" s="99"/>
      <c r="H561" s="95"/>
      <c r="I561" s="95"/>
      <c r="J561" s="95"/>
      <c r="K561" s="95"/>
      <c r="L561" s="96"/>
      <c r="M561" s="42" t="str">
        <f t="shared" si="37"/>
        <v/>
      </c>
      <c r="N561" s="42" t="str">
        <f t="shared" si="38"/>
        <v/>
      </c>
      <c r="O561" s="43" t="str">
        <f t="shared" si="39"/>
        <v/>
      </c>
      <c r="P561" s="42" t="str">
        <f t="shared" si="40"/>
        <v/>
      </c>
    </row>
    <row r="562" spans="1:16" ht="17">
      <c r="A562" s="6"/>
      <c r="B562" s="95" t="str">
        <f t="shared" si="41"/>
        <v/>
      </c>
      <c r="C562" s="97"/>
      <c r="D562" s="95"/>
      <c r="E562" s="96"/>
      <c r="F562" s="96"/>
      <c r="G562" s="99"/>
      <c r="H562" s="95"/>
      <c r="I562" s="95"/>
      <c r="J562" s="95"/>
      <c r="K562" s="95"/>
      <c r="L562" s="96"/>
      <c r="M562" s="42" t="str">
        <f t="shared" si="37"/>
        <v/>
      </c>
      <c r="N562" s="42" t="str">
        <f t="shared" si="38"/>
        <v/>
      </c>
      <c r="O562" s="43" t="str">
        <f t="shared" si="39"/>
        <v/>
      </c>
      <c r="P562" s="42" t="str">
        <f t="shared" si="40"/>
        <v/>
      </c>
    </row>
    <row r="563" spans="1:16" ht="17">
      <c r="A563" s="6"/>
      <c r="B563" s="95" t="str">
        <f t="shared" si="41"/>
        <v/>
      </c>
      <c r="C563" s="97"/>
      <c r="D563" s="95"/>
      <c r="E563" s="96"/>
      <c r="F563" s="96"/>
      <c r="G563" s="99"/>
      <c r="H563" s="95"/>
      <c r="I563" s="95"/>
      <c r="J563" s="95"/>
      <c r="K563" s="95"/>
      <c r="L563" s="96"/>
      <c r="M563" s="42" t="str">
        <f t="shared" si="37"/>
        <v/>
      </c>
      <c r="N563" s="42" t="str">
        <f t="shared" si="38"/>
        <v/>
      </c>
      <c r="O563" s="43" t="str">
        <f t="shared" si="39"/>
        <v/>
      </c>
      <c r="P563" s="42" t="str">
        <f t="shared" si="40"/>
        <v/>
      </c>
    </row>
    <row r="564" spans="1:16" ht="17">
      <c r="A564" s="6"/>
      <c r="B564" s="95" t="str">
        <f t="shared" si="41"/>
        <v/>
      </c>
      <c r="C564" s="97"/>
      <c r="D564" s="95"/>
      <c r="E564" s="96"/>
      <c r="F564" s="96"/>
      <c r="G564" s="99"/>
      <c r="H564" s="95"/>
      <c r="I564" s="95"/>
      <c r="J564" s="95"/>
      <c r="K564" s="95"/>
      <c r="L564" s="96"/>
      <c r="M564" s="42" t="str">
        <f t="shared" si="37"/>
        <v/>
      </c>
      <c r="N564" s="42" t="str">
        <f t="shared" si="38"/>
        <v/>
      </c>
      <c r="O564" s="43" t="str">
        <f t="shared" si="39"/>
        <v/>
      </c>
      <c r="P564" s="42" t="str">
        <f t="shared" si="40"/>
        <v/>
      </c>
    </row>
    <row r="565" spans="1:16" ht="17">
      <c r="A565" s="6"/>
      <c r="B565" s="95" t="str">
        <f t="shared" si="41"/>
        <v/>
      </c>
      <c r="C565" s="97"/>
      <c r="D565" s="95"/>
      <c r="E565" s="96"/>
      <c r="F565" s="96"/>
      <c r="G565" s="99"/>
      <c r="H565" s="95"/>
      <c r="I565" s="95"/>
      <c r="J565" s="95"/>
      <c r="K565" s="95"/>
      <c r="L565" s="96"/>
      <c r="M565" s="42" t="str">
        <f t="shared" si="37"/>
        <v/>
      </c>
      <c r="N565" s="42" t="str">
        <f t="shared" si="38"/>
        <v/>
      </c>
      <c r="O565" s="43" t="str">
        <f t="shared" si="39"/>
        <v/>
      </c>
      <c r="P565" s="42" t="str">
        <f t="shared" si="40"/>
        <v/>
      </c>
    </row>
    <row r="566" spans="1:16" ht="17">
      <c r="A566" s="6"/>
      <c r="B566" s="95" t="str">
        <f t="shared" si="41"/>
        <v/>
      </c>
      <c r="C566" s="97"/>
      <c r="D566" s="95"/>
      <c r="E566" s="96"/>
      <c r="F566" s="96"/>
      <c r="G566" s="99"/>
      <c r="H566" s="95"/>
      <c r="I566" s="95"/>
      <c r="J566" s="95"/>
      <c r="K566" s="95"/>
      <c r="L566" s="96"/>
      <c r="M566" s="42" t="str">
        <f t="shared" si="37"/>
        <v/>
      </c>
      <c r="N566" s="42" t="str">
        <f t="shared" si="38"/>
        <v/>
      </c>
      <c r="O566" s="43" t="str">
        <f t="shared" si="39"/>
        <v/>
      </c>
      <c r="P566" s="42" t="str">
        <f t="shared" si="40"/>
        <v/>
      </c>
    </row>
    <row r="567" spans="1:16" ht="17">
      <c r="A567" s="6"/>
      <c r="B567" s="95" t="str">
        <f t="shared" si="41"/>
        <v/>
      </c>
      <c r="C567" s="97"/>
      <c r="D567" s="95"/>
      <c r="E567" s="96"/>
      <c r="F567" s="96"/>
      <c r="G567" s="99"/>
      <c r="H567" s="95"/>
      <c r="I567" s="95"/>
      <c r="J567" s="95"/>
      <c r="K567" s="95"/>
      <c r="L567" s="96"/>
      <c r="M567" s="42" t="str">
        <f t="shared" si="37"/>
        <v/>
      </c>
      <c r="N567" s="42" t="str">
        <f t="shared" si="38"/>
        <v/>
      </c>
      <c r="O567" s="43" t="str">
        <f t="shared" si="39"/>
        <v/>
      </c>
      <c r="P567" s="42" t="str">
        <f t="shared" si="40"/>
        <v/>
      </c>
    </row>
    <row r="568" spans="1:16" ht="17">
      <c r="A568" s="6"/>
      <c r="B568" s="95" t="str">
        <f t="shared" si="41"/>
        <v/>
      </c>
      <c r="C568" s="97"/>
      <c r="D568" s="95"/>
      <c r="E568" s="96"/>
      <c r="F568" s="96"/>
      <c r="G568" s="99"/>
      <c r="H568" s="95"/>
      <c r="I568" s="95"/>
      <c r="J568" s="95"/>
      <c r="K568" s="95"/>
      <c r="L568" s="96"/>
      <c r="M568" s="42" t="str">
        <f t="shared" si="37"/>
        <v/>
      </c>
      <c r="N568" s="42" t="str">
        <f t="shared" si="38"/>
        <v/>
      </c>
      <c r="O568" s="43" t="str">
        <f t="shared" si="39"/>
        <v/>
      </c>
      <c r="P568" s="42" t="str">
        <f t="shared" si="40"/>
        <v/>
      </c>
    </row>
    <row r="569" spans="1:16" ht="17">
      <c r="A569" s="6"/>
      <c r="B569" s="95" t="str">
        <f t="shared" si="41"/>
        <v/>
      </c>
      <c r="C569" s="97"/>
      <c r="D569" s="95"/>
      <c r="E569" s="96"/>
      <c r="F569" s="96"/>
      <c r="G569" s="99"/>
      <c r="H569" s="95"/>
      <c r="I569" s="95"/>
      <c r="J569" s="95"/>
      <c r="K569" s="95"/>
      <c r="L569" s="96"/>
      <c r="M569" s="42" t="str">
        <f t="shared" si="37"/>
        <v/>
      </c>
      <c r="N569" s="42" t="str">
        <f t="shared" si="38"/>
        <v/>
      </c>
      <c r="O569" s="43" t="str">
        <f t="shared" si="39"/>
        <v/>
      </c>
      <c r="P569" s="42" t="str">
        <f t="shared" si="40"/>
        <v/>
      </c>
    </row>
    <row r="570" spans="1:16" ht="17">
      <c r="A570" s="6"/>
      <c r="B570" s="95" t="str">
        <f t="shared" si="41"/>
        <v/>
      </c>
      <c r="C570" s="97"/>
      <c r="D570" s="95"/>
      <c r="E570" s="96"/>
      <c r="F570" s="96"/>
      <c r="G570" s="99"/>
      <c r="H570" s="95"/>
      <c r="I570" s="95"/>
      <c r="J570" s="95"/>
      <c r="K570" s="95"/>
      <c r="L570" s="96"/>
      <c r="M570" s="42" t="str">
        <f t="shared" si="37"/>
        <v/>
      </c>
      <c r="N570" s="42" t="str">
        <f t="shared" si="38"/>
        <v/>
      </c>
      <c r="O570" s="43" t="str">
        <f t="shared" si="39"/>
        <v/>
      </c>
      <c r="P570" s="42" t="str">
        <f t="shared" si="40"/>
        <v/>
      </c>
    </row>
    <row r="571" spans="1:16" ht="17">
      <c r="A571" s="6"/>
      <c r="B571" s="95" t="str">
        <f t="shared" si="41"/>
        <v/>
      </c>
      <c r="C571" s="97"/>
      <c r="D571" s="95"/>
      <c r="E571" s="96"/>
      <c r="F571" s="96"/>
      <c r="G571" s="99"/>
      <c r="H571" s="95"/>
      <c r="I571" s="95"/>
      <c r="J571" s="95"/>
      <c r="K571" s="95"/>
      <c r="L571" s="96"/>
      <c r="M571" s="42" t="str">
        <f t="shared" si="37"/>
        <v/>
      </c>
      <c r="N571" s="42" t="str">
        <f t="shared" si="38"/>
        <v/>
      </c>
      <c r="O571" s="43" t="str">
        <f t="shared" si="39"/>
        <v/>
      </c>
      <c r="P571" s="42" t="str">
        <f t="shared" si="40"/>
        <v/>
      </c>
    </row>
    <row r="572" spans="1:16" ht="17">
      <c r="A572" s="6"/>
      <c r="B572" s="95" t="str">
        <f t="shared" si="41"/>
        <v/>
      </c>
      <c r="C572" s="97"/>
      <c r="D572" s="95"/>
      <c r="E572" s="96"/>
      <c r="F572" s="96"/>
      <c r="G572" s="99"/>
      <c r="H572" s="95"/>
      <c r="I572" s="95"/>
      <c r="J572" s="95"/>
      <c r="K572" s="95"/>
      <c r="L572" s="96"/>
      <c r="M572" s="42" t="str">
        <f t="shared" si="37"/>
        <v/>
      </c>
      <c r="N572" s="42" t="str">
        <f t="shared" si="38"/>
        <v/>
      </c>
      <c r="O572" s="43" t="str">
        <f t="shared" si="39"/>
        <v/>
      </c>
      <c r="P572" s="42" t="str">
        <f t="shared" si="40"/>
        <v/>
      </c>
    </row>
    <row r="573" spans="1:16" ht="17">
      <c r="A573" s="6"/>
      <c r="B573" s="95" t="str">
        <f t="shared" si="41"/>
        <v/>
      </c>
      <c r="C573" s="97"/>
      <c r="D573" s="95"/>
      <c r="E573" s="96"/>
      <c r="F573" s="96"/>
      <c r="G573" s="99"/>
      <c r="H573" s="95"/>
      <c r="I573" s="95"/>
      <c r="J573" s="95"/>
      <c r="K573" s="95"/>
      <c r="L573" s="96"/>
      <c r="M573" s="42" t="str">
        <f t="shared" si="37"/>
        <v/>
      </c>
      <c r="N573" s="42" t="str">
        <f t="shared" si="38"/>
        <v/>
      </c>
      <c r="O573" s="43" t="str">
        <f t="shared" si="39"/>
        <v/>
      </c>
      <c r="P573" s="42" t="str">
        <f t="shared" si="40"/>
        <v/>
      </c>
    </row>
    <row r="574" spans="1:16" ht="17">
      <c r="A574" s="6"/>
      <c r="B574" s="95" t="str">
        <f t="shared" si="41"/>
        <v/>
      </c>
      <c r="C574" s="97"/>
      <c r="D574" s="95"/>
      <c r="E574" s="96"/>
      <c r="F574" s="96"/>
      <c r="G574" s="99"/>
      <c r="H574" s="95"/>
      <c r="I574" s="95"/>
      <c r="J574" s="95"/>
      <c r="K574" s="95"/>
      <c r="L574" s="96"/>
      <c r="M574" s="42" t="str">
        <f t="shared" si="37"/>
        <v/>
      </c>
      <c r="N574" s="42" t="str">
        <f t="shared" si="38"/>
        <v/>
      </c>
      <c r="O574" s="43" t="str">
        <f t="shared" si="39"/>
        <v/>
      </c>
      <c r="P574" s="42" t="str">
        <f t="shared" si="40"/>
        <v/>
      </c>
    </row>
    <row r="575" spans="1:16" ht="17">
      <c r="A575" s="6"/>
      <c r="B575" s="95" t="str">
        <f t="shared" si="41"/>
        <v/>
      </c>
      <c r="C575" s="97"/>
      <c r="D575" s="95"/>
      <c r="E575" s="96"/>
      <c r="F575" s="96"/>
      <c r="G575" s="99"/>
      <c r="H575" s="95"/>
      <c r="I575" s="95"/>
      <c r="J575" s="95"/>
      <c r="K575" s="95"/>
      <c r="L575" s="96"/>
      <c r="M575" s="42" t="str">
        <f t="shared" si="37"/>
        <v/>
      </c>
      <c r="N575" s="42" t="str">
        <f t="shared" si="38"/>
        <v/>
      </c>
      <c r="O575" s="43" t="str">
        <f t="shared" si="39"/>
        <v/>
      </c>
      <c r="P575" s="42" t="str">
        <f t="shared" si="40"/>
        <v/>
      </c>
    </row>
    <row r="576" spans="1:16" ht="17">
      <c r="A576" s="6"/>
      <c r="B576" s="95" t="str">
        <f t="shared" si="41"/>
        <v/>
      </c>
      <c r="C576" s="97"/>
      <c r="D576" s="95"/>
      <c r="E576" s="96"/>
      <c r="F576" s="96"/>
      <c r="G576" s="99"/>
      <c r="H576" s="95"/>
      <c r="I576" s="95"/>
      <c r="J576" s="95"/>
      <c r="K576" s="95"/>
      <c r="L576" s="96"/>
      <c r="M576" s="42" t="str">
        <f t="shared" si="37"/>
        <v/>
      </c>
      <c r="N576" s="42" t="str">
        <f t="shared" si="38"/>
        <v/>
      </c>
      <c r="O576" s="43" t="str">
        <f t="shared" si="39"/>
        <v/>
      </c>
      <c r="P576" s="42" t="str">
        <f t="shared" si="40"/>
        <v/>
      </c>
    </row>
    <row r="577" spans="1:16" ht="17">
      <c r="A577" s="6"/>
      <c r="B577" s="95" t="str">
        <f t="shared" si="41"/>
        <v/>
      </c>
      <c r="C577" s="97"/>
      <c r="D577" s="95"/>
      <c r="E577" s="96"/>
      <c r="F577" s="96"/>
      <c r="G577" s="99"/>
      <c r="H577" s="95"/>
      <c r="I577" s="95"/>
      <c r="J577" s="95"/>
      <c r="K577" s="95"/>
      <c r="L577" s="96"/>
      <c r="M577" s="42" t="str">
        <f t="shared" si="37"/>
        <v/>
      </c>
      <c r="N577" s="42" t="str">
        <f t="shared" si="38"/>
        <v/>
      </c>
      <c r="O577" s="43" t="str">
        <f t="shared" si="39"/>
        <v/>
      </c>
      <c r="P577" s="42" t="str">
        <f t="shared" si="40"/>
        <v/>
      </c>
    </row>
    <row r="578" spans="1:16" ht="17">
      <c r="A578" s="6"/>
      <c r="B578" s="95" t="str">
        <f t="shared" si="41"/>
        <v/>
      </c>
      <c r="C578" s="97"/>
      <c r="D578" s="95"/>
      <c r="E578" s="96"/>
      <c r="F578" s="96"/>
      <c r="G578" s="99"/>
      <c r="H578" s="95"/>
      <c r="I578" s="95"/>
      <c r="J578" s="95"/>
      <c r="K578" s="95"/>
      <c r="L578" s="96"/>
      <c r="M578" s="42" t="str">
        <f t="shared" si="37"/>
        <v/>
      </c>
      <c r="N578" s="42" t="str">
        <f t="shared" si="38"/>
        <v/>
      </c>
      <c r="O578" s="43" t="str">
        <f t="shared" si="39"/>
        <v/>
      </c>
      <c r="P578" s="42" t="str">
        <f t="shared" si="40"/>
        <v/>
      </c>
    </row>
    <row r="579" spans="1:16" ht="17">
      <c r="A579" s="6"/>
      <c r="B579" s="95" t="str">
        <f t="shared" si="41"/>
        <v/>
      </c>
      <c r="C579" s="97"/>
      <c r="D579" s="95"/>
      <c r="E579" s="96"/>
      <c r="F579" s="96"/>
      <c r="G579" s="99"/>
      <c r="H579" s="95"/>
      <c r="I579" s="95"/>
      <c r="J579" s="95"/>
      <c r="K579" s="95"/>
      <c r="L579" s="96"/>
      <c r="M579" s="42" t="str">
        <f t="shared" si="37"/>
        <v/>
      </c>
      <c r="N579" s="42" t="str">
        <f t="shared" si="38"/>
        <v/>
      </c>
      <c r="O579" s="43" t="str">
        <f t="shared" si="39"/>
        <v/>
      </c>
      <c r="P579" s="42" t="str">
        <f t="shared" si="40"/>
        <v/>
      </c>
    </row>
    <row r="580" spans="1:16" ht="17">
      <c r="A580" s="6"/>
      <c r="B580" s="95" t="str">
        <f t="shared" si="41"/>
        <v/>
      </c>
      <c r="C580" s="97"/>
      <c r="D580" s="95"/>
      <c r="E580" s="96"/>
      <c r="F580" s="96"/>
      <c r="G580" s="99"/>
      <c r="H580" s="95"/>
      <c r="I580" s="95"/>
      <c r="J580" s="95"/>
      <c r="K580" s="95"/>
      <c r="L580" s="96"/>
      <c r="M580" s="42" t="str">
        <f t="shared" si="37"/>
        <v/>
      </c>
      <c r="N580" s="42" t="str">
        <f t="shared" si="38"/>
        <v/>
      </c>
      <c r="O580" s="43" t="str">
        <f t="shared" si="39"/>
        <v/>
      </c>
      <c r="P580" s="42" t="str">
        <f t="shared" si="40"/>
        <v/>
      </c>
    </row>
    <row r="581" spans="1:16" ht="17">
      <c r="A581" s="6"/>
      <c r="B581" s="95" t="str">
        <f t="shared" si="41"/>
        <v/>
      </c>
      <c r="C581" s="97"/>
      <c r="D581" s="95"/>
      <c r="E581" s="96"/>
      <c r="F581" s="96"/>
      <c r="G581" s="99"/>
      <c r="H581" s="95"/>
      <c r="I581" s="95"/>
      <c r="J581" s="95"/>
      <c r="K581" s="95"/>
      <c r="L581" s="96"/>
      <c r="M581" s="42" t="str">
        <f t="shared" si="37"/>
        <v/>
      </c>
      <c r="N581" s="42" t="str">
        <f t="shared" si="38"/>
        <v/>
      </c>
      <c r="O581" s="43" t="str">
        <f t="shared" si="39"/>
        <v/>
      </c>
      <c r="P581" s="42" t="str">
        <f t="shared" si="40"/>
        <v/>
      </c>
    </row>
    <row r="582" spans="1:16" ht="17">
      <c r="A582" s="6"/>
      <c r="B582" s="95" t="str">
        <f t="shared" si="41"/>
        <v/>
      </c>
      <c r="C582" s="97"/>
      <c r="D582" s="95"/>
      <c r="E582" s="96"/>
      <c r="F582" s="96"/>
      <c r="G582" s="99"/>
      <c r="H582" s="95"/>
      <c r="I582" s="95"/>
      <c r="J582" s="95"/>
      <c r="K582" s="95"/>
      <c r="L582" s="96"/>
      <c r="M582" s="42" t="str">
        <f t="shared" si="37"/>
        <v/>
      </c>
      <c r="N582" s="42" t="str">
        <f t="shared" si="38"/>
        <v/>
      </c>
      <c r="O582" s="43" t="str">
        <f t="shared" si="39"/>
        <v/>
      </c>
      <c r="P582" s="42" t="str">
        <f t="shared" si="40"/>
        <v/>
      </c>
    </row>
    <row r="583" spans="1:16" ht="17">
      <c r="A583" s="6"/>
      <c r="B583" s="95" t="str">
        <f t="shared" si="41"/>
        <v/>
      </c>
      <c r="C583" s="97"/>
      <c r="D583" s="95"/>
      <c r="E583" s="96"/>
      <c r="F583" s="96"/>
      <c r="G583" s="99"/>
      <c r="H583" s="95"/>
      <c r="I583" s="95"/>
      <c r="J583" s="95"/>
      <c r="K583" s="95"/>
      <c r="L583" s="96"/>
      <c r="M583" s="42" t="str">
        <f t="shared" ref="M583:M646" si="42">IF(C583="","",IF(D583="Gider",IF(H583&lt;&gt;"",H583,"CARİ MAHSUP"),IF(L583&lt;&gt;"",L583,H583)))</f>
        <v/>
      </c>
      <c r="N583" s="42" t="str">
        <f t="shared" ref="N583:N646" si="43">IF(C583="","",IF(D583="Gider",E583,IF(H583&lt;&gt;"",H583,E583)))</f>
        <v/>
      </c>
      <c r="O583" s="43" t="str">
        <f t="shared" ref="O583:O646" si="44">IF(C583="","",DATE(YEAR(C583),MONTH(C583),1))</f>
        <v/>
      </c>
      <c r="P583" s="42" t="str">
        <f t="shared" ref="P583:P646" si="45">IF(C583="","",IF(OR(D583="",E583="",G583=""),"EKSİK",IF(AND(D583="Gelir",I583="Hayır",L583&lt;&gt;""),IF(R583,"TAHAKKUK","TANIMSIZ BORÇLU"),IF(AND(D583="Gelir",I583="Evet",L583&lt;&gt;""),"TAHAKKUK NAKİT OLAMAZ",IF(AND(D583="Gelir",I583="Hayır",H583&lt;&gt;""),"NAKİTSİZDE KASA OLMAZ","UYGUN")))))</f>
        <v/>
      </c>
    </row>
    <row r="584" spans="1:16" ht="17">
      <c r="A584" s="6"/>
      <c r="B584" s="95" t="str">
        <f t="shared" si="41"/>
        <v/>
      </c>
      <c r="C584" s="97"/>
      <c r="D584" s="95"/>
      <c r="E584" s="96"/>
      <c r="F584" s="96"/>
      <c r="G584" s="99"/>
      <c r="H584" s="95"/>
      <c r="I584" s="95"/>
      <c r="J584" s="95"/>
      <c r="K584" s="95"/>
      <c r="L584" s="96"/>
      <c r="M584" s="42" t="str">
        <f t="shared" si="42"/>
        <v/>
      </c>
      <c r="N584" s="42" t="str">
        <f t="shared" si="43"/>
        <v/>
      </c>
      <c r="O584" s="43" t="str">
        <f t="shared" si="44"/>
        <v/>
      </c>
      <c r="P584" s="42" t="str">
        <f t="shared" si="45"/>
        <v/>
      </c>
    </row>
    <row r="585" spans="1:16" ht="17">
      <c r="A585" s="6"/>
      <c r="B585" s="95" t="str">
        <f t="shared" si="41"/>
        <v/>
      </c>
      <c r="C585" s="97"/>
      <c r="D585" s="95"/>
      <c r="E585" s="96"/>
      <c r="F585" s="96"/>
      <c r="G585" s="99"/>
      <c r="H585" s="95"/>
      <c r="I585" s="95"/>
      <c r="J585" s="95"/>
      <c r="K585" s="95"/>
      <c r="L585" s="96"/>
      <c r="M585" s="42" t="str">
        <f t="shared" si="42"/>
        <v/>
      </c>
      <c r="N585" s="42" t="str">
        <f t="shared" si="43"/>
        <v/>
      </c>
      <c r="O585" s="43" t="str">
        <f t="shared" si="44"/>
        <v/>
      </c>
      <c r="P585" s="42" t="str">
        <f t="shared" si="45"/>
        <v/>
      </c>
    </row>
    <row r="586" spans="1:16" ht="17">
      <c r="A586" s="6"/>
      <c r="B586" s="95" t="str">
        <f t="shared" si="41"/>
        <v/>
      </c>
      <c r="C586" s="97"/>
      <c r="D586" s="95"/>
      <c r="E586" s="96"/>
      <c r="F586" s="96"/>
      <c r="G586" s="99"/>
      <c r="H586" s="95"/>
      <c r="I586" s="95"/>
      <c r="J586" s="95"/>
      <c r="K586" s="95"/>
      <c r="L586" s="96"/>
      <c r="M586" s="42" t="str">
        <f t="shared" si="42"/>
        <v/>
      </c>
      <c r="N586" s="42" t="str">
        <f t="shared" si="43"/>
        <v/>
      </c>
      <c r="O586" s="43" t="str">
        <f t="shared" si="44"/>
        <v/>
      </c>
      <c r="P586" s="42" t="str">
        <f t="shared" si="45"/>
        <v/>
      </c>
    </row>
    <row r="587" spans="1:16" ht="17">
      <c r="A587" s="6"/>
      <c r="B587" s="95" t="str">
        <f t="shared" si="41"/>
        <v/>
      </c>
      <c r="C587" s="97"/>
      <c r="D587" s="95"/>
      <c r="E587" s="96"/>
      <c r="F587" s="96"/>
      <c r="G587" s="99"/>
      <c r="H587" s="95"/>
      <c r="I587" s="95"/>
      <c r="J587" s="95"/>
      <c r="K587" s="95"/>
      <c r="L587" s="96"/>
      <c r="M587" s="42" t="str">
        <f t="shared" si="42"/>
        <v/>
      </c>
      <c r="N587" s="42" t="str">
        <f t="shared" si="43"/>
        <v/>
      </c>
      <c r="O587" s="43" t="str">
        <f t="shared" si="44"/>
        <v/>
      </c>
      <c r="P587" s="42" t="str">
        <f t="shared" si="45"/>
        <v/>
      </c>
    </row>
    <row r="588" spans="1:16" ht="17">
      <c r="A588" s="6"/>
      <c r="B588" s="95" t="str">
        <f t="shared" si="41"/>
        <v/>
      </c>
      <c r="C588" s="97"/>
      <c r="D588" s="95"/>
      <c r="E588" s="96"/>
      <c r="F588" s="96"/>
      <c r="G588" s="99"/>
      <c r="H588" s="95"/>
      <c r="I588" s="95"/>
      <c r="J588" s="95"/>
      <c r="K588" s="95"/>
      <c r="L588" s="96"/>
      <c r="M588" s="42" t="str">
        <f t="shared" si="42"/>
        <v/>
      </c>
      <c r="N588" s="42" t="str">
        <f t="shared" si="43"/>
        <v/>
      </c>
      <c r="O588" s="43" t="str">
        <f t="shared" si="44"/>
        <v/>
      </c>
      <c r="P588" s="42" t="str">
        <f t="shared" si="45"/>
        <v/>
      </c>
    </row>
    <row r="589" spans="1:16" ht="17">
      <c r="A589" s="6"/>
      <c r="B589" s="95" t="str">
        <f t="shared" si="41"/>
        <v/>
      </c>
      <c r="C589" s="97"/>
      <c r="D589" s="95"/>
      <c r="E589" s="96"/>
      <c r="F589" s="96"/>
      <c r="G589" s="99"/>
      <c r="H589" s="95"/>
      <c r="I589" s="95"/>
      <c r="J589" s="95"/>
      <c r="K589" s="95"/>
      <c r="L589" s="96"/>
      <c r="M589" s="42" t="str">
        <f t="shared" si="42"/>
        <v/>
      </c>
      <c r="N589" s="42" t="str">
        <f t="shared" si="43"/>
        <v/>
      </c>
      <c r="O589" s="43" t="str">
        <f t="shared" si="44"/>
        <v/>
      </c>
      <c r="P589" s="42" t="str">
        <f t="shared" si="45"/>
        <v/>
      </c>
    </row>
    <row r="590" spans="1:16" ht="17">
      <c r="A590" s="6"/>
      <c r="B590" s="95" t="str">
        <f t="shared" si="41"/>
        <v/>
      </c>
      <c r="C590" s="97"/>
      <c r="D590" s="95"/>
      <c r="E590" s="96"/>
      <c r="F590" s="96"/>
      <c r="G590" s="99"/>
      <c r="H590" s="95"/>
      <c r="I590" s="95"/>
      <c r="J590" s="95"/>
      <c r="K590" s="95"/>
      <c r="L590" s="96"/>
      <c r="M590" s="42" t="str">
        <f t="shared" si="42"/>
        <v/>
      </c>
      <c r="N590" s="42" t="str">
        <f t="shared" si="43"/>
        <v/>
      </c>
      <c r="O590" s="43" t="str">
        <f t="shared" si="44"/>
        <v/>
      </c>
      <c r="P590" s="42" t="str">
        <f t="shared" si="45"/>
        <v/>
      </c>
    </row>
    <row r="591" spans="1:16" ht="17">
      <c r="A591" s="6"/>
      <c r="B591" s="95" t="str">
        <f t="shared" si="41"/>
        <v/>
      </c>
      <c r="C591" s="97"/>
      <c r="D591" s="95"/>
      <c r="E591" s="96"/>
      <c r="F591" s="96"/>
      <c r="G591" s="99"/>
      <c r="H591" s="95"/>
      <c r="I591" s="95"/>
      <c r="J591" s="95"/>
      <c r="K591" s="95"/>
      <c r="L591" s="96"/>
      <c r="M591" s="42" t="str">
        <f t="shared" si="42"/>
        <v/>
      </c>
      <c r="N591" s="42" t="str">
        <f t="shared" si="43"/>
        <v/>
      </c>
      <c r="O591" s="43" t="str">
        <f t="shared" si="44"/>
        <v/>
      </c>
      <c r="P591" s="42" t="str">
        <f t="shared" si="45"/>
        <v/>
      </c>
    </row>
    <row r="592" spans="1:16" ht="17">
      <c r="A592" s="6"/>
      <c r="B592" s="95" t="str">
        <f t="shared" si="41"/>
        <v/>
      </c>
      <c r="C592" s="97"/>
      <c r="D592" s="95"/>
      <c r="E592" s="96"/>
      <c r="F592" s="96"/>
      <c r="G592" s="99"/>
      <c r="H592" s="95"/>
      <c r="I592" s="95"/>
      <c r="J592" s="95"/>
      <c r="K592" s="95"/>
      <c r="L592" s="96"/>
      <c r="M592" s="42" t="str">
        <f t="shared" si="42"/>
        <v/>
      </c>
      <c r="N592" s="42" t="str">
        <f t="shared" si="43"/>
        <v/>
      </c>
      <c r="O592" s="43" t="str">
        <f t="shared" si="44"/>
        <v/>
      </c>
      <c r="P592" s="42" t="str">
        <f t="shared" si="45"/>
        <v/>
      </c>
    </row>
    <row r="593" spans="1:16" ht="17">
      <c r="A593" s="6"/>
      <c r="B593" s="95" t="str">
        <f t="shared" si="41"/>
        <v/>
      </c>
      <c r="C593" s="97"/>
      <c r="D593" s="95"/>
      <c r="E593" s="96"/>
      <c r="F593" s="96"/>
      <c r="G593" s="99"/>
      <c r="H593" s="95"/>
      <c r="I593" s="95"/>
      <c r="J593" s="95"/>
      <c r="K593" s="95"/>
      <c r="L593" s="96"/>
      <c r="M593" s="42" t="str">
        <f t="shared" si="42"/>
        <v/>
      </c>
      <c r="N593" s="42" t="str">
        <f t="shared" si="43"/>
        <v/>
      </c>
      <c r="O593" s="43" t="str">
        <f t="shared" si="44"/>
        <v/>
      </c>
      <c r="P593" s="42" t="str">
        <f t="shared" si="45"/>
        <v/>
      </c>
    </row>
    <row r="594" spans="1:16" ht="17">
      <c r="A594" s="6"/>
      <c r="B594" s="95" t="str">
        <f t="shared" si="41"/>
        <v/>
      </c>
      <c r="C594" s="97"/>
      <c r="D594" s="95"/>
      <c r="E594" s="96"/>
      <c r="F594" s="96"/>
      <c r="G594" s="99"/>
      <c r="H594" s="95"/>
      <c r="I594" s="95"/>
      <c r="J594" s="95"/>
      <c r="K594" s="95"/>
      <c r="L594" s="96"/>
      <c r="M594" s="42" t="str">
        <f t="shared" si="42"/>
        <v/>
      </c>
      <c r="N594" s="42" t="str">
        <f t="shared" si="43"/>
        <v/>
      </c>
      <c r="O594" s="43" t="str">
        <f t="shared" si="44"/>
        <v/>
      </c>
      <c r="P594" s="42" t="str">
        <f t="shared" si="45"/>
        <v/>
      </c>
    </row>
    <row r="595" spans="1:16" ht="17">
      <c r="A595" s="6"/>
      <c r="B595" s="95" t="str">
        <f t="shared" si="41"/>
        <v/>
      </c>
      <c r="C595" s="97"/>
      <c r="D595" s="95"/>
      <c r="E595" s="96"/>
      <c r="F595" s="96"/>
      <c r="G595" s="99"/>
      <c r="H595" s="95"/>
      <c r="I595" s="95"/>
      <c r="J595" s="95"/>
      <c r="K595" s="95"/>
      <c r="L595" s="96"/>
      <c r="M595" s="42" t="str">
        <f t="shared" si="42"/>
        <v/>
      </c>
      <c r="N595" s="42" t="str">
        <f t="shared" si="43"/>
        <v/>
      </c>
      <c r="O595" s="43" t="str">
        <f t="shared" si="44"/>
        <v/>
      </c>
      <c r="P595" s="42" t="str">
        <f t="shared" si="45"/>
        <v/>
      </c>
    </row>
    <row r="596" spans="1:16" ht="17">
      <c r="A596" s="6"/>
      <c r="B596" s="95" t="str">
        <f t="shared" si="41"/>
        <v/>
      </c>
      <c r="C596" s="97"/>
      <c r="D596" s="95"/>
      <c r="E596" s="96"/>
      <c r="F596" s="96"/>
      <c r="G596" s="99"/>
      <c r="H596" s="95"/>
      <c r="I596" s="95"/>
      <c r="J596" s="95"/>
      <c r="K596" s="95"/>
      <c r="L596" s="96"/>
      <c r="M596" s="42" t="str">
        <f t="shared" si="42"/>
        <v/>
      </c>
      <c r="N596" s="42" t="str">
        <f t="shared" si="43"/>
        <v/>
      </c>
      <c r="O596" s="43" t="str">
        <f t="shared" si="44"/>
        <v/>
      </c>
      <c r="P596" s="42" t="str">
        <f t="shared" si="45"/>
        <v/>
      </c>
    </row>
    <row r="597" spans="1:16" ht="17">
      <c r="A597" s="6"/>
      <c r="B597" s="95" t="str">
        <f t="shared" si="41"/>
        <v/>
      </c>
      <c r="C597" s="97"/>
      <c r="D597" s="95"/>
      <c r="E597" s="96"/>
      <c r="F597" s="96"/>
      <c r="G597" s="99"/>
      <c r="H597" s="95"/>
      <c r="I597" s="95"/>
      <c r="J597" s="95"/>
      <c r="K597" s="95"/>
      <c r="L597" s="96"/>
      <c r="M597" s="42" t="str">
        <f t="shared" si="42"/>
        <v/>
      </c>
      <c r="N597" s="42" t="str">
        <f t="shared" si="43"/>
        <v/>
      </c>
      <c r="O597" s="43" t="str">
        <f t="shared" si="44"/>
        <v/>
      </c>
      <c r="P597" s="42" t="str">
        <f t="shared" si="45"/>
        <v/>
      </c>
    </row>
    <row r="598" spans="1:16" ht="17">
      <c r="A598" s="6"/>
      <c r="B598" s="95" t="str">
        <f t="shared" si="41"/>
        <v/>
      </c>
      <c r="C598" s="97"/>
      <c r="D598" s="95"/>
      <c r="E598" s="96"/>
      <c r="F598" s="96"/>
      <c r="G598" s="99"/>
      <c r="H598" s="95"/>
      <c r="I598" s="95"/>
      <c r="J598" s="95"/>
      <c r="K598" s="95"/>
      <c r="L598" s="96"/>
      <c r="M598" s="42" t="str">
        <f t="shared" si="42"/>
        <v/>
      </c>
      <c r="N598" s="42" t="str">
        <f t="shared" si="43"/>
        <v/>
      </c>
      <c r="O598" s="43" t="str">
        <f t="shared" si="44"/>
        <v/>
      </c>
      <c r="P598" s="42" t="str">
        <f t="shared" si="45"/>
        <v/>
      </c>
    </row>
    <row r="599" spans="1:16" ht="17">
      <c r="A599" s="6"/>
      <c r="B599" s="95" t="str">
        <f t="shared" si="41"/>
        <v/>
      </c>
      <c r="C599" s="97"/>
      <c r="D599" s="95"/>
      <c r="E599" s="96"/>
      <c r="F599" s="96"/>
      <c r="G599" s="99"/>
      <c r="H599" s="95"/>
      <c r="I599" s="95"/>
      <c r="J599" s="95"/>
      <c r="K599" s="95"/>
      <c r="L599" s="96"/>
      <c r="M599" s="42" t="str">
        <f t="shared" si="42"/>
        <v/>
      </c>
      <c r="N599" s="42" t="str">
        <f t="shared" si="43"/>
        <v/>
      </c>
      <c r="O599" s="43" t="str">
        <f t="shared" si="44"/>
        <v/>
      </c>
      <c r="P599" s="42" t="str">
        <f t="shared" si="45"/>
        <v/>
      </c>
    </row>
    <row r="600" spans="1:16" ht="17">
      <c r="A600" s="6"/>
      <c r="B600" s="95" t="str">
        <f t="shared" si="41"/>
        <v/>
      </c>
      <c r="C600" s="97"/>
      <c r="D600" s="95"/>
      <c r="E600" s="96"/>
      <c r="F600" s="96"/>
      <c r="G600" s="99"/>
      <c r="H600" s="95"/>
      <c r="I600" s="95"/>
      <c r="J600" s="95"/>
      <c r="K600" s="95"/>
      <c r="L600" s="96"/>
      <c r="M600" s="42" t="str">
        <f t="shared" si="42"/>
        <v/>
      </c>
      <c r="N600" s="42" t="str">
        <f t="shared" si="43"/>
        <v/>
      </c>
      <c r="O600" s="43" t="str">
        <f t="shared" si="44"/>
        <v/>
      </c>
      <c r="P600" s="42" t="str">
        <f t="shared" si="45"/>
        <v/>
      </c>
    </row>
    <row r="601" spans="1:16" ht="17">
      <c r="A601" s="6"/>
      <c r="B601" s="95" t="str">
        <f t="shared" si="41"/>
        <v/>
      </c>
      <c r="C601" s="97"/>
      <c r="D601" s="95"/>
      <c r="E601" s="96"/>
      <c r="F601" s="96"/>
      <c r="G601" s="99"/>
      <c r="H601" s="95"/>
      <c r="I601" s="95"/>
      <c r="J601" s="95"/>
      <c r="K601" s="95"/>
      <c r="L601" s="96"/>
      <c r="M601" s="42" t="str">
        <f t="shared" si="42"/>
        <v/>
      </c>
      <c r="N601" s="42" t="str">
        <f t="shared" si="43"/>
        <v/>
      </c>
      <c r="O601" s="43" t="str">
        <f t="shared" si="44"/>
        <v/>
      </c>
      <c r="P601" s="42" t="str">
        <f t="shared" si="45"/>
        <v/>
      </c>
    </row>
    <row r="602" spans="1:16" ht="17">
      <c r="A602" s="6"/>
      <c r="B602" s="95" t="str">
        <f t="shared" si="41"/>
        <v/>
      </c>
      <c r="C602" s="97"/>
      <c r="D602" s="95"/>
      <c r="E602" s="96"/>
      <c r="F602" s="96"/>
      <c r="G602" s="99"/>
      <c r="H602" s="95"/>
      <c r="I602" s="95"/>
      <c r="J602" s="95"/>
      <c r="K602" s="95"/>
      <c r="L602" s="96"/>
      <c r="M602" s="42" t="str">
        <f t="shared" si="42"/>
        <v/>
      </c>
      <c r="N602" s="42" t="str">
        <f t="shared" si="43"/>
        <v/>
      </c>
      <c r="O602" s="43" t="str">
        <f t="shared" si="44"/>
        <v/>
      </c>
      <c r="P602" s="42" t="str">
        <f t="shared" si="45"/>
        <v/>
      </c>
    </row>
    <row r="603" spans="1:16" ht="17">
      <c r="A603" s="6"/>
      <c r="B603" s="95" t="str">
        <f t="shared" si="41"/>
        <v/>
      </c>
      <c r="C603" s="97"/>
      <c r="D603" s="95"/>
      <c r="E603" s="96"/>
      <c r="F603" s="96"/>
      <c r="G603" s="99"/>
      <c r="H603" s="95"/>
      <c r="I603" s="95"/>
      <c r="J603" s="95"/>
      <c r="K603" s="95"/>
      <c r="L603" s="96"/>
      <c r="M603" s="42" t="str">
        <f t="shared" si="42"/>
        <v/>
      </c>
      <c r="N603" s="42" t="str">
        <f t="shared" si="43"/>
        <v/>
      </c>
      <c r="O603" s="43" t="str">
        <f t="shared" si="44"/>
        <v/>
      </c>
      <c r="P603" s="42" t="str">
        <f t="shared" si="45"/>
        <v/>
      </c>
    </row>
    <row r="604" spans="1:16" ht="17">
      <c r="A604" s="6"/>
      <c r="B604" s="95" t="str">
        <f t="shared" si="41"/>
        <v/>
      </c>
      <c r="C604" s="97"/>
      <c r="D604" s="95"/>
      <c r="E604" s="96"/>
      <c r="F604" s="96"/>
      <c r="G604" s="99"/>
      <c r="H604" s="95"/>
      <c r="I604" s="95"/>
      <c r="J604" s="95"/>
      <c r="K604" s="95"/>
      <c r="L604" s="96"/>
      <c r="M604" s="42" t="str">
        <f t="shared" si="42"/>
        <v/>
      </c>
      <c r="N604" s="42" t="str">
        <f t="shared" si="43"/>
        <v/>
      </c>
      <c r="O604" s="43" t="str">
        <f t="shared" si="44"/>
        <v/>
      </c>
      <c r="P604" s="42" t="str">
        <f t="shared" si="45"/>
        <v/>
      </c>
    </row>
    <row r="605" spans="1:16" ht="17">
      <c r="A605" s="6"/>
      <c r="B605" s="95" t="str">
        <f t="shared" si="41"/>
        <v/>
      </c>
      <c r="C605" s="97"/>
      <c r="D605" s="95"/>
      <c r="E605" s="96"/>
      <c r="F605" s="96"/>
      <c r="G605" s="99"/>
      <c r="H605" s="95"/>
      <c r="I605" s="95"/>
      <c r="J605" s="95"/>
      <c r="K605" s="95"/>
      <c r="L605" s="96"/>
      <c r="M605" s="42" t="str">
        <f t="shared" si="42"/>
        <v/>
      </c>
      <c r="N605" s="42" t="str">
        <f t="shared" si="43"/>
        <v/>
      </c>
      <c r="O605" s="43" t="str">
        <f t="shared" si="44"/>
        <v/>
      </c>
      <c r="P605" s="42" t="str">
        <f t="shared" si="45"/>
        <v/>
      </c>
    </row>
    <row r="606" spans="1:16" ht="17">
      <c r="A606" s="6"/>
      <c r="B606" s="95" t="str">
        <f t="shared" si="41"/>
        <v/>
      </c>
      <c r="C606" s="97"/>
      <c r="D606" s="95"/>
      <c r="E606" s="96"/>
      <c r="F606" s="96"/>
      <c r="G606" s="99"/>
      <c r="H606" s="95"/>
      <c r="I606" s="95"/>
      <c r="J606" s="95"/>
      <c r="K606" s="95"/>
      <c r="L606" s="96"/>
      <c r="M606" s="42" t="str">
        <f t="shared" si="42"/>
        <v/>
      </c>
      <c r="N606" s="42" t="str">
        <f t="shared" si="43"/>
        <v/>
      </c>
      <c r="O606" s="43" t="str">
        <f t="shared" si="44"/>
        <v/>
      </c>
      <c r="P606" s="42" t="str">
        <f t="shared" si="45"/>
        <v/>
      </c>
    </row>
    <row r="607" spans="1:16" ht="17">
      <c r="A607" s="6"/>
      <c r="B607" s="95" t="str">
        <f t="shared" si="41"/>
        <v/>
      </c>
      <c r="C607" s="97"/>
      <c r="D607" s="95"/>
      <c r="E607" s="96"/>
      <c r="F607" s="96"/>
      <c r="G607" s="99"/>
      <c r="H607" s="95"/>
      <c r="I607" s="95"/>
      <c r="J607" s="95"/>
      <c r="K607" s="95"/>
      <c r="L607" s="96"/>
      <c r="M607" s="42" t="str">
        <f t="shared" si="42"/>
        <v/>
      </c>
      <c r="N607" s="42" t="str">
        <f t="shared" si="43"/>
        <v/>
      </c>
      <c r="O607" s="43" t="str">
        <f t="shared" si="44"/>
        <v/>
      </c>
      <c r="P607" s="42" t="str">
        <f t="shared" si="45"/>
        <v/>
      </c>
    </row>
    <row r="608" spans="1:16" ht="17">
      <c r="A608" s="6"/>
      <c r="B608" s="95" t="str">
        <f t="shared" si="41"/>
        <v/>
      </c>
      <c r="C608" s="97"/>
      <c r="D608" s="95"/>
      <c r="E608" s="96"/>
      <c r="F608" s="96"/>
      <c r="G608" s="99"/>
      <c r="H608" s="95"/>
      <c r="I608" s="95"/>
      <c r="J608" s="95"/>
      <c r="K608" s="95"/>
      <c r="L608" s="96"/>
      <c r="M608" s="42" t="str">
        <f t="shared" si="42"/>
        <v/>
      </c>
      <c r="N608" s="42" t="str">
        <f t="shared" si="43"/>
        <v/>
      </c>
      <c r="O608" s="43" t="str">
        <f t="shared" si="44"/>
        <v/>
      </c>
      <c r="P608" s="42" t="str">
        <f t="shared" si="45"/>
        <v/>
      </c>
    </row>
    <row r="609" spans="1:16" ht="17">
      <c r="A609" s="6"/>
      <c r="B609" s="95" t="str">
        <f t="shared" si="41"/>
        <v/>
      </c>
      <c r="C609" s="97"/>
      <c r="D609" s="95"/>
      <c r="E609" s="96"/>
      <c r="F609" s="96"/>
      <c r="G609" s="99"/>
      <c r="H609" s="95"/>
      <c r="I609" s="95"/>
      <c r="J609" s="95"/>
      <c r="K609" s="95"/>
      <c r="L609" s="96"/>
      <c r="M609" s="42" t="str">
        <f t="shared" si="42"/>
        <v/>
      </c>
      <c r="N609" s="42" t="str">
        <f t="shared" si="43"/>
        <v/>
      </c>
      <c r="O609" s="43" t="str">
        <f t="shared" si="44"/>
        <v/>
      </c>
      <c r="P609" s="42" t="str">
        <f t="shared" si="45"/>
        <v/>
      </c>
    </row>
    <row r="610" spans="1:16" ht="17">
      <c r="A610" s="6"/>
      <c r="B610" s="95" t="str">
        <f t="shared" ref="B610:B673" si="46">IF(C610="","","GG"&amp;TEXT(ROW()-6,"00000"))</f>
        <v/>
      </c>
      <c r="C610" s="97"/>
      <c r="D610" s="95"/>
      <c r="E610" s="96"/>
      <c r="F610" s="96"/>
      <c r="G610" s="99"/>
      <c r="H610" s="95"/>
      <c r="I610" s="95"/>
      <c r="J610" s="95"/>
      <c r="K610" s="95"/>
      <c r="L610" s="96"/>
      <c r="M610" s="42" t="str">
        <f t="shared" si="42"/>
        <v/>
      </c>
      <c r="N610" s="42" t="str">
        <f t="shared" si="43"/>
        <v/>
      </c>
      <c r="O610" s="43" t="str">
        <f t="shared" si="44"/>
        <v/>
      </c>
      <c r="P610" s="42" t="str">
        <f t="shared" si="45"/>
        <v/>
      </c>
    </row>
    <row r="611" spans="1:16" ht="17">
      <c r="A611" s="6"/>
      <c r="B611" s="95" t="str">
        <f t="shared" si="46"/>
        <v/>
      </c>
      <c r="C611" s="97"/>
      <c r="D611" s="95"/>
      <c r="E611" s="96"/>
      <c r="F611" s="96"/>
      <c r="G611" s="99"/>
      <c r="H611" s="95"/>
      <c r="I611" s="95"/>
      <c r="J611" s="95"/>
      <c r="K611" s="95"/>
      <c r="L611" s="96"/>
      <c r="M611" s="42" t="str">
        <f t="shared" si="42"/>
        <v/>
      </c>
      <c r="N611" s="42" t="str">
        <f t="shared" si="43"/>
        <v/>
      </c>
      <c r="O611" s="43" t="str">
        <f t="shared" si="44"/>
        <v/>
      </c>
      <c r="P611" s="42" t="str">
        <f t="shared" si="45"/>
        <v/>
      </c>
    </row>
    <row r="612" spans="1:16" ht="17">
      <c r="A612" s="6"/>
      <c r="B612" s="95" t="str">
        <f t="shared" si="46"/>
        <v/>
      </c>
      <c r="C612" s="97"/>
      <c r="D612" s="95"/>
      <c r="E612" s="96"/>
      <c r="F612" s="96"/>
      <c r="G612" s="99"/>
      <c r="H612" s="95"/>
      <c r="I612" s="95"/>
      <c r="J612" s="95"/>
      <c r="K612" s="95"/>
      <c r="L612" s="96"/>
      <c r="M612" s="42" t="str">
        <f t="shared" si="42"/>
        <v/>
      </c>
      <c r="N612" s="42" t="str">
        <f t="shared" si="43"/>
        <v/>
      </c>
      <c r="O612" s="43" t="str">
        <f t="shared" si="44"/>
        <v/>
      </c>
      <c r="P612" s="42" t="str">
        <f t="shared" si="45"/>
        <v/>
      </c>
    </row>
    <row r="613" spans="1:16" ht="17">
      <c r="A613" s="6"/>
      <c r="B613" s="95" t="str">
        <f t="shared" si="46"/>
        <v/>
      </c>
      <c r="C613" s="97"/>
      <c r="D613" s="95"/>
      <c r="E613" s="96"/>
      <c r="F613" s="96"/>
      <c r="G613" s="99"/>
      <c r="H613" s="95"/>
      <c r="I613" s="95"/>
      <c r="J613" s="95"/>
      <c r="K613" s="95"/>
      <c r="L613" s="96"/>
      <c r="M613" s="42" t="str">
        <f t="shared" si="42"/>
        <v/>
      </c>
      <c r="N613" s="42" t="str">
        <f t="shared" si="43"/>
        <v/>
      </c>
      <c r="O613" s="43" t="str">
        <f t="shared" si="44"/>
        <v/>
      </c>
      <c r="P613" s="42" t="str">
        <f t="shared" si="45"/>
        <v/>
      </c>
    </row>
    <row r="614" spans="1:16" ht="17">
      <c r="A614" s="6"/>
      <c r="B614" s="95" t="str">
        <f t="shared" si="46"/>
        <v/>
      </c>
      <c r="C614" s="97"/>
      <c r="D614" s="95"/>
      <c r="E614" s="96"/>
      <c r="F614" s="96"/>
      <c r="G614" s="99"/>
      <c r="H614" s="95"/>
      <c r="I614" s="95"/>
      <c r="J614" s="95"/>
      <c r="K614" s="95"/>
      <c r="L614" s="96"/>
      <c r="M614" s="42" t="str">
        <f t="shared" si="42"/>
        <v/>
      </c>
      <c r="N614" s="42" t="str">
        <f t="shared" si="43"/>
        <v/>
      </c>
      <c r="O614" s="43" t="str">
        <f t="shared" si="44"/>
        <v/>
      </c>
      <c r="P614" s="42" t="str">
        <f t="shared" si="45"/>
        <v/>
      </c>
    </row>
    <row r="615" spans="1:16" ht="17">
      <c r="A615" s="6"/>
      <c r="B615" s="95" t="str">
        <f t="shared" si="46"/>
        <v/>
      </c>
      <c r="C615" s="97"/>
      <c r="D615" s="95"/>
      <c r="E615" s="96"/>
      <c r="F615" s="96"/>
      <c r="G615" s="99"/>
      <c r="H615" s="95"/>
      <c r="I615" s="95"/>
      <c r="J615" s="95"/>
      <c r="K615" s="95"/>
      <c r="L615" s="96"/>
      <c r="M615" s="42" t="str">
        <f t="shared" si="42"/>
        <v/>
      </c>
      <c r="N615" s="42" t="str">
        <f t="shared" si="43"/>
        <v/>
      </c>
      <c r="O615" s="43" t="str">
        <f t="shared" si="44"/>
        <v/>
      </c>
      <c r="P615" s="42" t="str">
        <f t="shared" si="45"/>
        <v/>
      </c>
    </row>
    <row r="616" spans="1:16" ht="17">
      <c r="A616" s="6"/>
      <c r="B616" s="95" t="str">
        <f t="shared" si="46"/>
        <v/>
      </c>
      <c r="C616" s="97"/>
      <c r="D616" s="95"/>
      <c r="E616" s="96"/>
      <c r="F616" s="96"/>
      <c r="G616" s="99"/>
      <c r="H616" s="95"/>
      <c r="I616" s="95"/>
      <c r="J616" s="95"/>
      <c r="K616" s="95"/>
      <c r="L616" s="96"/>
      <c r="M616" s="42" t="str">
        <f t="shared" si="42"/>
        <v/>
      </c>
      <c r="N616" s="42" t="str">
        <f t="shared" si="43"/>
        <v/>
      </c>
      <c r="O616" s="43" t="str">
        <f t="shared" si="44"/>
        <v/>
      </c>
      <c r="P616" s="42" t="str">
        <f t="shared" si="45"/>
        <v/>
      </c>
    </row>
    <row r="617" spans="1:16" ht="17">
      <c r="A617" s="6"/>
      <c r="B617" s="95" t="str">
        <f t="shared" si="46"/>
        <v/>
      </c>
      <c r="C617" s="97"/>
      <c r="D617" s="95"/>
      <c r="E617" s="96"/>
      <c r="F617" s="96"/>
      <c r="G617" s="99"/>
      <c r="H617" s="95"/>
      <c r="I617" s="95"/>
      <c r="J617" s="95"/>
      <c r="K617" s="95"/>
      <c r="L617" s="96"/>
      <c r="M617" s="42" t="str">
        <f t="shared" si="42"/>
        <v/>
      </c>
      <c r="N617" s="42" t="str">
        <f t="shared" si="43"/>
        <v/>
      </c>
      <c r="O617" s="43" t="str">
        <f t="shared" si="44"/>
        <v/>
      </c>
      <c r="P617" s="42" t="str">
        <f t="shared" si="45"/>
        <v/>
      </c>
    </row>
    <row r="618" spans="1:16" ht="17">
      <c r="A618" s="6"/>
      <c r="B618" s="95" t="str">
        <f t="shared" si="46"/>
        <v/>
      </c>
      <c r="C618" s="97"/>
      <c r="D618" s="95"/>
      <c r="E618" s="96"/>
      <c r="F618" s="96"/>
      <c r="G618" s="99"/>
      <c r="H618" s="95"/>
      <c r="I618" s="95"/>
      <c r="J618" s="95"/>
      <c r="K618" s="95"/>
      <c r="L618" s="96"/>
      <c r="M618" s="42" t="str">
        <f t="shared" si="42"/>
        <v/>
      </c>
      <c r="N618" s="42" t="str">
        <f t="shared" si="43"/>
        <v/>
      </c>
      <c r="O618" s="43" t="str">
        <f t="shared" si="44"/>
        <v/>
      </c>
      <c r="P618" s="42" t="str">
        <f t="shared" si="45"/>
        <v/>
      </c>
    </row>
    <row r="619" spans="1:16" ht="17">
      <c r="A619" s="6"/>
      <c r="B619" s="95" t="str">
        <f t="shared" si="46"/>
        <v/>
      </c>
      <c r="C619" s="97"/>
      <c r="D619" s="95"/>
      <c r="E619" s="96"/>
      <c r="F619" s="96"/>
      <c r="G619" s="99"/>
      <c r="H619" s="95"/>
      <c r="I619" s="95"/>
      <c r="J619" s="95"/>
      <c r="K619" s="95"/>
      <c r="L619" s="96"/>
      <c r="M619" s="42" t="str">
        <f t="shared" si="42"/>
        <v/>
      </c>
      <c r="N619" s="42" t="str">
        <f t="shared" si="43"/>
        <v/>
      </c>
      <c r="O619" s="43" t="str">
        <f t="shared" si="44"/>
        <v/>
      </c>
      <c r="P619" s="42" t="str">
        <f t="shared" si="45"/>
        <v/>
      </c>
    </row>
    <row r="620" spans="1:16" ht="17">
      <c r="A620" s="6"/>
      <c r="B620" s="95" t="str">
        <f t="shared" si="46"/>
        <v/>
      </c>
      <c r="C620" s="97"/>
      <c r="D620" s="95"/>
      <c r="E620" s="96"/>
      <c r="F620" s="96"/>
      <c r="G620" s="99"/>
      <c r="H620" s="95"/>
      <c r="I620" s="95"/>
      <c r="J620" s="95"/>
      <c r="K620" s="95"/>
      <c r="L620" s="96"/>
      <c r="M620" s="42" t="str">
        <f t="shared" si="42"/>
        <v/>
      </c>
      <c r="N620" s="42" t="str">
        <f t="shared" si="43"/>
        <v/>
      </c>
      <c r="O620" s="43" t="str">
        <f t="shared" si="44"/>
        <v/>
      </c>
      <c r="P620" s="42" t="str">
        <f t="shared" si="45"/>
        <v/>
      </c>
    </row>
    <row r="621" spans="1:16" ht="17">
      <c r="A621" s="6"/>
      <c r="B621" s="95" t="str">
        <f t="shared" si="46"/>
        <v/>
      </c>
      <c r="C621" s="97"/>
      <c r="D621" s="95"/>
      <c r="E621" s="96"/>
      <c r="F621" s="96"/>
      <c r="G621" s="99"/>
      <c r="H621" s="95"/>
      <c r="I621" s="95"/>
      <c r="J621" s="95"/>
      <c r="K621" s="95"/>
      <c r="L621" s="96"/>
      <c r="M621" s="42" t="str">
        <f t="shared" si="42"/>
        <v/>
      </c>
      <c r="N621" s="42" t="str">
        <f t="shared" si="43"/>
        <v/>
      </c>
      <c r="O621" s="43" t="str">
        <f t="shared" si="44"/>
        <v/>
      </c>
      <c r="P621" s="42" t="str">
        <f t="shared" si="45"/>
        <v/>
      </c>
    </row>
    <row r="622" spans="1:16" ht="17">
      <c r="A622" s="6"/>
      <c r="B622" s="95" t="str">
        <f t="shared" si="46"/>
        <v/>
      </c>
      <c r="C622" s="97"/>
      <c r="D622" s="95"/>
      <c r="E622" s="96"/>
      <c r="F622" s="96"/>
      <c r="G622" s="99"/>
      <c r="H622" s="95"/>
      <c r="I622" s="95"/>
      <c r="J622" s="95"/>
      <c r="K622" s="95"/>
      <c r="L622" s="96"/>
      <c r="M622" s="42" t="str">
        <f t="shared" si="42"/>
        <v/>
      </c>
      <c r="N622" s="42" t="str">
        <f t="shared" si="43"/>
        <v/>
      </c>
      <c r="O622" s="43" t="str">
        <f t="shared" si="44"/>
        <v/>
      </c>
      <c r="P622" s="42" t="str">
        <f t="shared" si="45"/>
        <v/>
      </c>
    </row>
    <row r="623" spans="1:16" ht="17">
      <c r="A623" s="6"/>
      <c r="B623" s="95" t="str">
        <f t="shared" si="46"/>
        <v/>
      </c>
      <c r="C623" s="97"/>
      <c r="D623" s="95"/>
      <c r="E623" s="96"/>
      <c r="F623" s="96"/>
      <c r="G623" s="99"/>
      <c r="H623" s="95"/>
      <c r="I623" s="95"/>
      <c r="J623" s="95"/>
      <c r="K623" s="95"/>
      <c r="L623" s="96"/>
      <c r="M623" s="42" t="str">
        <f t="shared" si="42"/>
        <v/>
      </c>
      <c r="N623" s="42" t="str">
        <f t="shared" si="43"/>
        <v/>
      </c>
      <c r="O623" s="43" t="str">
        <f t="shared" si="44"/>
        <v/>
      </c>
      <c r="P623" s="42" t="str">
        <f t="shared" si="45"/>
        <v/>
      </c>
    </row>
    <row r="624" spans="1:16" ht="17">
      <c r="A624" s="6"/>
      <c r="B624" s="95" t="str">
        <f t="shared" si="46"/>
        <v/>
      </c>
      <c r="C624" s="97"/>
      <c r="D624" s="95"/>
      <c r="E624" s="96"/>
      <c r="F624" s="96"/>
      <c r="G624" s="99"/>
      <c r="H624" s="95"/>
      <c r="I624" s="95"/>
      <c r="J624" s="95"/>
      <c r="K624" s="95"/>
      <c r="L624" s="96"/>
      <c r="M624" s="42" t="str">
        <f t="shared" si="42"/>
        <v/>
      </c>
      <c r="N624" s="42" t="str">
        <f t="shared" si="43"/>
        <v/>
      </c>
      <c r="O624" s="43" t="str">
        <f t="shared" si="44"/>
        <v/>
      </c>
      <c r="P624" s="42" t="str">
        <f t="shared" si="45"/>
        <v/>
      </c>
    </row>
    <row r="625" spans="1:16" ht="17">
      <c r="A625" s="6"/>
      <c r="B625" s="95" t="str">
        <f t="shared" si="46"/>
        <v/>
      </c>
      <c r="C625" s="97"/>
      <c r="D625" s="95"/>
      <c r="E625" s="96"/>
      <c r="F625" s="96"/>
      <c r="G625" s="99"/>
      <c r="H625" s="95"/>
      <c r="I625" s="95"/>
      <c r="J625" s="95"/>
      <c r="K625" s="95"/>
      <c r="L625" s="96"/>
      <c r="M625" s="42" t="str">
        <f t="shared" si="42"/>
        <v/>
      </c>
      <c r="N625" s="42" t="str">
        <f t="shared" si="43"/>
        <v/>
      </c>
      <c r="O625" s="43" t="str">
        <f t="shared" si="44"/>
        <v/>
      </c>
      <c r="P625" s="42" t="str">
        <f t="shared" si="45"/>
        <v/>
      </c>
    </row>
    <row r="626" spans="1:16" ht="17">
      <c r="A626" s="6"/>
      <c r="B626" s="95" t="str">
        <f t="shared" si="46"/>
        <v/>
      </c>
      <c r="C626" s="97"/>
      <c r="D626" s="95"/>
      <c r="E626" s="96"/>
      <c r="F626" s="96"/>
      <c r="G626" s="99"/>
      <c r="H626" s="95"/>
      <c r="I626" s="95"/>
      <c r="J626" s="95"/>
      <c r="K626" s="95"/>
      <c r="L626" s="96"/>
      <c r="M626" s="42" t="str">
        <f t="shared" si="42"/>
        <v/>
      </c>
      <c r="N626" s="42" t="str">
        <f t="shared" si="43"/>
        <v/>
      </c>
      <c r="O626" s="43" t="str">
        <f t="shared" si="44"/>
        <v/>
      </c>
      <c r="P626" s="42" t="str">
        <f t="shared" si="45"/>
        <v/>
      </c>
    </row>
    <row r="627" spans="1:16" ht="17">
      <c r="A627" s="6"/>
      <c r="B627" s="95" t="str">
        <f t="shared" si="46"/>
        <v/>
      </c>
      <c r="C627" s="97"/>
      <c r="D627" s="95"/>
      <c r="E627" s="96"/>
      <c r="F627" s="96"/>
      <c r="G627" s="99"/>
      <c r="H627" s="95"/>
      <c r="I627" s="95"/>
      <c r="J627" s="95"/>
      <c r="K627" s="95"/>
      <c r="L627" s="96"/>
      <c r="M627" s="42" t="str">
        <f t="shared" si="42"/>
        <v/>
      </c>
      <c r="N627" s="42" t="str">
        <f t="shared" si="43"/>
        <v/>
      </c>
      <c r="O627" s="43" t="str">
        <f t="shared" si="44"/>
        <v/>
      </c>
      <c r="P627" s="42" t="str">
        <f t="shared" si="45"/>
        <v/>
      </c>
    </row>
    <row r="628" spans="1:16" ht="17">
      <c r="A628" s="6"/>
      <c r="B628" s="95" t="str">
        <f t="shared" si="46"/>
        <v/>
      </c>
      <c r="C628" s="97"/>
      <c r="D628" s="95"/>
      <c r="E628" s="96"/>
      <c r="F628" s="96"/>
      <c r="G628" s="99"/>
      <c r="H628" s="95"/>
      <c r="I628" s="95"/>
      <c r="J628" s="95"/>
      <c r="K628" s="95"/>
      <c r="L628" s="96"/>
      <c r="M628" s="42" t="str">
        <f t="shared" si="42"/>
        <v/>
      </c>
      <c r="N628" s="42" t="str">
        <f t="shared" si="43"/>
        <v/>
      </c>
      <c r="O628" s="43" t="str">
        <f t="shared" si="44"/>
        <v/>
      </c>
      <c r="P628" s="42" t="str">
        <f t="shared" si="45"/>
        <v/>
      </c>
    </row>
    <row r="629" spans="1:16" ht="17">
      <c r="A629" s="6"/>
      <c r="B629" s="95" t="str">
        <f t="shared" si="46"/>
        <v/>
      </c>
      <c r="C629" s="97"/>
      <c r="D629" s="95"/>
      <c r="E629" s="96"/>
      <c r="F629" s="96"/>
      <c r="G629" s="99"/>
      <c r="H629" s="95"/>
      <c r="I629" s="95"/>
      <c r="J629" s="95"/>
      <c r="K629" s="95"/>
      <c r="L629" s="96"/>
      <c r="M629" s="42" t="str">
        <f t="shared" si="42"/>
        <v/>
      </c>
      <c r="N629" s="42" t="str">
        <f t="shared" si="43"/>
        <v/>
      </c>
      <c r="O629" s="43" t="str">
        <f t="shared" si="44"/>
        <v/>
      </c>
      <c r="P629" s="42" t="str">
        <f t="shared" si="45"/>
        <v/>
      </c>
    </row>
    <row r="630" spans="1:16" ht="17">
      <c r="A630" s="6"/>
      <c r="B630" s="95" t="str">
        <f t="shared" si="46"/>
        <v/>
      </c>
      <c r="C630" s="97"/>
      <c r="D630" s="95"/>
      <c r="E630" s="96"/>
      <c r="F630" s="96"/>
      <c r="G630" s="99"/>
      <c r="H630" s="95"/>
      <c r="I630" s="95"/>
      <c r="J630" s="95"/>
      <c r="K630" s="95"/>
      <c r="L630" s="96"/>
      <c r="M630" s="42" t="str">
        <f t="shared" si="42"/>
        <v/>
      </c>
      <c r="N630" s="42" t="str">
        <f t="shared" si="43"/>
        <v/>
      </c>
      <c r="O630" s="43" t="str">
        <f t="shared" si="44"/>
        <v/>
      </c>
      <c r="P630" s="42" t="str">
        <f t="shared" si="45"/>
        <v/>
      </c>
    </row>
    <row r="631" spans="1:16" ht="17">
      <c r="A631" s="6"/>
      <c r="B631" s="95" t="str">
        <f t="shared" si="46"/>
        <v/>
      </c>
      <c r="C631" s="97"/>
      <c r="D631" s="95"/>
      <c r="E631" s="96"/>
      <c r="F631" s="96"/>
      <c r="G631" s="99"/>
      <c r="H631" s="95"/>
      <c r="I631" s="95"/>
      <c r="J631" s="95"/>
      <c r="K631" s="95"/>
      <c r="L631" s="96"/>
      <c r="M631" s="42" t="str">
        <f t="shared" si="42"/>
        <v/>
      </c>
      <c r="N631" s="42" t="str">
        <f t="shared" si="43"/>
        <v/>
      </c>
      <c r="O631" s="43" t="str">
        <f t="shared" si="44"/>
        <v/>
      </c>
      <c r="P631" s="42" t="str">
        <f t="shared" si="45"/>
        <v/>
      </c>
    </row>
    <row r="632" spans="1:16" ht="17">
      <c r="A632" s="6"/>
      <c r="B632" s="95" t="str">
        <f t="shared" si="46"/>
        <v/>
      </c>
      <c r="C632" s="97"/>
      <c r="D632" s="95"/>
      <c r="E632" s="96"/>
      <c r="F632" s="96"/>
      <c r="G632" s="99"/>
      <c r="H632" s="95"/>
      <c r="I632" s="95"/>
      <c r="J632" s="95"/>
      <c r="K632" s="95"/>
      <c r="L632" s="96"/>
      <c r="M632" s="42" t="str">
        <f t="shared" si="42"/>
        <v/>
      </c>
      <c r="N632" s="42" t="str">
        <f t="shared" si="43"/>
        <v/>
      </c>
      <c r="O632" s="43" t="str">
        <f t="shared" si="44"/>
        <v/>
      </c>
      <c r="P632" s="42" t="str">
        <f t="shared" si="45"/>
        <v/>
      </c>
    </row>
    <row r="633" spans="1:16" ht="17">
      <c r="A633" s="6"/>
      <c r="B633" s="95" t="str">
        <f t="shared" si="46"/>
        <v/>
      </c>
      <c r="C633" s="97"/>
      <c r="D633" s="95"/>
      <c r="E633" s="96"/>
      <c r="F633" s="96"/>
      <c r="G633" s="99"/>
      <c r="H633" s="95"/>
      <c r="I633" s="95"/>
      <c r="J633" s="95"/>
      <c r="K633" s="95"/>
      <c r="L633" s="96"/>
      <c r="M633" s="42" t="str">
        <f t="shared" si="42"/>
        <v/>
      </c>
      <c r="N633" s="42" t="str">
        <f t="shared" si="43"/>
        <v/>
      </c>
      <c r="O633" s="43" t="str">
        <f t="shared" si="44"/>
        <v/>
      </c>
      <c r="P633" s="42" t="str">
        <f t="shared" si="45"/>
        <v/>
      </c>
    </row>
    <row r="634" spans="1:16" ht="17">
      <c r="A634" s="6"/>
      <c r="B634" s="95" t="str">
        <f t="shared" si="46"/>
        <v/>
      </c>
      <c r="C634" s="97"/>
      <c r="D634" s="95"/>
      <c r="E634" s="96"/>
      <c r="F634" s="96"/>
      <c r="G634" s="99"/>
      <c r="H634" s="95"/>
      <c r="I634" s="95"/>
      <c r="J634" s="95"/>
      <c r="K634" s="95"/>
      <c r="L634" s="96"/>
      <c r="M634" s="42" t="str">
        <f t="shared" si="42"/>
        <v/>
      </c>
      <c r="N634" s="42" t="str">
        <f t="shared" si="43"/>
        <v/>
      </c>
      <c r="O634" s="43" t="str">
        <f t="shared" si="44"/>
        <v/>
      </c>
      <c r="P634" s="42" t="str">
        <f t="shared" si="45"/>
        <v/>
      </c>
    </row>
    <row r="635" spans="1:16" ht="17">
      <c r="A635" s="6"/>
      <c r="B635" s="95" t="str">
        <f t="shared" si="46"/>
        <v/>
      </c>
      <c r="C635" s="97"/>
      <c r="D635" s="95"/>
      <c r="E635" s="96"/>
      <c r="F635" s="96"/>
      <c r="G635" s="99"/>
      <c r="H635" s="95"/>
      <c r="I635" s="95"/>
      <c r="J635" s="95"/>
      <c r="K635" s="95"/>
      <c r="L635" s="96"/>
      <c r="M635" s="42" t="str">
        <f t="shared" si="42"/>
        <v/>
      </c>
      <c r="N635" s="42" t="str">
        <f t="shared" si="43"/>
        <v/>
      </c>
      <c r="O635" s="43" t="str">
        <f t="shared" si="44"/>
        <v/>
      </c>
      <c r="P635" s="42" t="str">
        <f t="shared" si="45"/>
        <v/>
      </c>
    </row>
    <row r="636" spans="1:16" ht="17">
      <c r="A636" s="6"/>
      <c r="B636" s="95" t="str">
        <f t="shared" si="46"/>
        <v/>
      </c>
      <c r="C636" s="97"/>
      <c r="D636" s="95"/>
      <c r="E636" s="96"/>
      <c r="F636" s="96"/>
      <c r="G636" s="99"/>
      <c r="H636" s="95"/>
      <c r="I636" s="95"/>
      <c r="J636" s="95"/>
      <c r="K636" s="95"/>
      <c r="L636" s="96"/>
      <c r="M636" s="42" t="str">
        <f t="shared" si="42"/>
        <v/>
      </c>
      <c r="N636" s="42" t="str">
        <f t="shared" si="43"/>
        <v/>
      </c>
      <c r="O636" s="43" t="str">
        <f t="shared" si="44"/>
        <v/>
      </c>
      <c r="P636" s="42" t="str">
        <f t="shared" si="45"/>
        <v/>
      </c>
    </row>
    <row r="637" spans="1:16" ht="17">
      <c r="A637" s="6"/>
      <c r="B637" s="95" t="str">
        <f t="shared" si="46"/>
        <v/>
      </c>
      <c r="C637" s="97"/>
      <c r="D637" s="95"/>
      <c r="E637" s="96"/>
      <c r="F637" s="96"/>
      <c r="G637" s="99"/>
      <c r="H637" s="95"/>
      <c r="I637" s="95"/>
      <c r="J637" s="95"/>
      <c r="K637" s="95"/>
      <c r="L637" s="96"/>
      <c r="M637" s="42" t="str">
        <f t="shared" si="42"/>
        <v/>
      </c>
      <c r="N637" s="42" t="str">
        <f t="shared" si="43"/>
        <v/>
      </c>
      <c r="O637" s="43" t="str">
        <f t="shared" si="44"/>
        <v/>
      </c>
      <c r="P637" s="42" t="str">
        <f t="shared" si="45"/>
        <v/>
      </c>
    </row>
    <row r="638" spans="1:16" ht="17">
      <c r="A638" s="6"/>
      <c r="B638" s="95" t="str">
        <f t="shared" si="46"/>
        <v/>
      </c>
      <c r="C638" s="97"/>
      <c r="D638" s="95"/>
      <c r="E638" s="96"/>
      <c r="F638" s="96"/>
      <c r="G638" s="99"/>
      <c r="H638" s="95"/>
      <c r="I638" s="95"/>
      <c r="J638" s="95"/>
      <c r="K638" s="95"/>
      <c r="L638" s="96"/>
      <c r="M638" s="42" t="str">
        <f t="shared" si="42"/>
        <v/>
      </c>
      <c r="N638" s="42" t="str">
        <f t="shared" si="43"/>
        <v/>
      </c>
      <c r="O638" s="43" t="str">
        <f t="shared" si="44"/>
        <v/>
      </c>
      <c r="P638" s="42" t="str">
        <f t="shared" si="45"/>
        <v/>
      </c>
    </row>
    <row r="639" spans="1:16" ht="17">
      <c r="A639" s="6"/>
      <c r="B639" s="95" t="str">
        <f t="shared" si="46"/>
        <v/>
      </c>
      <c r="C639" s="97"/>
      <c r="D639" s="95"/>
      <c r="E639" s="96"/>
      <c r="F639" s="96"/>
      <c r="G639" s="99"/>
      <c r="H639" s="95"/>
      <c r="I639" s="95"/>
      <c r="J639" s="95"/>
      <c r="K639" s="95"/>
      <c r="L639" s="96"/>
      <c r="M639" s="42" t="str">
        <f t="shared" si="42"/>
        <v/>
      </c>
      <c r="N639" s="42" t="str">
        <f t="shared" si="43"/>
        <v/>
      </c>
      <c r="O639" s="43" t="str">
        <f t="shared" si="44"/>
        <v/>
      </c>
      <c r="P639" s="42" t="str">
        <f t="shared" si="45"/>
        <v/>
      </c>
    </row>
    <row r="640" spans="1:16" ht="17">
      <c r="A640" s="6"/>
      <c r="B640" s="95" t="str">
        <f t="shared" si="46"/>
        <v/>
      </c>
      <c r="C640" s="97"/>
      <c r="D640" s="95"/>
      <c r="E640" s="96"/>
      <c r="F640" s="96"/>
      <c r="G640" s="99"/>
      <c r="H640" s="95"/>
      <c r="I640" s="95"/>
      <c r="J640" s="95"/>
      <c r="K640" s="95"/>
      <c r="L640" s="96"/>
      <c r="M640" s="42" t="str">
        <f t="shared" si="42"/>
        <v/>
      </c>
      <c r="N640" s="42" t="str">
        <f t="shared" si="43"/>
        <v/>
      </c>
      <c r="O640" s="43" t="str">
        <f t="shared" si="44"/>
        <v/>
      </c>
      <c r="P640" s="42" t="str">
        <f t="shared" si="45"/>
        <v/>
      </c>
    </row>
    <row r="641" spans="1:16" ht="17">
      <c r="A641" s="6"/>
      <c r="B641" s="95" t="str">
        <f t="shared" si="46"/>
        <v/>
      </c>
      <c r="C641" s="97"/>
      <c r="D641" s="95"/>
      <c r="E641" s="96"/>
      <c r="F641" s="96"/>
      <c r="G641" s="99"/>
      <c r="H641" s="95"/>
      <c r="I641" s="95"/>
      <c r="J641" s="95"/>
      <c r="K641" s="95"/>
      <c r="L641" s="96"/>
      <c r="M641" s="42" t="str">
        <f t="shared" si="42"/>
        <v/>
      </c>
      <c r="N641" s="42" t="str">
        <f t="shared" si="43"/>
        <v/>
      </c>
      <c r="O641" s="43" t="str">
        <f t="shared" si="44"/>
        <v/>
      </c>
      <c r="P641" s="42" t="str">
        <f t="shared" si="45"/>
        <v/>
      </c>
    </row>
    <row r="642" spans="1:16" ht="17">
      <c r="A642" s="6"/>
      <c r="B642" s="95" t="str">
        <f t="shared" si="46"/>
        <v/>
      </c>
      <c r="C642" s="97"/>
      <c r="D642" s="95"/>
      <c r="E642" s="96"/>
      <c r="F642" s="96"/>
      <c r="G642" s="99"/>
      <c r="H642" s="95"/>
      <c r="I642" s="95"/>
      <c r="J642" s="95"/>
      <c r="K642" s="95"/>
      <c r="L642" s="96"/>
      <c r="M642" s="42" t="str">
        <f t="shared" si="42"/>
        <v/>
      </c>
      <c r="N642" s="42" t="str">
        <f t="shared" si="43"/>
        <v/>
      </c>
      <c r="O642" s="43" t="str">
        <f t="shared" si="44"/>
        <v/>
      </c>
      <c r="P642" s="42" t="str">
        <f t="shared" si="45"/>
        <v/>
      </c>
    </row>
    <row r="643" spans="1:16" ht="17">
      <c r="A643" s="6"/>
      <c r="B643" s="95" t="str">
        <f t="shared" si="46"/>
        <v/>
      </c>
      <c r="C643" s="97"/>
      <c r="D643" s="95"/>
      <c r="E643" s="96"/>
      <c r="F643" s="96"/>
      <c r="G643" s="99"/>
      <c r="H643" s="95"/>
      <c r="I643" s="95"/>
      <c r="J643" s="95"/>
      <c r="K643" s="95"/>
      <c r="L643" s="96"/>
      <c r="M643" s="42" t="str">
        <f t="shared" si="42"/>
        <v/>
      </c>
      <c r="N643" s="42" t="str">
        <f t="shared" si="43"/>
        <v/>
      </c>
      <c r="O643" s="43" t="str">
        <f t="shared" si="44"/>
        <v/>
      </c>
      <c r="P643" s="42" t="str">
        <f t="shared" si="45"/>
        <v/>
      </c>
    </row>
    <row r="644" spans="1:16" ht="17">
      <c r="A644" s="6"/>
      <c r="B644" s="95" t="str">
        <f t="shared" si="46"/>
        <v/>
      </c>
      <c r="C644" s="97"/>
      <c r="D644" s="95"/>
      <c r="E644" s="96"/>
      <c r="F644" s="96"/>
      <c r="G644" s="99"/>
      <c r="H644" s="95"/>
      <c r="I644" s="95"/>
      <c r="J644" s="95"/>
      <c r="K644" s="95"/>
      <c r="L644" s="96"/>
      <c r="M644" s="42" t="str">
        <f t="shared" si="42"/>
        <v/>
      </c>
      <c r="N644" s="42" t="str">
        <f t="shared" si="43"/>
        <v/>
      </c>
      <c r="O644" s="43" t="str">
        <f t="shared" si="44"/>
        <v/>
      </c>
      <c r="P644" s="42" t="str">
        <f t="shared" si="45"/>
        <v/>
      </c>
    </row>
    <row r="645" spans="1:16" ht="17">
      <c r="A645" s="6"/>
      <c r="B645" s="95" t="str">
        <f t="shared" si="46"/>
        <v/>
      </c>
      <c r="C645" s="97"/>
      <c r="D645" s="95"/>
      <c r="E645" s="96"/>
      <c r="F645" s="96"/>
      <c r="G645" s="99"/>
      <c r="H645" s="95"/>
      <c r="I645" s="95"/>
      <c r="J645" s="95"/>
      <c r="K645" s="95"/>
      <c r="L645" s="96"/>
      <c r="M645" s="42" t="str">
        <f t="shared" si="42"/>
        <v/>
      </c>
      <c r="N645" s="42" t="str">
        <f t="shared" si="43"/>
        <v/>
      </c>
      <c r="O645" s="43" t="str">
        <f t="shared" si="44"/>
        <v/>
      </c>
      <c r="P645" s="42" t="str">
        <f t="shared" si="45"/>
        <v/>
      </c>
    </row>
    <row r="646" spans="1:16" ht="17">
      <c r="A646" s="6"/>
      <c r="B646" s="95" t="str">
        <f t="shared" si="46"/>
        <v/>
      </c>
      <c r="C646" s="97"/>
      <c r="D646" s="95"/>
      <c r="E646" s="96"/>
      <c r="F646" s="96"/>
      <c r="G646" s="99"/>
      <c r="H646" s="95"/>
      <c r="I646" s="95"/>
      <c r="J646" s="95"/>
      <c r="K646" s="95"/>
      <c r="L646" s="96"/>
      <c r="M646" s="42" t="str">
        <f t="shared" si="42"/>
        <v/>
      </c>
      <c r="N646" s="42" t="str">
        <f t="shared" si="43"/>
        <v/>
      </c>
      <c r="O646" s="43" t="str">
        <f t="shared" si="44"/>
        <v/>
      </c>
      <c r="P646" s="42" t="str">
        <f t="shared" si="45"/>
        <v/>
      </c>
    </row>
    <row r="647" spans="1:16" ht="17">
      <c r="A647" s="6"/>
      <c r="B647" s="95" t="str">
        <f t="shared" si="46"/>
        <v/>
      </c>
      <c r="C647" s="97"/>
      <c r="D647" s="95"/>
      <c r="E647" s="96"/>
      <c r="F647" s="96"/>
      <c r="G647" s="99"/>
      <c r="H647" s="95"/>
      <c r="I647" s="95"/>
      <c r="J647" s="95"/>
      <c r="K647" s="95"/>
      <c r="L647" s="96"/>
      <c r="M647" s="42" t="str">
        <f t="shared" ref="M647:M710" si="47">IF(C647="","",IF(D647="Gider",IF(H647&lt;&gt;"",H647,"CARİ MAHSUP"),IF(L647&lt;&gt;"",L647,H647)))</f>
        <v/>
      </c>
      <c r="N647" s="42" t="str">
        <f t="shared" ref="N647:N710" si="48">IF(C647="","",IF(D647="Gider",E647,IF(H647&lt;&gt;"",H647,E647)))</f>
        <v/>
      </c>
      <c r="O647" s="43" t="str">
        <f t="shared" ref="O647:O710" si="49">IF(C647="","",DATE(YEAR(C647),MONTH(C647),1))</f>
        <v/>
      </c>
      <c r="P647" s="42" t="str">
        <f t="shared" ref="P647:P710" si="50">IF(C647="","",IF(OR(D647="",E647="",G647=""),"EKSİK",IF(AND(D647="Gelir",I647="Hayır",L647&lt;&gt;""),IF(R647,"TAHAKKUK","TANIMSIZ BORÇLU"),IF(AND(D647="Gelir",I647="Evet",L647&lt;&gt;""),"TAHAKKUK NAKİT OLAMAZ",IF(AND(D647="Gelir",I647="Hayır",H647&lt;&gt;""),"NAKİTSİZDE KASA OLMAZ","UYGUN")))))</f>
        <v/>
      </c>
    </row>
    <row r="648" spans="1:16" ht="17">
      <c r="A648" s="6"/>
      <c r="B648" s="95" t="str">
        <f t="shared" si="46"/>
        <v/>
      </c>
      <c r="C648" s="97"/>
      <c r="D648" s="95"/>
      <c r="E648" s="96"/>
      <c r="F648" s="96"/>
      <c r="G648" s="99"/>
      <c r="H648" s="95"/>
      <c r="I648" s="95"/>
      <c r="J648" s="95"/>
      <c r="K648" s="95"/>
      <c r="L648" s="96"/>
      <c r="M648" s="42" t="str">
        <f t="shared" si="47"/>
        <v/>
      </c>
      <c r="N648" s="42" t="str">
        <f t="shared" si="48"/>
        <v/>
      </c>
      <c r="O648" s="43" t="str">
        <f t="shared" si="49"/>
        <v/>
      </c>
      <c r="P648" s="42" t="str">
        <f t="shared" si="50"/>
        <v/>
      </c>
    </row>
    <row r="649" spans="1:16" ht="17">
      <c r="A649" s="6"/>
      <c r="B649" s="95" t="str">
        <f t="shared" si="46"/>
        <v/>
      </c>
      <c r="C649" s="97"/>
      <c r="D649" s="95"/>
      <c r="E649" s="96"/>
      <c r="F649" s="96"/>
      <c r="G649" s="99"/>
      <c r="H649" s="95"/>
      <c r="I649" s="95"/>
      <c r="J649" s="95"/>
      <c r="K649" s="95"/>
      <c r="L649" s="96"/>
      <c r="M649" s="42" t="str">
        <f t="shared" si="47"/>
        <v/>
      </c>
      <c r="N649" s="42" t="str">
        <f t="shared" si="48"/>
        <v/>
      </c>
      <c r="O649" s="43" t="str">
        <f t="shared" si="49"/>
        <v/>
      </c>
      <c r="P649" s="42" t="str">
        <f t="shared" si="50"/>
        <v/>
      </c>
    </row>
    <row r="650" spans="1:16" ht="17">
      <c r="A650" s="6"/>
      <c r="B650" s="95" t="str">
        <f t="shared" si="46"/>
        <v/>
      </c>
      <c r="C650" s="97"/>
      <c r="D650" s="95"/>
      <c r="E650" s="96"/>
      <c r="F650" s="96"/>
      <c r="G650" s="99"/>
      <c r="H650" s="95"/>
      <c r="I650" s="95"/>
      <c r="J650" s="95"/>
      <c r="K650" s="95"/>
      <c r="L650" s="96"/>
      <c r="M650" s="42" t="str">
        <f t="shared" si="47"/>
        <v/>
      </c>
      <c r="N650" s="42" t="str">
        <f t="shared" si="48"/>
        <v/>
      </c>
      <c r="O650" s="43" t="str">
        <f t="shared" si="49"/>
        <v/>
      </c>
      <c r="P650" s="42" t="str">
        <f t="shared" si="50"/>
        <v/>
      </c>
    </row>
    <row r="651" spans="1:16" ht="17">
      <c r="A651" s="6"/>
      <c r="B651" s="95" t="str">
        <f t="shared" si="46"/>
        <v/>
      </c>
      <c r="C651" s="97"/>
      <c r="D651" s="95"/>
      <c r="E651" s="96"/>
      <c r="F651" s="96"/>
      <c r="G651" s="99"/>
      <c r="H651" s="95"/>
      <c r="I651" s="95"/>
      <c r="J651" s="95"/>
      <c r="K651" s="95"/>
      <c r="L651" s="96"/>
      <c r="M651" s="42" t="str">
        <f t="shared" si="47"/>
        <v/>
      </c>
      <c r="N651" s="42" t="str">
        <f t="shared" si="48"/>
        <v/>
      </c>
      <c r="O651" s="43" t="str">
        <f t="shared" si="49"/>
        <v/>
      </c>
      <c r="P651" s="42" t="str">
        <f t="shared" si="50"/>
        <v/>
      </c>
    </row>
    <row r="652" spans="1:16" ht="17">
      <c r="A652" s="6"/>
      <c r="B652" s="95" t="str">
        <f t="shared" si="46"/>
        <v/>
      </c>
      <c r="C652" s="97"/>
      <c r="D652" s="95"/>
      <c r="E652" s="96"/>
      <c r="F652" s="96"/>
      <c r="G652" s="99"/>
      <c r="H652" s="95"/>
      <c r="I652" s="95"/>
      <c r="J652" s="95"/>
      <c r="K652" s="95"/>
      <c r="L652" s="96"/>
      <c r="M652" s="42" t="str">
        <f t="shared" si="47"/>
        <v/>
      </c>
      <c r="N652" s="42" t="str">
        <f t="shared" si="48"/>
        <v/>
      </c>
      <c r="O652" s="43" t="str">
        <f t="shared" si="49"/>
        <v/>
      </c>
      <c r="P652" s="42" t="str">
        <f t="shared" si="50"/>
        <v/>
      </c>
    </row>
    <row r="653" spans="1:16" ht="17">
      <c r="A653" s="6"/>
      <c r="B653" s="95" t="str">
        <f t="shared" si="46"/>
        <v/>
      </c>
      <c r="C653" s="97"/>
      <c r="D653" s="95"/>
      <c r="E653" s="96"/>
      <c r="F653" s="96"/>
      <c r="G653" s="99"/>
      <c r="H653" s="95"/>
      <c r="I653" s="95"/>
      <c r="J653" s="95"/>
      <c r="K653" s="95"/>
      <c r="L653" s="96"/>
      <c r="M653" s="42" t="str">
        <f t="shared" si="47"/>
        <v/>
      </c>
      <c r="N653" s="42" t="str">
        <f t="shared" si="48"/>
        <v/>
      </c>
      <c r="O653" s="43" t="str">
        <f t="shared" si="49"/>
        <v/>
      </c>
      <c r="P653" s="42" t="str">
        <f t="shared" si="50"/>
        <v/>
      </c>
    </row>
    <row r="654" spans="1:16" ht="17">
      <c r="A654" s="6"/>
      <c r="B654" s="95" t="str">
        <f t="shared" si="46"/>
        <v/>
      </c>
      <c r="C654" s="97"/>
      <c r="D654" s="95"/>
      <c r="E654" s="96"/>
      <c r="F654" s="96"/>
      <c r="G654" s="99"/>
      <c r="H654" s="95"/>
      <c r="I654" s="95"/>
      <c r="J654" s="95"/>
      <c r="K654" s="95"/>
      <c r="L654" s="96"/>
      <c r="M654" s="42" t="str">
        <f t="shared" si="47"/>
        <v/>
      </c>
      <c r="N654" s="42" t="str">
        <f t="shared" si="48"/>
        <v/>
      </c>
      <c r="O654" s="43" t="str">
        <f t="shared" si="49"/>
        <v/>
      </c>
      <c r="P654" s="42" t="str">
        <f t="shared" si="50"/>
        <v/>
      </c>
    </row>
    <row r="655" spans="1:16" ht="17">
      <c r="A655" s="6"/>
      <c r="B655" s="95" t="str">
        <f t="shared" si="46"/>
        <v/>
      </c>
      <c r="C655" s="97"/>
      <c r="D655" s="95"/>
      <c r="E655" s="96"/>
      <c r="F655" s="96"/>
      <c r="G655" s="99"/>
      <c r="H655" s="95"/>
      <c r="I655" s="95"/>
      <c r="J655" s="95"/>
      <c r="K655" s="95"/>
      <c r="L655" s="96"/>
      <c r="M655" s="42" t="str">
        <f t="shared" si="47"/>
        <v/>
      </c>
      <c r="N655" s="42" t="str">
        <f t="shared" si="48"/>
        <v/>
      </c>
      <c r="O655" s="43" t="str">
        <f t="shared" si="49"/>
        <v/>
      </c>
      <c r="P655" s="42" t="str">
        <f t="shared" si="50"/>
        <v/>
      </c>
    </row>
    <row r="656" spans="1:16" ht="17">
      <c r="A656" s="6"/>
      <c r="B656" s="95" t="str">
        <f t="shared" si="46"/>
        <v/>
      </c>
      <c r="C656" s="97"/>
      <c r="D656" s="95"/>
      <c r="E656" s="96"/>
      <c r="F656" s="96"/>
      <c r="G656" s="99"/>
      <c r="H656" s="95"/>
      <c r="I656" s="95"/>
      <c r="J656" s="95"/>
      <c r="K656" s="95"/>
      <c r="L656" s="96"/>
      <c r="M656" s="42" t="str">
        <f t="shared" si="47"/>
        <v/>
      </c>
      <c r="N656" s="42" t="str">
        <f t="shared" si="48"/>
        <v/>
      </c>
      <c r="O656" s="43" t="str">
        <f t="shared" si="49"/>
        <v/>
      </c>
      <c r="P656" s="42" t="str">
        <f t="shared" si="50"/>
        <v/>
      </c>
    </row>
    <row r="657" spans="1:16" ht="17">
      <c r="A657" s="6"/>
      <c r="B657" s="95" t="str">
        <f t="shared" si="46"/>
        <v/>
      </c>
      <c r="C657" s="97"/>
      <c r="D657" s="95"/>
      <c r="E657" s="96"/>
      <c r="F657" s="96"/>
      <c r="G657" s="99"/>
      <c r="H657" s="95"/>
      <c r="I657" s="95"/>
      <c r="J657" s="95"/>
      <c r="K657" s="95"/>
      <c r="L657" s="96"/>
      <c r="M657" s="42" t="str">
        <f t="shared" si="47"/>
        <v/>
      </c>
      <c r="N657" s="42" t="str">
        <f t="shared" si="48"/>
        <v/>
      </c>
      <c r="O657" s="43" t="str">
        <f t="shared" si="49"/>
        <v/>
      </c>
      <c r="P657" s="42" t="str">
        <f t="shared" si="50"/>
        <v/>
      </c>
    </row>
    <row r="658" spans="1:16" ht="17">
      <c r="A658" s="6"/>
      <c r="B658" s="95" t="str">
        <f t="shared" si="46"/>
        <v/>
      </c>
      <c r="C658" s="97"/>
      <c r="D658" s="95"/>
      <c r="E658" s="96"/>
      <c r="F658" s="96"/>
      <c r="G658" s="99"/>
      <c r="H658" s="95"/>
      <c r="I658" s="95"/>
      <c r="J658" s="95"/>
      <c r="K658" s="95"/>
      <c r="L658" s="96"/>
      <c r="M658" s="42" t="str">
        <f t="shared" si="47"/>
        <v/>
      </c>
      <c r="N658" s="42" t="str">
        <f t="shared" si="48"/>
        <v/>
      </c>
      <c r="O658" s="43" t="str">
        <f t="shared" si="49"/>
        <v/>
      </c>
      <c r="P658" s="42" t="str">
        <f t="shared" si="50"/>
        <v/>
      </c>
    </row>
    <row r="659" spans="1:16" ht="17">
      <c r="A659" s="6"/>
      <c r="B659" s="95" t="str">
        <f t="shared" si="46"/>
        <v/>
      </c>
      <c r="C659" s="97"/>
      <c r="D659" s="95"/>
      <c r="E659" s="96"/>
      <c r="F659" s="96"/>
      <c r="G659" s="99"/>
      <c r="H659" s="95"/>
      <c r="I659" s="95"/>
      <c r="J659" s="95"/>
      <c r="K659" s="95"/>
      <c r="L659" s="96"/>
      <c r="M659" s="42" t="str">
        <f t="shared" si="47"/>
        <v/>
      </c>
      <c r="N659" s="42" t="str">
        <f t="shared" si="48"/>
        <v/>
      </c>
      <c r="O659" s="43" t="str">
        <f t="shared" si="49"/>
        <v/>
      </c>
      <c r="P659" s="42" t="str">
        <f t="shared" si="50"/>
        <v/>
      </c>
    </row>
    <row r="660" spans="1:16" ht="17">
      <c r="A660" s="6"/>
      <c r="B660" s="95" t="str">
        <f t="shared" si="46"/>
        <v/>
      </c>
      <c r="C660" s="97"/>
      <c r="D660" s="95"/>
      <c r="E660" s="96"/>
      <c r="F660" s="96"/>
      <c r="G660" s="99"/>
      <c r="H660" s="95"/>
      <c r="I660" s="95"/>
      <c r="J660" s="95"/>
      <c r="K660" s="95"/>
      <c r="L660" s="96"/>
      <c r="M660" s="42" t="str">
        <f t="shared" si="47"/>
        <v/>
      </c>
      <c r="N660" s="42" t="str">
        <f t="shared" si="48"/>
        <v/>
      </c>
      <c r="O660" s="43" t="str">
        <f t="shared" si="49"/>
        <v/>
      </c>
      <c r="P660" s="42" t="str">
        <f t="shared" si="50"/>
        <v/>
      </c>
    </row>
    <row r="661" spans="1:16" ht="17">
      <c r="A661" s="6"/>
      <c r="B661" s="95" t="str">
        <f t="shared" si="46"/>
        <v/>
      </c>
      <c r="C661" s="97"/>
      <c r="D661" s="95"/>
      <c r="E661" s="96"/>
      <c r="F661" s="96"/>
      <c r="G661" s="99"/>
      <c r="H661" s="95"/>
      <c r="I661" s="95"/>
      <c r="J661" s="95"/>
      <c r="K661" s="95"/>
      <c r="L661" s="96"/>
      <c r="M661" s="42" t="str">
        <f t="shared" si="47"/>
        <v/>
      </c>
      <c r="N661" s="42" t="str">
        <f t="shared" si="48"/>
        <v/>
      </c>
      <c r="O661" s="43" t="str">
        <f t="shared" si="49"/>
        <v/>
      </c>
      <c r="P661" s="42" t="str">
        <f t="shared" si="50"/>
        <v/>
      </c>
    </row>
    <row r="662" spans="1:16" ht="17">
      <c r="A662" s="6"/>
      <c r="B662" s="95" t="str">
        <f t="shared" si="46"/>
        <v/>
      </c>
      <c r="C662" s="97"/>
      <c r="D662" s="95"/>
      <c r="E662" s="96"/>
      <c r="F662" s="96"/>
      <c r="G662" s="99"/>
      <c r="H662" s="95"/>
      <c r="I662" s="95"/>
      <c r="J662" s="95"/>
      <c r="K662" s="95"/>
      <c r="L662" s="96"/>
      <c r="M662" s="42" t="str">
        <f t="shared" si="47"/>
        <v/>
      </c>
      <c r="N662" s="42" t="str">
        <f t="shared" si="48"/>
        <v/>
      </c>
      <c r="O662" s="43" t="str">
        <f t="shared" si="49"/>
        <v/>
      </c>
      <c r="P662" s="42" t="str">
        <f t="shared" si="50"/>
        <v/>
      </c>
    </row>
    <row r="663" spans="1:16" ht="17">
      <c r="A663" s="6"/>
      <c r="B663" s="95" t="str">
        <f t="shared" si="46"/>
        <v/>
      </c>
      <c r="C663" s="97"/>
      <c r="D663" s="95"/>
      <c r="E663" s="96"/>
      <c r="F663" s="96"/>
      <c r="G663" s="99"/>
      <c r="H663" s="95"/>
      <c r="I663" s="95"/>
      <c r="J663" s="95"/>
      <c r="K663" s="95"/>
      <c r="L663" s="96"/>
      <c r="M663" s="42" t="str">
        <f t="shared" si="47"/>
        <v/>
      </c>
      <c r="N663" s="42" t="str">
        <f t="shared" si="48"/>
        <v/>
      </c>
      <c r="O663" s="43" t="str">
        <f t="shared" si="49"/>
        <v/>
      </c>
      <c r="P663" s="42" t="str">
        <f t="shared" si="50"/>
        <v/>
      </c>
    </row>
    <row r="664" spans="1:16" ht="17">
      <c r="A664" s="6"/>
      <c r="B664" s="95" t="str">
        <f t="shared" si="46"/>
        <v/>
      </c>
      <c r="C664" s="97"/>
      <c r="D664" s="95"/>
      <c r="E664" s="96"/>
      <c r="F664" s="96"/>
      <c r="G664" s="99"/>
      <c r="H664" s="95"/>
      <c r="I664" s="95"/>
      <c r="J664" s="95"/>
      <c r="K664" s="95"/>
      <c r="L664" s="96"/>
      <c r="M664" s="42" t="str">
        <f t="shared" si="47"/>
        <v/>
      </c>
      <c r="N664" s="42" t="str">
        <f t="shared" si="48"/>
        <v/>
      </c>
      <c r="O664" s="43" t="str">
        <f t="shared" si="49"/>
        <v/>
      </c>
      <c r="P664" s="42" t="str">
        <f t="shared" si="50"/>
        <v/>
      </c>
    </row>
    <row r="665" spans="1:16" ht="17">
      <c r="A665" s="6"/>
      <c r="B665" s="95" t="str">
        <f t="shared" si="46"/>
        <v/>
      </c>
      <c r="C665" s="97"/>
      <c r="D665" s="95"/>
      <c r="E665" s="96"/>
      <c r="F665" s="96"/>
      <c r="G665" s="99"/>
      <c r="H665" s="95"/>
      <c r="I665" s="95"/>
      <c r="J665" s="95"/>
      <c r="K665" s="95"/>
      <c r="L665" s="96"/>
      <c r="M665" s="42" t="str">
        <f t="shared" si="47"/>
        <v/>
      </c>
      <c r="N665" s="42" t="str">
        <f t="shared" si="48"/>
        <v/>
      </c>
      <c r="O665" s="43" t="str">
        <f t="shared" si="49"/>
        <v/>
      </c>
      <c r="P665" s="42" t="str">
        <f t="shared" si="50"/>
        <v/>
      </c>
    </row>
    <row r="666" spans="1:16" ht="17">
      <c r="A666" s="6"/>
      <c r="B666" s="95" t="str">
        <f t="shared" si="46"/>
        <v/>
      </c>
      <c r="C666" s="97"/>
      <c r="D666" s="95"/>
      <c r="E666" s="96"/>
      <c r="F666" s="96"/>
      <c r="G666" s="99"/>
      <c r="H666" s="95"/>
      <c r="I666" s="95"/>
      <c r="J666" s="95"/>
      <c r="K666" s="95"/>
      <c r="L666" s="96"/>
      <c r="M666" s="42" t="str">
        <f t="shared" si="47"/>
        <v/>
      </c>
      <c r="N666" s="42" t="str">
        <f t="shared" si="48"/>
        <v/>
      </c>
      <c r="O666" s="43" t="str">
        <f t="shared" si="49"/>
        <v/>
      </c>
      <c r="P666" s="42" t="str">
        <f t="shared" si="50"/>
        <v/>
      </c>
    </row>
    <row r="667" spans="1:16" ht="17">
      <c r="A667" s="6"/>
      <c r="B667" s="95" t="str">
        <f t="shared" si="46"/>
        <v/>
      </c>
      <c r="C667" s="97"/>
      <c r="D667" s="95"/>
      <c r="E667" s="96"/>
      <c r="F667" s="96"/>
      <c r="G667" s="99"/>
      <c r="H667" s="95"/>
      <c r="I667" s="95"/>
      <c r="J667" s="95"/>
      <c r="K667" s="95"/>
      <c r="L667" s="96"/>
      <c r="M667" s="42" t="str">
        <f t="shared" si="47"/>
        <v/>
      </c>
      <c r="N667" s="42" t="str">
        <f t="shared" si="48"/>
        <v/>
      </c>
      <c r="O667" s="43" t="str">
        <f t="shared" si="49"/>
        <v/>
      </c>
      <c r="P667" s="42" t="str">
        <f t="shared" si="50"/>
        <v/>
      </c>
    </row>
    <row r="668" spans="1:16" ht="17">
      <c r="A668" s="6"/>
      <c r="B668" s="95" t="str">
        <f t="shared" si="46"/>
        <v/>
      </c>
      <c r="C668" s="97"/>
      <c r="D668" s="95"/>
      <c r="E668" s="96"/>
      <c r="F668" s="96"/>
      <c r="G668" s="99"/>
      <c r="H668" s="95"/>
      <c r="I668" s="95"/>
      <c r="J668" s="95"/>
      <c r="K668" s="95"/>
      <c r="L668" s="96"/>
      <c r="M668" s="42" t="str">
        <f t="shared" si="47"/>
        <v/>
      </c>
      <c r="N668" s="42" t="str">
        <f t="shared" si="48"/>
        <v/>
      </c>
      <c r="O668" s="43" t="str">
        <f t="shared" si="49"/>
        <v/>
      </c>
      <c r="P668" s="42" t="str">
        <f t="shared" si="50"/>
        <v/>
      </c>
    </row>
    <row r="669" spans="1:16" ht="17">
      <c r="A669" s="6"/>
      <c r="B669" s="95" t="str">
        <f t="shared" si="46"/>
        <v/>
      </c>
      <c r="C669" s="97"/>
      <c r="D669" s="95"/>
      <c r="E669" s="96"/>
      <c r="F669" s="96"/>
      <c r="G669" s="99"/>
      <c r="H669" s="95"/>
      <c r="I669" s="95"/>
      <c r="J669" s="95"/>
      <c r="K669" s="95"/>
      <c r="L669" s="96"/>
      <c r="M669" s="42" t="str">
        <f t="shared" si="47"/>
        <v/>
      </c>
      <c r="N669" s="42" t="str">
        <f t="shared" si="48"/>
        <v/>
      </c>
      <c r="O669" s="43" t="str">
        <f t="shared" si="49"/>
        <v/>
      </c>
      <c r="P669" s="42" t="str">
        <f t="shared" si="50"/>
        <v/>
      </c>
    </row>
    <row r="670" spans="1:16" ht="17">
      <c r="A670" s="6"/>
      <c r="B670" s="95" t="str">
        <f t="shared" si="46"/>
        <v/>
      </c>
      <c r="C670" s="97"/>
      <c r="D670" s="95"/>
      <c r="E670" s="96"/>
      <c r="F670" s="96"/>
      <c r="G670" s="99"/>
      <c r="H670" s="95"/>
      <c r="I670" s="95"/>
      <c r="J670" s="95"/>
      <c r="K670" s="95"/>
      <c r="L670" s="96"/>
      <c r="M670" s="42" t="str">
        <f t="shared" si="47"/>
        <v/>
      </c>
      <c r="N670" s="42" t="str">
        <f t="shared" si="48"/>
        <v/>
      </c>
      <c r="O670" s="43" t="str">
        <f t="shared" si="49"/>
        <v/>
      </c>
      <c r="P670" s="42" t="str">
        <f t="shared" si="50"/>
        <v/>
      </c>
    </row>
    <row r="671" spans="1:16" ht="17">
      <c r="A671" s="6"/>
      <c r="B671" s="95" t="str">
        <f t="shared" si="46"/>
        <v/>
      </c>
      <c r="C671" s="97"/>
      <c r="D671" s="95"/>
      <c r="E671" s="96"/>
      <c r="F671" s="96"/>
      <c r="G671" s="99"/>
      <c r="H671" s="95"/>
      <c r="I671" s="95"/>
      <c r="J671" s="95"/>
      <c r="K671" s="95"/>
      <c r="L671" s="96"/>
      <c r="M671" s="42" t="str">
        <f t="shared" si="47"/>
        <v/>
      </c>
      <c r="N671" s="42" t="str">
        <f t="shared" si="48"/>
        <v/>
      </c>
      <c r="O671" s="43" t="str">
        <f t="shared" si="49"/>
        <v/>
      </c>
      <c r="P671" s="42" t="str">
        <f t="shared" si="50"/>
        <v/>
      </c>
    </row>
    <row r="672" spans="1:16" ht="17">
      <c r="A672" s="6"/>
      <c r="B672" s="95" t="str">
        <f t="shared" si="46"/>
        <v/>
      </c>
      <c r="C672" s="97"/>
      <c r="D672" s="95"/>
      <c r="E672" s="96"/>
      <c r="F672" s="96"/>
      <c r="G672" s="99"/>
      <c r="H672" s="95"/>
      <c r="I672" s="95"/>
      <c r="J672" s="95"/>
      <c r="K672" s="95"/>
      <c r="L672" s="96"/>
      <c r="M672" s="42" t="str">
        <f t="shared" si="47"/>
        <v/>
      </c>
      <c r="N672" s="42" t="str">
        <f t="shared" si="48"/>
        <v/>
      </c>
      <c r="O672" s="43" t="str">
        <f t="shared" si="49"/>
        <v/>
      </c>
      <c r="P672" s="42" t="str">
        <f t="shared" si="50"/>
        <v/>
      </c>
    </row>
    <row r="673" spans="1:16" ht="17">
      <c r="A673" s="6"/>
      <c r="B673" s="95" t="str">
        <f t="shared" si="46"/>
        <v/>
      </c>
      <c r="C673" s="97"/>
      <c r="D673" s="95"/>
      <c r="E673" s="96"/>
      <c r="F673" s="96"/>
      <c r="G673" s="99"/>
      <c r="H673" s="95"/>
      <c r="I673" s="95"/>
      <c r="J673" s="95"/>
      <c r="K673" s="95"/>
      <c r="L673" s="96"/>
      <c r="M673" s="42" t="str">
        <f t="shared" si="47"/>
        <v/>
      </c>
      <c r="N673" s="42" t="str">
        <f t="shared" si="48"/>
        <v/>
      </c>
      <c r="O673" s="43" t="str">
        <f t="shared" si="49"/>
        <v/>
      </c>
      <c r="P673" s="42" t="str">
        <f t="shared" si="50"/>
        <v/>
      </c>
    </row>
    <row r="674" spans="1:16" ht="17">
      <c r="A674" s="6"/>
      <c r="B674" s="95" t="str">
        <f t="shared" ref="B674:B737" si="51">IF(C674="","","GG"&amp;TEXT(ROW()-6,"00000"))</f>
        <v/>
      </c>
      <c r="C674" s="97"/>
      <c r="D674" s="95"/>
      <c r="E674" s="96"/>
      <c r="F674" s="96"/>
      <c r="G674" s="99"/>
      <c r="H674" s="95"/>
      <c r="I674" s="95"/>
      <c r="J674" s="95"/>
      <c r="K674" s="95"/>
      <c r="L674" s="96"/>
      <c r="M674" s="42" t="str">
        <f t="shared" si="47"/>
        <v/>
      </c>
      <c r="N674" s="42" t="str">
        <f t="shared" si="48"/>
        <v/>
      </c>
      <c r="O674" s="43" t="str">
        <f t="shared" si="49"/>
        <v/>
      </c>
      <c r="P674" s="42" t="str">
        <f t="shared" si="50"/>
        <v/>
      </c>
    </row>
    <row r="675" spans="1:16" ht="17">
      <c r="A675" s="6"/>
      <c r="B675" s="95" t="str">
        <f t="shared" si="51"/>
        <v/>
      </c>
      <c r="C675" s="97"/>
      <c r="D675" s="95"/>
      <c r="E675" s="96"/>
      <c r="F675" s="96"/>
      <c r="G675" s="99"/>
      <c r="H675" s="95"/>
      <c r="I675" s="95"/>
      <c r="J675" s="95"/>
      <c r="K675" s="95"/>
      <c r="L675" s="96"/>
      <c r="M675" s="42" t="str">
        <f t="shared" si="47"/>
        <v/>
      </c>
      <c r="N675" s="42" t="str">
        <f t="shared" si="48"/>
        <v/>
      </c>
      <c r="O675" s="43" t="str">
        <f t="shared" si="49"/>
        <v/>
      </c>
      <c r="P675" s="42" t="str">
        <f t="shared" si="50"/>
        <v/>
      </c>
    </row>
    <row r="676" spans="1:16" ht="17">
      <c r="A676" s="6"/>
      <c r="B676" s="95" t="str">
        <f t="shared" si="51"/>
        <v/>
      </c>
      <c r="C676" s="97"/>
      <c r="D676" s="95"/>
      <c r="E676" s="96"/>
      <c r="F676" s="96"/>
      <c r="G676" s="99"/>
      <c r="H676" s="95"/>
      <c r="I676" s="95"/>
      <c r="J676" s="95"/>
      <c r="K676" s="95"/>
      <c r="L676" s="96"/>
      <c r="M676" s="42" t="str">
        <f t="shared" si="47"/>
        <v/>
      </c>
      <c r="N676" s="42" t="str">
        <f t="shared" si="48"/>
        <v/>
      </c>
      <c r="O676" s="43" t="str">
        <f t="shared" si="49"/>
        <v/>
      </c>
      <c r="P676" s="42" t="str">
        <f t="shared" si="50"/>
        <v/>
      </c>
    </row>
    <row r="677" spans="1:16" ht="17">
      <c r="A677" s="6"/>
      <c r="B677" s="95" t="str">
        <f t="shared" si="51"/>
        <v/>
      </c>
      <c r="C677" s="97"/>
      <c r="D677" s="95"/>
      <c r="E677" s="96"/>
      <c r="F677" s="96"/>
      <c r="G677" s="99"/>
      <c r="H677" s="95"/>
      <c r="I677" s="95"/>
      <c r="J677" s="95"/>
      <c r="K677" s="95"/>
      <c r="L677" s="96"/>
      <c r="M677" s="42" t="str">
        <f t="shared" si="47"/>
        <v/>
      </c>
      <c r="N677" s="42" t="str">
        <f t="shared" si="48"/>
        <v/>
      </c>
      <c r="O677" s="43" t="str">
        <f t="shared" si="49"/>
        <v/>
      </c>
      <c r="P677" s="42" t="str">
        <f t="shared" si="50"/>
        <v/>
      </c>
    </row>
    <row r="678" spans="1:16" ht="17">
      <c r="A678" s="6"/>
      <c r="B678" s="95" t="str">
        <f t="shared" si="51"/>
        <v/>
      </c>
      <c r="C678" s="97"/>
      <c r="D678" s="95"/>
      <c r="E678" s="96"/>
      <c r="F678" s="96"/>
      <c r="G678" s="99"/>
      <c r="H678" s="95"/>
      <c r="I678" s="95"/>
      <c r="J678" s="95"/>
      <c r="K678" s="95"/>
      <c r="L678" s="96"/>
      <c r="M678" s="42" t="str">
        <f t="shared" si="47"/>
        <v/>
      </c>
      <c r="N678" s="42" t="str">
        <f t="shared" si="48"/>
        <v/>
      </c>
      <c r="O678" s="43" t="str">
        <f t="shared" si="49"/>
        <v/>
      </c>
      <c r="P678" s="42" t="str">
        <f t="shared" si="50"/>
        <v/>
      </c>
    </row>
    <row r="679" spans="1:16" ht="17">
      <c r="A679" s="6"/>
      <c r="B679" s="95" t="str">
        <f t="shared" si="51"/>
        <v/>
      </c>
      <c r="C679" s="97"/>
      <c r="D679" s="95"/>
      <c r="E679" s="96"/>
      <c r="F679" s="96"/>
      <c r="G679" s="99"/>
      <c r="H679" s="95"/>
      <c r="I679" s="95"/>
      <c r="J679" s="95"/>
      <c r="K679" s="95"/>
      <c r="L679" s="96"/>
      <c r="M679" s="42" t="str">
        <f t="shared" si="47"/>
        <v/>
      </c>
      <c r="N679" s="42" t="str">
        <f t="shared" si="48"/>
        <v/>
      </c>
      <c r="O679" s="43" t="str">
        <f t="shared" si="49"/>
        <v/>
      </c>
      <c r="P679" s="42" t="str">
        <f t="shared" si="50"/>
        <v/>
      </c>
    </row>
    <row r="680" spans="1:16" ht="17">
      <c r="A680" s="6"/>
      <c r="B680" s="95" t="str">
        <f t="shared" si="51"/>
        <v/>
      </c>
      <c r="C680" s="97"/>
      <c r="D680" s="95"/>
      <c r="E680" s="96"/>
      <c r="F680" s="96"/>
      <c r="G680" s="99"/>
      <c r="H680" s="95"/>
      <c r="I680" s="95"/>
      <c r="J680" s="95"/>
      <c r="K680" s="95"/>
      <c r="L680" s="96"/>
      <c r="M680" s="42" t="str">
        <f t="shared" si="47"/>
        <v/>
      </c>
      <c r="N680" s="42" t="str">
        <f t="shared" si="48"/>
        <v/>
      </c>
      <c r="O680" s="43" t="str">
        <f t="shared" si="49"/>
        <v/>
      </c>
      <c r="P680" s="42" t="str">
        <f t="shared" si="50"/>
        <v/>
      </c>
    </row>
    <row r="681" spans="1:16" ht="17">
      <c r="A681" s="6"/>
      <c r="B681" s="95" t="str">
        <f t="shared" si="51"/>
        <v/>
      </c>
      <c r="C681" s="97"/>
      <c r="D681" s="95"/>
      <c r="E681" s="96"/>
      <c r="F681" s="96"/>
      <c r="G681" s="99"/>
      <c r="H681" s="95"/>
      <c r="I681" s="95"/>
      <c r="J681" s="95"/>
      <c r="K681" s="95"/>
      <c r="L681" s="96"/>
      <c r="M681" s="42" t="str">
        <f t="shared" si="47"/>
        <v/>
      </c>
      <c r="N681" s="42" t="str">
        <f t="shared" si="48"/>
        <v/>
      </c>
      <c r="O681" s="43" t="str">
        <f t="shared" si="49"/>
        <v/>
      </c>
      <c r="P681" s="42" t="str">
        <f t="shared" si="50"/>
        <v/>
      </c>
    </row>
    <row r="682" spans="1:16" ht="17">
      <c r="A682" s="6"/>
      <c r="B682" s="95" t="str">
        <f t="shared" si="51"/>
        <v/>
      </c>
      <c r="C682" s="97"/>
      <c r="D682" s="95"/>
      <c r="E682" s="96"/>
      <c r="F682" s="96"/>
      <c r="G682" s="99"/>
      <c r="H682" s="95"/>
      <c r="I682" s="95"/>
      <c r="J682" s="95"/>
      <c r="K682" s="95"/>
      <c r="L682" s="96"/>
      <c r="M682" s="42" t="str">
        <f t="shared" si="47"/>
        <v/>
      </c>
      <c r="N682" s="42" t="str">
        <f t="shared" si="48"/>
        <v/>
      </c>
      <c r="O682" s="43" t="str">
        <f t="shared" si="49"/>
        <v/>
      </c>
      <c r="P682" s="42" t="str">
        <f t="shared" si="50"/>
        <v/>
      </c>
    </row>
    <row r="683" spans="1:16" ht="17">
      <c r="A683" s="6"/>
      <c r="B683" s="95" t="str">
        <f t="shared" si="51"/>
        <v/>
      </c>
      <c r="C683" s="97"/>
      <c r="D683" s="95"/>
      <c r="E683" s="96"/>
      <c r="F683" s="96"/>
      <c r="G683" s="99"/>
      <c r="H683" s="95"/>
      <c r="I683" s="95"/>
      <c r="J683" s="95"/>
      <c r="K683" s="95"/>
      <c r="L683" s="96"/>
      <c r="M683" s="42" t="str">
        <f t="shared" si="47"/>
        <v/>
      </c>
      <c r="N683" s="42" t="str">
        <f t="shared" si="48"/>
        <v/>
      </c>
      <c r="O683" s="43" t="str">
        <f t="shared" si="49"/>
        <v/>
      </c>
      <c r="P683" s="42" t="str">
        <f t="shared" si="50"/>
        <v/>
      </c>
    </row>
    <row r="684" spans="1:16" ht="17">
      <c r="A684" s="6"/>
      <c r="B684" s="95" t="str">
        <f t="shared" si="51"/>
        <v/>
      </c>
      <c r="C684" s="97"/>
      <c r="D684" s="95"/>
      <c r="E684" s="96"/>
      <c r="F684" s="96"/>
      <c r="G684" s="99"/>
      <c r="H684" s="95"/>
      <c r="I684" s="95"/>
      <c r="J684" s="95"/>
      <c r="K684" s="95"/>
      <c r="L684" s="96"/>
      <c r="M684" s="42" t="str">
        <f t="shared" si="47"/>
        <v/>
      </c>
      <c r="N684" s="42" t="str">
        <f t="shared" si="48"/>
        <v/>
      </c>
      <c r="O684" s="43" t="str">
        <f t="shared" si="49"/>
        <v/>
      </c>
      <c r="P684" s="42" t="str">
        <f t="shared" si="50"/>
        <v/>
      </c>
    </row>
    <row r="685" spans="1:16" ht="17">
      <c r="A685" s="6"/>
      <c r="B685" s="95" t="str">
        <f t="shared" si="51"/>
        <v/>
      </c>
      <c r="C685" s="97"/>
      <c r="D685" s="95"/>
      <c r="E685" s="96"/>
      <c r="F685" s="96"/>
      <c r="G685" s="99"/>
      <c r="H685" s="95"/>
      <c r="I685" s="95"/>
      <c r="J685" s="95"/>
      <c r="K685" s="95"/>
      <c r="L685" s="96"/>
      <c r="M685" s="42" t="str">
        <f t="shared" si="47"/>
        <v/>
      </c>
      <c r="N685" s="42" t="str">
        <f t="shared" si="48"/>
        <v/>
      </c>
      <c r="O685" s="43" t="str">
        <f t="shared" si="49"/>
        <v/>
      </c>
      <c r="P685" s="42" t="str">
        <f t="shared" si="50"/>
        <v/>
      </c>
    </row>
    <row r="686" spans="1:16" ht="17">
      <c r="A686" s="6"/>
      <c r="B686" s="95" t="str">
        <f t="shared" si="51"/>
        <v/>
      </c>
      <c r="C686" s="97"/>
      <c r="D686" s="95"/>
      <c r="E686" s="96"/>
      <c r="F686" s="96"/>
      <c r="G686" s="99"/>
      <c r="H686" s="95"/>
      <c r="I686" s="95"/>
      <c r="J686" s="95"/>
      <c r="K686" s="95"/>
      <c r="L686" s="96"/>
      <c r="M686" s="42" t="str">
        <f t="shared" si="47"/>
        <v/>
      </c>
      <c r="N686" s="42" t="str">
        <f t="shared" si="48"/>
        <v/>
      </c>
      <c r="O686" s="43" t="str">
        <f t="shared" si="49"/>
        <v/>
      </c>
      <c r="P686" s="42" t="str">
        <f t="shared" si="50"/>
        <v/>
      </c>
    </row>
    <row r="687" spans="1:16" ht="17">
      <c r="A687" s="6"/>
      <c r="B687" s="95" t="str">
        <f t="shared" si="51"/>
        <v/>
      </c>
      <c r="C687" s="97"/>
      <c r="D687" s="95"/>
      <c r="E687" s="96"/>
      <c r="F687" s="96"/>
      <c r="G687" s="99"/>
      <c r="H687" s="95"/>
      <c r="I687" s="95"/>
      <c r="J687" s="95"/>
      <c r="K687" s="95"/>
      <c r="L687" s="96"/>
      <c r="M687" s="42" t="str">
        <f t="shared" si="47"/>
        <v/>
      </c>
      <c r="N687" s="42" t="str">
        <f t="shared" si="48"/>
        <v/>
      </c>
      <c r="O687" s="43" t="str">
        <f t="shared" si="49"/>
        <v/>
      </c>
      <c r="P687" s="42" t="str">
        <f t="shared" si="50"/>
        <v/>
      </c>
    </row>
    <row r="688" spans="1:16" ht="17">
      <c r="A688" s="6"/>
      <c r="B688" s="95" t="str">
        <f t="shared" si="51"/>
        <v/>
      </c>
      <c r="C688" s="97"/>
      <c r="D688" s="95"/>
      <c r="E688" s="96"/>
      <c r="F688" s="96"/>
      <c r="G688" s="99"/>
      <c r="H688" s="95"/>
      <c r="I688" s="95"/>
      <c r="J688" s="95"/>
      <c r="K688" s="95"/>
      <c r="L688" s="96"/>
      <c r="M688" s="42" t="str">
        <f t="shared" si="47"/>
        <v/>
      </c>
      <c r="N688" s="42" t="str">
        <f t="shared" si="48"/>
        <v/>
      </c>
      <c r="O688" s="43" t="str">
        <f t="shared" si="49"/>
        <v/>
      </c>
      <c r="P688" s="42" t="str">
        <f t="shared" si="50"/>
        <v/>
      </c>
    </row>
    <row r="689" spans="1:16" ht="17">
      <c r="A689" s="6"/>
      <c r="B689" s="95" t="str">
        <f t="shared" si="51"/>
        <v/>
      </c>
      <c r="C689" s="97"/>
      <c r="D689" s="95"/>
      <c r="E689" s="96"/>
      <c r="F689" s="96"/>
      <c r="G689" s="99"/>
      <c r="H689" s="95"/>
      <c r="I689" s="95"/>
      <c r="J689" s="95"/>
      <c r="K689" s="95"/>
      <c r="L689" s="96"/>
      <c r="M689" s="42" t="str">
        <f t="shared" si="47"/>
        <v/>
      </c>
      <c r="N689" s="42" t="str">
        <f t="shared" si="48"/>
        <v/>
      </c>
      <c r="O689" s="43" t="str">
        <f t="shared" si="49"/>
        <v/>
      </c>
      <c r="P689" s="42" t="str">
        <f t="shared" si="50"/>
        <v/>
      </c>
    </row>
    <row r="690" spans="1:16" ht="17">
      <c r="A690" s="6"/>
      <c r="B690" s="95" t="str">
        <f t="shared" si="51"/>
        <v/>
      </c>
      <c r="C690" s="97"/>
      <c r="D690" s="95"/>
      <c r="E690" s="96"/>
      <c r="F690" s="96"/>
      <c r="G690" s="99"/>
      <c r="H690" s="95"/>
      <c r="I690" s="95"/>
      <c r="J690" s="95"/>
      <c r="K690" s="95"/>
      <c r="L690" s="96"/>
      <c r="M690" s="42" t="str">
        <f t="shared" si="47"/>
        <v/>
      </c>
      <c r="N690" s="42" t="str">
        <f t="shared" si="48"/>
        <v/>
      </c>
      <c r="O690" s="43" t="str">
        <f t="shared" si="49"/>
        <v/>
      </c>
      <c r="P690" s="42" t="str">
        <f t="shared" si="50"/>
        <v/>
      </c>
    </row>
    <row r="691" spans="1:16" ht="17">
      <c r="A691" s="6"/>
      <c r="B691" s="95" t="str">
        <f t="shared" si="51"/>
        <v/>
      </c>
      <c r="C691" s="97"/>
      <c r="D691" s="95"/>
      <c r="E691" s="96"/>
      <c r="F691" s="96"/>
      <c r="G691" s="99"/>
      <c r="H691" s="95"/>
      <c r="I691" s="95"/>
      <c r="J691" s="95"/>
      <c r="K691" s="95"/>
      <c r="L691" s="96"/>
      <c r="M691" s="42" t="str">
        <f t="shared" si="47"/>
        <v/>
      </c>
      <c r="N691" s="42" t="str">
        <f t="shared" si="48"/>
        <v/>
      </c>
      <c r="O691" s="43" t="str">
        <f t="shared" si="49"/>
        <v/>
      </c>
      <c r="P691" s="42" t="str">
        <f t="shared" si="50"/>
        <v/>
      </c>
    </row>
    <row r="692" spans="1:16" ht="17">
      <c r="A692" s="6"/>
      <c r="B692" s="95" t="str">
        <f t="shared" si="51"/>
        <v/>
      </c>
      <c r="C692" s="97"/>
      <c r="D692" s="95"/>
      <c r="E692" s="96"/>
      <c r="F692" s="96"/>
      <c r="G692" s="99"/>
      <c r="H692" s="95"/>
      <c r="I692" s="95"/>
      <c r="J692" s="95"/>
      <c r="K692" s="95"/>
      <c r="L692" s="96"/>
      <c r="M692" s="42" t="str">
        <f t="shared" si="47"/>
        <v/>
      </c>
      <c r="N692" s="42" t="str">
        <f t="shared" si="48"/>
        <v/>
      </c>
      <c r="O692" s="43" t="str">
        <f t="shared" si="49"/>
        <v/>
      </c>
      <c r="P692" s="42" t="str">
        <f t="shared" si="50"/>
        <v/>
      </c>
    </row>
    <row r="693" spans="1:16" ht="17">
      <c r="A693" s="6"/>
      <c r="B693" s="95" t="str">
        <f t="shared" si="51"/>
        <v/>
      </c>
      <c r="C693" s="97"/>
      <c r="D693" s="95"/>
      <c r="E693" s="96"/>
      <c r="F693" s="96"/>
      <c r="G693" s="99"/>
      <c r="H693" s="95"/>
      <c r="I693" s="95"/>
      <c r="J693" s="95"/>
      <c r="K693" s="95"/>
      <c r="L693" s="96"/>
      <c r="M693" s="42" t="str">
        <f t="shared" si="47"/>
        <v/>
      </c>
      <c r="N693" s="42" t="str">
        <f t="shared" si="48"/>
        <v/>
      </c>
      <c r="O693" s="43" t="str">
        <f t="shared" si="49"/>
        <v/>
      </c>
      <c r="P693" s="42" t="str">
        <f t="shared" si="50"/>
        <v/>
      </c>
    </row>
    <row r="694" spans="1:16" ht="17">
      <c r="A694" s="6"/>
      <c r="B694" s="95" t="str">
        <f t="shared" si="51"/>
        <v/>
      </c>
      <c r="C694" s="97"/>
      <c r="D694" s="95"/>
      <c r="E694" s="96"/>
      <c r="F694" s="96"/>
      <c r="G694" s="99"/>
      <c r="H694" s="95"/>
      <c r="I694" s="95"/>
      <c r="J694" s="95"/>
      <c r="K694" s="95"/>
      <c r="L694" s="96"/>
      <c r="M694" s="42" t="str">
        <f t="shared" si="47"/>
        <v/>
      </c>
      <c r="N694" s="42" t="str">
        <f t="shared" si="48"/>
        <v/>
      </c>
      <c r="O694" s="43" t="str">
        <f t="shared" si="49"/>
        <v/>
      </c>
      <c r="P694" s="42" t="str">
        <f t="shared" si="50"/>
        <v/>
      </c>
    </row>
    <row r="695" spans="1:16" ht="17">
      <c r="A695" s="6"/>
      <c r="B695" s="95" t="str">
        <f t="shared" si="51"/>
        <v/>
      </c>
      <c r="C695" s="97"/>
      <c r="D695" s="95"/>
      <c r="E695" s="96"/>
      <c r="F695" s="96"/>
      <c r="G695" s="99"/>
      <c r="H695" s="95"/>
      <c r="I695" s="95"/>
      <c r="J695" s="95"/>
      <c r="K695" s="95"/>
      <c r="L695" s="96"/>
      <c r="M695" s="42" t="str">
        <f t="shared" si="47"/>
        <v/>
      </c>
      <c r="N695" s="42" t="str">
        <f t="shared" si="48"/>
        <v/>
      </c>
      <c r="O695" s="43" t="str">
        <f t="shared" si="49"/>
        <v/>
      </c>
      <c r="P695" s="42" t="str">
        <f t="shared" si="50"/>
        <v/>
      </c>
    </row>
    <row r="696" spans="1:16" ht="17">
      <c r="A696" s="6"/>
      <c r="B696" s="95" t="str">
        <f t="shared" si="51"/>
        <v/>
      </c>
      <c r="C696" s="97"/>
      <c r="D696" s="95"/>
      <c r="E696" s="96"/>
      <c r="F696" s="96"/>
      <c r="G696" s="99"/>
      <c r="H696" s="95"/>
      <c r="I696" s="95"/>
      <c r="J696" s="95"/>
      <c r="K696" s="95"/>
      <c r="L696" s="96"/>
      <c r="M696" s="42" t="str">
        <f t="shared" si="47"/>
        <v/>
      </c>
      <c r="N696" s="42" t="str">
        <f t="shared" si="48"/>
        <v/>
      </c>
      <c r="O696" s="43" t="str">
        <f t="shared" si="49"/>
        <v/>
      </c>
      <c r="P696" s="42" t="str">
        <f t="shared" si="50"/>
        <v/>
      </c>
    </row>
    <row r="697" spans="1:16" ht="17">
      <c r="A697" s="6"/>
      <c r="B697" s="95" t="str">
        <f t="shared" si="51"/>
        <v/>
      </c>
      <c r="C697" s="97"/>
      <c r="D697" s="95"/>
      <c r="E697" s="96"/>
      <c r="F697" s="96"/>
      <c r="G697" s="99"/>
      <c r="H697" s="95"/>
      <c r="I697" s="95"/>
      <c r="J697" s="95"/>
      <c r="K697" s="95"/>
      <c r="L697" s="96"/>
      <c r="M697" s="42" t="str">
        <f t="shared" si="47"/>
        <v/>
      </c>
      <c r="N697" s="42" t="str">
        <f t="shared" si="48"/>
        <v/>
      </c>
      <c r="O697" s="43" t="str">
        <f t="shared" si="49"/>
        <v/>
      </c>
      <c r="P697" s="42" t="str">
        <f t="shared" si="50"/>
        <v/>
      </c>
    </row>
    <row r="698" spans="1:16" ht="17">
      <c r="A698" s="6"/>
      <c r="B698" s="95" t="str">
        <f t="shared" si="51"/>
        <v/>
      </c>
      <c r="C698" s="97"/>
      <c r="D698" s="95"/>
      <c r="E698" s="96"/>
      <c r="F698" s="96"/>
      <c r="G698" s="99"/>
      <c r="H698" s="95"/>
      <c r="I698" s="95"/>
      <c r="J698" s="95"/>
      <c r="K698" s="95"/>
      <c r="L698" s="96"/>
      <c r="M698" s="42" t="str">
        <f t="shared" si="47"/>
        <v/>
      </c>
      <c r="N698" s="42" t="str">
        <f t="shared" si="48"/>
        <v/>
      </c>
      <c r="O698" s="43" t="str">
        <f t="shared" si="49"/>
        <v/>
      </c>
      <c r="P698" s="42" t="str">
        <f t="shared" si="50"/>
        <v/>
      </c>
    </row>
    <row r="699" spans="1:16" ht="17">
      <c r="A699" s="6"/>
      <c r="B699" s="95" t="str">
        <f t="shared" si="51"/>
        <v/>
      </c>
      <c r="C699" s="97"/>
      <c r="D699" s="95"/>
      <c r="E699" s="96"/>
      <c r="F699" s="96"/>
      <c r="G699" s="99"/>
      <c r="H699" s="95"/>
      <c r="I699" s="95"/>
      <c r="J699" s="95"/>
      <c r="K699" s="95"/>
      <c r="L699" s="96"/>
      <c r="M699" s="42" t="str">
        <f t="shared" si="47"/>
        <v/>
      </c>
      <c r="N699" s="42" t="str">
        <f t="shared" si="48"/>
        <v/>
      </c>
      <c r="O699" s="43" t="str">
        <f t="shared" si="49"/>
        <v/>
      </c>
      <c r="P699" s="42" t="str">
        <f t="shared" si="50"/>
        <v/>
      </c>
    </row>
    <row r="700" spans="1:16" ht="17">
      <c r="A700" s="6"/>
      <c r="B700" s="95" t="str">
        <f t="shared" si="51"/>
        <v/>
      </c>
      <c r="C700" s="97"/>
      <c r="D700" s="95"/>
      <c r="E700" s="96"/>
      <c r="F700" s="96"/>
      <c r="G700" s="99"/>
      <c r="H700" s="95"/>
      <c r="I700" s="95"/>
      <c r="J700" s="95"/>
      <c r="K700" s="95"/>
      <c r="L700" s="96"/>
      <c r="M700" s="42" t="str">
        <f t="shared" si="47"/>
        <v/>
      </c>
      <c r="N700" s="42" t="str">
        <f t="shared" si="48"/>
        <v/>
      </c>
      <c r="O700" s="43" t="str">
        <f t="shared" si="49"/>
        <v/>
      </c>
      <c r="P700" s="42" t="str">
        <f t="shared" si="50"/>
        <v/>
      </c>
    </row>
    <row r="701" spans="1:16" ht="17">
      <c r="A701" s="6"/>
      <c r="B701" s="95" t="str">
        <f t="shared" si="51"/>
        <v/>
      </c>
      <c r="C701" s="97"/>
      <c r="D701" s="95"/>
      <c r="E701" s="96"/>
      <c r="F701" s="96"/>
      <c r="G701" s="99"/>
      <c r="H701" s="95"/>
      <c r="I701" s="95"/>
      <c r="J701" s="95"/>
      <c r="K701" s="95"/>
      <c r="L701" s="96"/>
      <c r="M701" s="42" t="str">
        <f t="shared" si="47"/>
        <v/>
      </c>
      <c r="N701" s="42" t="str">
        <f t="shared" si="48"/>
        <v/>
      </c>
      <c r="O701" s="43" t="str">
        <f t="shared" si="49"/>
        <v/>
      </c>
      <c r="P701" s="42" t="str">
        <f t="shared" si="50"/>
        <v/>
      </c>
    </row>
    <row r="702" spans="1:16" ht="17">
      <c r="A702" s="6"/>
      <c r="B702" s="95" t="str">
        <f t="shared" si="51"/>
        <v/>
      </c>
      <c r="C702" s="97"/>
      <c r="D702" s="95"/>
      <c r="E702" s="96"/>
      <c r="F702" s="96"/>
      <c r="G702" s="99"/>
      <c r="H702" s="95"/>
      <c r="I702" s="95"/>
      <c r="J702" s="95"/>
      <c r="K702" s="95"/>
      <c r="L702" s="96"/>
      <c r="M702" s="42" t="str">
        <f t="shared" si="47"/>
        <v/>
      </c>
      <c r="N702" s="42" t="str">
        <f t="shared" si="48"/>
        <v/>
      </c>
      <c r="O702" s="43" t="str">
        <f t="shared" si="49"/>
        <v/>
      </c>
      <c r="P702" s="42" t="str">
        <f t="shared" si="50"/>
        <v/>
      </c>
    </row>
    <row r="703" spans="1:16" ht="17">
      <c r="A703" s="6"/>
      <c r="B703" s="95" t="str">
        <f t="shared" si="51"/>
        <v/>
      </c>
      <c r="C703" s="97"/>
      <c r="D703" s="95"/>
      <c r="E703" s="96"/>
      <c r="F703" s="96"/>
      <c r="G703" s="99"/>
      <c r="H703" s="95"/>
      <c r="I703" s="95"/>
      <c r="J703" s="95"/>
      <c r="K703" s="95"/>
      <c r="L703" s="96"/>
      <c r="M703" s="42" t="str">
        <f t="shared" si="47"/>
        <v/>
      </c>
      <c r="N703" s="42" t="str">
        <f t="shared" si="48"/>
        <v/>
      </c>
      <c r="O703" s="43" t="str">
        <f t="shared" si="49"/>
        <v/>
      </c>
      <c r="P703" s="42" t="str">
        <f t="shared" si="50"/>
        <v/>
      </c>
    </row>
    <row r="704" spans="1:16" ht="17">
      <c r="A704" s="6"/>
      <c r="B704" s="95" t="str">
        <f t="shared" si="51"/>
        <v/>
      </c>
      <c r="C704" s="97"/>
      <c r="D704" s="95"/>
      <c r="E704" s="96"/>
      <c r="F704" s="96"/>
      <c r="G704" s="99"/>
      <c r="H704" s="95"/>
      <c r="I704" s="95"/>
      <c r="J704" s="95"/>
      <c r="K704" s="95"/>
      <c r="L704" s="96"/>
      <c r="M704" s="42" t="str">
        <f t="shared" si="47"/>
        <v/>
      </c>
      <c r="N704" s="42" t="str">
        <f t="shared" si="48"/>
        <v/>
      </c>
      <c r="O704" s="43" t="str">
        <f t="shared" si="49"/>
        <v/>
      </c>
      <c r="P704" s="42" t="str">
        <f t="shared" si="50"/>
        <v/>
      </c>
    </row>
    <row r="705" spans="1:16" ht="17">
      <c r="A705" s="6"/>
      <c r="B705" s="95" t="str">
        <f t="shared" si="51"/>
        <v/>
      </c>
      <c r="C705" s="97"/>
      <c r="D705" s="95"/>
      <c r="E705" s="96"/>
      <c r="F705" s="96"/>
      <c r="G705" s="99"/>
      <c r="H705" s="95"/>
      <c r="I705" s="95"/>
      <c r="J705" s="95"/>
      <c r="K705" s="95"/>
      <c r="L705" s="96"/>
      <c r="M705" s="42" t="str">
        <f t="shared" si="47"/>
        <v/>
      </c>
      <c r="N705" s="42" t="str">
        <f t="shared" si="48"/>
        <v/>
      </c>
      <c r="O705" s="43" t="str">
        <f t="shared" si="49"/>
        <v/>
      </c>
      <c r="P705" s="42" t="str">
        <f t="shared" si="50"/>
        <v/>
      </c>
    </row>
    <row r="706" spans="1:16" ht="17">
      <c r="A706" s="6"/>
      <c r="B706" s="95" t="str">
        <f t="shared" si="51"/>
        <v/>
      </c>
      <c r="C706" s="97"/>
      <c r="D706" s="95"/>
      <c r="E706" s="96"/>
      <c r="F706" s="96"/>
      <c r="G706" s="99"/>
      <c r="H706" s="95"/>
      <c r="I706" s="95"/>
      <c r="J706" s="95"/>
      <c r="K706" s="95"/>
      <c r="L706" s="96"/>
      <c r="M706" s="42" t="str">
        <f t="shared" si="47"/>
        <v/>
      </c>
      <c r="N706" s="42" t="str">
        <f t="shared" si="48"/>
        <v/>
      </c>
      <c r="O706" s="43" t="str">
        <f t="shared" si="49"/>
        <v/>
      </c>
      <c r="P706" s="42" t="str">
        <f t="shared" si="50"/>
        <v/>
      </c>
    </row>
    <row r="707" spans="1:16" ht="17">
      <c r="A707" s="6"/>
      <c r="B707" s="95" t="str">
        <f t="shared" si="51"/>
        <v/>
      </c>
      <c r="C707" s="97"/>
      <c r="D707" s="95"/>
      <c r="E707" s="96"/>
      <c r="F707" s="96"/>
      <c r="G707" s="99"/>
      <c r="H707" s="95"/>
      <c r="I707" s="95"/>
      <c r="J707" s="95"/>
      <c r="K707" s="95"/>
      <c r="L707" s="96"/>
      <c r="M707" s="42" t="str">
        <f t="shared" si="47"/>
        <v/>
      </c>
      <c r="N707" s="42" t="str">
        <f t="shared" si="48"/>
        <v/>
      </c>
      <c r="O707" s="43" t="str">
        <f t="shared" si="49"/>
        <v/>
      </c>
      <c r="P707" s="42" t="str">
        <f t="shared" si="50"/>
        <v/>
      </c>
    </row>
    <row r="708" spans="1:16" ht="17">
      <c r="A708" s="6"/>
      <c r="B708" s="95" t="str">
        <f t="shared" si="51"/>
        <v/>
      </c>
      <c r="C708" s="97"/>
      <c r="D708" s="95"/>
      <c r="E708" s="96"/>
      <c r="F708" s="96"/>
      <c r="G708" s="99"/>
      <c r="H708" s="95"/>
      <c r="I708" s="95"/>
      <c r="J708" s="95"/>
      <c r="K708" s="95"/>
      <c r="L708" s="96"/>
      <c r="M708" s="42" t="str">
        <f t="shared" si="47"/>
        <v/>
      </c>
      <c r="N708" s="42" t="str">
        <f t="shared" si="48"/>
        <v/>
      </c>
      <c r="O708" s="43" t="str">
        <f t="shared" si="49"/>
        <v/>
      </c>
      <c r="P708" s="42" t="str">
        <f t="shared" si="50"/>
        <v/>
      </c>
    </row>
    <row r="709" spans="1:16" ht="17">
      <c r="A709" s="6"/>
      <c r="B709" s="95" t="str">
        <f t="shared" si="51"/>
        <v/>
      </c>
      <c r="C709" s="97"/>
      <c r="D709" s="95"/>
      <c r="E709" s="96"/>
      <c r="F709" s="96"/>
      <c r="G709" s="99"/>
      <c r="H709" s="95"/>
      <c r="I709" s="95"/>
      <c r="J709" s="95"/>
      <c r="K709" s="95"/>
      <c r="L709" s="96"/>
      <c r="M709" s="42" t="str">
        <f t="shared" si="47"/>
        <v/>
      </c>
      <c r="N709" s="42" t="str">
        <f t="shared" si="48"/>
        <v/>
      </c>
      <c r="O709" s="43" t="str">
        <f t="shared" si="49"/>
        <v/>
      </c>
      <c r="P709" s="42" t="str">
        <f t="shared" si="50"/>
        <v/>
      </c>
    </row>
    <row r="710" spans="1:16" ht="17">
      <c r="A710" s="6"/>
      <c r="B710" s="95" t="str">
        <f t="shared" si="51"/>
        <v/>
      </c>
      <c r="C710" s="97"/>
      <c r="D710" s="95"/>
      <c r="E710" s="96"/>
      <c r="F710" s="96"/>
      <c r="G710" s="99"/>
      <c r="H710" s="95"/>
      <c r="I710" s="95"/>
      <c r="J710" s="95"/>
      <c r="K710" s="95"/>
      <c r="L710" s="96"/>
      <c r="M710" s="42" t="str">
        <f t="shared" si="47"/>
        <v/>
      </c>
      <c r="N710" s="42" t="str">
        <f t="shared" si="48"/>
        <v/>
      </c>
      <c r="O710" s="43" t="str">
        <f t="shared" si="49"/>
        <v/>
      </c>
      <c r="P710" s="42" t="str">
        <f t="shared" si="50"/>
        <v/>
      </c>
    </row>
    <row r="711" spans="1:16" ht="17">
      <c r="A711" s="6"/>
      <c r="B711" s="95" t="str">
        <f t="shared" si="51"/>
        <v/>
      </c>
      <c r="C711" s="97"/>
      <c r="D711" s="95"/>
      <c r="E711" s="96"/>
      <c r="F711" s="96"/>
      <c r="G711" s="99"/>
      <c r="H711" s="95"/>
      <c r="I711" s="95"/>
      <c r="J711" s="95"/>
      <c r="K711" s="95"/>
      <c r="L711" s="96"/>
      <c r="M711" s="42" t="str">
        <f t="shared" ref="M711:M774" si="52">IF(C711="","",IF(D711="Gider",IF(H711&lt;&gt;"",H711,"CARİ MAHSUP"),IF(L711&lt;&gt;"",L711,H711)))</f>
        <v/>
      </c>
      <c r="N711" s="42" t="str">
        <f t="shared" ref="N711:N774" si="53">IF(C711="","",IF(D711="Gider",E711,IF(H711&lt;&gt;"",H711,E711)))</f>
        <v/>
      </c>
      <c r="O711" s="43" t="str">
        <f t="shared" ref="O711:O774" si="54">IF(C711="","",DATE(YEAR(C711),MONTH(C711),1))</f>
        <v/>
      </c>
      <c r="P711" s="42" t="str">
        <f t="shared" ref="P711:P774" si="55">IF(C711="","",IF(OR(D711="",E711="",G711=""),"EKSİK",IF(AND(D711="Gelir",I711="Hayır",L711&lt;&gt;""),IF(R711,"TAHAKKUK","TANIMSIZ BORÇLU"),IF(AND(D711="Gelir",I711="Evet",L711&lt;&gt;""),"TAHAKKUK NAKİT OLAMAZ",IF(AND(D711="Gelir",I711="Hayır",H711&lt;&gt;""),"NAKİTSİZDE KASA OLMAZ","UYGUN")))))</f>
        <v/>
      </c>
    </row>
    <row r="712" spans="1:16" ht="17">
      <c r="A712" s="6"/>
      <c r="B712" s="95" t="str">
        <f t="shared" si="51"/>
        <v/>
      </c>
      <c r="C712" s="97"/>
      <c r="D712" s="95"/>
      <c r="E712" s="96"/>
      <c r="F712" s="96"/>
      <c r="G712" s="99"/>
      <c r="H712" s="95"/>
      <c r="I712" s="95"/>
      <c r="J712" s="95"/>
      <c r="K712" s="95"/>
      <c r="L712" s="96"/>
      <c r="M712" s="42" t="str">
        <f t="shared" si="52"/>
        <v/>
      </c>
      <c r="N712" s="42" t="str">
        <f t="shared" si="53"/>
        <v/>
      </c>
      <c r="O712" s="43" t="str">
        <f t="shared" si="54"/>
        <v/>
      </c>
      <c r="P712" s="42" t="str">
        <f t="shared" si="55"/>
        <v/>
      </c>
    </row>
    <row r="713" spans="1:16" ht="17">
      <c r="A713" s="6"/>
      <c r="B713" s="95" t="str">
        <f t="shared" si="51"/>
        <v/>
      </c>
      <c r="C713" s="97"/>
      <c r="D713" s="95"/>
      <c r="E713" s="96"/>
      <c r="F713" s="96"/>
      <c r="G713" s="99"/>
      <c r="H713" s="95"/>
      <c r="I713" s="95"/>
      <c r="J713" s="95"/>
      <c r="K713" s="95"/>
      <c r="L713" s="96"/>
      <c r="M713" s="42" t="str">
        <f t="shared" si="52"/>
        <v/>
      </c>
      <c r="N713" s="42" t="str">
        <f t="shared" si="53"/>
        <v/>
      </c>
      <c r="O713" s="43" t="str">
        <f t="shared" si="54"/>
        <v/>
      </c>
      <c r="P713" s="42" t="str">
        <f t="shared" si="55"/>
        <v/>
      </c>
    </row>
    <row r="714" spans="1:16" ht="17">
      <c r="A714" s="6"/>
      <c r="B714" s="95" t="str">
        <f t="shared" si="51"/>
        <v/>
      </c>
      <c r="C714" s="97"/>
      <c r="D714" s="95"/>
      <c r="E714" s="96"/>
      <c r="F714" s="96"/>
      <c r="G714" s="99"/>
      <c r="H714" s="95"/>
      <c r="I714" s="95"/>
      <c r="J714" s="95"/>
      <c r="K714" s="95"/>
      <c r="L714" s="96"/>
      <c r="M714" s="42" t="str">
        <f t="shared" si="52"/>
        <v/>
      </c>
      <c r="N714" s="42" t="str">
        <f t="shared" si="53"/>
        <v/>
      </c>
      <c r="O714" s="43" t="str">
        <f t="shared" si="54"/>
        <v/>
      </c>
      <c r="P714" s="42" t="str">
        <f t="shared" si="55"/>
        <v/>
      </c>
    </row>
    <row r="715" spans="1:16" ht="17">
      <c r="A715" s="6"/>
      <c r="B715" s="95" t="str">
        <f t="shared" si="51"/>
        <v/>
      </c>
      <c r="C715" s="97"/>
      <c r="D715" s="95"/>
      <c r="E715" s="96"/>
      <c r="F715" s="96"/>
      <c r="G715" s="99"/>
      <c r="H715" s="95"/>
      <c r="I715" s="95"/>
      <c r="J715" s="95"/>
      <c r="K715" s="95"/>
      <c r="L715" s="96"/>
      <c r="M715" s="42" t="str">
        <f t="shared" si="52"/>
        <v/>
      </c>
      <c r="N715" s="42" t="str">
        <f t="shared" si="53"/>
        <v/>
      </c>
      <c r="O715" s="43" t="str">
        <f t="shared" si="54"/>
        <v/>
      </c>
      <c r="P715" s="42" t="str">
        <f t="shared" si="55"/>
        <v/>
      </c>
    </row>
    <row r="716" spans="1:16" ht="17">
      <c r="A716" s="6"/>
      <c r="B716" s="95" t="str">
        <f t="shared" si="51"/>
        <v/>
      </c>
      <c r="C716" s="97"/>
      <c r="D716" s="95"/>
      <c r="E716" s="96"/>
      <c r="F716" s="96"/>
      <c r="G716" s="99"/>
      <c r="H716" s="95"/>
      <c r="I716" s="95"/>
      <c r="J716" s="95"/>
      <c r="K716" s="95"/>
      <c r="L716" s="96"/>
      <c r="M716" s="42" t="str">
        <f t="shared" si="52"/>
        <v/>
      </c>
      <c r="N716" s="42" t="str">
        <f t="shared" si="53"/>
        <v/>
      </c>
      <c r="O716" s="43" t="str">
        <f t="shared" si="54"/>
        <v/>
      </c>
      <c r="P716" s="42" t="str">
        <f t="shared" si="55"/>
        <v/>
      </c>
    </row>
    <row r="717" spans="1:16" ht="17">
      <c r="A717" s="6"/>
      <c r="B717" s="95" t="str">
        <f t="shared" si="51"/>
        <v/>
      </c>
      <c r="C717" s="97"/>
      <c r="D717" s="95"/>
      <c r="E717" s="96"/>
      <c r="F717" s="96"/>
      <c r="G717" s="99"/>
      <c r="H717" s="95"/>
      <c r="I717" s="95"/>
      <c r="J717" s="95"/>
      <c r="K717" s="95"/>
      <c r="L717" s="96"/>
      <c r="M717" s="42" t="str">
        <f t="shared" si="52"/>
        <v/>
      </c>
      <c r="N717" s="42" t="str">
        <f t="shared" si="53"/>
        <v/>
      </c>
      <c r="O717" s="43" t="str">
        <f t="shared" si="54"/>
        <v/>
      </c>
      <c r="P717" s="42" t="str">
        <f t="shared" si="55"/>
        <v/>
      </c>
    </row>
    <row r="718" spans="1:16" ht="17">
      <c r="A718" s="6"/>
      <c r="B718" s="95" t="str">
        <f t="shared" si="51"/>
        <v/>
      </c>
      <c r="C718" s="97"/>
      <c r="D718" s="95"/>
      <c r="E718" s="96"/>
      <c r="F718" s="96"/>
      <c r="G718" s="99"/>
      <c r="H718" s="95"/>
      <c r="I718" s="95"/>
      <c r="J718" s="95"/>
      <c r="K718" s="95"/>
      <c r="L718" s="96"/>
      <c r="M718" s="42" t="str">
        <f t="shared" si="52"/>
        <v/>
      </c>
      <c r="N718" s="42" t="str">
        <f t="shared" si="53"/>
        <v/>
      </c>
      <c r="O718" s="43" t="str">
        <f t="shared" si="54"/>
        <v/>
      </c>
      <c r="P718" s="42" t="str">
        <f t="shared" si="55"/>
        <v/>
      </c>
    </row>
    <row r="719" spans="1:16" ht="17">
      <c r="A719" s="6"/>
      <c r="B719" s="95" t="str">
        <f t="shared" si="51"/>
        <v/>
      </c>
      <c r="C719" s="97"/>
      <c r="D719" s="95"/>
      <c r="E719" s="96"/>
      <c r="F719" s="96"/>
      <c r="G719" s="99"/>
      <c r="H719" s="95"/>
      <c r="I719" s="95"/>
      <c r="J719" s="95"/>
      <c r="K719" s="95"/>
      <c r="L719" s="96"/>
      <c r="M719" s="42" t="str">
        <f t="shared" si="52"/>
        <v/>
      </c>
      <c r="N719" s="42" t="str">
        <f t="shared" si="53"/>
        <v/>
      </c>
      <c r="O719" s="43" t="str">
        <f t="shared" si="54"/>
        <v/>
      </c>
      <c r="P719" s="42" t="str">
        <f t="shared" si="55"/>
        <v/>
      </c>
    </row>
    <row r="720" spans="1:16" ht="17">
      <c r="A720" s="6"/>
      <c r="B720" s="95" t="str">
        <f t="shared" si="51"/>
        <v/>
      </c>
      <c r="C720" s="97"/>
      <c r="D720" s="95"/>
      <c r="E720" s="96"/>
      <c r="F720" s="96"/>
      <c r="G720" s="99"/>
      <c r="H720" s="95"/>
      <c r="I720" s="95"/>
      <c r="J720" s="95"/>
      <c r="K720" s="95"/>
      <c r="L720" s="96"/>
      <c r="M720" s="42" t="str">
        <f t="shared" si="52"/>
        <v/>
      </c>
      <c r="N720" s="42" t="str">
        <f t="shared" si="53"/>
        <v/>
      </c>
      <c r="O720" s="43" t="str">
        <f t="shared" si="54"/>
        <v/>
      </c>
      <c r="P720" s="42" t="str">
        <f t="shared" si="55"/>
        <v/>
      </c>
    </row>
    <row r="721" spans="1:16" ht="17">
      <c r="A721" s="6"/>
      <c r="B721" s="95" t="str">
        <f t="shared" si="51"/>
        <v/>
      </c>
      <c r="C721" s="97"/>
      <c r="D721" s="95"/>
      <c r="E721" s="96"/>
      <c r="F721" s="96"/>
      <c r="G721" s="99"/>
      <c r="H721" s="95"/>
      <c r="I721" s="95"/>
      <c r="J721" s="95"/>
      <c r="K721" s="95"/>
      <c r="L721" s="96"/>
      <c r="M721" s="42" t="str">
        <f t="shared" si="52"/>
        <v/>
      </c>
      <c r="N721" s="42" t="str">
        <f t="shared" si="53"/>
        <v/>
      </c>
      <c r="O721" s="43" t="str">
        <f t="shared" si="54"/>
        <v/>
      </c>
      <c r="P721" s="42" t="str">
        <f t="shared" si="55"/>
        <v/>
      </c>
    </row>
    <row r="722" spans="1:16" ht="17">
      <c r="A722" s="6"/>
      <c r="B722" s="95" t="str">
        <f t="shared" si="51"/>
        <v/>
      </c>
      <c r="C722" s="97"/>
      <c r="D722" s="95"/>
      <c r="E722" s="96"/>
      <c r="F722" s="96"/>
      <c r="G722" s="99"/>
      <c r="H722" s="95"/>
      <c r="I722" s="95"/>
      <c r="J722" s="95"/>
      <c r="K722" s="95"/>
      <c r="L722" s="96"/>
      <c r="M722" s="42" t="str">
        <f t="shared" si="52"/>
        <v/>
      </c>
      <c r="N722" s="42" t="str">
        <f t="shared" si="53"/>
        <v/>
      </c>
      <c r="O722" s="43" t="str">
        <f t="shared" si="54"/>
        <v/>
      </c>
      <c r="P722" s="42" t="str">
        <f t="shared" si="55"/>
        <v/>
      </c>
    </row>
    <row r="723" spans="1:16" ht="17">
      <c r="A723" s="6"/>
      <c r="B723" s="95" t="str">
        <f t="shared" si="51"/>
        <v/>
      </c>
      <c r="C723" s="97"/>
      <c r="D723" s="95"/>
      <c r="E723" s="96"/>
      <c r="F723" s="96"/>
      <c r="G723" s="99"/>
      <c r="H723" s="95"/>
      <c r="I723" s="95"/>
      <c r="J723" s="95"/>
      <c r="K723" s="95"/>
      <c r="L723" s="96"/>
      <c r="M723" s="42" t="str">
        <f t="shared" si="52"/>
        <v/>
      </c>
      <c r="N723" s="42" t="str">
        <f t="shared" si="53"/>
        <v/>
      </c>
      <c r="O723" s="43" t="str">
        <f t="shared" si="54"/>
        <v/>
      </c>
      <c r="P723" s="42" t="str">
        <f t="shared" si="55"/>
        <v/>
      </c>
    </row>
    <row r="724" spans="1:16" ht="17">
      <c r="A724" s="6"/>
      <c r="B724" s="95" t="str">
        <f t="shared" si="51"/>
        <v/>
      </c>
      <c r="C724" s="97"/>
      <c r="D724" s="95"/>
      <c r="E724" s="96"/>
      <c r="F724" s="96"/>
      <c r="G724" s="99"/>
      <c r="H724" s="95"/>
      <c r="I724" s="95"/>
      <c r="J724" s="95"/>
      <c r="K724" s="95"/>
      <c r="L724" s="96"/>
      <c r="M724" s="42" t="str">
        <f t="shared" si="52"/>
        <v/>
      </c>
      <c r="N724" s="42" t="str">
        <f t="shared" si="53"/>
        <v/>
      </c>
      <c r="O724" s="43" t="str">
        <f t="shared" si="54"/>
        <v/>
      </c>
      <c r="P724" s="42" t="str">
        <f t="shared" si="55"/>
        <v/>
      </c>
    </row>
    <row r="725" spans="1:16" ht="17">
      <c r="A725" s="6"/>
      <c r="B725" s="95" t="str">
        <f t="shared" si="51"/>
        <v/>
      </c>
      <c r="C725" s="97"/>
      <c r="D725" s="95"/>
      <c r="E725" s="96"/>
      <c r="F725" s="96"/>
      <c r="G725" s="99"/>
      <c r="H725" s="95"/>
      <c r="I725" s="95"/>
      <c r="J725" s="95"/>
      <c r="K725" s="95"/>
      <c r="L725" s="96"/>
      <c r="M725" s="42" t="str">
        <f t="shared" si="52"/>
        <v/>
      </c>
      <c r="N725" s="42" t="str">
        <f t="shared" si="53"/>
        <v/>
      </c>
      <c r="O725" s="43" t="str">
        <f t="shared" si="54"/>
        <v/>
      </c>
      <c r="P725" s="42" t="str">
        <f t="shared" si="55"/>
        <v/>
      </c>
    </row>
    <row r="726" spans="1:16" ht="17">
      <c r="A726" s="6"/>
      <c r="B726" s="95" t="str">
        <f t="shared" si="51"/>
        <v/>
      </c>
      <c r="C726" s="97"/>
      <c r="D726" s="95"/>
      <c r="E726" s="96"/>
      <c r="F726" s="96"/>
      <c r="G726" s="99"/>
      <c r="H726" s="95"/>
      <c r="I726" s="95"/>
      <c r="J726" s="95"/>
      <c r="K726" s="95"/>
      <c r="L726" s="96"/>
      <c r="M726" s="42" t="str">
        <f t="shared" si="52"/>
        <v/>
      </c>
      <c r="N726" s="42" t="str">
        <f t="shared" si="53"/>
        <v/>
      </c>
      <c r="O726" s="43" t="str">
        <f t="shared" si="54"/>
        <v/>
      </c>
      <c r="P726" s="42" t="str">
        <f t="shared" si="55"/>
        <v/>
      </c>
    </row>
    <row r="727" spans="1:16" ht="17">
      <c r="A727" s="6"/>
      <c r="B727" s="95" t="str">
        <f t="shared" si="51"/>
        <v/>
      </c>
      <c r="C727" s="97"/>
      <c r="D727" s="95"/>
      <c r="E727" s="96"/>
      <c r="F727" s="96"/>
      <c r="G727" s="99"/>
      <c r="H727" s="95"/>
      <c r="I727" s="95"/>
      <c r="J727" s="95"/>
      <c r="K727" s="95"/>
      <c r="L727" s="96"/>
      <c r="M727" s="42" t="str">
        <f t="shared" si="52"/>
        <v/>
      </c>
      <c r="N727" s="42" t="str">
        <f t="shared" si="53"/>
        <v/>
      </c>
      <c r="O727" s="43" t="str">
        <f t="shared" si="54"/>
        <v/>
      </c>
      <c r="P727" s="42" t="str">
        <f t="shared" si="55"/>
        <v/>
      </c>
    </row>
    <row r="728" spans="1:16" ht="17">
      <c r="A728" s="6"/>
      <c r="B728" s="95" t="str">
        <f t="shared" si="51"/>
        <v/>
      </c>
      <c r="C728" s="97"/>
      <c r="D728" s="95"/>
      <c r="E728" s="96"/>
      <c r="F728" s="96"/>
      <c r="G728" s="99"/>
      <c r="H728" s="95"/>
      <c r="I728" s="95"/>
      <c r="J728" s="95"/>
      <c r="K728" s="95"/>
      <c r="L728" s="96"/>
      <c r="M728" s="42" t="str">
        <f t="shared" si="52"/>
        <v/>
      </c>
      <c r="N728" s="42" t="str">
        <f t="shared" si="53"/>
        <v/>
      </c>
      <c r="O728" s="43" t="str">
        <f t="shared" si="54"/>
        <v/>
      </c>
      <c r="P728" s="42" t="str">
        <f t="shared" si="55"/>
        <v/>
      </c>
    </row>
    <row r="729" spans="1:16" ht="17">
      <c r="A729" s="6"/>
      <c r="B729" s="95" t="str">
        <f t="shared" si="51"/>
        <v/>
      </c>
      <c r="C729" s="97"/>
      <c r="D729" s="95"/>
      <c r="E729" s="96"/>
      <c r="F729" s="96"/>
      <c r="G729" s="99"/>
      <c r="H729" s="95"/>
      <c r="I729" s="95"/>
      <c r="J729" s="95"/>
      <c r="K729" s="95"/>
      <c r="L729" s="96"/>
      <c r="M729" s="42" t="str">
        <f t="shared" si="52"/>
        <v/>
      </c>
      <c r="N729" s="42" t="str">
        <f t="shared" si="53"/>
        <v/>
      </c>
      <c r="O729" s="43" t="str">
        <f t="shared" si="54"/>
        <v/>
      </c>
      <c r="P729" s="42" t="str">
        <f t="shared" si="55"/>
        <v/>
      </c>
    </row>
    <row r="730" spans="1:16" ht="17">
      <c r="A730" s="6"/>
      <c r="B730" s="95" t="str">
        <f t="shared" si="51"/>
        <v/>
      </c>
      <c r="C730" s="97"/>
      <c r="D730" s="95"/>
      <c r="E730" s="96"/>
      <c r="F730" s="96"/>
      <c r="G730" s="99"/>
      <c r="H730" s="95"/>
      <c r="I730" s="95"/>
      <c r="J730" s="95"/>
      <c r="K730" s="95"/>
      <c r="L730" s="96"/>
      <c r="M730" s="42" t="str">
        <f t="shared" si="52"/>
        <v/>
      </c>
      <c r="N730" s="42" t="str">
        <f t="shared" si="53"/>
        <v/>
      </c>
      <c r="O730" s="43" t="str">
        <f t="shared" si="54"/>
        <v/>
      </c>
      <c r="P730" s="42" t="str">
        <f t="shared" si="55"/>
        <v/>
      </c>
    </row>
    <row r="731" spans="1:16" ht="17">
      <c r="A731" s="6"/>
      <c r="B731" s="95" t="str">
        <f t="shared" si="51"/>
        <v/>
      </c>
      <c r="C731" s="97"/>
      <c r="D731" s="95"/>
      <c r="E731" s="96"/>
      <c r="F731" s="96"/>
      <c r="G731" s="99"/>
      <c r="H731" s="95"/>
      <c r="I731" s="95"/>
      <c r="J731" s="95"/>
      <c r="K731" s="95"/>
      <c r="L731" s="96"/>
      <c r="M731" s="42" t="str">
        <f t="shared" si="52"/>
        <v/>
      </c>
      <c r="N731" s="42" t="str">
        <f t="shared" si="53"/>
        <v/>
      </c>
      <c r="O731" s="43" t="str">
        <f t="shared" si="54"/>
        <v/>
      </c>
      <c r="P731" s="42" t="str">
        <f t="shared" si="55"/>
        <v/>
      </c>
    </row>
    <row r="732" spans="1:16" ht="17">
      <c r="A732" s="6"/>
      <c r="B732" s="95" t="str">
        <f t="shared" si="51"/>
        <v/>
      </c>
      <c r="C732" s="97"/>
      <c r="D732" s="95"/>
      <c r="E732" s="96"/>
      <c r="F732" s="96"/>
      <c r="G732" s="99"/>
      <c r="H732" s="95"/>
      <c r="I732" s="95"/>
      <c r="J732" s="95"/>
      <c r="K732" s="95"/>
      <c r="L732" s="96"/>
      <c r="M732" s="42" t="str">
        <f t="shared" si="52"/>
        <v/>
      </c>
      <c r="N732" s="42" t="str">
        <f t="shared" si="53"/>
        <v/>
      </c>
      <c r="O732" s="43" t="str">
        <f t="shared" si="54"/>
        <v/>
      </c>
      <c r="P732" s="42" t="str">
        <f t="shared" si="55"/>
        <v/>
      </c>
    </row>
    <row r="733" spans="1:16" ht="17">
      <c r="A733" s="6"/>
      <c r="B733" s="95" t="str">
        <f t="shared" si="51"/>
        <v/>
      </c>
      <c r="C733" s="97"/>
      <c r="D733" s="95"/>
      <c r="E733" s="96"/>
      <c r="F733" s="96"/>
      <c r="G733" s="99"/>
      <c r="H733" s="95"/>
      <c r="I733" s="95"/>
      <c r="J733" s="95"/>
      <c r="K733" s="95"/>
      <c r="L733" s="96"/>
      <c r="M733" s="42" t="str">
        <f t="shared" si="52"/>
        <v/>
      </c>
      <c r="N733" s="42" t="str">
        <f t="shared" si="53"/>
        <v/>
      </c>
      <c r="O733" s="43" t="str">
        <f t="shared" si="54"/>
        <v/>
      </c>
      <c r="P733" s="42" t="str">
        <f t="shared" si="55"/>
        <v/>
      </c>
    </row>
    <row r="734" spans="1:16" ht="17">
      <c r="A734" s="6"/>
      <c r="B734" s="95" t="str">
        <f t="shared" si="51"/>
        <v/>
      </c>
      <c r="C734" s="97"/>
      <c r="D734" s="95"/>
      <c r="E734" s="96"/>
      <c r="F734" s="96"/>
      <c r="G734" s="99"/>
      <c r="H734" s="95"/>
      <c r="I734" s="95"/>
      <c r="J734" s="95"/>
      <c r="K734" s="95"/>
      <c r="L734" s="96"/>
      <c r="M734" s="42" t="str">
        <f t="shared" si="52"/>
        <v/>
      </c>
      <c r="N734" s="42" t="str">
        <f t="shared" si="53"/>
        <v/>
      </c>
      <c r="O734" s="43" t="str">
        <f t="shared" si="54"/>
        <v/>
      </c>
      <c r="P734" s="42" t="str">
        <f t="shared" si="55"/>
        <v/>
      </c>
    </row>
    <row r="735" spans="1:16" ht="17">
      <c r="A735" s="6"/>
      <c r="B735" s="95" t="str">
        <f t="shared" si="51"/>
        <v/>
      </c>
      <c r="C735" s="97"/>
      <c r="D735" s="95"/>
      <c r="E735" s="96"/>
      <c r="F735" s="96"/>
      <c r="G735" s="99"/>
      <c r="H735" s="95"/>
      <c r="I735" s="95"/>
      <c r="J735" s="95"/>
      <c r="K735" s="95"/>
      <c r="L735" s="96"/>
      <c r="M735" s="42" t="str">
        <f t="shared" si="52"/>
        <v/>
      </c>
      <c r="N735" s="42" t="str">
        <f t="shared" si="53"/>
        <v/>
      </c>
      <c r="O735" s="43" t="str">
        <f t="shared" si="54"/>
        <v/>
      </c>
      <c r="P735" s="42" t="str">
        <f t="shared" si="55"/>
        <v/>
      </c>
    </row>
    <row r="736" spans="1:16" ht="17">
      <c r="A736" s="6"/>
      <c r="B736" s="95" t="str">
        <f t="shared" si="51"/>
        <v/>
      </c>
      <c r="C736" s="97"/>
      <c r="D736" s="95"/>
      <c r="E736" s="96"/>
      <c r="F736" s="96"/>
      <c r="G736" s="99"/>
      <c r="H736" s="95"/>
      <c r="I736" s="95"/>
      <c r="J736" s="95"/>
      <c r="K736" s="95"/>
      <c r="L736" s="96"/>
      <c r="M736" s="42" t="str">
        <f t="shared" si="52"/>
        <v/>
      </c>
      <c r="N736" s="42" t="str">
        <f t="shared" si="53"/>
        <v/>
      </c>
      <c r="O736" s="43" t="str">
        <f t="shared" si="54"/>
        <v/>
      </c>
      <c r="P736" s="42" t="str">
        <f t="shared" si="55"/>
        <v/>
      </c>
    </row>
    <row r="737" spans="1:16" ht="17">
      <c r="A737" s="6"/>
      <c r="B737" s="95" t="str">
        <f t="shared" si="51"/>
        <v/>
      </c>
      <c r="C737" s="97"/>
      <c r="D737" s="95"/>
      <c r="E737" s="96"/>
      <c r="F737" s="96"/>
      <c r="G737" s="99"/>
      <c r="H737" s="95"/>
      <c r="I737" s="95"/>
      <c r="J737" s="95"/>
      <c r="K737" s="95"/>
      <c r="L737" s="96"/>
      <c r="M737" s="42" t="str">
        <f t="shared" si="52"/>
        <v/>
      </c>
      <c r="N737" s="42" t="str">
        <f t="shared" si="53"/>
        <v/>
      </c>
      <c r="O737" s="43" t="str">
        <f t="shared" si="54"/>
        <v/>
      </c>
      <c r="P737" s="42" t="str">
        <f t="shared" si="55"/>
        <v/>
      </c>
    </row>
    <row r="738" spans="1:16" ht="17">
      <c r="A738" s="6"/>
      <c r="B738" s="95" t="str">
        <f t="shared" ref="B738:B801" si="56">IF(C738="","","GG"&amp;TEXT(ROW()-6,"00000"))</f>
        <v/>
      </c>
      <c r="C738" s="97"/>
      <c r="D738" s="95"/>
      <c r="E738" s="96"/>
      <c r="F738" s="96"/>
      <c r="G738" s="99"/>
      <c r="H738" s="95"/>
      <c r="I738" s="95"/>
      <c r="J738" s="95"/>
      <c r="K738" s="95"/>
      <c r="L738" s="96"/>
      <c r="M738" s="42" t="str">
        <f t="shared" si="52"/>
        <v/>
      </c>
      <c r="N738" s="42" t="str">
        <f t="shared" si="53"/>
        <v/>
      </c>
      <c r="O738" s="43" t="str">
        <f t="shared" si="54"/>
        <v/>
      </c>
      <c r="P738" s="42" t="str">
        <f t="shared" si="55"/>
        <v/>
      </c>
    </row>
    <row r="739" spans="1:16" ht="17">
      <c r="A739" s="6"/>
      <c r="B739" s="95" t="str">
        <f t="shared" si="56"/>
        <v/>
      </c>
      <c r="C739" s="97"/>
      <c r="D739" s="95"/>
      <c r="E739" s="96"/>
      <c r="F739" s="96"/>
      <c r="G739" s="99"/>
      <c r="H739" s="95"/>
      <c r="I739" s="95"/>
      <c r="J739" s="95"/>
      <c r="K739" s="95"/>
      <c r="L739" s="96"/>
      <c r="M739" s="42" t="str">
        <f t="shared" si="52"/>
        <v/>
      </c>
      <c r="N739" s="42" t="str">
        <f t="shared" si="53"/>
        <v/>
      </c>
      <c r="O739" s="43" t="str">
        <f t="shared" si="54"/>
        <v/>
      </c>
      <c r="P739" s="42" t="str">
        <f t="shared" si="55"/>
        <v/>
      </c>
    </row>
    <row r="740" spans="1:16" ht="17">
      <c r="A740" s="6"/>
      <c r="B740" s="95" t="str">
        <f t="shared" si="56"/>
        <v/>
      </c>
      <c r="C740" s="97"/>
      <c r="D740" s="95"/>
      <c r="E740" s="96"/>
      <c r="F740" s="96"/>
      <c r="G740" s="99"/>
      <c r="H740" s="95"/>
      <c r="I740" s="95"/>
      <c r="J740" s="95"/>
      <c r="K740" s="95"/>
      <c r="L740" s="96"/>
      <c r="M740" s="42" t="str">
        <f t="shared" si="52"/>
        <v/>
      </c>
      <c r="N740" s="42" t="str">
        <f t="shared" si="53"/>
        <v/>
      </c>
      <c r="O740" s="43" t="str">
        <f t="shared" si="54"/>
        <v/>
      </c>
      <c r="P740" s="42" t="str">
        <f t="shared" si="55"/>
        <v/>
      </c>
    </row>
    <row r="741" spans="1:16" ht="17">
      <c r="A741" s="6"/>
      <c r="B741" s="95" t="str">
        <f t="shared" si="56"/>
        <v/>
      </c>
      <c r="C741" s="97"/>
      <c r="D741" s="95"/>
      <c r="E741" s="96"/>
      <c r="F741" s="96"/>
      <c r="G741" s="99"/>
      <c r="H741" s="95"/>
      <c r="I741" s="95"/>
      <c r="J741" s="95"/>
      <c r="K741" s="95"/>
      <c r="L741" s="96"/>
      <c r="M741" s="42" t="str">
        <f t="shared" si="52"/>
        <v/>
      </c>
      <c r="N741" s="42" t="str">
        <f t="shared" si="53"/>
        <v/>
      </c>
      <c r="O741" s="43" t="str">
        <f t="shared" si="54"/>
        <v/>
      </c>
      <c r="P741" s="42" t="str">
        <f t="shared" si="55"/>
        <v/>
      </c>
    </row>
    <row r="742" spans="1:16" ht="17">
      <c r="A742" s="6"/>
      <c r="B742" s="95" t="str">
        <f t="shared" si="56"/>
        <v/>
      </c>
      <c r="C742" s="97"/>
      <c r="D742" s="95"/>
      <c r="E742" s="96"/>
      <c r="F742" s="96"/>
      <c r="G742" s="99"/>
      <c r="H742" s="95"/>
      <c r="I742" s="95"/>
      <c r="J742" s="95"/>
      <c r="K742" s="95"/>
      <c r="L742" s="96"/>
      <c r="M742" s="42" t="str">
        <f t="shared" si="52"/>
        <v/>
      </c>
      <c r="N742" s="42" t="str">
        <f t="shared" si="53"/>
        <v/>
      </c>
      <c r="O742" s="43" t="str">
        <f t="shared" si="54"/>
        <v/>
      </c>
      <c r="P742" s="42" t="str">
        <f t="shared" si="55"/>
        <v/>
      </c>
    </row>
    <row r="743" spans="1:16" ht="17">
      <c r="A743" s="6"/>
      <c r="B743" s="95" t="str">
        <f t="shared" si="56"/>
        <v/>
      </c>
      <c r="C743" s="97"/>
      <c r="D743" s="95"/>
      <c r="E743" s="96"/>
      <c r="F743" s="96"/>
      <c r="G743" s="99"/>
      <c r="H743" s="95"/>
      <c r="I743" s="95"/>
      <c r="J743" s="95"/>
      <c r="K743" s="95"/>
      <c r="L743" s="96"/>
      <c r="M743" s="42" t="str">
        <f t="shared" si="52"/>
        <v/>
      </c>
      <c r="N743" s="42" t="str">
        <f t="shared" si="53"/>
        <v/>
      </c>
      <c r="O743" s="43" t="str">
        <f t="shared" si="54"/>
        <v/>
      </c>
      <c r="P743" s="42" t="str">
        <f t="shared" si="55"/>
        <v/>
      </c>
    </row>
    <row r="744" spans="1:16" ht="17">
      <c r="A744" s="6"/>
      <c r="B744" s="95" t="str">
        <f t="shared" si="56"/>
        <v/>
      </c>
      <c r="C744" s="97"/>
      <c r="D744" s="95"/>
      <c r="E744" s="96"/>
      <c r="F744" s="96"/>
      <c r="G744" s="99"/>
      <c r="H744" s="95"/>
      <c r="I744" s="95"/>
      <c r="J744" s="95"/>
      <c r="K744" s="95"/>
      <c r="L744" s="96"/>
      <c r="M744" s="42" t="str">
        <f t="shared" si="52"/>
        <v/>
      </c>
      <c r="N744" s="42" t="str">
        <f t="shared" si="53"/>
        <v/>
      </c>
      <c r="O744" s="43" t="str">
        <f t="shared" si="54"/>
        <v/>
      </c>
      <c r="P744" s="42" t="str">
        <f t="shared" si="55"/>
        <v/>
      </c>
    </row>
    <row r="745" spans="1:16" ht="17">
      <c r="A745" s="6"/>
      <c r="B745" s="95" t="str">
        <f t="shared" si="56"/>
        <v/>
      </c>
      <c r="C745" s="97"/>
      <c r="D745" s="95"/>
      <c r="E745" s="96"/>
      <c r="F745" s="96"/>
      <c r="G745" s="99"/>
      <c r="H745" s="95"/>
      <c r="I745" s="95"/>
      <c r="J745" s="95"/>
      <c r="K745" s="95"/>
      <c r="L745" s="96"/>
      <c r="M745" s="42" t="str">
        <f t="shared" si="52"/>
        <v/>
      </c>
      <c r="N745" s="42" t="str">
        <f t="shared" si="53"/>
        <v/>
      </c>
      <c r="O745" s="43" t="str">
        <f t="shared" si="54"/>
        <v/>
      </c>
      <c r="P745" s="42" t="str">
        <f t="shared" si="55"/>
        <v/>
      </c>
    </row>
    <row r="746" spans="1:16" ht="17">
      <c r="A746" s="6"/>
      <c r="B746" s="95" t="str">
        <f t="shared" si="56"/>
        <v/>
      </c>
      <c r="C746" s="97"/>
      <c r="D746" s="95"/>
      <c r="E746" s="96"/>
      <c r="F746" s="96"/>
      <c r="G746" s="99"/>
      <c r="H746" s="95"/>
      <c r="I746" s="95"/>
      <c r="J746" s="95"/>
      <c r="K746" s="95"/>
      <c r="L746" s="96"/>
      <c r="M746" s="42" t="str">
        <f t="shared" si="52"/>
        <v/>
      </c>
      <c r="N746" s="42" t="str">
        <f t="shared" si="53"/>
        <v/>
      </c>
      <c r="O746" s="43" t="str">
        <f t="shared" si="54"/>
        <v/>
      </c>
      <c r="P746" s="42" t="str">
        <f t="shared" si="55"/>
        <v/>
      </c>
    </row>
    <row r="747" spans="1:16" ht="17">
      <c r="A747" s="6"/>
      <c r="B747" s="95" t="str">
        <f t="shared" si="56"/>
        <v/>
      </c>
      <c r="C747" s="97"/>
      <c r="D747" s="95"/>
      <c r="E747" s="96"/>
      <c r="F747" s="96"/>
      <c r="G747" s="99"/>
      <c r="H747" s="95"/>
      <c r="I747" s="95"/>
      <c r="J747" s="95"/>
      <c r="K747" s="95"/>
      <c r="L747" s="96"/>
      <c r="M747" s="42" t="str">
        <f t="shared" si="52"/>
        <v/>
      </c>
      <c r="N747" s="42" t="str">
        <f t="shared" si="53"/>
        <v/>
      </c>
      <c r="O747" s="43" t="str">
        <f t="shared" si="54"/>
        <v/>
      </c>
      <c r="P747" s="42" t="str">
        <f t="shared" si="55"/>
        <v/>
      </c>
    </row>
    <row r="748" spans="1:16" ht="17">
      <c r="A748" s="6"/>
      <c r="B748" s="95" t="str">
        <f t="shared" si="56"/>
        <v/>
      </c>
      <c r="C748" s="97"/>
      <c r="D748" s="95"/>
      <c r="E748" s="96"/>
      <c r="F748" s="96"/>
      <c r="G748" s="99"/>
      <c r="H748" s="95"/>
      <c r="I748" s="95"/>
      <c r="J748" s="95"/>
      <c r="K748" s="95"/>
      <c r="L748" s="96"/>
      <c r="M748" s="42" t="str">
        <f t="shared" si="52"/>
        <v/>
      </c>
      <c r="N748" s="42" t="str">
        <f t="shared" si="53"/>
        <v/>
      </c>
      <c r="O748" s="43" t="str">
        <f t="shared" si="54"/>
        <v/>
      </c>
      <c r="P748" s="42" t="str">
        <f t="shared" si="55"/>
        <v/>
      </c>
    </row>
    <row r="749" spans="1:16" ht="17">
      <c r="A749" s="6"/>
      <c r="B749" s="95" t="str">
        <f t="shared" si="56"/>
        <v/>
      </c>
      <c r="C749" s="97"/>
      <c r="D749" s="95"/>
      <c r="E749" s="96"/>
      <c r="F749" s="96"/>
      <c r="G749" s="99"/>
      <c r="H749" s="95"/>
      <c r="I749" s="95"/>
      <c r="J749" s="95"/>
      <c r="K749" s="95"/>
      <c r="L749" s="96"/>
      <c r="M749" s="42" t="str">
        <f t="shared" si="52"/>
        <v/>
      </c>
      <c r="N749" s="42" t="str">
        <f t="shared" si="53"/>
        <v/>
      </c>
      <c r="O749" s="43" t="str">
        <f t="shared" si="54"/>
        <v/>
      </c>
      <c r="P749" s="42" t="str">
        <f t="shared" si="55"/>
        <v/>
      </c>
    </row>
    <row r="750" spans="1:16" ht="17">
      <c r="A750" s="6"/>
      <c r="B750" s="95" t="str">
        <f t="shared" si="56"/>
        <v/>
      </c>
      <c r="C750" s="97"/>
      <c r="D750" s="95"/>
      <c r="E750" s="96"/>
      <c r="F750" s="96"/>
      <c r="G750" s="99"/>
      <c r="H750" s="95"/>
      <c r="I750" s="95"/>
      <c r="J750" s="95"/>
      <c r="K750" s="95"/>
      <c r="L750" s="96"/>
      <c r="M750" s="42" t="str">
        <f t="shared" si="52"/>
        <v/>
      </c>
      <c r="N750" s="42" t="str">
        <f t="shared" si="53"/>
        <v/>
      </c>
      <c r="O750" s="43" t="str">
        <f t="shared" si="54"/>
        <v/>
      </c>
      <c r="P750" s="42" t="str">
        <f t="shared" si="55"/>
        <v/>
      </c>
    </row>
    <row r="751" spans="1:16" ht="17">
      <c r="A751" s="6"/>
      <c r="B751" s="95" t="str">
        <f t="shared" si="56"/>
        <v/>
      </c>
      <c r="C751" s="97"/>
      <c r="D751" s="95"/>
      <c r="E751" s="96"/>
      <c r="F751" s="96"/>
      <c r="G751" s="99"/>
      <c r="H751" s="95"/>
      <c r="I751" s="95"/>
      <c r="J751" s="95"/>
      <c r="K751" s="95"/>
      <c r="L751" s="96"/>
      <c r="M751" s="42" t="str">
        <f t="shared" si="52"/>
        <v/>
      </c>
      <c r="N751" s="42" t="str">
        <f t="shared" si="53"/>
        <v/>
      </c>
      <c r="O751" s="43" t="str">
        <f t="shared" si="54"/>
        <v/>
      </c>
      <c r="P751" s="42" t="str">
        <f t="shared" si="55"/>
        <v/>
      </c>
    </row>
    <row r="752" spans="1:16" ht="17">
      <c r="A752" s="6"/>
      <c r="B752" s="95" t="str">
        <f t="shared" si="56"/>
        <v/>
      </c>
      <c r="C752" s="97"/>
      <c r="D752" s="95"/>
      <c r="E752" s="96"/>
      <c r="F752" s="96"/>
      <c r="G752" s="99"/>
      <c r="H752" s="95"/>
      <c r="I752" s="95"/>
      <c r="J752" s="95"/>
      <c r="K752" s="95"/>
      <c r="L752" s="96"/>
      <c r="M752" s="42" t="str">
        <f t="shared" si="52"/>
        <v/>
      </c>
      <c r="N752" s="42" t="str">
        <f t="shared" si="53"/>
        <v/>
      </c>
      <c r="O752" s="43" t="str">
        <f t="shared" si="54"/>
        <v/>
      </c>
      <c r="P752" s="42" t="str">
        <f t="shared" si="55"/>
        <v/>
      </c>
    </row>
    <row r="753" spans="1:16" ht="17">
      <c r="A753" s="6"/>
      <c r="B753" s="95" t="str">
        <f t="shared" si="56"/>
        <v/>
      </c>
      <c r="C753" s="97"/>
      <c r="D753" s="95"/>
      <c r="E753" s="96"/>
      <c r="F753" s="96"/>
      <c r="G753" s="99"/>
      <c r="H753" s="95"/>
      <c r="I753" s="95"/>
      <c r="J753" s="95"/>
      <c r="K753" s="95"/>
      <c r="L753" s="96"/>
      <c r="M753" s="42" t="str">
        <f t="shared" si="52"/>
        <v/>
      </c>
      <c r="N753" s="42" t="str">
        <f t="shared" si="53"/>
        <v/>
      </c>
      <c r="O753" s="43" t="str">
        <f t="shared" si="54"/>
        <v/>
      </c>
      <c r="P753" s="42" t="str">
        <f t="shared" si="55"/>
        <v/>
      </c>
    </row>
    <row r="754" spans="1:16" ht="17">
      <c r="A754" s="6"/>
      <c r="B754" s="95" t="str">
        <f t="shared" si="56"/>
        <v/>
      </c>
      <c r="C754" s="97"/>
      <c r="D754" s="95"/>
      <c r="E754" s="96"/>
      <c r="F754" s="96"/>
      <c r="G754" s="99"/>
      <c r="H754" s="95"/>
      <c r="I754" s="95"/>
      <c r="J754" s="95"/>
      <c r="K754" s="95"/>
      <c r="L754" s="96"/>
      <c r="M754" s="42" t="str">
        <f t="shared" si="52"/>
        <v/>
      </c>
      <c r="N754" s="42" t="str">
        <f t="shared" si="53"/>
        <v/>
      </c>
      <c r="O754" s="43" t="str">
        <f t="shared" si="54"/>
        <v/>
      </c>
      <c r="P754" s="42" t="str">
        <f t="shared" si="55"/>
        <v/>
      </c>
    </row>
    <row r="755" spans="1:16" ht="17">
      <c r="A755" s="6"/>
      <c r="B755" s="95" t="str">
        <f t="shared" si="56"/>
        <v/>
      </c>
      <c r="C755" s="97"/>
      <c r="D755" s="95"/>
      <c r="E755" s="96"/>
      <c r="F755" s="96"/>
      <c r="G755" s="99"/>
      <c r="H755" s="95"/>
      <c r="I755" s="95"/>
      <c r="J755" s="95"/>
      <c r="K755" s="95"/>
      <c r="L755" s="96"/>
      <c r="M755" s="42" t="str">
        <f t="shared" si="52"/>
        <v/>
      </c>
      <c r="N755" s="42" t="str">
        <f t="shared" si="53"/>
        <v/>
      </c>
      <c r="O755" s="43" t="str">
        <f t="shared" si="54"/>
        <v/>
      </c>
      <c r="P755" s="42" t="str">
        <f t="shared" si="55"/>
        <v/>
      </c>
    </row>
    <row r="756" spans="1:16" ht="17">
      <c r="A756" s="6"/>
      <c r="B756" s="95" t="str">
        <f t="shared" si="56"/>
        <v/>
      </c>
      <c r="C756" s="97"/>
      <c r="D756" s="95"/>
      <c r="E756" s="96"/>
      <c r="F756" s="96"/>
      <c r="G756" s="99"/>
      <c r="H756" s="95"/>
      <c r="I756" s="95"/>
      <c r="J756" s="95"/>
      <c r="K756" s="95"/>
      <c r="L756" s="96"/>
      <c r="M756" s="42" t="str">
        <f t="shared" si="52"/>
        <v/>
      </c>
      <c r="N756" s="42" t="str">
        <f t="shared" si="53"/>
        <v/>
      </c>
      <c r="O756" s="43" t="str">
        <f t="shared" si="54"/>
        <v/>
      </c>
      <c r="P756" s="42" t="str">
        <f t="shared" si="55"/>
        <v/>
      </c>
    </row>
    <row r="757" spans="1:16" ht="17">
      <c r="A757" s="6"/>
      <c r="B757" s="95" t="str">
        <f t="shared" si="56"/>
        <v/>
      </c>
      <c r="C757" s="97"/>
      <c r="D757" s="95"/>
      <c r="E757" s="96"/>
      <c r="F757" s="96"/>
      <c r="G757" s="99"/>
      <c r="H757" s="95"/>
      <c r="I757" s="95"/>
      <c r="J757" s="95"/>
      <c r="K757" s="95"/>
      <c r="L757" s="96"/>
      <c r="M757" s="42" t="str">
        <f t="shared" si="52"/>
        <v/>
      </c>
      <c r="N757" s="42" t="str">
        <f t="shared" si="53"/>
        <v/>
      </c>
      <c r="O757" s="43" t="str">
        <f t="shared" si="54"/>
        <v/>
      </c>
      <c r="P757" s="42" t="str">
        <f t="shared" si="55"/>
        <v/>
      </c>
    </row>
    <row r="758" spans="1:16" ht="17">
      <c r="A758" s="6"/>
      <c r="B758" s="95" t="str">
        <f t="shared" si="56"/>
        <v/>
      </c>
      <c r="C758" s="97"/>
      <c r="D758" s="95"/>
      <c r="E758" s="96"/>
      <c r="F758" s="96"/>
      <c r="G758" s="99"/>
      <c r="H758" s="95"/>
      <c r="I758" s="95"/>
      <c r="J758" s="95"/>
      <c r="K758" s="95"/>
      <c r="L758" s="96"/>
      <c r="M758" s="42" t="str">
        <f t="shared" si="52"/>
        <v/>
      </c>
      <c r="N758" s="42" t="str">
        <f t="shared" si="53"/>
        <v/>
      </c>
      <c r="O758" s="43" t="str">
        <f t="shared" si="54"/>
        <v/>
      </c>
      <c r="P758" s="42" t="str">
        <f t="shared" si="55"/>
        <v/>
      </c>
    </row>
    <row r="759" spans="1:16" ht="17">
      <c r="A759" s="6"/>
      <c r="B759" s="95" t="str">
        <f t="shared" si="56"/>
        <v/>
      </c>
      <c r="C759" s="97"/>
      <c r="D759" s="95"/>
      <c r="E759" s="96"/>
      <c r="F759" s="96"/>
      <c r="G759" s="99"/>
      <c r="H759" s="95"/>
      <c r="I759" s="95"/>
      <c r="J759" s="95"/>
      <c r="K759" s="95"/>
      <c r="L759" s="96"/>
      <c r="M759" s="42" t="str">
        <f t="shared" si="52"/>
        <v/>
      </c>
      <c r="N759" s="42" t="str">
        <f t="shared" si="53"/>
        <v/>
      </c>
      <c r="O759" s="43" t="str">
        <f t="shared" si="54"/>
        <v/>
      </c>
      <c r="P759" s="42" t="str">
        <f t="shared" si="55"/>
        <v/>
      </c>
    </row>
    <row r="760" spans="1:16" ht="17">
      <c r="A760" s="6"/>
      <c r="B760" s="95" t="str">
        <f t="shared" si="56"/>
        <v/>
      </c>
      <c r="C760" s="97"/>
      <c r="D760" s="95"/>
      <c r="E760" s="96"/>
      <c r="F760" s="96"/>
      <c r="G760" s="99"/>
      <c r="H760" s="95"/>
      <c r="I760" s="95"/>
      <c r="J760" s="95"/>
      <c r="K760" s="95"/>
      <c r="L760" s="96"/>
      <c r="M760" s="42" t="str">
        <f t="shared" si="52"/>
        <v/>
      </c>
      <c r="N760" s="42" t="str">
        <f t="shared" si="53"/>
        <v/>
      </c>
      <c r="O760" s="43" t="str">
        <f t="shared" si="54"/>
        <v/>
      </c>
      <c r="P760" s="42" t="str">
        <f t="shared" si="55"/>
        <v/>
      </c>
    </row>
    <row r="761" spans="1:16" ht="17">
      <c r="A761" s="6"/>
      <c r="B761" s="95" t="str">
        <f t="shared" si="56"/>
        <v/>
      </c>
      <c r="C761" s="97"/>
      <c r="D761" s="95"/>
      <c r="E761" s="96"/>
      <c r="F761" s="96"/>
      <c r="G761" s="99"/>
      <c r="H761" s="95"/>
      <c r="I761" s="95"/>
      <c r="J761" s="95"/>
      <c r="K761" s="95"/>
      <c r="L761" s="96"/>
      <c r="M761" s="42" t="str">
        <f t="shared" si="52"/>
        <v/>
      </c>
      <c r="N761" s="42" t="str">
        <f t="shared" si="53"/>
        <v/>
      </c>
      <c r="O761" s="43" t="str">
        <f t="shared" si="54"/>
        <v/>
      </c>
      <c r="P761" s="42" t="str">
        <f t="shared" si="55"/>
        <v/>
      </c>
    </row>
    <row r="762" spans="1:16" ht="17">
      <c r="A762" s="6"/>
      <c r="B762" s="95" t="str">
        <f t="shared" si="56"/>
        <v/>
      </c>
      <c r="C762" s="97"/>
      <c r="D762" s="95"/>
      <c r="E762" s="96"/>
      <c r="F762" s="96"/>
      <c r="G762" s="99"/>
      <c r="H762" s="95"/>
      <c r="I762" s="95"/>
      <c r="J762" s="95"/>
      <c r="K762" s="95"/>
      <c r="L762" s="96"/>
      <c r="M762" s="42" t="str">
        <f t="shared" si="52"/>
        <v/>
      </c>
      <c r="N762" s="42" t="str">
        <f t="shared" si="53"/>
        <v/>
      </c>
      <c r="O762" s="43" t="str">
        <f t="shared" si="54"/>
        <v/>
      </c>
      <c r="P762" s="42" t="str">
        <f t="shared" si="55"/>
        <v/>
      </c>
    </row>
    <row r="763" spans="1:16" ht="17">
      <c r="A763" s="6"/>
      <c r="B763" s="95" t="str">
        <f t="shared" si="56"/>
        <v/>
      </c>
      <c r="C763" s="97"/>
      <c r="D763" s="95"/>
      <c r="E763" s="96"/>
      <c r="F763" s="96"/>
      <c r="G763" s="99"/>
      <c r="H763" s="95"/>
      <c r="I763" s="95"/>
      <c r="J763" s="95"/>
      <c r="K763" s="95"/>
      <c r="L763" s="96"/>
      <c r="M763" s="42" t="str">
        <f t="shared" si="52"/>
        <v/>
      </c>
      <c r="N763" s="42" t="str">
        <f t="shared" si="53"/>
        <v/>
      </c>
      <c r="O763" s="43" t="str">
        <f t="shared" si="54"/>
        <v/>
      </c>
      <c r="P763" s="42" t="str">
        <f t="shared" si="55"/>
        <v/>
      </c>
    </row>
    <row r="764" spans="1:16" ht="17">
      <c r="A764" s="6"/>
      <c r="B764" s="95" t="str">
        <f t="shared" si="56"/>
        <v/>
      </c>
      <c r="C764" s="97"/>
      <c r="D764" s="95"/>
      <c r="E764" s="96"/>
      <c r="F764" s="96"/>
      <c r="G764" s="99"/>
      <c r="H764" s="95"/>
      <c r="I764" s="95"/>
      <c r="J764" s="95"/>
      <c r="K764" s="95"/>
      <c r="L764" s="96"/>
      <c r="M764" s="42" t="str">
        <f t="shared" si="52"/>
        <v/>
      </c>
      <c r="N764" s="42" t="str">
        <f t="shared" si="53"/>
        <v/>
      </c>
      <c r="O764" s="43" t="str">
        <f t="shared" si="54"/>
        <v/>
      </c>
      <c r="P764" s="42" t="str">
        <f t="shared" si="55"/>
        <v/>
      </c>
    </row>
    <row r="765" spans="1:16" ht="17">
      <c r="A765" s="6"/>
      <c r="B765" s="95" t="str">
        <f t="shared" si="56"/>
        <v/>
      </c>
      <c r="C765" s="97"/>
      <c r="D765" s="95"/>
      <c r="E765" s="96"/>
      <c r="F765" s="96"/>
      <c r="G765" s="99"/>
      <c r="H765" s="95"/>
      <c r="I765" s="95"/>
      <c r="J765" s="95"/>
      <c r="K765" s="95"/>
      <c r="L765" s="96"/>
      <c r="M765" s="42" t="str">
        <f t="shared" si="52"/>
        <v/>
      </c>
      <c r="N765" s="42" t="str">
        <f t="shared" si="53"/>
        <v/>
      </c>
      <c r="O765" s="43" t="str">
        <f t="shared" si="54"/>
        <v/>
      </c>
      <c r="P765" s="42" t="str">
        <f t="shared" si="55"/>
        <v/>
      </c>
    </row>
    <row r="766" spans="1:16" ht="17">
      <c r="A766" s="6"/>
      <c r="B766" s="95" t="str">
        <f t="shared" si="56"/>
        <v/>
      </c>
      <c r="C766" s="97"/>
      <c r="D766" s="95"/>
      <c r="E766" s="96"/>
      <c r="F766" s="96"/>
      <c r="G766" s="99"/>
      <c r="H766" s="95"/>
      <c r="I766" s="95"/>
      <c r="J766" s="95"/>
      <c r="K766" s="95"/>
      <c r="L766" s="96"/>
      <c r="M766" s="42" t="str">
        <f t="shared" si="52"/>
        <v/>
      </c>
      <c r="N766" s="42" t="str">
        <f t="shared" si="53"/>
        <v/>
      </c>
      <c r="O766" s="43" t="str">
        <f t="shared" si="54"/>
        <v/>
      </c>
      <c r="P766" s="42" t="str">
        <f t="shared" si="55"/>
        <v/>
      </c>
    </row>
    <row r="767" spans="1:16" ht="17">
      <c r="A767" s="6"/>
      <c r="B767" s="95" t="str">
        <f t="shared" si="56"/>
        <v/>
      </c>
      <c r="C767" s="97"/>
      <c r="D767" s="95"/>
      <c r="E767" s="96"/>
      <c r="F767" s="96"/>
      <c r="G767" s="99"/>
      <c r="H767" s="95"/>
      <c r="I767" s="95"/>
      <c r="J767" s="95"/>
      <c r="K767" s="95"/>
      <c r="L767" s="96"/>
      <c r="M767" s="42" t="str">
        <f t="shared" si="52"/>
        <v/>
      </c>
      <c r="N767" s="42" t="str">
        <f t="shared" si="53"/>
        <v/>
      </c>
      <c r="O767" s="43" t="str">
        <f t="shared" si="54"/>
        <v/>
      </c>
      <c r="P767" s="42" t="str">
        <f t="shared" si="55"/>
        <v/>
      </c>
    </row>
    <row r="768" spans="1:16" ht="17">
      <c r="A768" s="6"/>
      <c r="B768" s="95" t="str">
        <f t="shared" si="56"/>
        <v/>
      </c>
      <c r="C768" s="97"/>
      <c r="D768" s="95"/>
      <c r="E768" s="96"/>
      <c r="F768" s="96"/>
      <c r="G768" s="99"/>
      <c r="H768" s="95"/>
      <c r="I768" s="95"/>
      <c r="J768" s="95"/>
      <c r="K768" s="95"/>
      <c r="L768" s="96"/>
      <c r="M768" s="42" t="str">
        <f t="shared" si="52"/>
        <v/>
      </c>
      <c r="N768" s="42" t="str">
        <f t="shared" si="53"/>
        <v/>
      </c>
      <c r="O768" s="43" t="str">
        <f t="shared" si="54"/>
        <v/>
      </c>
      <c r="P768" s="42" t="str">
        <f t="shared" si="55"/>
        <v/>
      </c>
    </row>
    <row r="769" spans="1:16" ht="17">
      <c r="A769" s="6"/>
      <c r="B769" s="95" t="str">
        <f t="shared" si="56"/>
        <v/>
      </c>
      <c r="C769" s="97"/>
      <c r="D769" s="95"/>
      <c r="E769" s="96"/>
      <c r="F769" s="96"/>
      <c r="G769" s="99"/>
      <c r="H769" s="95"/>
      <c r="I769" s="95"/>
      <c r="J769" s="95"/>
      <c r="K769" s="95"/>
      <c r="L769" s="96"/>
      <c r="M769" s="42" t="str">
        <f t="shared" si="52"/>
        <v/>
      </c>
      <c r="N769" s="42" t="str">
        <f t="shared" si="53"/>
        <v/>
      </c>
      <c r="O769" s="43" t="str">
        <f t="shared" si="54"/>
        <v/>
      </c>
      <c r="P769" s="42" t="str">
        <f t="shared" si="55"/>
        <v/>
      </c>
    </row>
    <row r="770" spans="1:16" ht="17">
      <c r="A770" s="6"/>
      <c r="B770" s="95" t="str">
        <f t="shared" si="56"/>
        <v/>
      </c>
      <c r="C770" s="97"/>
      <c r="D770" s="95"/>
      <c r="E770" s="96"/>
      <c r="F770" s="96"/>
      <c r="G770" s="99"/>
      <c r="H770" s="95"/>
      <c r="I770" s="95"/>
      <c r="J770" s="95"/>
      <c r="K770" s="95"/>
      <c r="L770" s="96"/>
      <c r="M770" s="42" t="str">
        <f t="shared" si="52"/>
        <v/>
      </c>
      <c r="N770" s="42" t="str">
        <f t="shared" si="53"/>
        <v/>
      </c>
      <c r="O770" s="43" t="str">
        <f t="shared" si="54"/>
        <v/>
      </c>
      <c r="P770" s="42" t="str">
        <f t="shared" si="55"/>
        <v/>
      </c>
    </row>
    <row r="771" spans="1:16" ht="17">
      <c r="A771" s="6"/>
      <c r="B771" s="95" t="str">
        <f t="shared" si="56"/>
        <v/>
      </c>
      <c r="C771" s="97"/>
      <c r="D771" s="95"/>
      <c r="E771" s="96"/>
      <c r="F771" s="96"/>
      <c r="G771" s="99"/>
      <c r="H771" s="95"/>
      <c r="I771" s="95"/>
      <c r="J771" s="95"/>
      <c r="K771" s="95"/>
      <c r="L771" s="96"/>
      <c r="M771" s="42" t="str">
        <f t="shared" si="52"/>
        <v/>
      </c>
      <c r="N771" s="42" t="str">
        <f t="shared" si="53"/>
        <v/>
      </c>
      <c r="O771" s="43" t="str">
        <f t="shared" si="54"/>
        <v/>
      </c>
      <c r="P771" s="42" t="str">
        <f t="shared" si="55"/>
        <v/>
      </c>
    </row>
    <row r="772" spans="1:16" ht="17">
      <c r="A772" s="6"/>
      <c r="B772" s="95" t="str">
        <f t="shared" si="56"/>
        <v/>
      </c>
      <c r="C772" s="97"/>
      <c r="D772" s="95"/>
      <c r="E772" s="96"/>
      <c r="F772" s="96"/>
      <c r="G772" s="99"/>
      <c r="H772" s="95"/>
      <c r="I772" s="95"/>
      <c r="J772" s="95"/>
      <c r="K772" s="95"/>
      <c r="L772" s="96"/>
      <c r="M772" s="42" t="str">
        <f t="shared" si="52"/>
        <v/>
      </c>
      <c r="N772" s="42" t="str">
        <f t="shared" si="53"/>
        <v/>
      </c>
      <c r="O772" s="43" t="str">
        <f t="shared" si="54"/>
        <v/>
      </c>
      <c r="P772" s="42" t="str">
        <f t="shared" si="55"/>
        <v/>
      </c>
    </row>
    <row r="773" spans="1:16" ht="17">
      <c r="A773" s="6"/>
      <c r="B773" s="95" t="str">
        <f t="shared" si="56"/>
        <v/>
      </c>
      <c r="C773" s="97"/>
      <c r="D773" s="95"/>
      <c r="E773" s="96"/>
      <c r="F773" s="96"/>
      <c r="G773" s="99"/>
      <c r="H773" s="95"/>
      <c r="I773" s="95"/>
      <c r="J773" s="95"/>
      <c r="K773" s="95"/>
      <c r="L773" s="96"/>
      <c r="M773" s="42" t="str">
        <f t="shared" si="52"/>
        <v/>
      </c>
      <c r="N773" s="42" t="str">
        <f t="shared" si="53"/>
        <v/>
      </c>
      <c r="O773" s="43" t="str">
        <f t="shared" si="54"/>
        <v/>
      </c>
      <c r="P773" s="42" t="str">
        <f t="shared" si="55"/>
        <v/>
      </c>
    </row>
    <row r="774" spans="1:16" ht="17">
      <c r="A774" s="6"/>
      <c r="B774" s="95" t="str">
        <f t="shared" si="56"/>
        <v/>
      </c>
      <c r="C774" s="97"/>
      <c r="D774" s="95"/>
      <c r="E774" s="96"/>
      <c r="F774" s="96"/>
      <c r="G774" s="99"/>
      <c r="H774" s="95"/>
      <c r="I774" s="95"/>
      <c r="J774" s="95"/>
      <c r="K774" s="95"/>
      <c r="L774" s="96"/>
      <c r="M774" s="42" t="str">
        <f t="shared" si="52"/>
        <v/>
      </c>
      <c r="N774" s="42" t="str">
        <f t="shared" si="53"/>
        <v/>
      </c>
      <c r="O774" s="43" t="str">
        <f t="shared" si="54"/>
        <v/>
      </c>
      <c r="P774" s="42" t="str">
        <f t="shared" si="55"/>
        <v/>
      </c>
    </row>
    <row r="775" spans="1:16" ht="17">
      <c r="A775" s="6"/>
      <c r="B775" s="95" t="str">
        <f t="shared" si="56"/>
        <v/>
      </c>
      <c r="C775" s="97"/>
      <c r="D775" s="95"/>
      <c r="E775" s="96"/>
      <c r="F775" s="96"/>
      <c r="G775" s="99"/>
      <c r="H775" s="95"/>
      <c r="I775" s="95"/>
      <c r="J775" s="95"/>
      <c r="K775" s="95"/>
      <c r="L775" s="96"/>
      <c r="M775" s="42" t="str">
        <f t="shared" ref="M775:M838" si="57">IF(C775="","",IF(D775="Gider",IF(H775&lt;&gt;"",H775,"CARİ MAHSUP"),IF(L775&lt;&gt;"",L775,H775)))</f>
        <v/>
      </c>
      <c r="N775" s="42" t="str">
        <f t="shared" ref="N775:N838" si="58">IF(C775="","",IF(D775="Gider",E775,IF(H775&lt;&gt;"",H775,E775)))</f>
        <v/>
      </c>
      <c r="O775" s="43" t="str">
        <f t="shared" ref="O775:O838" si="59">IF(C775="","",DATE(YEAR(C775),MONTH(C775),1))</f>
        <v/>
      </c>
      <c r="P775" s="42" t="str">
        <f t="shared" ref="P775:P838" si="60">IF(C775="","",IF(OR(D775="",E775="",G775=""),"EKSİK",IF(AND(D775="Gelir",I775="Hayır",L775&lt;&gt;""),IF(R775,"TAHAKKUK","TANIMSIZ BORÇLU"),IF(AND(D775="Gelir",I775="Evet",L775&lt;&gt;""),"TAHAKKUK NAKİT OLAMAZ",IF(AND(D775="Gelir",I775="Hayır",H775&lt;&gt;""),"NAKİTSİZDE KASA OLMAZ","UYGUN")))))</f>
        <v/>
      </c>
    </row>
    <row r="776" spans="1:16" ht="17">
      <c r="A776" s="6"/>
      <c r="B776" s="95" t="str">
        <f t="shared" si="56"/>
        <v/>
      </c>
      <c r="C776" s="97"/>
      <c r="D776" s="95"/>
      <c r="E776" s="96"/>
      <c r="F776" s="96"/>
      <c r="G776" s="99"/>
      <c r="H776" s="95"/>
      <c r="I776" s="95"/>
      <c r="J776" s="95"/>
      <c r="K776" s="95"/>
      <c r="L776" s="96"/>
      <c r="M776" s="42" t="str">
        <f t="shared" si="57"/>
        <v/>
      </c>
      <c r="N776" s="42" t="str">
        <f t="shared" si="58"/>
        <v/>
      </c>
      <c r="O776" s="43" t="str">
        <f t="shared" si="59"/>
        <v/>
      </c>
      <c r="P776" s="42" t="str">
        <f t="shared" si="60"/>
        <v/>
      </c>
    </row>
    <row r="777" spans="1:16" ht="17">
      <c r="A777" s="6"/>
      <c r="B777" s="95" t="str">
        <f t="shared" si="56"/>
        <v/>
      </c>
      <c r="C777" s="97"/>
      <c r="D777" s="95"/>
      <c r="E777" s="96"/>
      <c r="F777" s="96"/>
      <c r="G777" s="99"/>
      <c r="H777" s="95"/>
      <c r="I777" s="95"/>
      <c r="J777" s="95"/>
      <c r="K777" s="95"/>
      <c r="L777" s="96"/>
      <c r="M777" s="42" t="str">
        <f t="shared" si="57"/>
        <v/>
      </c>
      <c r="N777" s="42" t="str">
        <f t="shared" si="58"/>
        <v/>
      </c>
      <c r="O777" s="43" t="str">
        <f t="shared" si="59"/>
        <v/>
      </c>
      <c r="P777" s="42" t="str">
        <f t="shared" si="60"/>
        <v/>
      </c>
    </row>
    <row r="778" spans="1:16" ht="17">
      <c r="A778" s="6"/>
      <c r="B778" s="95" t="str">
        <f t="shared" si="56"/>
        <v/>
      </c>
      <c r="C778" s="97"/>
      <c r="D778" s="95"/>
      <c r="E778" s="96"/>
      <c r="F778" s="96"/>
      <c r="G778" s="99"/>
      <c r="H778" s="95"/>
      <c r="I778" s="95"/>
      <c r="J778" s="95"/>
      <c r="K778" s="95"/>
      <c r="L778" s="96"/>
      <c r="M778" s="42" t="str">
        <f t="shared" si="57"/>
        <v/>
      </c>
      <c r="N778" s="42" t="str">
        <f t="shared" si="58"/>
        <v/>
      </c>
      <c r="O778" s="43" t="str">
        <f t="shared" si="59"/>
        <v/>
      </c>
      <c r="P778" s="42" t="str">
        <f t="shared" si="60"/>
        <v/>
      </c>
    </row>
    <row r="779" spans="1:16" ht="17">
      <c r="A779" s="6"/>
      <c r="B779" s="95" t="str">
        <f t="shared" si="56"/>
        <v/>
      </c>
      <c r="C779" s="97"/>
      <c r="D779" s="95"/>
      <c r="E779" s="96"/>
      <c r="F779" s="96"/>
      <c r="G779" s="99"/>
      <c r="H779" s="95"/>
      <c r="I779" s="95"/>
      <c r="J779" s="95"/>
      <c r="K779" s="95"/>
      <c r="L779" s="96"/>
      <c r="M779" s="42" t="str">
        <f t="shared" si="57"/>
        <v/>
      </c>
      <c r="N779" s="42" t="str">
        <f t="shared" si="58"/>
        <v/>
      </c>
      <c r="O779" s="43" t="str">
        <f t="shared" si="59"/>
        <v/>
      </c>
      <c r="P779" s="42" t="str">
        <f t="shared" si="60"/>
        <v/>
      </c>
    </row>
    <row r="780" spans="1:16" ht="17">
      <c r="A780" s="6"/>
      <c r="B780" s="95" t="str">
        <f t="shared" si="56"/>
        <v/>
      </c>
      <c r="C780" s="97"/>
      <c r="D780" s="95"/>
      <c r="E780" s="96"/>
      <c r="F780" s="96"/>
      <c r="G780" s="99"/>
      <c r="H780" s="95"/>
      <c r="I780" s="95"/>
      <c r="J780" s="95"/>
      <c r="K780" s="95"/>
      <c r="L780" s="96"/>
      <c r="M780" s="42" t="str">
        <f t="shared" si="57"/>
        <v/>
      </c>
      <c r="N780" s="42" t="str">
        <f t="shared" si="58"/>
        <v/>
      </c>
      <c r="O780" s="43" t="str">
        <f t="shared" si="59"/>
        <v/>
      </c>
      <c r="P780" s="42" t="str">
        <f t="shared" si="60"/>
        <v/>
      </c>
    </row>
    <row r="781" spans="1:16" ht="17">
      <c r="A781" s="6"/>
      <c r="B781" s="95" t="str">
        <f t="shared" si="56"/>
        <v/>
      </c>
      <c r="C781" s="97"/>
      <c r="D781" s="95"/>
      <c r="E781" s="96"/>
      <c r="F781" s="96"/>
      <c r="G781" s="99"/>
      <c r="H781" s="95"/>
      <c r="I781" s="95"/>
      <c r="J781" s="95"/>
      <c r="K781" s="95"/>
      <c r="L781" s="96"/>
      <c r="M781" s="42" t="str">
        <f t="shared" si="57"/>
        <v/>
      </c>
      <c r="N781" s="42" t="str">
        <f t="shared" si="58"/>
        <v/>
      </c>
      <c r="O781" s="43" t="str">
        <f t="shared" si="59"/>
        <v/>
      </c>
      <c r="P781" s="42" t="str">
        <f t="shared" si="60"/>
        <v/>
      </c>
    </row>
    <row r="782" spans="1:16" ht="17">
      <c r="A782" s="6"/>
      <c r="B782" s="95" t="str">
        <f t="shared" si="56"/>
        <v/>
      </c>
      <c r="C782" s="97"/>
      <c r="D782" s="95"/>
      <c r="E782" s="96"/>
      <c r="F782" s="96"/>
      <c r="G782" s="99"/>
      <c r="H782" s="95"/>
      <c r="I782" s="95"/>
      <c r="J782" s="95"/>
      <c r="K782" s="95"/>
      <c r="L782" s="96"/>
      <c r="M782" s="42" t="str">
        <f t="shared" si="57"/>
        <v/>
      </c>
      <c r="N782" s="42" t="str">
        <f t="shared" si="58"/>
        <v/>
      </c>
      <c r="O782" s="43" t="str">
        <f t="shared" si="59"/>
        <v/>
      </c>
      <c r="P782" s="42" t="str">
        <f t="shared" si="60"/>
        <v/>
      </c>
    </row>
    <row r="783" spans="1:16" ht="17">
      <c r="A783" s="6"/>
      <c r="B783" s="95" t="str">
        <f t="shared" si="56"/>
        <v/>
      </c>
      <c r="C783" s="97"/>
      <c r="D783" s="95"/>
      <c r="E783" s="96"/>
      <c r="F783" s="96"/>
      <c r="G783" s="99"/>
      <c r="H783" s="95"/>
      <c r="I783" s="95"/>
      <c r="J783" s="95"/>
      <c r="K783" s="95"/>
      <c r="L783" s="96"/>
      <c r="M783" s="42" t="str">
        <f t="shared" si="57"/>
        <v/>
      </c>
      <c r="N783" s="42" t="str">
        <f t="shared" si="58"/>
        <v/>
      </c>
      <c r="O783" s="43" t="str">
        <f t="shared" si="59"/>
        <v/>
      </c>
      <c r="P783" s="42" t="str">
        <f t="shared" si="60"/>
        <v/>
      </c>
    </row>
    <row r="784" spans="1:16" ht="17">
      <c r="A784" s="6"/>
      <c r="B784" s="95" t="str">
        <f t="shared" si="56"/>
        <v/>
      </c>
      <c r="C784" s="97"/>
      <c r="D784" s="95"/>
      <c r="E784" s="96"/>
      <c r="F784" s="96"/>
      <c r="G784" s="99"/>
      <c r="H784" s="95"/>
      <c r="I784" s="95"/>
      <c r="J784" s="95"/>
      <c r="K784" s="95"/>
      <c r="L784" s="96"/>
      <c r="M784" s="42" t="str">
        <f t="shared" si="57"/>
        <v/>
      </c>
      <c r="N784" s="42" t="str">
        <f t="shared" si="58"/>
        <v/>
      </c>
      <c r="O784" s="43" t="str">
        <f t="shared" si="59"/>
        <v/>
      </c>
      <c r="P784" s="42" t="str">
        <f t="shared" si="60"/>
        <v/>
      </c>
    </row>
    <row r="785" spans="1:16" ht="17">
      <c r="A785" s="6"/>
      <c r="B785" s="95" t="str">
        <f t="shared" si="56"/>
        <v/>
      </c>
      <c r="C785" s="97"/>
      <c r="D785" s="95"/>
      <c r="E785" s="96"/>
      <c r="F785" s="96"/>
      <c r="G785" s="99"/>
      <c r="H785" s="95"/>
      <c r="I785" s="95"/>
      <c r="J785" s="95"/>
      <c r="K785" s="95"/>
      <c r="L785" s="96"/>
      <c r="M785" s="42" t="str">
        <f t="shared" si="57"/>
        <v/>
      </c>
      <c r="N785" s="42" t="str">
        <f t="shared" si="58"/>
        <v/>
      </c>
      <c r="O785" s="43" t="str">
        <f t="shared" si="59"/>
        <v/>
      </c>
      <c r="P785" s="42" t="str">
        <f t="shared" si="60"/>
        <v/>
      </c>
    </row>
    <row r="786" spans="1:16" ht="17">
      <c r="A786" s="6"/>
      <c r="B786" s="95" t="str">
        <f t="shared" si="56"/>
        <v/>
      </c>
      <c r="C786" s="97"/>
      <c r="D786" s="95"/>
      <c r="E786" s="96"/>
      <c r="F786" s="96"/>
      <c r="G786" s="99"/>
      <c r="H786" s="95"/>
      <c r="I786" s="95"/>
      <c r="J786" s="95"/>
      <c r="K786" s="95"/>
      <c r="L786" s="96"/>
      <c r="M786" s="42" t="str">
        <f t="shared" si="57"/>
        <v/>
      </c>
      <c r="N786" s="42" t="str">
        <f t="shared" si="58"/>
        <v/>
      </c>
      <c r="O786" s="43" t="str">
        <f t="shared" si="59"/>
        <v/>
      </c>
      <c r="P786" s="42" t="str">
        <f t="shared" si="60"/>
        <v/>
      </c>
    </row>
    <row r="787" spans="1:16" ht="17">
      <c r="A787" s="6"/>
      <c r="B787" s="95" t="str">
        <f t="shared" si="56"/>
        <v/>
      </c>
      <c r="C787" s="97"/>
      <c r="D787" s="95"/>
      <c r="E787" s="96"/>
      <c r="F787" s="96"/>
      <c r="G787" s="99"/>
      <c r="H787" s="95"/>
      <c r="I787" s="95"/>
      <c r="J787" s="95"/>
      <c r="K787" s="95"/>
      <c r="L787" s="96"/>
      <c r="M787" s="42" t="str">
        <f t="shared" si="57"/>
        <v/>
      </c>
      <c r="N787" s="42" t="str">
        <f t="shared" si="58"/>
        <v/>
      </c>
      <c r="O787" s="43" t="str">
        <f t="shared" si="59"/>
        <v/>
      </c>
      <c r="P787" s="42" t="str">
        <f t="shared" si="60"/>
        <v/>
      </c>
    </row>
    <row r="788" spans="1:16" ht="17">
      <c r="A788" s="6"/>
      <c r="B788" s="95" t="str">
        <f t="shared" si="56"/>
        <v/>
      </c>
      <c r="C788" s="97"/>
      <c r="D788" s="95"/>
      <c r="E788" s="96"/>
      <c r="F788" s="96"/>
      <c r="G788" s="99"/>
      <c r="H788" s="95"/>
      <c r="I788" s="95"/>
      <c r="J788" s="95"/>
      <c r="K788" s="95"/>
      <c r="L788" s="96"/>
      <c r="M788" s="42" t="str">
        <f t="shared" si="57"/>
        <v/>
      </c>
      <c r="N788" s="42" t="str">
        <f t="shared" si="58"/>
        <v/>
      </c>
      <c r="O788" s="43" t="str">
        <f t="shared" si="59"/>
        <v/>
      </c>
      <c r="P788" s="42" t="str">
        <f t="shared" si="60"/>
        <v/>
      </c>
    </row>
    <row r="789" spans="1:16" ht="17">
      <c r="A789" s="6"/>
      <c r="B789" s="95" t="str">
        <f t="shared" si="56"/>
        <v/>
      </c>
      <c r="C789" s="97"/>
      <c r="D789" s="95"/>
      <c r="E789" s="96"/>
      <c r="F789" s="96"/>
      <c r="G789" s="99"/>
      <c r="H789" s="95"/>
      <c r="I789" s="95"/>
      <c r="J789" s="95"/>
      <c r="K789" s="95"/>
      <c r="L789" s="96"/>
      <c r="M789" s="42" t="str">
        <f t="shared" si="57"/>
        <v/>
      </c>
      <c r="N789" s="42" t="str">
        <f t="shared" si="58"/>
        <v/>
      </c>
      <c r="O789" s="43" t="str">
        <f t="shared" si="59"/>
        <v/>
      </c>
      <c r="P789" s="42" t="str">
        <f t="shared" si="60"/>
        <v/>
      </c>
    </row>
    <row r="790" spans="1:16" ht="17">
      <c r="A790" s="6"/>
      <c r="B790" s="95" t="str">
        <f t="shared" si="56"/>
        <v/>
      </c>
      <c r="C790" s="97"/>
      <c r="D790" s="95"/>
      <c r="E790" s="96"/>
      <c r="F790" s="96"/>
      <c r="G790" s="99"/>
      <c r="H790" s="95"/>
      <c r="I790" s="95"/>
      <c r="J790" s="95"/>
      <c r="K790" s="95"/>
      <c r="L790" s="96"/>
      <c r="M790" s="42" t="str">
        <f t="shared" si="57"/>
        <v/>
      </c>
      <c r="N790" s="42" t="str">
        <f t="shared" si="58"/>
        <v/>
      </c>
      <c r="O790" s="43" t="str">
        <f t="shared" si="59"/>
        <v/>
      </c>
      <c r="P790" s="42" t="str">
        <f t="shared" si="60"/>
        <v/>
      </c>
    </row>
    <row r="791" spans="1:16" ht="17">
      <c r="A791" s="6"/>
      <c r="B791" s="95" t="str">
        <f t="shared" si="56"/>
        <v/>
      </c>
      <c r="C791" s="97"/>
      <c r="D791" s="95"/>
      <c r="E791" s="96"/>
      <c r="F791" s="96"/>
      <c r="G791" s="99"/>
      <c r="H791" s="95"/>
      <c r="I791" s="95"/>
      <c r="J791" s="95"/>
      <c r="K791" s="95"/>
      <c r="L791" s="96"/>
      <c r="M791" s="42" t="str">
        <f t="shared" si="57"/>
        <v/>
      </c>
      <c r="N791" s="42" t="str">
        <f t="shared" si="58"/>
        <v/>
      </c>
      <c r="O791" s="43" t="str">
        <f t="shared" si="59"/>
        <v/>
      </c>
      <c r="P791" s="42" t="str">
        <f t="shared" si="60"/>
        <v/>
      </c>
    </row>
    <row r="792" spans="1:16" ht="17">
      <c r="A792" s="6"/>
      <c r="B792" s="95" t="str">
        <f t="shared" si="56"/>
        <v/>
      </c>
      <c r="C792" s="97"/>
      <c r="D792" s="95"/>
      <c r="E792" s="96"/>
      <c r="F792" s="96"/>
      <c r="G792" s="99"/>
      <c r="H792" s="95"/>
      <c r="I792" s="95"/>
      <c r="J792" s="95"/>
      <c r="K792" s="95"/>
      <c r="L792" s="96"/>
      <c r="M792" s="42" t="str">
        <f t="shared" si="57"/>
        <v/>
      </c>
      <c r="N792" s="42" t="str">
        <f t="shared" si="58"/>
        <v/>
      </c>
      <c r="O792" s="43" t="str">
        <f t="shared" si="59"/>
        <v/>
      </c>
      <c r="P792" s="42" t="str">
        <f t="shared" si="60"/>
        <v/>
      </c>
    </row>
    <row r="793" spans="1:16" ht="17">
      <c r="A793" s="6"/>
      <c r="B793" s="95" t="str">
        <f t="shared" si="56"/>
        <v/>
      </c>
      <c r="C793" s="97"/>
      <c r="D793" s="95"/>
      <c r="E793" s="96"/>
      <c r="F793" s="96"/>
      <c r="G793" s="99"/>
      <c r="H793" s="95"/>
      <c r="I793" s="95"/>
      <c r="J793" s="95"/>
      <c r="K793" s="95"/>
      <c r="L793" s="96"/>
      <c r="M793" s="42" t="str">
        <f t="shared" si="57"/>
        <v/>
      </c>
      <c r="N793" s="42" t="str">
        <f t="shared" si="58"/>
        <v/>
      </c>
      <c r="O793" s="43" t="str">
        <f t="shared" si="59"/>
        <v/>
      </c>
      <c r="P793" s="42" t="str">
        <f t="shared" si="60"/>
        <v/>
      </c>
    </row>
    <row r="794" spans="1:16" ht="17">
      <c r="A794" s="6"/>
      <c r="B794" s="95" t="str">
        <f t="shared" si="56"/>
        <v/>
      </c>
      <c r="C794" s="97"/>
      <c r="D794" s="95"/>
      <c r="E794" s="96"/>
      <c r="F794" s="96"/>
      <c r="G794" s="99"/>
      <c r="H794" s="95"/>
      <c r="I794" s="95"/>
      <c r="J794" s="95"/>
      <c r="K794" s="95"/>
      <c r="L794" s="96"/>
      <c r="M794" s="42" t="str">
        <f t="shared" si="57"/>
        <v/>
      </c>
      <c r="N794" s="42" t="str">
        <f t="shared" si="58"/>
        <v/>
      </c>
      <c r="O794" s="43" t="str">
        <f t="shared" si="59"/>
        <v/>
      </c>
      <c r="P794" s="42" t="str">
        <f t="shared" si="60"/>
        <v/>
      </c>
    </row>
    <row r="795" spans="1:16" ht="17">
      <c r="A795" s="6"/>
      <c r="B795" s="95" t="str">
        <f t="shared" si="56"/>
        <v/>
      </c>
      <c r="C795" s="97"/>
      <c r="D795" s="95"/>
      <c r="E795" s="96"/>
      <c r="F795" s="96"/>
      <c r="G795" s="99"/>
      <c r="H795" s="95"/>
      <c r="I795" s="95"/>
      <c r="J795" s="95"/>
      <c r="K795" s="95"/>
      <c r="L795" s="96"/>
      <c r="M795" s="42" t="str">
        <f t="shared" si="57"/>
        <v/>
      </c>
      <c r="N795" s="42" t="str">
        <f t="shared" si="58"/>
        <v/>
      </c>
      <c r="O795" s="43" t="str">
        <f t="shared" si="59"/>
        <v/>
      </c>
      <c r="P795" s="42" t="str">
        <f t="shared" si="60"/>
        <v/>
      </c>
    </row>
    <row r="796" spans="1:16" ht="17">
      <c r="A796" s="6"/>
      <c r="B796" s="95" t="str">
        <f t="shared" si="56"/>
        <v/>
      </c>
      <c r="C796" s="97"/>
      <c r="D796" s="95"/>
      <c r="E796" s="96"/>
      <c r="F796" s="96"/>
      <c r="G796" s="99"/>
      <c r="H796" s="95"/>
      <c r="I796" s="95"/>
      <c r="J796" s="95"/>
      <c r="K796" s="95"/>
      <c r="L796" s="96"/>
      <c r="M796" s="42" t="str">
        <f t="shared" si="57"/>
        <v/>
      </c>
      <c r="N796" s="42" t="str">
        <f t="shared" si="58"/>
        <v/>
      </c>
      <c r="O796" s="43" t="str">
        <f t="shared" si="59"/>
        <v/>
      </c>
      <c r="P796" s="42" t="str">
        <f t="shared" si="60"/>
        <v/>
      </c>
    </row>
    <row r="797" spans="1:16" ht="17">
      <c r="A797" s="6"/>
      <c r="B797" s="95" t="str">
        <f t="shared" si="56"/>
        <v/>
      </c>
      <c r="C797" s="97"/>
      <c r="D797" s="95"/>
      <c r="E797" s="96"/>
      <c r="F797" s="96"/>
      <c r="G797" s="99"/>
      <c r="H797" s="95"/>
      <c r="I797" s="95"/>
      <c r="J797" s="95"/>
      <c r="K797" s="95"/>
      <c r="L797" s="96"/>
      <c r="M797" s="42" t="str">
        <f t="shared" si="57"/>
        <v/>
      </c>
      <c r="N797" s="42" t="str">
        <f t="shared" si="58"/>
        <v/>
      </c>
      <c r="O797" s="43" t="str">
        <f t="shared" si="59"/>
        <v/>
      </c>
      <c r="P797" s="42" t="str">
        <f t="shared" si="60"/>
        <v/>
      </c>
    </row>
    <row r="798" spans="1:16" ht="17">
      <c r="A798" s="6"/>
      <c r="B798" s="95" t="str">
        <f t="shared" si="56"/>
        <v/>
      </c>
      <c r="C798" s="97"/>
      <c r="D798" s="95"/>
      <c r="E798" s="96"/>
      <c r="F798" s="96"/>
      <c r="G798" s="99"/>
      <c r="H798" s="95"/>
      <c r="I798" s="95"/>
      <c r="J798" s="95"/>
      <c r="K798" s="95"/>
      <c r="L798" s="96"/>
      <c r="M798" s="42" t="str">
        <f t="shared" si="57"/>
        <v/>
      </c>
      <c r="N798" s="42" t="str">
        <f t="shared" si="58"/>
        <v/>
      </c>
      <c r="O798" s="43" t="str">
        <f t="shared" si="59"/>
        <v/>
      </c>
      <c r="P798" s="42" t="str">
        <f t="shared" si="60"/>
        <v/>
      </c>
    </row>
    <row r="799" spans="1:16" ht="17">
      <c r="A799" s="6"/>
      <c r="B799" s="95" t="str">
        <f t="shared" si="56"/>
        <v/>
      </c>
      <c r="C799" s="97"/>
      <c r="D799" s="95"/>
      <c r="E799" s="96"/>
      <c r="F799" s="96"/>
      <c r="G799" s="99"/>
      <c r="H799" s="95"/>
      <c r="I799" s="95"/>
      <c r="J799" s="95"/>
      <c r="K799" s="95"/>
      <c r="L799" s="96"/>
      <c r="M799" s="42" t="str">
        <f t="shared" si="57"/>
        <v/>
      </c>
      <c r="N799" s="42" t="str">
        <f t="shared" si="58"/>
        <v/>
      </c>
      <c r="O799" s="43" t="str">
        <f t="shared" si="59"/>
        <v/>
      </c>
      <c r="P799" s="42" t="str">
        <f t="shared" si="60"/>
        <v/>
      </c>
    </row>
    <row r="800" spans="1:16" ht="17">
      <c r="A800" s="6"/>
      <c r="B800" s="95" t="str">
        <f t="shared" si="56"/>
        <v/>
      </c>
      <c r="C800" s="97"/>
      <c r="D800" s="95"/>
      <c r="E800" s="96"/>
      <c r="F800" s="96"/>
      <c r="G800" s="99"/>
      <c r="H800" s="95"/>
      <c r="I800" s="95"/>
      <c r="J800" s="95"/>
      <c r="K800" s="95"/>
      <c r="L800" s="96"/>
      <c r="M800" s="42" t="str">
        <f t="shared" si="57"/>
        <v/>
      </c>
      <c r="N800" s="42" t="str">
        <f t="shared" si="58"/>
        <v/>
      </c>
      <c r="O800" s="43" t="str">
        <f t="shared" si="59"/>
        <v/>
      </c>
      <c r="P800" s="42" t="str">
        <f t="shared" si="60"/>
        <v/>
      </c>
    </row>
    <row r="801" spans="1:16" ht="17">
      <c r="A801" s="6"/>
      <c r="B801" s="95" t="str">
        <f t="shared" si="56"/>
        <v/>
      </c>
      <c r="C801" s="97"/>
      <c r="D801" s="95"/>
      <c r="E801" s="96"/>
      <c r="F801" s="96"/>
      <c r="G801" s="99"/>
      <c r="H801" s="95"/>
      <c r="I801" s="95"/>
      <c r="J801" s="95"/>
      <c r="K801" s="95"/>
      <c r="L801" s="96"/>
      <c r="M801" s="42" t="str">
        <f t="shared" si="57"/>
        <v/>
      </c>
      <c r="N801" s="42" t="str">
        <f t="shared" si="58"/>
        <v/>
      </c>
      <c r="O801" s="43" t="str">
        <f t="shared" si="59"/>
        <v/>
      </c>
      <c r="P801" s="42" t="str">
        <f t="shared" si="60"/>
        <v/>
      </c>
    </row>
    <row r="802" spans="1:16" ht="17">
      <c r="A802" s="6"/>
      <c r="B802" s="95" t="str">
        <f t="shared" ref="B802:B865" si="61">IF(C802="","","GG"&amp;TEXT(ROW()-6,"00000"))</f>
        <v/>
      </c>
      <c r="C802" s="97"/>
      <c r="D802" s="95"/>
      <c r="E802" s="96"/>
      <c r="F802" s="96"/>
      <c r="G802" s="99"/>
      <c r="H802" s="95"/>
      <c r="I802" s="95"/>
      <c r="J802" s="95"/>
      <c r="K802" s="95"/>
      <c r="L802" s="96"/>
      <c r="M802" s="42" t="str">
        <f t="shared" si="57"/>
        <v/>
      </c>
      <c r="N802" s="42" t="str">
        <f t="shared" si="58"/>
        <v/>
      </c>
      <c r="O802" s="43" t="str">
        <f t="shared" si="59"/>
        <v/>
      </c>
      <c r="P802" s="42" t="str">
        <f t="shared" si="60"/>
        <v/>
      </c>
    </row>
    <row r="803" spans="1:16" ht="17">
      <c r="A803" s="6"/>
      <c r="B803" s="95" t="str">
        <f t="shared" si="61"/>
        <v/>
      </c>
      <c r="C803" s="97"/>
      <c r="D803" s="95"/>
      <c r="E803" s="96"/>
      <c r="F803" s="96"/>
      <c r="G803" s="99"/>
      <c r="H803" s="95"/>
      <c r="I803" s="95"/>
      <c r="J803" s="95"/>
      <c r="K803" s="95"/>
      <c r="L803" s="96"/>
      <c r="M803" s="42" t="str">
        <f t="shared" si="57"/>
        <v/>
      </c>
      <c r="N803" s="42" t="str">
        <f t="shared" si="58"/>
        <v/>
      </c>
      <c r="O803" s="43" t="str">
        <f t="shared" si="59"/>
        <v/>
      </c>
      <c r="P803" s="42" t="str">
        <f t="shared" si="60"/>
        <v/>
      </c>
    </row>
    <row r="804" spans="1:16" ht="17">
      <c r="A804" s="6"/>
      <c r="B804" s="95" t="str">
        <f t="shared" si="61"/>
        <v/>
      </c>
      <c r="C804" s="97"/>
      <c r="D804" s="95"/>
      <c r="E804" s="96"/>
      <c r="F804" s="96"/>
      <c r="G804" s="99"/>
      <c r="H804" s="95"/>
      <c r="I804" s="95"/>
      <c r="J804" s="95"/>
      <c r="K804" s="95"/>
      <c r="L804" s="96"/>
      <c r="M804" s="42" t="str">
        <f t="shared" si="57"/>
        <v/>
      </c>
      <c r="N804" s="42" t="str">
        <f t="shared" si="58"/>
        <v/>
      </c>
      <c r="O804" s="43" t="str">
        <f t="shared" si="59"/>
        <v/>
      </c>
      <c r="P804" s="42" t="str">
        <f t="shared" si="60"/>
        <v/>
      </c>
    </row>
    <row r="805" spans="1:16" ht="17">
      <c r="A805" s="6"/>
      <c r="B805" s="95" t="str">
        <f t="shared" si="61"/>
        <v/>
      </c>
      <c r="C805" s="97"/>
      <c r="D805" s="95"/>
      <c r="E805" s="96"/>
      <c r="F805" s="96"/>
      <c r="G805" s="99"/>
      <c r="H805" s="95"/>
      <c r="I805" s="95"/>
      <c r="J805" s="95"/>
      <c r="K805" s="95"/>
      <c r="L805" s="96"/>
      <c r="M805" s="42" t="str">
        <f t="shared" si="57"/>
        <v/>
      </c>
      <c r="N805" s="42" t="str">
        <f t="shared" si="58"/>
        <v/>
      </c>
      <c r="O805" s="43" t="str">
        <f t="shared" si="59"/>
        <v/>
      </c>
      <c r="P805" s="42" t="str">
        <f t="shared" si="60"/>
        <v/>
      </c>
    </row>
    <row r="806" spans="1:16" ht="17">
      <c r="A806" s="6"/>
      <c r="B806" s="95" t="str">
        <f t="shared" si="61"/>
        <v/>
      </c>
      <c r="C806" s="97"/>
      <c r="D806" s="95"/>
      <c r="E806" s="96"/>
      <c r="F806" s="96"/>
      <c r="G806" s="99"/>
      <c r="H806" s="95"/>
      <c r="I806" s="95"/>
      <c r="J806" s="95"/>
      <c r="K806" s="95"/>
      <c r="L806" s="96"/>
      <c r="M806" s="42" t="str">
        <f t="shared" si="57"/>
        <v/>
      </c>
      <c r="N806" s="42" t="str">
        <f t="shared" si="58"/>
        <v/>
      </c>
      <c r="O806" s="43" t="str">
        <f t="shared" si="59"/>
        <v/>
      </c>
      <c r="P806" s="42" t="str">
        <f t="shared" si="60"/>
        <v/>
      </c>
    </row>
    <row r="807" spans="1:16" ht="17">
      <c r="A807" s="6"/>
      <c r="B807" s="95" t="str">
        <f t="shared" si="61"/>
        <v/>
      </c>
      <c r="C807" s="97"/>
      <c r="D807" s="95"/>
      <c r="E807" s="96"/>
      <c r="F807" s="96"/>
      <c r="G807" s="99"/>
      <c r="H807" s="95"/>
      <c r="I807" s="95"/>
      <c r="J807" s="95"/>
      <c r="K807" s="95"/>
      <c r="L807" s="96"/>
      <c r="M807" s="42" t="str">
        <f t="shared" si="57"/>
        <v/>
      </c>
      <c r="N807" s="42" t="str">
        <f t="shared" si="58"/>
        <v/>
      </c>
      <c r="O807" s="43" t="str">
        <f t="shared" si="59"/>
        <v/>
      </c>
      <c r="P807" s="42" t="str">
        <f t="shared" si="60"/>
        <v/>
      </c>
    </row>
    <row r="808" spans="1:16" ht="17">
      <c r="A808" s="6"/>
      <c r="B808" s="95" t="str">
        <f t="shared" si="61"/>
        <v/>
      </c>
      <c r="C808" s="97"/>
      <c r="D808" s="95"/>
      <c r="E808" s="96"/>
      <c r="F808" s="96"/>
      <c r="G808" s="99"/>
      <c r="H808" s="95"/>
      <c r="I808" s="95"/>
      <c r="J808" s="95"/>
      <c r="K808" s="95"/>
      <c r="L808" s="96"/>
      <c r="M808" s="42" t="str">
        <f t="shared" si="57"/>
        <v/>
      </c>
      <c r="N808" s="42" t="str">
        <f t="shared" si="58"/>
        <v/>
      </c>
      <c r="O808" s="43" t="str">
        <f t="shared" si="59"/>
        <v/>
      </c>
      <c r="P808" s="42" t="str">
        <f t="shared" si="60"/>
        <v/>
      </c>
    </row>
    <row r="809" spans="1:16" ht="17">
      <c r="A809" s="6"/>
      <c r="B809" s="95" t="str">
        <f t="shared" si="61"/>
        <v/>
      </c>
      <c r="C809" s="97"/>
      <c r="D809" s="95"/>
      <c r="E809" s="96"/>
      <c r="F809" s="96"/>
      <c r="G809" s="99"/>
      <c r="H809" s="95"/>
      <c r="I809" s="95"/>
      <c r="J809" s="95"/>
      <c r="K809" s="95"/>
      <c r="L809" s="96"/>
      <c r="M809" s="42" t="str">
        <f t="shared" si="57"/>
        <v/>
      </c>
      <c r="N809" s="42" t="str">
        <f t="shared" si="58"/>
        <v/>
      </c>
      <c r="O809" s="43" t="str">
        <f t="shared" si="59"/>
        <v/>
      </c>
      <c r="P809" s="42" t="str">
        <f t="shared" si="60"/>
        <v/>
      </c>
    </row>
    <row r="810" spans="1:16" ht="17">
      <c r="A810" s="6"/>
      <c r="B810" s="95" t="str">
        <f t="shared" si="61"/>
        <v/>
      </c>
      <c r="C810" s="97"/>
      <c r="D810" s="95"/>
      <c r="E810" s="96"/>
      <c r="F810" s="96"/>
      <c r="G810" s="99"/>
      <c r="H810" s="95"/>
      <c r="I810" s="95"/>
      <c r="J810" s="95"/>
      <c r="K810" s="95"/>
      <c r="L810" s="96"/>
      <c r="M810" s="42" t="str">
        <f t="shared" si="57"/>
        <v/>
      </c>
      <c r="N810" s="42" t="str">
        <f t="shared" si="58"/>
        <v/>
      </c>
      <c r="O810" s="43" t="str">
        <f t="shared" si="59"/>
        <v/>
      </c>
      <c r="P810" s="42" t="str">
        <f t="shared" si="60"/>
        <v/>
      </c>
    </row>
    <row r="811" spans="1:16" ht="17">
      <c r="A811" s="6"/>
      <c r="B811" s="95" t="str">
        <f t="shared" si="61"/>
        <v/>
      </c>
      <c r="C811" s="97"/>
      <c r="D811" s="95"/>
      <c r="E811" s="96"/>
      <c r="F811" s="96"/>
      <c r="G811" s="99"/>
      <c r="H811" s="95"/>
      <c r="I811" s="95"/>
      <c r="J811" s="95"/>
      <c r="K811" s="95"/>
      <c r="L811" s="96"/>
      <c r="M811" s="42" t="str">
        <f t="shared" si="57"/>
        <v/>
      </c>
      <c r="N811" s="42" t="str">
        <f t="shared" si="58"/>
        <v/>
      </c>
      <c r="O811" s="43" t="str">
        <f t="shared" si="59"/>
        <v/>
      </c>
      <c r="P811" s="42" t="str">
        <f t="shared" si="60"/>
        <v/>
      </c>
    </row>
    <row r="812" spans="1:16" ht="17">
      <c r="A812" s="6"/>
      <c r="B812" s="95" t="str">
        <f t="shared" si="61"/>
        <v/>
      </c>
      <c r="C812" s="97"/>
      <c r="D812" s="95"/>
      <c r="E812" s="96"/>
      <c r="F812" s="96"/>
      <c r="G812" s="99"/>
      <c r="H812" s="95"/>
      <c r="I812" s="95"/>
      <c r="J812" s="95"/>
      <c r="K812" s="95"/>
      <c r="L812" s="96"/>
      <c r="M812" s="42" t="str">
        <f t="shared" si="57"/>
        <v/>
      </c>
      <c r="N812" s="42" t="str">
        <f t="shared" si="58"/>
        <v/>
      </c>
      <c r="O812" s="43" t="str">
        <f t="shared" si="59"/>
        <v/>
      </c>
      <c r="P812" s="42" t="str">
        <f t="shared" si="60"/>
        <v/>
      </c>
    </row>
    <row r="813" spans="1:16" ht="17">
      <c r="A813" s="6"/>
      <c r="B813" s="95" t="str">
        <f t="shared" si="61"/>
        <v/>
      </c>
      <c r="C813" s="97"/>
      <c r="D813" s="95"/>
      <c r="E813" s="96"/>
      <c r="F813" s="96"/>
      <c r="G813" s="99"/>
      <c r="H813" s="95"/>
      <c r="I813" s="95"/>
      <c r="J813" s="95"/>
      <c r="K813" s="95"/>
      <c r="L813" s="96"/>
      <c r="M813" s="42" t="str">
        <f t="shared" si="57"/>
        <v/>
      </c>
      <c r="N813" s="42" t="str">
        <f t="shared" si="58"/>
        <v/>
      </c>
      <c r="O813" s="43" t="str">
        <f t="shared" si="59"/>
        <v/>
      </c>
      <c r="P813" s="42" t="str">
        <f t="shared" si="60"/>
        <v/>
      </c>
    </row>
    <row r="814" spans="1:16" ht="17">
      <c r="A814" s="6"/>
      <c r="B814" s="95" t="str">
        <f t="shared" si="61"/>
        <v/>
      </c>
      <c r="C814" s="97"/>
      <c r="D814" s="95"/>
      <c r="E814" s="96"/>
      <c r="F814" s="96"/>
      <c r="G814" s="99"/>
      <c r="H814" s="95"/>
      <c r="I814" s="95"/>
      <c r="J814" s="95"/>
      <c r="K814" s="95"/>
      <c r="L814" s="96"/>
      <c r="M814" s="42" t="str">
        <f t="shared" si="57"/>
        <v/>
      </c>
      <c r="N814" s="42" t="str">
        <f t="shared" si="58"/>
        <v/>
      </c>
      <c r="O814" s="43" t="str">
        <f t="shared" si="59"/>
        <v/>
      </c>
      <c r="P814" s="42" t="str">
        <f t="shared" si="60"/>
        <v/>
      </c>
    </row>
    <row r="815" spans="1:16" ht="17">
      <c r="A815" s="6"/>
      <c r="B815" s="95" t="str">
        <f t="shared" si="61"/>
        <v/>
      </c>
      <c r="C815" s="97"/>
      <c r="D815" s="95"/>
      <c r="E815" s="96"/>
      <c r="F815" s="96"/>
      <c r="G815" s="99"/>
      <c r="H815" s="95"/>
      <c r="I815" s="95"/>
      <c r="J815" s="95"/>
      <c r="K815" s="95"/>
      <c r="L815" s="96"/>
      <c r="M815" s="42" t="str">
        <f t="shared" si="57"/>
        <v/>
      </c>
      <c r="N815" s="42" t="str">
        <f t="shared" si="58"/>
        <v/>
      </c>
      <c r="O815" s="43" t="str">
        <f t="shared" si="59"/>
        <v/>
      </c>
      <c r="P815" s="42" t="str">
        <f t="shared" si="60"/>
        <v/>
      </c>
    </row>
    <row r="816" spans="1:16" ht="17">
      <c r="A816" s="6"/>
      <c r="B816" s="95" t="str">
        <f t="shared" si="61"/>
        <v/>
      </c>
      <c r="C816" s="97"/>
      <c r="D816" s="95"/>
      <c r="E816" s="96"/>
      <c r="F816" s="96"/>
      <c r="G816" s="99"/>
      <c r="H816" s="95"/>
      <c r="I816" s="95"/>
      <c r="J816" s="95"/>
      <c r="K816" s="95"/>
      <c r="L816" s="96"/>
      <c r="M816" s="42" t="str">
        <f t="shared" si="57"/>
        <v/>
      </c>
      <c r="N816" s="42" t="str">
        <f t="shared" si="58"/>
        <v/>
      </c>
      <c r="O816" s="43" t="str">
        <f t="shared" si="59"/>
        <v/>
      </c>
      <c r="P816" s="42" t="str">
        <f t="shared" si="60"/>
        <v/>
      </c>
    </row>
    <row r="817" spans="1:16" ht="17">
      <c r="A817" s="6"/>
      <c r="B817" s="95" t="str">
        <f t="shared" si="61"/>
        <v/>
      </c>
      <c r="C817" s="97"/>
      <c r="D817" s="95"/>
      <c r="E817" s="96"/>
      <c r="F817" s="96"/>
      <c r="G817" s="99"/>
      <c r="H817" s="95"/>
      <c r="I817" s="95"/>
      <c r="J817" s="95"/>
      <c r="K817" s="95"/>
      <c r="L817" s="96"/>
      <c r="M817" s="42" t="str">
        <f t="shared" si="57"/>
        <v/>
      </c>
      <c r="N817" s="42" t="str">
        <f t="shared" si="58"/>
        <v/>
      </c>
      <c r="O817" s="43" t="str">
        <f t="shared" si="59"/>
        <v/>
      </c>
      <c r="P817" s="42" t="str">
        <f t="shared" si="60"/>
        <v/>
      </c>
    </row>
    <row r="818" spans="1:16" ht="17">
      <c r="A818" s="6"/>
      <c r="B818" s="95" t="str">
        <f t="shared" si="61"/>
        <v/>
      </c>
      <c r="C818" s="97"/>
      <c r="D818" s="95"/>
      <c r="E818" s="96"/>
      <c r="F818" s="96"/>
      <c r="G818" s="99"/>
      <c r="H818" s="95"/>
      <c r="I818" s="95"/>
      <c r="J818" s="95"/>
      <c r="K818" s="95"/>
      <c r="L818" s="96"/>
      <c r="M818" s="42" t="str">
        <f t="shared" si="57"/>
        <v/>
      </c>
      <c r="N818" s="42" t="str">
        <f t="shared" si="58"/>
        <v/>
      </c>
      <c r="O818" s="43" t="str">
        <f t="shared" si="59"/>
        <v/>
      </c>
      <c r="P818" s="42" t="str">
        <f t="shared" si="60"/>
        <v/>
      </c>
    </row>
    <row r="819" spans="1:16" ht="17">
      <c r="A819" s="6"/>
      <c r="B819" s="95" t="str">
        <f t="shared" si="61"/>
        <v/>
      </c>
      <c r="C819" s="97"/>
      <c r="D819" s="95"/>
      <c r="E819" s="96"/>
      <c r="F819" s="96"/>
      <c r="G819" s="99"/>
      <c r="H819" s="95"/>
      <c r="I819" s="95"/>
      <c r="J819" s="95"/>
      <c r="K819" s="95"/>
      <c r="L819" s="96"/>
      <c r="M819" s="42" t="str">
        <f t="shared" si="57"/>
        <v/>
      </c>
      <c r="N819" s="42" t="str">
        <f t="shared" si="58"/>
        <v/>
      </c>
      <c r="O819" s="43" t="str">
        <f t="shared" si="59"/>
        <v/>
      </c>
      <c r="P819" s="42" t="str">
        <f t="shared" si="60"/>
        <v/>
      </c>
    </row>
    <row r="820" spans="1:16" ht="17">
      <c r="A820" s="6"/>
      <c r="B820" s="95" t="str">
        <f t="shared" si="61"/>
        <v/>
      </c>
      <c r="C820" s="97"/>
      <c r="D820" s="95"/>
      <c r="E820" s="96"/>
      <c r="F820" s="96"/>
      <c r="G820" s="99"/>
      <c r="H820" s="95"/>
      <c r="I820" s="95"/>
      <c r="J820" s="95"/>
      <c r="K820" s="95"/>
      <c r="L820" s="96"/>
      <c r="M820" s="42" t="str">
        <f t="shared" si="57"/>
        <v/>
      </c>
      <c r="N820" s="42" t="str">
        <f t="shared" si="58"/>
        <v/>
      </c>
      <c r="O820" s="43" t="str">
        <f t="shared" si="59"/>
        <v/>
      </c>
      <c r="P820" s="42" t="str">
        <f t="shared" si="60"/>
        <v/>
      </c>
    </row>
    <row r="821" spans="1:16" ht="17">
      <c r="A821" s="6"/>
      <c r="B821" s="95" t="str">
        <f t="shared" si="61"/>
        <v/>
      </c>
      <c r="C821" s="97"/>
      <c r="D821" s="95"/>
      <c r="E821" s="96"/>
      <c r="F821" s="96"/>
      <c r="G821" s="99"/>
      <c r="H821" s="95"/>
      <c r="I821" s="95"/>
      <c r="J821" s="95"/>
      <c r="K821" s="95"/>
      <c r="L821" s="96"/>
      <c r="M821" s="42" t="str">
        <f t="shared" si="57"/>
        <v/>
      </c>
      <c r="N821" s="42" t="str">
        <f t="shared" si="58"/>
        <v/>
      </c>
      <c r="O821" s="43" t="str">
        <f t="shared" si="59"/>
        <v/>
      </c>
      <c r="P821" s="42" t="str">
        <f t="shared" si="60"/>
        <v/>
      </c>
    </row>
    <row r="822" spans="1:16" ht="17">
      <c r="A822" s="6"/>
      <c r="B822" s="95" t="str">
        <f t="shared" si="61"/>
        <v/>
      </c>
      <c r="C822" s="97"/>
      <c r="D822" s="95"/>
      <c r="E822" s="96"/>
      <c r="F822" s="96"/>
      <c r="G822" s="99"/>
      <c r="H822" s="95"/>
      <c r="I822" s="95"/>
      <c r="J822" s="95"/>
      <c r="K822" s="95"/>
      <c r="L822" s="96"/>
      <c r="M822" s="42" t="str">
        <f t="shared" si="57"/>
        <v/>
      </c>
      <c r="N822" s="42" t="str">
        <f t="shared" si="58"/>
        <v/>
      </c>
      <c r="O822" s="43" t="str">
        <f t="shared" si="59"/>
        <v/>
      </c>
      <c r="P822" s="42" t="str">
        <f t="shared" si="60"/>
        <v/>
      </c>
    </row>
    <row r="823" spans="1:16" ht="17">
      <c r="A823" s="6"/>
      <c r="B823" s="95" t="str">
        <f t="shared" si="61"/>
        <v/>
      </c>
      <c r="C823" s="97"/>
      <c r="D823" s="95"/>
      <c r="E823" s="96"/>
      <c r="F823" s="96"/>
      <c r="G823" s="99"/>
      <c r="H823" s="95"/>
      <c r="I823" s="95"/>
      <c r="J823" s="95"/>
      <c r="K823" s="95"/>
      <c r="L823" s="96"/>
      <c r="M823" s="42" t="str">
        <f t="shared" si="57"/>
        <v/>
      </c>
      <c r="N823" s="42" t="str">
        <f t="shared" si="58"/>
        <v/>
      </c>
      <c r="O823" s="43" t="str">
        <f t="shared" si="59"/>
        <v/>
      </c>
      <c r="P823" s="42" t="str">
        <f t="shared" si="60"/>
        <v/>
      </c>
    </row>
    <row r="824" spans="1:16" ht="17">
      <c r="A824" s="6"/>
      <c r="B824" s="95" t="str">
        <f t="shared" si="61"/>
        <v/>
      </c>
      <c r="C824" s="97"/>
      <c r="D824" s="95"/>
      <c r="E824" s="96"/>
      <c r="F824" s="96"/>
      <c r="G824" s="99"/>
      <c r="H824" s="95"/>
      <c r="I824" s="95"/>
      <c r="J824" s="95"/>
      <c r="K824" s="95"/>
      <c r="L824" s="96"/>
      <c r="M824" s="42" t="str">
        <f t="shared" si="57"/>
        <v/>
      </c>
      <c r="N824" s="42" t="str">
        <f t="shared" si="58"/>
        <v/>
      </c>
      <c r="O824" s="43" t="str">
        <f t="shared" si="59"/>
        <v/>
      </c>
      <c r="P824" s="42" t="str">
        <f t="shared" si="60"/>
        <v/>
      </c>
    </row>
    <row r="825" spans="1:16" ht="17">
      <c r="A825" s="6"/>
      <c r="B825" s="95" t="str">
        <f t="shared" si="61"/>
        <v/>
      </c>
      <c r="C825" s="97"/>
      <c r="D825" s="95"/>
      <c r="E825" s="96"/>
      <c r="F825" s="96"/>
      <c r="G825" s="99"/>
      <c r="H825" s="95"/>
      <c r="I825" s="95"/>
      <c r="J825" s="95"/>
      <c r="K825" s="95"/>
      <c r="L825" s="96"/>
      <c r="M825" s="42" t="str">
        <f t="shared" si="57"/>
        <v/>
      </c>
      <c r="N825" s="42" t="str">
        <f t="shared" si="58"/>
        <v/>
      </c>
      <c r="O825" s="43" t="str">
        <f t="shared" si="59"/>
        <v/>
      </c>
      <c r="P825" s="42" t="str">
        <f t="shared" si="60"/>
        <v/>
      </c>
    </row>
    <row r="826" spans="1:16" ht="17">
      <c r="A826" s="6"/>
      <c r="B826" s="95" t="str">
        <f t="shared" si="61"/>
        <v/>
      </c>
      <c r="C826" s="97"/>
      <c r="D826" s="95"/>
      <c r="E826" s="96"/>
      <c r="F826" s="96"/>
      <c r="G826" s="99"/>
      <c r="H826" s="95"/>
      <c r="I826" s="95"/>
      <c r="J826" s="95"/>
      <c r="K826" s="95"/>
      <c r="L826" s="96"/>
      <c r="M826" s="42" t="str">
        <f t="shared" si="57"/>
        <v/>
      </c>
      <c r="N826" s="42" t="str">
        <f t="shared" si="58"/>
        <v/>
      </c>
      <c r="O826" s="43" t="str">
        <f t="shared" si="59"/>
        <v/>
      </c>
      <c r="P826" s="42" t="str">
        <f t="shared" si="60"/>
        <v/>
      </c>
    </row>
    <row r="827" spans="1:16" ht="17">
      <c r="A827" s="6"/>
      <c r="B827" s="95" t="str">
        <f t="shared" si="61"/>
        <v/>
      </c>
      <c r="C827" s="97"/>
      <c r="D827" s="95"/>
      <c r="E827" s="96"/>
      <c r="F827" s="96"/>
      <c r="G827" s="99"/>
      <c r="H827" s="95"/>
      <c r="I827" s="95"/>
      <c r="J827" s="95"/>
      <c r="K827" s="95"/>
      <c r="L827" s="96"/>
      <c r="M827" s="42" t="str">
        <f t="shared" si="57"/>
        <v/>
      </c>
      <c r="N827" s="42" t="str">
        <f t="shared" si="58"/>
        <v/>
      </c>
      <c r="O827" s="43" t="str">
        <f t="shared" si="59"/>
        <v/>
      </c>
      <c r="P827" s="42" t="str">
        <f t="shared" si="60"/>
        <v/>
      </c>
    </row>
    <row r="828" spans="1:16" ht="17">
      <c r="A828" s="6"/>
      <c r="B828" s="95" t="str">
        <f t="shared" si="61"/>
        <v/>
      </c>
      <c r="C828" s="97"/>
      <c r="D828" s="95"/>
      <c r="E828" s="96"/>
      <c r="F828" s="96"/>
      <c r="G828" s="99"/>
      <c r="H828" s="95"/>
      <c r="I828" s="95"/>
      <c r="J828" s="95"/>
      <c r="K828" s="95"/>
      <c r="L828" s="96"/>
      <c r="M828" s="42" t="str">
        <f t="shared" si="57"/>
        <v/>
      </c>
      <c r="N828" s="42" t="str">
        <f t="shared" si="58"/>
        <v/>
      </c>
      <c r="O828" s="43" t="str">
        <f t="shared" si="59"/>
        <v/>
      </c>
      <c r="P828" s="42" t="str">
        <f t="shared" si="60"/>
        <v/>
      </c>
    </row>
    <row r="829" spans="1:16" ht="17">
      <c r="A829" s="6"/>
      <c r="B829" s="95" t="str">
        <f t="shared" si="61"/>
        <v/>
      </c>
      <c r="C829" s="97"/>
      <c r="D829" s="95"/>
      <c r="E829" s="96"/>
      <c r="F829" s="96"/>
      <c r="G829" s="99"/>
      <c r="H829" s="95"/>
      <c r="I829" s="95"/>
      <c r="J829" s="95"/>
      <c r="K829" s="95"/>
      <c r="L829" s="96"/>
      <c r="M829" s="42" t="str">
        <f t="shared" si="57"/>
        <v/>
      </c>
      <c r="N829" s="42" t="str">
        <f t="shared" si="58"/>
        <v/>
      </c>
      <c r="O829" s="43" t="str">
        <f t="shared" si="59"/>
        <v/>
      </c>
      <c r="P829" s="42" t="str">
        <f t="shared" si="60"/>
        <v/>
      </c>
    </row>
    <row r="830" spans="1:16" ht="17">
      <c r="A830" s="6"/>
      <c r="B830" s="95" t="str">
        <f t="shared" si="61"/>
        <v/>
      </c>
      <c r="C830" s="97"/>
      <c r="D830" s="95"/>
      <c r="E830" s="96"/>
      <c r="F830" s="96"/>
      <c r="G830" s="99"/>
      <c r="H830" s="95"/>
      <c r="I830" s="95"/>
      <c r="J830" s="95"/>
      <c r="K830" s="95"/>
      <c r="L830" s="96"/>
      <c r="M830" s="42" t="str">
        <f t="shared" si="57"/>
        <v/>
      </c>
      <c r="N830" s="42" t="str">
        <f t="shared" si="58"/>
        <v/>
      </c>
      <c r="O830" s="43" t="str">
        <f t="shared" si="59"/>
        <v/>
      </c>
      <c r="P830" s="42" t="str">
        <f t="shared" si="60"/>
        <v/>
      </c>
    </row>
    <row r="831" spans="1:16" ht="17">
      <c r="A831" s="6"/>
      <c r="B831" s="95" t="str">
        <f t="shared" si="61"/>
        <v/>
      </c>
      <c r="C831" s="97"/>
      <c r="D831" s="95"/>
      <c r="E831" s="96"/>
      <c r="F831" s="96"/>
      <c r="G831" s="99"/>
      <c r="H831" s="95"/>
      <c r="I831" s="95"/>
      <c r="J831" s="95"/>
      <c r="K831" s="95"/>
      <c r="L831" s="96"/>
      <c r="M831" s="42" t="str">
        <f t="shared" si="57"/>
        <v/>
      </c>
      <c r="N831" s="42" t="str">
        <f t="shared" si="58"/>
        <v/>
      </c>
      <c r="O831" s="43" t="str">
        <f t="shared" si="59"/>
        <v/>
      </c>
      <c r="P831" s="42" t="str">
        <f t="shared" si="60"/>
        <v/>
      </c>
    </row>
    <row r="832" spans="1:16" ht="17">
      <c r="A832" s="6"/>
      <c r="B832" s="95" t="str">
        <f t="shared" si="61"/>
        <v/>
      </c>
      <c r="C832" s="97"/>
      <c r="D832" s="95"/>
      <c r="E832" s="96"/>
      <c r="F832" s="96"/>
      <c r="G832" s="99"/>
      <c r="H832" s="95"/>
      <c r="I832" s="95"/>
      <c r="J832" s="95"/>
      <c r="K832" s="95"/>
      <c r="L832" s="96"/>
      <c r="M832" s="42" t="str">
        <f t="shared" si="57"/>
        <v/>
      </c>
      <c r="N832" s="42" t="str">
        <f t="shared" si="58"/>
        <v/>
      </c>
      <c r="O832" s="43" t="str">
        <f t="shared" si="59"/>
        <v/>
      </c>
      <c r="P832" s="42" t="str">
        <f t="shared" si="60"/>
        <v/>
      </c>
    </row>
    <row r="833" spans="1:16" ht="17">
      <c r="A833" s="6"/>
      <c r="B833" s="95" t="str">
        <f t="shared" si="61"/>
        <v/>
      </c>
      <c r="C833" s="97"/>
      <c r="D833" s="95"/>
      <c r="E833" s="96"/>
      <c r="F833" s="96"/>
      <c r="G833" s="99"/>
      <c r="H833" s="95"/>
      <c r="I833" s="95"/>
      <c r="J833" s="95"/>
      <c r="K833" s="95"/>
      <c r="L833" s="96"/>
      <c r="M833" s="42" t="str">
        <f t="shared" si="57"/>
        <v/>
      </c>
      <c r="N833" s="42" t="str">
        <f t="shared" si="58"/>
        <v/>
      </c>
      <c r="O833" s="43" t="str">
        <f t="shared" si="59"/>
        <v/>
      </c>
      <c r="P833" s="42" t="str">
        <f t="shared" si="60"/>
        <v/>
      </c>
    </row>
    <row r="834" spans="1:16" ht="17">
      <c r="A834" s="6"/>
      <c r="B834" s="95" t="str">
        <f t="shared" si="61"/>
        <v/>
      </c>
      <c r="C834" s="97"/>
      <c r="D834" s="95"/>
      <c r="E834" s="96"/>
      <c r="F834" s="96"/>
      <c r="G834" s="99"/>
      <c r="H834" s="95"/>
      <c r="I834" s="95"/>
      <c r="J834" s="95"/>
      <c r="K834" s="95"/>
      <c r="L834" s="96"/>
      <c r="M834" s="42" t="str">
        <f t="shared" si="57"/>
        <v/>
      </c>
      <c r="N834" s="42" t="str">
        <f t="shared" si="58"/>
        <v/>
      </c>
      <c r="O834" s="43" t="str">
        <f t="shared" si="59"/>
        <v/>
      </c>
      <c r="P834" s="42" t="str">
        <f t="shared" si="60"/>
        <v/>
      </c>
    </row>
    <row r="835" spans="1:16" ht="17">
      <c r="A835" s="6"/>
      <c r="B835" s="95" t="str">
        <f t="shared" si="61"/>
        <v/>
      </c>
      <c r="C835" s="97"/>
      <c r="D835" s="95"/>
      <c r="E835" s="96"/>
      <c r="F835" s="96"/>
      <c r="G835" s="99"/>
      <c r="H835" s="95"/>
      <c r="I835" s="95"/>
      <c r="J835" s="95"/>
      <c r="K835" s="95"/>
      <c r="L835" s="96"/>
      <c r="M835" s="42" t="str">
        <f t="shared" si="57"/>
        <v/>
      </c>
      <c r="N835" s="42" t="str">
        <f t="shared" si="58"/>
        <v/>
      </c>
      <c r="O835" s="43" t="str">
        <f t="shared" si="59"/>
        <v/>
      </c>
      <c r="P835" s="42" t="str">
        <f t="shared" si="60"/>
        <v/>
      </c>
    </row>
    <row r="836" spans="1:16" ht="17">
      <c r="A836" s="6"/>
      <c r="B836" s="95" t="str">
        <f t="shared" si="61"/>
        <v/>
      </c>
      <c r="C836" s="97"/>
      <c r="D836" s="95"/>
      <c r="E836" s="96"/>
      <c r="F836" s="96"/>
      <c r="G836" s="99"/>
      <c r="H836" s="95"/>
      <c r="I836" s="95"/>
      <c r="J836" s="95"/>
      <c r="K836" s="95"/>
      <c r="L836" s="96"/>
      <c r="M836" s="42" t="str">
        <f t="shared" si="57"/>
        <v/>
      </c>
      <c r="N836" s="42" t="str">
        <f t="shared" si="58"/>
        <v/>
      </c>
      <c r="O836" s="43" t="str">
        <f t="shared" si="59"/>
        <v/>
      </c>
      <c r="P836" s="42" t="str">
        <f t="shared" si="60"/>
        <v/>
      </c>
    </row>
    <row r="837" spans="1:16" ht="17">
      <c r="A837" s="6"/>
      <c r="B837" s="95" t="str">
        <f t="shared" si="61"/>
        <v/>
      </c>
      <c r="C837" s="97"/>
      <c r="D837" s="95"/>
      <c r="E837" s="96"/>
      <c r="F837" s="96"/>
      <c r="G837" s="99"/>
      <c r="H837" s="95"/>
      <c r="I837" s="95"/>
      <c r="J837" s="95"/>
      <c r="K837" s="95"/>
      <c r="L837" s="96"/>
      <c r="M837" s="42" t="str">
        <f t="shared" si="57"/>
        <v/>
      </c>
      <c r="N837" s="42" t="str">
        <f t="shared" si="58"/>
        <v/>
      </c>
      <c r="O837" s="43" t="str">
        <f t="shared" si="59"/>
        <v/>
      </c>
      <c r="P837" s="42" t="str">
        <f t="shared" si="60"/>
        <v/>
      </c>
    </row>
    <row r="838" spans="1:16" ht="17">
      <c r="A838" s="6"/>
      <c r="B838" s="95" t="str">
        <f t="shared" si="61"/>
        <v/>
      </c>
      <c r="C838" s="97"/>
      <c r="D838" s="95"/>
      <c r="E838" s="96"/>
      <c r="F838" s="96"/>
      <c r="G838" s="99"/>
      <c r="H838" s="95"/>
      <c r="I838" s="95"/>
      <c r="J838" s="95"/>
      <c r="K838" s="95"/>
      <c r="L838" s="96"/>
      <c r="M838" s="42" t="str">
        <f t="shared" si="57"/>
        <v/>
      </c>
      <c r="N838" s="42" t="str">
        <f t="shared" si="58"/>
        <v/>
      </c>
      <c r="O838" s="43" t="str">
        <f t="shared" si="59"/>
        <v/>
      </c>
      <c r="P838" s="42" t="str">
        <f t="shared" si="60"/>
        <v/>
      </c>
    </row>
    <row r="839" spans="1:16" ht="17">
      <c r="A839" s="6"/>
      <c r="B839" s="95" t="str">
        <f t="shared" si="61"/>
        <v/>
      </c>
      <c r="C839" s="97"/>
      <c r="D839" s="95"/>
      <c r="E839" s="96"/>
      <c r="F839" s="96"/>
      <c r="G839" s="99"/>
      <c r="H839" s="95"/>
      <c r="I839" s="95"/>
      <c r="J839" s="95"/>
      <c r="K839" s="95"/>
      <c r="L839" s="96"/>
      <c r="M839" s="42" t="str">
        <f t="shared" ref="M839:M902" si="62">IF(C839="","",IF(D839="Gider",IF(H839&lt;&gt;"",H839,"CARİ MAHSUP"),IF(L839&lt;&gt;"",L839,H839)))</f>
        <v/>
      </c>
      <c r="N839" s="42" t="str">
        <f t="shared" ref="N839:N902" si="63">IF(C839="","",IF(D839="Gider",E839,IF(H839&lt;&gt;"",H839,E839)))</f>
        <v/>
      </c>
      <c r="O839" s="43" t="str">
        <f t="shared" ref="O839:O902" si="64">IF(C839="","",DATE(YEAR(C839),MONTH(C839),1))</f>
        <v/>
      </c>
      <c r="P839" s="42" t="str">
        <f t="shared" ref="P839:P902" si="65">IF(C839="","",IF(OR(D839="",E839="",G839=""),"EKSİK",IF(AND(D839="Gelir",I839="Hayır",L839&lt;&gt;""),IF(R839,"TAHAKKUK","TANIMSIZ BORÇLU"),IF(AND(D839="Gelir",I839="Evet",L839&lt;&gt;""),"TAHAKKUK NAKİT OLAMAZ",IF(AND(D839="Gelir",I839="Hayır",H839&lt;&gt;""),"NAKİTSİZDE KASA OLMAZ","UYGUN")))))</f>
        <v/>
      </c>
    </row>
    <row r="840" spans="1:16" ht="17">
      <c r="A840" s="6"/>
      <c r="B840" s="95" t="str">
        <f t="shared" si="61"/>
        <v/>
      </c>
      <c r="C840" s="97"/>
      <c r="D840" s="95"/>
      <c r="E840" s="96"/>
      <c r="F840" s="96"/>
      <c r="G840" s="99"/>
      <c r="H840" s="95"/>
      <c r="I840" s="95"/>
      <c r="J840" s="95"/>
      <c r="K840" s="95"/>
      <c r="L840" s="96"/>
      <c r="M840" s="42" t="str">
        <f t="shared" si="62"/>
        <v/>
      </c>
      <c r="N840" s="42" t="str">
        <f t="shared" si="63"/>
        <v/>
      </c>
      <c r="O840" s="43" t="str">
        <f t="shared" si="64"/>
        <v/>
      </c>
      <c r="P840" s="42" t="str">
        <f t="shared" si="65"/>
        <v/>
      </c>
    </row>
    <row r="841" spans="1:16" ht="17">
      <c r="A841" s="6"/>
      <c r="B841" s="95" t="str">
        <f t="shared" si="61"/>
        <v/>
      </c>
      <c r="C841" s="97"/>
      <c r="D841" s="95"/>
      <c r="E841" s="96"/>
      <c r="F841" s="96"/>
      <c r="G841" s="99"/>
      <c r="H841" s="95"/>
      <c r="I841" s="95"/>
      <c r="J841" s="95"/>
      <c r="K841" s="95"/>
      <c r="L841" s="96"/>
      <c r="M841" s="42" t="str">
        <f t="shared" si="62"/>
        <v/>
      </c>
      <c r="N841" s="42" t="str">
        <f t="shared" si="63"/>
        <v/>
      </c>
      <c r="O841" s="43" t="str">
        <f t="shared" si="64"/>
        <v/>
      </c>
      <c r="P841" s="42" t="str">
        <f t="shared" si="65"/>
        <v/>
      </c>
    </row>
    <row r="842" spans="1:16" ht="17">
      <c r="A842" s="6"/>
      <c r="B842" s="95" t="str">
        <f t="shared" si="61"/>
        <v/>
      </c>
      <c r="C842" s="97"/>
      <c r="D842" s="95"/>
      <c r="E842" s="96"/>
      <c r="F842" s="96"/>
      <c r="G842" s="99"/>
      <c r="H842" s="95"/>
      <c r="I842" s="95"/>
      <c r="J842" s="95"/>
      <c r="K842" s="95"/>
      <c r="L842" s="96"/>
      <c r="M842" s="42" t="str">
        <f t="shared" si="62"/>
        <v/>
      </c>
      <c r="N842" s="42" t="str">
        <f t="shared" si="63"/>
        <v/>
      </c>
      <c r="O842" s="43" t="str">
        <f t="shared" si="64"/>
        <v/>
      </c>
      <c r="P842" s="42" t="str">
        <f t="shared" si="65"/>
        <v/>
      </c>
    </row>
    <row r="843" spans="1:16" ht="17">
      <c r="A843" s="6"/>
      <c r="B843" s="95" t="str">
        <f t="shared" si="61"/>
        <v/>
      </c>
      <c r="C843" s="97"/>
      <c r="D843" s="95"/>
      <c r="E843" s="96"/>
      <c r="F843" s="96"/>
      <c r="G843" s="99"/>
      <c r="H843" s="95"/>
      <c r="I843" s="95"/>
      <c r="J843" s="95"/>
      <c r="K843" s="95"/>
      <c r="L843" s="96"/>
      <c r="M843" s="42" t="str">
        <f t="shared" si="62"/>
        <v/>
      </c>
      <c r="N843" s="42" t="str">
        <f t="shared" si="63"/>
        <v/>
      </c>
      <c r="O843" s="43" t="str">
        <f t="shared" si="64"/>
        <v/>
      </c>
      <c r="P843" s="42" t="str">
        <f t="shared" si="65"/>
        <v/>
      </c>
    </row>
    <row r="844" spans="1:16" ht="17">
      <c r="A844" s="6"/>
      <c r="B844" s="95" t="str">
        <f t="shared" si="61"/>
        <v/>
      </c>
      <c r="C844" s="97"/>
      <c r="D844" s="95"/>
      <c r="E844" s="96"/>
      <c r="F844" s="96"/>
      <c r="G844" s="99"/>
      <c r="H844" s="95"/>
      <c r="I844" s="95"/>
      <c r="J844" s="95"/>
      <c r="K844" s="95"/>
      <c r="L844" s="96"/>
      <c r="M844" s="42" t="str">
        <f t="shared" si="62"/>
        <v/>
      </c>
      <c r="N844" s="42" t="str">
        <f t="shared" si="63"/>
        <v/>
      </c>
      <c r="O844" s="43" t="str">
        <f t="shared" si="64"/>
        <v/>
      </c>
      <c r="P844" s="42" t="str">
        <f t="shared" si="65"/>
        <v/>
      </c>
    </row>
    <row r="845" spans="1:16" ht="17">
      <c r="A845" s="6"/>
      <c r="B845" s="95" t="str">
        <f t="shared" si="61"/>
        <v/>
      </c>
      <c r="C845" s="97"/>
      <c r="D845" s="95"/>
      <c r="E845" s="96"/>
      <c r="F845" s="96"/>
      <c r="G845" s="99"/>
      <c r="H845" s="95"/>
      <c r="I845" s="95"/>
      <c r="J845" s="95"/>
      <c r="K845" s="95"/>
      <c r="L845" s="96"/>
      <c r="M845" s="42" t="str">
        <f t="shared" si="62"/>
        <v/>
      </c>
      <c r="N845" s="42" t="str">
        <f t="shared" si="63"/>
        <v/>
      </c>
      <c r="O845" s="43" t="str">
        <f t="shared" si="64"/>
        <v/>
      </c>
      <c r="P845" s="42" t="str">
        <f t="shared" si="65"/>
        <v/>
      </c>
    </row>
    <row r="846" spans="1:16" ht="17">
      <c r="A846" s="6"/>
      <c r="B846" s="95" t="str">
        <f t="shared" si="61"/>
        <v/>
      </c>
      <c r="C846" s="97"/>
      <c r="D846" s="95"/>
      <c r="E846" s="96"/>
      <c r="F846" s="96"/>
      <c r="G846" s="99"/>
      <c r="H846" s="95"/>
      <c r="I846" s="95"/>
      <c r="J846" s="95"/>
      <c r="K846" s="95"/>
      <c r="L846" s="96"/>
      <c r="M846" s="42" t="str">
        <f t="shared" si="62"/>
        <v/>
      </c>
      <c r="N846" s="42" t="str">
        <f t="shared" si="63"/>
        <v/>
      </c>
      <c r="O846" s="43" t="str">
        <f t="shared" si="64"/>
        <v/>
      </c>
      <c r="P846" s="42" t="str">
        <f t="shared" si="65"/>
        <v/>
      </c>
    </row>
    <row r="847" spans="1:16" ht="17">
      <c r="A847" s="6"/>
      <c r="B847" s="95" t="str">
        <f t="shared" si="61"/>
        <v/>
      </c>
      <c r="C847" s="97"/>
      <c r="D847" s="95"/>
      <c r="E847" s="96"/>
      <c r="F847" s="96"/>
      <c r="G847" s="99"/>
      <c r="H847" s="95"/>
      <c r="I847" s="95"/>
      <c r="J847" s="95"/>
      <c r="K847" s="95"/>
      <c r="L847" s="96"/>
      <c r="M847" s="42" t="str">
        <f t="shared" si="62"/>
        <v/>
      </c>
      <c r="N847" s="42" t="str">
        <f t="shared" si="63"/>
        <v/>
      </c>
      <c r="O847" s="43" t="str">
        <f t="shared" si="64"/>
        <v/>
      </c>
      <c r="P847" s="42" t="str">
        <f t="shared" si="65"/>
        <v/>
      </c>
    </row>
    <row r="848" spans="1:16" ht="17">
      <c r="A848" s="6"/>
      <c r="B848" s="95" t="str">
        <f t="shared" si="61"/>
        <v/>
      </c>
      <c r="C848" s="97"/>
      <c r="D848" s="95"/>
      <c r="E848" s="96"/>
      <c r="F848" s="96"/>
      <c r="G848" s="99"/>
      <c r="H848" s="95"/>
      <c r="I848" s="95"/>
      <c r="J848" s="95"/>
      <c r="K848" s="95"/>
      <c r="L848" s="96"/>
      <c r="M848" s="42" t="str">
        <f t="shared" si="62"/>
        <v/>
      </c>
      <c r="N848" s="42" t="str">
        <f t="shared" si="63"/>
        <v/>
      </c>
      <c r="O848" s="43" t="str">
        <f t="shared" si="64"/>
        <v/>
      </c>
      <c r="P848" s="42" t="str">
        <f t="shared" si="65"/>
        <v/>
      </c>
    </row>
    <row r="849" spans="1:16" ht="17">
      <c r="A849" s="6"/>
      <c r="B849" s="95" t="str">
        <f t="shared" si="61"/>
        <v/>
      </c>
      <c r="C849" s="97"/>
      <c r="D849" s="95"/>
      <c r="E849" s="96"/>
      <c r="F849" s="96"/>
      <c r="G849" s="99"/>
      <c r="H849" s="95"/>
      <c r="I849" s="95"/>
      <c r="J849" s="95"/>
      <c r="K849" s="95"/>
      <c r="L849" s="96"/>
      <c r="M849" s="42" t="str">
        <f t="shared" si="62"/>
        <v/>
      </c>
      <c r="N849" s="42" t="str">
        <f t="shared" si="63"/>
        <v/>
      </c>
      <c r="O849" s="43" t="str">
        <f t="shared" si="64"/>
        <v/>
      </c>
      <c r="P849" s="42" t="str">
        <f t="shared" si="65"/>
        <v/>
      </c>
    </row>
    <row r="850" spans="1:16" ht="17">
      <c r="A850" s="6"/>
      <c r="B850" s="95" t="str">
        <f t="shared" si="61"/>
        <v/>
      </c>
      <c r="C850" s="97"/>
      <c r="D850" s="95"/>
      <c r="E850" s="96"/>
      <c r="F850" s="96"/>
      <c r="G850" s="99"/>
      <c r="H850" s="95"/>
      <c r="I850" s="95"/>
      <c r="J850" s="95"/>
      <c r="K850" s="95"/>
      <c r="L850" s="96"/>
      <c r="M850" s="42" t="str">
        <f t="shared" si="62"/>
        <v/>
      </c>
      <c r="N850" s="42" t="str">
        <f t="shared" si="63"/>
        <v/>
      </c>
      <c r="O850" s="43" t="str">
        <f t="shared" si="64"/>
        <v/>
      </c>
      <c r="P850" s="42" t="str">
        <f t="shared" si="65"/>
        <v/>
      </c>
    </row>
    <row r="851" spans="1:16" ht="17">
      <c r="A851" s="6"/>
      <c r="B851" s="95" t="str">
        <f t="shared" si="61"/>
        <v/>
      </c>
      <c r="C851" s="97"/>
      <c r="D851" s="95"/>
      <c r="E851" s="96"/>
      <c r="F851" s="96"/>
      <c r="G851" s="99"/>
      <c r="H851" s="95"/>
      <c r="I851" s="95"/>
      <c r="J851" s="95"/>
      <c r="K851" s="95"/>
      <c r="L851" s="96"/>
      <c r="M851" s="42" t="str">
        <f t="shared" si="62"/>
        <v/>
      </c>
      <c r="N851" s="42" t="str">
        <f t="shared" si="63"/>
        <v/>
      </c>
      <c r="O851" s="43" t="str">
        <f t="shared" si="64"/>
        <v/>
      </c>
      <c r="P851" s="42" t="str">
        <f t="shared" si="65"/>
        <v/>
      </c>
    </row>
    <row r="852" spans="1:16" ht="17">
      <c r="A852" s="6"/>
      <c r="B852" s="95" t="str">
        <f t="shared" si="61"/>
        <v/>
      </c>
      <c r="C852" s="97"/>
      <c r="D852" s="95"/>
      <c r="E852" s="96"/>
      <c r="F852" s="96"/>
      <c r="G852" s="99"/>
      <c r="H852" s="95"/>
      <c r="I852" s="95"/>
      <c r="J852" s="95"/>
      <c r="K852" s="95"/>
      <c r="L852" s="96"/>
      <c r="M852" s="42" t="str">
        <f t="shared" si="62"/>
        <v/>
      </c>
      <c r="N852" s="42" t="str">
        <f t="shared" si="63"/>
        <v/>
      </c>
      <c r="O852" s="43" t="str">
        <f t="shared" si="64"/>
        <v/>
      </c>
      <c r="P852" s="42" t="str">
        <f t="shared" si="65"/>
        <v/>
      </c>
    </row>
    <row r="853" spans="1:16" ht="17">
      <c r="A853" s="6"/>
      <c r="B853" s="95" t="str">
        <f t="shared" si="61"/>
        <v/>
      </c>
      <c r="C853" s="97"/>
      <c r="D853" s="95"/>
      <c r="E853" s="96"/>
      <c r="F853" s="96"/>
      <c r="G853" s="99"/>
      <c r="H853" s="95"/>
      <c r="I853" s="95"/>
      <c r="J853" s="95"/>
      <c r="K853" s="95"/>
      <c r="L853" s="96"/>
      <c r="M853" s="42" t="str">
        <f t="shared" si="62"/>
        <v/>
      </c>
      <c r="N853" s="42" t="str">
        <f t="shared" si="63"/>
        <v/>
      </c>
      <c r="O853" s="43" t="str">
        <f t="shared" si="64"/>
        <v/>
      </c>
      <c r="P853" s="42" t="str">
        <f t="shared" si="65"/>
        <v/>
      </c>
    </row>
    <row r="854" spans="1:16" ht="17">
      <c r="A854" s="6"/>
      <c r="B854" s="95" t="str">
        <f t="shared" si="61"/>
        <v/>
      </c>
      <c r="C854" s="97"/>
      <c r="D854" s="95"/>
      <c r="E854" s="96"/>
      <c r="F854" s="96"/>
      <c r="G854" s="99"/>
      <c r="H854" s="95"/>
      <c r="I854" s="95"/>
      <c r="J854" s="95"/>
      <c r="K854" s="95"/>
      <c r="L854" s="96"/>
      <c r="M854" s="42" t="str">
        <f t="shared" si="62"/>
        <v/>
      </c>
      <c r="N854" s="42" t="str">
        <f t="shared" si="63"/>
        <v/>
      </c>
      <c r="O854" s="43" t="str">
        <f t="shared" si="64"/>
        <v/>
      </c>
      <c r="P854" s="42" t="str">
        <f t="shared" si="65"/>
        <v/>
      </c>
    </row>
    <row r="855" spans="1:16" ht="17">
      <c r="A855" s="6"/>
      <c r="B855" s="95" t="str">
        <f t="shared" si="61"/>
        <v/>
      </c>
      <c r="C855" s="97"/>
      <c r="D855" s="95"/>
      <c r="E855" s="96"/>
      <c r="F855" s="96"/>
      <c r="G855" s="99"/>
      <c r="H855" s="95"/>
      <c r="I855" s="95"/>
      <c r="J855" s="95"/>
      <c r="K855" s="95"/>
      <c r="L855" s="96"/>
      <c r="M855" s="42" t="str">
        <f t="shared" si="62"/>
        <v/>
      </c>
      <c r="N855" s="42" t="str">
        <f t="shared" si="63"/>
        <v/>
      </c>
      <c r="O855" s="43" t="str">
        <f t="shared" si="64"/>
        <v/>
      </c>
      <c r="P855" s="42" t="str">
        <f t="shared" si="65"/>
        <v/>
      </c>
    </row>
    <row r="856" spans="1:16" ht="17">
      <c r="A856" s="6"/>
      <c r="B856" s="95" t="str">
        <f t="shared" si="61"/>
        <v/>
      </c>
      <c r="C856" s="97"/>
      <c r="D856" s="95"/>
      <c r="E856" s="96"/>
      <c r="F856" s="96"/>
      <c r="G856" s="99"/>
      <c r="H856" s="95"/>
      <c r="I856" s="95"/>
      <c r="J856" s="95"/>
      <c r="K856" s="95"/>
      <c r="L856" s="96"/>
      <c r="M856" s="42" t="str">
        <f t="shared" si="62"/>
        <v/>
      </c>
      <c r="N856" s="42" t="str">
        <f t="shared" si="63"/>
        <v/>
      </c>
      <c r="O856" s="43" t="str">
        <f t="shared" si="64"/>
        <v/>
      </c>
      <c r="P856" s="42" t="str">
        <f t="shared" si="65"/>
        <v/>
      </c>
    </row>
    <row r="857" spans="1:16" ht="17">
      <c r="A857" s="6"/>
      <c r="B857" s="95" t="str">
        <f t="shared" si="61"/>
        <v/>
      </c>
      <c r="C857" s="97"/>
      <c r="D857" s="95"/>
      <c r="E857" s="96"/>
      <c r="F857" s="96"/>
      <c r="G857" s="99"/>
      <c r="H857" s="95"/>
      <c r="I857" s="95"/>
      <c r="J857" s="95"/>
      <c r="K857" s="95"/>
      <c r="L857" s="96"/>
      <c r="M857" s="42" t="str">
        <f t="shared" si="62"/>
        <v/>
      </c>
      <c r="N857" s="42" t="str">
        <f t="shared" si="63"/>
        <v/>
      </c>
      <c r="O857" s="43" t="str">
        <f t="shared" si="64"/>
        <v/>
      </c>
      <c r="P857" s="42" t="str">
        <f t="shared" si="65"/>
        <v/>
      </c>
    </row>
    <row r="858" spans="1:16" ht="17">
      <c r="A858" s="6"/>
      <c r="B858" s="95" t="str">
        <f t="shared" si="61"/>
        <v/>
      </c>
      <c r="C858" s="97"/>
      <c r="D858" s="95"/>
      <c r="E858" s="96"/>
      <c r="F858" s="96"/>
      <c r="G858" s="99"/>
      <c r="H858" s="95"/>
      <c r="I858" s="95"/>
      <c r="J858" s="95"/>
      <c r="K858" s="95"/>
      <c r="L858" s="96"/>
      <c r="M858" s="42" t="str">
        <f t="shared" si="62"/>
        <v/>
      </c>
      <c r="N858" s="42" t="str">
        <f t="shared" si="63"/>
        <v/>
      </c>
      <c r="O858" s="43" t="str">
        <f t="shared" si="64"/>
        <v/>
      </c>
      <c r="P858" s="42" t="str">
        <f t="shared" si="65"/>
        <v/>
      </c>
    </row>
    <row r="859" spans="1:16" ht="17">
      <c r="A859" s="6"/>
      <c r="B859" s="95" t="str">
        <f t="shared" si="61"/>
        <v/>
      </c>
      <c r="C859" s="97"/>
      <c r="D859" s="95"/>
      <c r="E859" s="96"/>
      <c r="F859" s="96"/>
      <c r="G859" s="99"/>
      <c r="H859" s="95"/>
      <c r="I859" s="95"/>
      <c r="J859" s="95"/>
      <c r="K859" s="95"/>
      <c r="L859" s="96"/>
      <c r="M859" s="42" t="str">
        <f t="shared" si="62"/>
        <v/>
      </c>
      <c r="N859" s="42" t="str">
        <f t="shared" si="63"/>
        <v/>
      </c>
      <c r="O859" s="43" t="str">
        <f t="shared" si="64"/>
        <v/>
      </c>
      <c r="P859" s="42" t="str">
        <f t="shared" si="65"/>
        <v/>
      </c>
    </row>
    <row r="860" spans="1:16" ht="17">
      <c r="A860" s="6"/>
      <c r="B860" s="95" t="str">
        <f t="shared" si="61"/>
        <v/>
      </c>
      <c r="C860" s="97"/>
      <c r="D860" s="95"/>
      <c r="E860" s="96"/>
      <c r="F860" s="96"/>
      <c r="G860" s="99"/>
      <c r="H860" s="95"/>
      <c r="I860" s="95"/>
      <c r="J860" s="95"/>
      <c r="K860" s="95"/>
      <c r="L860" s="96"/>
      <c r="M860" s="42" t="str">
        <f t="shared" si="62"/>
        <v/>
      </c>
      <c r="N860" s="42" t="str">
        <f t="shared" si="63"/>
        <v/>
      </c>
      <c r="O860" s="43" t="str">
        <f t="shared" si="64"/>
        <v/>
      </c>
      <c r="P860" s="42" t="str">
        <f t="shared" si="65"/>
        <v/>
      </c>
    </row>
    <row r="861" spans="1:16" ht="17">
      <c r="A861" s="6"/>
      <c r="B861" s="95" t="str">
        <f t="shared" si="61"/>
        <v/>
      </c>
      <c r="C861" s="97"/>
      <c r="D861" s="95"/>
      <c r="E861" s="96"/>
      <c r="F861" s="96"/>
      <c r="G861" s="99"/>
      <c r="H861" s="95"/>
      <c r="I861" s="95"/>
      <c r="J861" s="95"/>
      <c r="K861" s="95"/>
      <c r="L861" s="96"/>
      <c r="M861" s="42" t="str">
        <f t="shared" si="62"/>
        <v/>
      </c>
      <c r="N861" s="42" t="str">
        <f t="shared" si="63"/>
        <v/>
      </c>
      <c r="O861" s="43" t="str">
        <f t="shared" si="64"/>
        <v/>
      </c>
      <c r="P861" s="42" t="str">
        <f t="shared" si="65"/>
        <v/>
      </c>
    </row>
    <row r="862" spans="1:16" ht="17">
      <c r="A862" s="6"/>
      <c r="B862" s="95" t="str">
        <f t="shared" si="61"/>
        <v/>
      </c>
      <c r="C862" s="97"/>
      <c r="D862" s="95"/>
      <c r="E862" s="96"/>
      <c r="F862" s="96"/>
      <c r="G862" s="99"/>
      <c r="H862" s="95"/>
      <c r="I862" s="95"/>
      <c r="J862" s="95"/>
      <c r="K862" s="95"/>
      <c r="L862" s="96"/>
      <c r="M862" s="42" t="str">
        <f t="shared" si="62"/>
        <v/>
      </c>
      <c r="N862" s="42" t="str">
        <f t="shared" si="63"/>
        <v/>
      </c>
      <c r="O862" s="43" t="str">
        <f t="shared" si="64"/>
        <v/>
      </c>
      <c r="P862" s="42" t="str">
        <f t="shared" si="65"/>
        <v/>
      </c>
    </row>
    <row r="863" spans="1:16" ht="17">
      <c r="A863" s="6"/>
      <c r="B863" s="95" t="str">
        <f t="shared" si="61"/>
        <v/>
      </c>
      <c r="C863" s="97"/>
      <c r="D863" s="95"/>
      <c r="E863" s="96"/>
      <c r="F863" s="96"/>
      <c r="G863" s="99"/>
      <c r="H863" s="95"/>
      <c r="I863" s="95"/>
      <c r="J863" s="95"/>
      <c r="K863" s="95"/>
      <c r="L863" s="96"/>
      <c r="M863" s="42" t="str">
        <f t="shared" si="62"/>
        <v/>
      </c>
      <c r="N863" s="42" t="str">
        <f t="shared" si="63"/>
        <v/>
      </c>
      <c r="O863" s="43" t="str">
        <f t="shared" si="64"/>
        <v/>
      </c>
      <c r="P863" s="42" t="str">
        <f t="shared" si="65"/>
        <v/>
      </c>
    </row>
    <row r="864" spans="1:16" ht="17">
      <c r="A864" s="6"/>
      <c r="B864" s="95" t="str">
        <f t="shared" si="61"/>
        <v/>
      </c>
      <c r="C864" s="97"/>
      <c r="D864" s="95"/>
      <c r="E864" s="96"/>
      <c r="F864" s="96"/>
      <c r="G864" s="99"/>
      <c r="H864" s="95"/>
      <c r="I864" s="95"/>
      <c r="J864" s="95"/>
      <c r="K864" s="95"/>
      <c r="L864" s="96"/>
      <c r="M864" s="42" t="str">
        <f t="shared" si="62"/>
        <v/>
      </c>
      <c r="N864" s="42" t="str">
        <f t="shared" si="63"/>
        <v/>
      </c>
      <c r="O864" s="43" t="str">
        <f t="shared" si="64"/>
        <v/>
      </c>
      <c r="P864" s="42" t="str">
        <f t="shared" si="65"/>
        <v/>
      </c>
    </row>
    <row r="865" spans="1:16" ht="17">
      <c r="A865" s="6"/>
      <c r="B865" s="95" t="str">
        <f t="shared" si="61"/>
        <v/>
      </c>
      <c r="C865" s="97"/>
      <c r="D865" s="95"/>
      <c r="E865" s="96"/>
      <c r="F865" s="96"/>
      <c r="G865" s="99"/>
      <c r="H865" s="95"/>
      <c r="I865" s="95"/>
      <c r="J865" s="95"/>
      <c r="K865" s="95"/>
      <c r="L865" s="96"/>
      <c r="M865" s="42" t="str">
        <f t="shared" si="62"/>
        <v/>
      </c>
      <c r="N865" s="42" t="str">
        <f t="shared" si="63"/>
        <v/>
      </c>
      <c r="O865" s="43" t="str">
        <f t="shared" si="64"/>
        <v/>
      </c>
      <c r="P865" s="42" t="str">
        <f t="shared" si="65"/>
        <v/>
      </c>
    </row>
    <row r="866" spans="1:16" ht="17">
      <c r="A866" s="6"/>
      <c r="B866" s="95" t="str">
        <f t="shared" ref="B866:B929" si="66">IF(C866="","","GG"&amp;TEXT(ROW()-6,"00000"))</f>
        <v/>
      </c>
      <c r="C866" s="97"/>
      <c r="D866" s="95"/>
      <c r="E866" s="96"/>
      <c r="F866" s="96"/>
      <c r="G866" s="99"/>
      <c r="H866" s="95"/>
      <c r="I866" s="95"/>
      <c r="J866" s="95"/>
      <c r="K866" s="95"/>
      <c r="L866" s="96"/>
      <c r="M866" s="42" t="str">
        <f t="shared" si="62"/>
        <v/>
      </c>
      <c r="N866" s="42" t="str">
        <f t="shared" si="63"/>
        <v/>
      </c>
      <c r="O866" s="43" t="str">
        <f t="shared" si="64"/>
        <v/>
      </c>
      <c r="P866" s="42" t="str">
        <f t="shared" si="65"/>
        <v/>
      </c>
    </row>
    <row r="867" spans="1:16" ht="17">
      <c r="A867" s="6"/>
      <c r="B867" s="95" t="str">
        <f t="shared" si="66"/>
        <v/>
      </c>
      <c r="C867" s="97"/>
      <c r="D867" s="95"/>
      <c r="E867" s="96"/>
      <c r="F867" s="96"/>
      <c r="G867" s="99"/>
      <c r="H867" s="95"/>
      <c r="I867" s="95"/>
      <c r="J867" s="95"/>
      <c r="K867" s="95"/>
      <c r="L867" s="96"/>
      <c r="M867" s="42" t="str">
        <f t="shared" si="62"/>
        <v/>
      </c>
      <c r="N867" s="42" t="str">
        <f t="shared" si="63"/>
        <v/>
      </c>
      <c r="O867" s="43" t="str">
        <f t="shared" si="64"/>
        <v/>
      </c>
      <c r="P867" s="42" t="str">
        <f t="shared" si="65"/>
        <v/>
      </c>
    </row>
    <row r="868" spans="1:16" ht="17">
      <c r="A868" s="6"/>
      <c r="B868" s="95" t="str">
        <f t="shared" si="66"/>
        <v/>
      </c>
      <c r="C868" s="97"/>
      <c r="D868" s="95"/>
      <c r="E868" s="96"/>
      <c r="F868" s="96"/>
      <c r="G868" s="99"/>
      <c r="H868" s="95"/>
      <c r="I868" s="95"/>
      <c r="J868" s="95"/>
      <c r="K868" s="95"/>
      <c r="L868" s="96"/>
      <c r="M868" s="42" t="str">
        <f t="shared" si="62"/>
        <v/>
      </c>
      <c r="N868" s="42" t="str">
        <f t="shared" si="63"/>
        <v/>
      </c>
      <c r="O868" s="43" t="str">
        <f t="shared" si="64"/>
        <v/>
      </c>
      <c r="P868" s="42" t="str">
        <f t="shared" si="65"/>
        <v/>
      </c>
    </row>
    <row r="869" spans="1:16" ht="17">
      <c r="A869" s="6"/>
      <c r="B869" s="95" t="str">
        <f t="shared" si="66"/>
        <v/>
      </c>
      <c r="C869" s="97"/>
      <c r="D869" s="95"/>
      <c r="E869" s="96"/>
      <c r="F869" s="96"/>
      <c r="G869" s="99"/>
      <c r="H869" s="95"/>
      <c r="I869" s="95"/>
      <c r="J869" s="95"/>
      <c r="K869" s="95"/>
      <c r="L869" s="96"/>
      <c r="M869" s="42" t="str">
        <f t="shared" si="62"/>
        <v/>
      </c>
      <c r="N869" s="42" t="str">
        <f t="shared" si="63"/>
        <v/>
      </c>
      <c r="O869" s="43" t="str">
        <f t="shared" si="64"/>
        <v/>
      </c>
      <c r="P869" s="42" t="str">
        <f t="shared" si="65"/>
        <v/>
      </c>
    </row>
    <row r="870" spans="1:16" ht="17">
      <c r="A870" s="6"/>
      <c r="B870" s="95" t="str">
        <f t="shared" si="66"/>
        <v/>
      </c>
      <c r="C870" s="97"/>
      <c r="D870" s="95"/>
      <c r="E870" s="96"/>
      <c r="F870" s="96"/>
      <c r="G870" s="99"/>
      <c r="H870" s="95"/>
      <c r="I870" s="95"/>
      <c r="J870" s="95"/>
      <c r="K870" s="95"/>
      <c r="L870" s="96"/>
      <c r="M870" s="42" t="str">
        <f t="shared" si="62"/>
        <v/>
      </c>
      <c r="N870" s="42" t="str">
        <f t="shared" si="63"/>
        <v/>
      </c>
      <c r="O870" s="43" t="str">
        <f t="shared" si="64"/>
        <v/>
      </c>
      <c r="P870" s="42" t="str">
        <f t="shared" si="65"/>
        <v/>
      </c>
    </row>
    <row r="871" spans="1:16" ht="17">
      <c r="A871" s="6"/>
      <c r="B871" s="95" t="str">
        <f t="shared" si="66"/>
        <v/>
      </c>
      <c r="C871" s="97"/>
      <c r="D871" s="95"/>
      <c r="E871" s="96"/>
      <c r="F871" s="96"/>
      <c r="G871" s="99"/>
      <c r="H871" s="95"/>
      <c r="I871" s="95"/>
      <c r="J871" s="95"/>
      <c r="K871" s="95"/>
      <c r="L871" s="96"/>
      <c r="M871" s="42" t="str">
        <f t="shared" si="62"/>
        <v/>
      </c>
      <c r="N871" s="42" t="str">
        <f t="shared" si="63"/>
        <v/>
      </c>
      <c r="O871" s="43" t="str">
        <f t="shared" si="64"/>
        <v/>
      </c>
      <c r="P871" s="42" t="str">
        <f t="shared" si="65"/>
        <v/>
      </c>
    </row>
    <row r="872" spans="1:16" ht="17">
      <c r="A872" s="6"/>
      <c r="B872" s="95" t="str">
        <f t="shared" si="66"/>
        <v/>
      </c>
      <c r="C872" s="97"/>
      <c r="D872" s="95"/>
      <c r="E872" s="96"/>
      <c r="F872" s="96"/>
      <c r="G872" s="99"/>
      <c r="H872" s="95"/>
      <c r="I872" s="95"/>
      <c r="J872" s="95"/>
      <c r="K872" s="95"/>
      <c r="L872" s="96"/>
      <c r="M872" s="42" t="str">
        <f t="shared" si="62"/>
        <v/>
      </c>
      <c r="N872" s="42" t="str">
        <f t="shared" si="63"/>
        <v/>
      </c>
      <c r="O872" s="43" t="str">
        <f t="shared" si="64"/>
        <v/>
      </c>
      <c r="P872" s="42" t="str">
        <f t="shared" si="65"/>
        <v/>
      </c>
    </row>
    <row r="873" spans="1:16" ht="17">
      <c r="A873" s="6"/>
      <c r="B873" s="95" t="str">
        <f t="shared" si="66"/>
        <v/>
      </c>
      <c r="C873" s="97"/>
      <c r="D873" s="95"/>
      <c r="E873" s="96"/>
      <c r="F873" s="96"/>
      <c r="G873" s="99"/>
      <c r="H873" s="95"/>
      <c r="I873" s="95"/>
      <c r="J873" s="95"/>
      <c r="K873" s="95"/>
      <c r="L873" s="96"/>
      <c r="M873" s="42" t="str">
        <f t="shared" si="62"/>
        <v/>
      </c>
      <c r="N873" s="42" t="str">
        <f t="shared" si="63"/>
        <v/>
      </c>
      <c r="O873" s="43" t="str">
        <f t="shared" si="64"/>
        <v/>
      </c>
      <c r="P873" s="42" t="str">
        <f t="shared" si="65"/>
        <v/>
      </c>
    </row>
    <row r="874" spans="1:16" ht="17">
      <c r="A874" s="6"/>
      <c r="B874" s="95" t="str">
        <f t="shared" si="66"/>
        <v/>
      </c>
      <c r="C874" s="97"/>
      <c r="D874" s="95"/>
      <c r="E874" s="96"/>
      <c r="F874" s="96"/>
      <c r="G874" s="99"/>
      <c r="H874" s="95"/>
      <c r="I874" s="95"/>
      <c r="J874" s="95"/>
      <c r="K874" s="95"/>
      <c r="L874" s="96"/>
      <c r="M874" s="42" t="str">
        <f t="shared" si="62"/>
        <v/>
      </c>
      <c r="N874" s="42" t="str">
        <f t="shared" si="63"/>
        <v/>
      </c>
      <c r="O874" s="43" t="str">
        <f t="shared" si="64"/>
        <v/>
      </c>
      <c r="P874" s="42" t="str">
        <f t="shared" si="65"/>
        <v/>
      </c>
    </row>
    <row r="875" spans="1:16" ht="17">
      <c r="A875" s="6"/>
      <c r="B875" s="95" t="str">
        <f t="shared" si="66"/>
        <v/>
      </c>
      <c r="C875" s="97"/>
      <c r="D875" s="95"/>
      <c r="E875" s="96"/>
      <c r="F875" s="96"/>
      <c r="G875" s="99"/>
      <c r="H875" s="95"/>
      <c r="I875" s="95"/>
      <c r="J875" s="95"/>
      <c r="K875" s="95"/>
      <c r="L875" s="96"/>
      <c r="M875" s="42" t="str">
        <f t="shared" si="62"/>
        <v/>
      </c>
      <c r="N875" s="42" t="str">
        <f t="shared" si="63"/>
        <v/>
      </c>
      <c r="O875" s="43" t="str">
        <f t="shared" si="64"/>
        <v/>
      </c>
      <c r="P875" s="42" t="str">
        <f t="shared" si="65"/>
        <v/>
      </c>
    </row>
    <row r="876" spans="1:16" ht="17">
      <c r="A876" s="6"/>
      <c r="B876" s="95" t="str">
        <f t="shared" si="66"/>
        <v/>
      </c>
      <c r="C876" s="97"/>
      <c r="D876" s="95"/>
      <c r="E876" s="96"/>
      <c r="F876" s="96"/>
      <c r="G876" s="99"/>
      <c r="H876" s="95"/>
      <c r="I876" s="95"/>
      <c r="J876" s="95"/>
      <c r="K876" s="95"/>
      <c r="L876" s="96"/>
      <c r="M876" s="42" t="str">
        <f t="shared" si="62"/>
        <v/>
      </c>
      <c r="N876" s="42" t="str">
        <f t="shared" si="63"/>
        <v/>
      </c>
      <c r="O876" s="43" t="str">
        <f t="shared" si="64"/>
        <v/>
      </c>
      <c r="P876" s="42" t="str">
        <f t="shared" si="65"/>
        <v/>
      </c>
    </row>
    <row r="877" spans="1:16" ht="17">
      <c r="A877" s="6"/>
      <c r="B877" s="95" t="str">
        <f t="shared" si="66"/>
        <v/>
      </c>
      <c r="C877" s="97"/>
      <c r="D877" s="95"/>
      <c r="E877" s="96"/>
      <c r="F877" s="96"/>
      <c r="G877" s="99"/>
      <c r="H877" s="95"/>
      <c r="I877" s="95"/>
      <c r="J877" s="95"/>
      <c r="K877" s="95"/>
      <c r="L877" s="96"/>
      <c r="M877" s="42" t="str">
        <f t="shared" si="62"/>
        <v/>
      </c>
      <c r="N877" s="42" t="str">
        <f t="shared" si="63"/>
        <v/>
      </c>
      <c r="O877" s="43" t="str">
        <f t="shared" si="64"/>
        <v/>
      </c>
      <c r="P877" s="42" t="str">
        <f t="shared" si="65"/>
        <v/>
      </c>
    </row>
    <row r="878" spans="1:16" ht="17">
      <c r="A878" s="6"/>
      <c r="B878" s="95" t="str">
        <f t="shared" si="66"/>
        <v/>
      </c>
      <c r="C878" s="97"/>
      <c r="D878" s="95"/>
      <c r="E878" s="96"/>
      <c r="F878" s="96"/>
      <c r="G878" s="99"/>
      <c r="H878" s="95"/>
      <c r="I878" s="95"/>
      <c r="J878" s="95"/>
      <c r="K878" s="95"/>
      <c r="L878" s="96"/>
      <c r="M878" s="42" t="str">
        <f t="shared" si="62"/>
        <v/>
      </c>
      <c r="N878" s="42" t="str">
        <f t="shared" si="63"/>
        <v/>
      </c>
      <c r="O878" s="43" t="str">
        <f t="shared" si="64"/>
        <v/>
      </c>
      <c r="P878" s="42" t="str">
        <f t="shared" si="65"/>
        <v/>
      </c>
    </row>
    <row r="879" spans="1:16" ht="17">
      <c r="A879" s="6"/>
      <c r="B879" s="95" t="str">
        <f t="shared" si="66"/>
        <v/>
      </c>
      <c r="C879" s="97"/>
      <c r="D879" s="95"/>
      <c r="E879" s="96"/>
      <c r="F879" s="96"/>
      <c r="G879" s="99"/>
      <c r="H879" s="95"/>
      <c r="I879" s="95"/>
      <c r="J879" s="95"/>
      <c r="K879" s="95"/>
      <c r="L879" s="96"/>
      <c r="M879" s="42" t="str">
        <f t="shared" si="62"/>
        <v/>
      </c>
      <c r="N879" s="42" t="str">
        <f t="shared" si="63"/>
        <v/>
      </c>
      <c r="O879" s="43" t="str">
        <f t="shared" si="64"/>
        <v/>
      </c>
      <c r="P879" s="42" t="str">
        <f t="shared" si="65"/>
        <v/>
      </c>
    </row>
    <row r="880" spans="1:16" ht="17">
      <c r="A880" s="6"/>
      <c r="B880" s="95" t="str">
        <f t="shared" si="66"/>
        <v/>
      </c>
      <c r="C880" s="97"/>
      <c r="D880" s="95"/>
      <c r="E880" s="96"/>
      <c r="F880" s="96"/>
      <c r="G880" s="99"/>
      <c r="H880" s="95"/>
      <c r="I880" s="95"/>
      <c r="J880" s="95"/>
      <c r="K880" s="95"/>
      <c r="L880" s="96"/>
      <c r="M880" s="42" t="str">
        <f t="shared" si="62"/>
        <v/>
      </c>
      <c r="N880" s="42" t="str">
        <f t="shared" si="63"/>
        <v/>
      </c>
      <c r="O880" s="43" t="str">
        <f t="shared" si="64"/>
        <v/>
      </c>
      <c r="P880" s="42" t="str">
        <f t="shared" si="65"/>
        <v/>
      </c>
    </row>
    <row r="881" spans="1:16" ht="17">
      <c r="A881" s="6"/>
      <c r="B881" s="95" t="str">
        <f t="shared" si="66"/>
        <v/>
      </c>
      <c r="C881" s="97"/>
      <c r="D881" s="95"/>
      <c r="E881" s="96"/>
      <c r="F881" s="96"/>
      <c r="G881" s="99"/>
      <c r="H881" s="95"/>
      <c r="I881" s="95"/>
      <c r="J881" s="95"/>
      <c r="K881" s="95"/>
      <c r="L881" s="96"/>
      <c r="M881" s="42" t="str">
        <f t="shared" si="62"/>
        <v/>
      </c>
      <c r="N881" s="42" t="str">
        <f t="shared" si="63"/>
        <v/>
      </c>
      <c r="O881" s="43" t="str">
        <f t="shared" si="64"/>
        <v/>
      </c>
      <c r="P881" s="42" t="str">
        <f t="shared" si="65"/>
        <v/>
      </c>
    </row>
    <row r="882" spans="1:16" ht="17">
      <c r="A882" s="6"/>
      <c r="B882" s="95" t="str">
        <f t="shared" si="66"/>
        <v/>
      </c>
      <c r="C882" s="97"/>
      <c r="D882" s="95"/>
      <c r="E882" s="96"/>
      <c r="F882" s="96"/>
      <c r="G882" s="99"/>
      <c r="H882" s="95"/>
      <c r="I882" s="95"/>
      <c r="J882" s="95"/>
      <c r="K882" s="95"/>
      <c r="L882" s="96"/>
      <c r="M882" s="42" t="str">
        <f t="shared" si="62"/>
        <v/>
      </c>
      <c r="N882" s="42" t="str">
        <f t="shared" si="63"/>
        <v/>
      </c>
      <c r="O882" s="43" t="str">
        <f t="shared" si="64"/>
        <v/>
      </c>
      <c r="P882" s="42" t="str">
        <f t="shared" si="65"/>
        <v/>
      </c>
    </row>
    <row r="883" spans="1:16" ht="17">
      <c r="A883" s="6"/>
      <c r="B883" s="95" t="str">
        <f t="shared" si="66"/>
        <v/>
      </c>
      <c r="C883" s="97"/>
      <c r="D883" s="95"/>
      <c r="E883" s="96"/>
      <c r="F883" s="96"/>
      <c r="G883" s="99"/>
      <c r="H883" s="95"/>
      <c r="I883" s="95"/>
      <c r="J883" s="95"/>
      <c r="K883" s="95"/>
      <c r="L883" s="96"/>
      <c r="M883" s="42" t="str">
        <f t="shared" si="62"/>
        <v/>
      </c>
      <c r="N883" s="42" t="str">
        <f t="shared" si="63"/>
        <v/>
      </c>
      <c r="O883" s="43" t="str">
        <f t="shared" si="64"/>
        <v/>
      </c>
      <c r="P883" s="42" t="str">
        <f t="shared" si="65"/>
        <v/>
      </c>
    </row>
    <row r="884" spans="1:16" ht="17">
      <c r="A884" s="6"/>
      <c r="B884" s="95" t="str">
        <f t="shared" si="66"/>
        <v/>
      </c>
      <c r="C884" s="97"/>
      <c r="D884" s="95"/>
      <c r="E884" s="96"/>
      <c r="F884" s="96"/>
      <c r="G884" s="99"/>
      <c r="H884" s="95"/>
      <c r="I884" s="95"/>
      <c r="J884" s="95"/>
      <c r="K884" s="95"/>
      <c r="L884" s="96"/>
      <c r="M884" s="42" t="str">
        <f t="shared" si="62"/>
        <v/>
      </c>
      <c r="N884" s="42" t="str">
        <f t="shared" si="63"/>
        <v/>
      </c>
      <c r="O884" s="43" t="str">
        <f t="shared" si="64"/>
        <v/>
      </c>
      <c r="P884" s="42" t="str">
        <f t="shared" si="65"/>
        <v/>
      </c>
    </row>
    <row r="885" spans="1:16" ht="17">
      <c r="A885" s="6"/>
      <c r="B885" s="95" t="str">
        <f t="shared" si="66"/>
        <v/>
      </c>
      <c r="C885" s="97"/>
      <c r="D885" s="95"/>
      <c r="E885" s="96"/>
      <c r="F885" s="96"/>
      <c r="G885" s="99"/>
      <c r="H885" s="95"/>
      <c r="I885" s="95"/>
      <c r="J885" s="95"/>
      <c r="K885" s="95"/>
      <c r="L885" s="96"/>
      <c r="M885" s="42" t="str">
        <f t="shared" si="62"/>
        <v/>
      </c>
      <c r="N885" s="42" t="str">
        <f t="shared" si="63"/>
        <v/>
      </c>
      <c r="O885" s="43" t="str">
        <f t="shared" si="64"/>
        <v/>
      </c>
      <c r="P885" s="42" t="str">
        <f t="shared" si="65"/>
        <v/>
      </c>
    </row>
    <row r="886" spans="1:16" ht="17">
      <c r="A886" s="6"/>
      <c r="B886" s="95" t="str">
        <f t="shared" si="66"/>
        <v/>
      </c>
      <c r="C886" s="97"/>
      <c r="D886" s="95"/>
      <c r="E886" s="96"/>
      <c r="F886" s="96"/>
      <c r="G886" s="99"/>
      <c r="H886" s="95"/>
      <c r="I886" s="95"/>
      <c r="J886" s="95"/>
      <c r="K886" s="95"/>
      <c r="L886" s="96"/>
      <c r="M886" s="42" t="str">
        <f t="shared" si="62"/>
        <v/>
      </c>
      <c r="N886" s="42" t="str">
        <f t="shared" si="63"/>
        <v/>
      </c>
      <c r="O886" s="43" t="str">
        <f t="shared" si="64"/>
        <v/>
      </c>
      <c r="P886" s="42" t="str">
        <f t="shared" si="65"/>
        <v/>
      </c>
    </row>
    <row r="887" spans="1:16" ht="17">
      <c r="A887" s="6"/>
      <c r="B887" s="95" t="str">
        <f t="shared" si="66"/>
        <v/>
      </c>
      <c r="C887" s="97"/>
      <c r="D887" s="95"/>
      <c r="E887" s="96"/>
      <c r="F887" s="96"/>
      <c r="G887" s="99"/>
      <c r="H887" s="95"/>
      <c r="I887" s="95"/>
      <c r="J887" s="95"/>
      <c r="K887" s="95"/>
      <c r="L887" s="96"/>
      <c r="M887" s="42" t="str">
        <f t="shared" si="62"/>
        <v/>
      </c>
      <c r="N887" s="42" t="str">
        <f t="shared" si="63"/>
        <v/>
      </c>
      <c r="O887" s="43" t="str">
        <f t="shared" si="64"/>
        <v/>
      </c>
      <c r="P887" s="42" t="str">
        <f t="shared" si="65"/>
        <v/>
      </c>
    </row>
    <row r="888" spans="1:16" ht="17">
      <c r="A888" s="6"/>
      <c r="B888" s="95" t="str">
        <f t="shared" si="66"/>
        <v/>
      </c>
      <c r="C888" s="97"/>
      <c r="D888" s="95"/>
      <c r="E888" s="96"/>
      <c r="F888" s="96"/>
      <c r="G888" s="99"/>
      <c r="H888" s="95"/>
      <c r="I888" s="95"/>
      <c r="J888" s="95"/>
      <c r="K888" s="95"/>
      <c r="L888" s="96"/>
      <c r="M888" s="42" t="str">
        <f t="shared" si="62"/>
        <v/>
      </c>
      <c r="N888" s="42" t="str">
        <f t="shared" si="63"/>
        <v/>
      </c>
      <c r="O888" s="43" t="str">
        <f t="shared" si="64"/>
        <v/>
      </c>
      <c r="P888" s="42" t="str">
        <f t="shared" si="65"/>
        <v/>
      </c>
    </row>
    <row r="889" spans="1:16" ht="17">
      <c r="A889" s="6"/>
      <c r="B889" s="95" t="str">
        <f t="shared" si="66"/>
        <v/>
      </c>
      <c r="C889" s="97"/>
      <c r="D889" s="95"/>
      <c r="E889" s="96"/>
      <c r="F889" s="96"/>
      <c r="G889" s="99"/>
      <c r="H889" s="95"/>
      <c r="I889" s="95"/>
      <c r="J889" s="95"/>
      <c r="K889" s="95"/>
      <c r="L889" s="96"/>
      <c r="M889" s="42" t="str">
        <f t="shared" si="62"/>
        <v/>
      </c>
      <c r="N889" s="42" t="str">
        <f t="shared" si="63"/>
        <v/>
      </c>
      <c r="O889" s="43" t="str">
        <f t="shared" si="64"/>
        <v/>
      </c>
      <c r="P889" s="42" t="str">
        <f t="shared" si="65"/>
        <v/>
      </c>
    </row>
    <row r="890" spans="1:16" ht="17">
      <c r="A890" s="6"/>
      <c r="B890" s="95" t="str">
        <f t="shared" si="66"/>
        <v/>
      </c>
      <c r="C890" s="97"/>
      <c r="D890" s="95"/>
      <c r="E890" s="96"/>
      <c r="F890" s="96"/>
      <c r="G890" s="99"/>
      <c r="H890" s="95"/>
      <c r="I890" s="95"/>
      <c r="J890" s="95"/>
      <c r="K890" s="95"/>
      <c r="L890" s="96"/>
      <c r="M890" s="42" t="str">
        <f t="shared" si="62"/>
        <v/>
      </c>
      <c r="N890" s="42" t="str">
        <f t="shared" si="63"/>
        <v/>
      </c>
      <c r="O890" s="43" t="str">
        <f t="shared" si="64"/>
        <v/>
      </c>
      <c r="P890" s="42" t="str">
        <f t="shared" si="65"/>
        <v/>
      </c>
    </row>
    <row r="891" spans="1:16" ht="17">
      <c r="A891" s="6"/>
      <c r="B891" s="95" t="str">
        <f t="shared" si="66"/>
        <v/>
      </c>
      <c r="C891" s="97"/>
      <c r="D891" s="95"/>
      <c r="E891" s="96"/>
      <c r="F891" s="96"/>
      <c r="G891" s="99"/>
      <c r="H891" s="95"/>
      <c r="I891" s="95"/>
      <c r="J891" s="95"/>
      <c r="K891" s="95"/>
      <c r="L891" s="96"/>
      <c r="M891" s="42" t="str">
        <f t="shared" si="62"/>
        <v/>
      </c>
      <c r="N891" s="42" t="str">
        <f t="shared" si="63"/>
        <v/>
      </c>
      <c r="O891" s="43" t="str">
        <f t="shared" si="64"/>
        <v/>
      </c>
      <c r="P891" s="42" t="str">
        <f t="shared" si="65"/>
        <v/>
      </c>
    </row>
    <row r="892" spans="1:16" ht="17">
      <c r="A892" s="6"/>
      <c r="B892" s="95" t="str">
        <f t="shared" si="66"/>
        <v/>
      </c>
      <c r="C892" s="97"/>
      <c r="D892" s="95"/>
      <c r="E892" s="96"/>
      <c r="F892" s="96"/>
      <c r="G892" s="99"/>
      <c r="H892" s="95"/>
      <c r="I892" s="95"/>
      <c r="J892" s="95"/>
      <c r="K892" s="95"/>
      <c r="L892" s="96"/>
      <c r="M892" s="42" t="str">
        <f t="shared" si="62"/>
        <v/>
      </c>
      <c r="N892" s="42" t="str">
        <f t="shared" si="63"/>
        <v/>
      </c>
      <c r="O892" s="43" t="str">
        <f t="shared" si="64"/>
        <v/>
      </c>
      <c r="P892" s="42" t="str">
        <f t="shared" si="65"/>
        <v/>
      </c>
    </row>
    <row r="893" spans="1:16" ht="17">
      <c r="A893" s="6"/>
      <c r="B893" s="95" t="str">
        <f t="shared" si="66"/>
        <v/>
      </c>
      <c r="C893" s="97"/>
      <c r="D893" s="95"/>
      <c r="E893" s="96"/>
      <c r="F893" s="96"/>
      <c r="G893" s="99"/>
      <c r="H893" s="95"/>
      <c r="I893" s="95"/>
      <c r="J893" s="95"/>
      <c r="K893" s="95"/>
      <c r="L893" s="96"/>
      <c r="M893" s="42" t="str">
        <f t="shared" si="62"/>
        <v/>
      </c>
      <c r="N893" s="42" t="str">
        <f t="shared" si="63"/>
        <v/>
      </c>
      <c r="O893" s="43" t="str">
        <f t="shared" si="64"/>
        <v/>
      </c>
      <c r="P893" s="42" t="str">
        <f t="shared" si="65"/>
        <v/>
      </c>
    </row>
    <row r="894" spans="1:16" ht="17">
      <c r="A894" s="6"/>
      <c r="B894" s="95" t="str">
        <f t="shared" si="66"/>
        <v/>
      </c>
      <c r="C894" s="97"/>
      <c r="D894" s="95"/>
      <c r="E894" s="96"/>
      <c r="F894" s="96"/>
      <c r="G894" s="99"/>
      <c r="H894" s="95"/>
      <c r="I894" s="95"/>
      <c r="J894" s="95"/>
      <c r="K894" s="95"/>
      <c r="L894" s="96"/>
      <c r="M894" s="42" t="str">
        <f t="shared" si="62"/>
        <v/>
      </c>
      <c r="N894" s="42" t="str">
        <f t="shared" si="63"/>
        <v/>
      </c>
      <c r="O894" s="43" t="str">
        <f t="shared" si="64"/>
        <v/>
      </c>
      <c r="P894" s="42" t="str">
        <f t="shared" si="65"/>
        <v/>
      </c>
    </row>
    <row r="895" spans="1:16" ht="17">
      <c r="A895" s="6"/>
      <c r="B895" s="95" t="str">
        <f t="shared" si="66"/>
        <v/>
      </c>
      <c r="C895" s="97"/>
      <c r="D895" s="95"/>
      <c r="E895" s="96"/>
      <c r="F895" s="96"/>
      <c r="G895" s="99"/>
      <c r="H895" s="95"/>
      <c r="I895" s="95"/>
      <c r="J895" s="95"/>
      <c r="K895" s="95"/>
      <c r="L895" s="96"/>
      <c r="M895" s="42" t="str">
        <f t="shared" si="62"/>
        <v/>
      </c>
      <c r="N895" s="42" t="str">
        <f t="shared" si="63"/>
        <v/>
      </c>
      <c r="O895" s="43" t="str">
        <f t="shared" si="64"/>
        <v/>
      </c>
      <c r="P895" s="42" t="str">
        <f t="shared" si="65"/>
        <v/>
      </c>
    </row>
    <row r="896" spans="1:16" ht="17">
      <c r="A896" s="6"/>
      <c r="B896" s="95" t="str">
        <f t="shared" si="66"/>
        <v/>
      </c>
      <c r="C896" s="97"/>
      <c r="D896" s="95"/>
      <c r="E896" s="96"/>
      <c r="F896" s="96"/>
      <c r="G896" s="99"/>
      <c r="H896" s="95"/>
      <c r="I896" s="95"/>
      <c r="J896" s="95"/>
      <c r="K896" s="95"/>
      <c r="L896" s="96"/>
      <c r="M896" s="42" t="str">
        <f t="shared" si="62"/>
        <v/>
      </c>
      <c r="N896" s="42" t="str">
        <f t="shared" si="63"/>
        <v/>
      </c>
      <c r="O896" s="43" t="str">
        <f t="shared" si="64"/>
        <v/>
      </c>
      <c r="P896" s="42" t="str">
        <f t="shared" si="65"/>
        <v/>
      </c>
    </row>
    <row r="897" spans="1:16" ht="17">
      <c r="A897" s="6"/>
      <c r="B897" s="95" t="str">
        <f t="shared" si="66"/>
        <v/>
      </c>
      <c r="C897" s="97"/>
      <c r="D897" s="95"/>
      <c r="E897" s="96"/>
      <c r="F897" s="96"/>
      <c r="G897" s="99"/>
      <c r="H897" s="95"/>
      <c r="I897" s="95"/>
      <c r="J897" s="95"/>
      <c r="K897" s="95"/>
      <c r="L897" s="96"/>
      <c r="M897" s="42" t="str">
        <f t="shared" si="62"/>
        <v/>
      </c>
      <c r="N897" s="42" t="str">
        <f t="shared" si="63"/>
        <v/>
      </c>
      <c r="O897" s="43" t="str">
        <f t="shared" si="64"/>
        <v/>
      </c>
      <c r="P897" s="42" t="str">
        <f t="shared" si="65"/>
        <v/>
      </c>
    </row>
    <row r="898" spans="1:16" ht="17">
      <c r="A898" s="6"/>
      <c r="B898" s="95" t="str">
        <f t="shared" si="66"/>
        <v/>
      </c>
      <c r="C898" s="97"/>
      <c r="D898" s="95"/>
      <c r="E898" s="96"/>
      <c r="F898" s="96"/>
      <c r="G898" s="99"/>
      <c r="H898" s="95"/>
      <c r="I898" s="95"/>
      <c r="J898" s="95"/>
      <c r="K898" s="95"/>
      <c r="L898" s="96"/>
      <c r="M898" s="42" t="str">
        <f t="shared" si="62"/>
        <v/>
      </c>
      <c r="N898" s="42" t="str">
        <f t="shared" si="63"/>
        <v/>
      </c>
      <c r="O898" s="43" t="str">
        <f t="shared" si="64"/>
        <v/>
      </c>
      <c r="P898" s="42" t="str">
        <f t="shared" si="65"/>
        <v/>
      </c>
    </row>
    <row r="899" spans="1:16" ht="17">
      <c r="A899" s="6"/>
      <c r="B899" s="95" t="str">
        <f t="shared" si="66"/>
        <v/>
      </c>
      <c r="C899" s="97"/>
      <c r="D899" s="95"/>
      <c r="E899" s="96"/>
      <c r="F899" s="96"/>
      <c r="G899" s="99"/>
      <c r="H899" s="95"/>
      <c r="I899" s="95"/>
      <c r="J899" s="95"/>
      <c r="K899" s="95"/>
      <c r="L899" s="96"/>
      <c r="M899" s="42" t="str">
        <f t="shared" si="62"/>
        <v/>
      </c>
      <c r="N899" s="42" t="str">
        <f t="shared" si="63"/>
        <v/>
      </c>
      <c r="O899" s="43" t="str">
        <f t="shared" si="64"/>
        <v/>
      </c>
      <c r="P899" s="42" t="str">
        <f t="shared" si="65"/>
        <v/>
      </c>
    </row>
    <row r="900" spans="1:16" ht="17">
      <c r="A900" s="6"/>
      <c r="B900" s="95" t="str">
        <f t="shared" si="66"/>
        <v/>
      </c>
      <c r="C900" s="97"/>
      <c r="D900" s="95"/>
      <c r="E900" s="96"/>
      <c r="F900" s="96"/>
      <c r="G900" s="99"/>
      <c r="H900" s="95"/>
      <c r="I900" s="95"/>
      <c r="J900" s="95"/>
      <c r="K900" s="95"/>
      <c r="L900" s="96"/>
      <c r="M900" s="42" t="str">
        <f t="shared" si="62"/>
        <v/>
      </c>
      <c r="N900" s="42" t="str">
        <f t="shared" si="63"/>
        <v/>
      </c>
      <c r="O900" s="43" t="str">
        <f t="shared" si="64"/>
        <v/>
      </c>
      <c r="P900" s="42" t="str">
        <f t="shared" si="65"/>
        <v/>
      </c>
    </row>
    <row r="901" spans="1:16" ht="17">
      <c r="A901" s="6"/>
      <c r="B901" s="95" t="str">
        <f t="shared" si="66"/>
        <v/>
      </c>
      <c r="C901" s="97"/>
      <c r="D901" s="95"/>
      <c r="E901" s="96"/>
      <c r="F901" s="96"/>
      <c r="G901" s="99"/>
      <c r="H901" s="95"/>
      <c r="I901" s="95"/>
      <c r="J901" s="95"/>
      <c r="K901" s="95"/>
      <c r="L901" s="96"/>
      <c r="M901" s="42" t="str">
        <f t="shared" si="62"/>
        <v/>
      </c>
      <c r="N901" s="42" t="str">
        <f t="shared" si="63"/>
        <v/>
      </c>
      <c r="O901" s="43" t="str">
        <f t="shared" si="64"/>
        <v/>
      </c>
      <c r="P901" s="42" t="str">
        <f t="shared" si="65"/>
        <v/>
      </c>
    </row>
    <row r="902" spans="1:16" ht="17">
      <c r="A902" s="6"/>
      <c r="B902" s="95" t="str">
        <f t="shared" si="66"/>
        <v/>
      </c>
      <c r="C902" s="97"/>
      <c r="D902" s="95"/>
      <c r="E902" s="96"/>
      <c r="F902" s="96"/>
      <c r="G902" s="99"/>
      <c r="H902" s="95"/>
      <c r="I902" s="95"/>
      <c r="J902" s="95"/>
      <c r="K902" s="95"/>
      <c r="L902" s="96"/>
      <c r="M902" s="42" t="str">
        <f t="shared" si="62"/>
        <v/>
      </c>
      <c r="N902" s="42" t="str">
        <f t="shared" si="63"/>
        <v/>
      </c>
      <c r="O902" s="43" t="str">
        <f t="shared" si="64"/>
        <v/>
      </c>
      <c r="P902" s="42" t="str">
        <f t="shared" si="65"/>
        <v/>
      </c>
    </row>
    <row r="903" spans="1:16" ht="17">
      <c r="A903" s="6"/>
      <c r="B903" s="95" t="str">
        <f t="shared" si="66"/>
        <v/>
      </c>
      <c r="C903" s="97"/>
      <c r="D903" s="95"/>
      <c r="E903" s="96"/>
      <c r="F903" s="96"/>
      <c r="G903" s="99"/>
      <c r="H903" s="95"/>
      <c r="I903" s="95"/>
      <c r="J903" s="95"/>
      <c r="K903" s="95"/>
      <c r="L903" s="96"/>
      <c r="M903" s="42" t="str">
        <f t="shared" ref="M903:M966" si="67">IF(C903="","",IF(D903="Gider",IF(H903&lt;&gt;"",H903,"CARİ MAHSUP"),IF(L903&lt;&gt;"",L903,H903)))</f>
        <v/>
      </c>
      <c r="N903" s="42" t="str">
        <f t="shared" ref="N903:N966" si="68">IF(C903="","",IF(D903="Gider",E903,IF(H903&lt;&gt;"",H903,E903)))</f>
        <v/>
      </c>
      <c r="O903" s="43" t="str">
        <f t="shared" ref="O903:O966" si="69">IF(C903="","",DATE(YEAR(C903),MONTH(C903),1))</f>
        <v/>
      </c>
      <c r="P903" s="42" t="str">
        <f t="shared" ref="P903:P966" si="70">IF(C903="","",IF(OR(D903="",E903="",G903=""),"EKSİK",IF(AND(D903="Gelir",I903="Hayır",L903&lt;&gt;""),IF(R903,"TAHAKKUK","TANIMSIZ BORÇLU"),IF(AND(D903="Gelir",I903="Evet",L903&lt;&gt;""),"TAHAKKUK NAKİT OLAMAZ",IF(AND(D903="Gelir",I903="Hayır",H903&lt;&gt;""),"NAKİTSİZDE KASA OLMAZ","UYGUN")))))</f>
        <v/>
      </c>
    </row>
    <row r="904" spans="1:16" ht="17">
      <c r="A904" s="6"/>
      <c r="B904" s="95" t="str">
        <f t="shared" si="66"/>
        <v/>
      </c>
      <c r="C904" s="97"/>
      <c r="D904" s="95"/>
      <c r="E904" s="96"/>
      <c r="F904" s="96"/>
      <c r="G904" s="99"/>
      <c r="H904" s="95"/>
      <c r="I904" s="95"/>
      <c r="J904" s="95"/>
      <c r="K904" s="95"/>
      <c r="L904" s="96"/>
      <c r="M904" s="42" t="str">
        <f t="shared" si="67"/>
        <v/>
      </c>
      <c r="N904" s="42" t="str">
        <f t="shared" si="68"/>
        <v/>
      </c>
      <c r="O904" s="43" t="str">
        <f t="shared" si="69"/>
        <v/>
      </c>
      <c r="P904" s="42" t="str">
        <f t="shared" si="70"/>
        <v/>
      </c>
    </row>
    <row r="905" spans="1:16" ht="17">
      <c r="A905" s="6"/>
      <c r="B905" s="95" t="str">
        <f t="shared" si="66"/>
        <v/>
      </c>
      <c r="C905" s="97"/>
      <c r="D905" s="95"/>
      <c r="E905" s="96"/>
      <c r="F905" s="96"/>
      <c r="G905" s="99"/>
      <c r="H905" s="95"/>
      <c r="I905" s="95"/>
      <c r="J905" s="95"/>
      <c r="K905" s="95"/>
      <c r="L905" s="96"/>
      <c r="M905" s="42" t="str">
        <f t="shared" si="67"/>
        <v/>
      </c>
      <c r="N905" s="42" t="str">
        <f t="shared" si="68"/>
        <v/>
      </c>
      <c r="O905" s="43" t="str">
        <f t="shared" si="69"/>
        <v/>
      </c>
      <c r="P905" s="42" t="str">
        <f t="shared" si="70"/>
        <v/>
      </c>
    </row>
    <row r="906" spans="1:16" ht="17">
      <c r="A906" s="6"/>
      <c r="B906" s="95" t="str">
        <f t="shared" si="66"/>
        <v/>
      </c>
      <c r="C906" s="97"/>
      <c r="D906" s="95"/>
      <c r="E906" s="96"/>
      <c r="F906" s="96"/>
      <c r="G906" s="99"/>
      <c r="H906" s="95"/>
      <c r="I906" s="95"/>
      <c r="J906" s="95"/>
      <c r="K906" s="95"/>
      <c r="L906" s="96"/>
      <c r="M906" s="42" t="str">
        <f t="shared" si="67"/>
        <v/>
      </c>
      <c r="N906" s="42" t="str">
        <f t="shared" si="68"/>
        <v/>
      </c>
      <c r="O906" s="43" t="str">
        <f t="shared" si="69"/>
        <v/>
      </c>
      <c r="P906" s="42" t="str">
        <f t="shared" si="70"/>
        <v/>
      </c>
    </row>
    <row r="907" spans="1:16" ht="17">
      <c r="A907" s="6"/>
      <c r="B907" s="95" t="str">
        <f t="shared" si="66"/>
        <v/>
      </c>
      <c r="C907" s="97"/>
      <c r="D907" s="95"/>
      <c r="E907" s="96"/>
      <c r="F907" s="96"/>
      <c r="G907" s="99"/>
      <c r="H907" s="95"/>
      <c r="I907" s="95"/>
      <c r="J907" s="95"/>
      <c r="K907" s="95"/>
      <c r="L907" s="96"/>
      <c r="M907" s="42" t="str">
        <f t="shared" si="67"/>
        <v/>
      </c>
      <c r="N907" s="42" t="str">
        <f t="shared" si="68"/>
        <v/>
      </c>
      <c r="O907" s="43" t="str">
        <f t="shared" si="69"/>
        <v/>
      </c>
      <c r="P907" s="42" t="str">
        <f t="shared" si="70"/>
        <v/>
      </c>
    </row>
    <row r="908" spans="1:16" ht="17">
      <c r="A908" s="6"/>
      <c r="B908" s="95" t="str">
        <f t="shared" si="66"/>
        <v/>
      </c>
      <c r="C908" s="97"/>
      <c r="D908" s="95"/>
      <c r="E908" s="96"/>
      <c r="F908" s="96"/>
      <c r="G908" s="99"/>
      <c r="H908" s="95"/>
      <c r="I908" s="95"/>
      <c r="J908" s="95"/>
      <c r="K908" s="95"/>
      <c r="L908" s="96"/>
      <c r="M908" s="42" t="str">
        <f t="shared" si="67"/>
        <v/>
      </c>
      <c r="N908" s="42" t="str">
        <f t="shared" si="68"/>
        <v/>
      </c>
      <c r="O908" s="43" t="str">
        <f t="shared" si="69"/>
        <v/>
      </c>
      <c r="P908" s="42" t="str">
        <f t="shared" si="70"/>
        <v/>
      </c>
    </row>
    <row r="909" spans="1:16" ht="17">
      <c r="A909" s="6"/>
      <c r="B909" s="95" t="str">
        <f t="shared" si="66"/>
        <v/>
      </c>
      <c r="C909" s="97"/>
      <c r="D909" s="95"/>
      <c r="E909" s="96"/>
      <c r="F909" s="96"/>
      <c r="G909" s="99"/>
      <c r="H909" s="95"/>
      <c r="I909" s="95"/>
      <c r="J909" s="95"/>
      <c r="K909" s="95"/>
      <c r="L909" s="96"/>
      <c r="M909" s="42" t="str">
        <f t="shared" si="67"/>
        <v/>
      </c>
      <c r="N909" s="42" t="str">
        <f t="shared" si="68"/>
        <v/>
      </c>
      <c r="O909" s="43" t="str">
        <f t="shared" si="69"/>
        <v/>
      </c>
      <c r="P909" s="42" t="str">
        <f t="shared" si="70"/>
        <v/>
      </c>
    </row>
    <row r="910" spans="1:16" ht="17">
      <c r="A910" s="6"/>
      <c r="B910" s="95" t="str">
        <f t="shared" si="66"/>
        <v/>
      </c>
      <c r="C910" s="97"/>
      <c r="D910" s="95"/>
      <c r="E910" s="96"/>
      <c r="F910" s="96"/>
      <c r="G910" s="99"/>
      <c r="H910" s="95"/>
      <c r="I910" s="95"/>
      <c r="J910" s="95"/>
      <c r="K910" s="95"/>
      <c r="L910" s="96"/>
      <c r="M910" s="42" t="str">
        <f t="shared" si="67"/>
        <v/>
      </c>
      <c r="N910" s="42" t="str">
        <f t="shared" si="68"/>
        <v/>
      </c>
      <c r="O910" s="43" t="str">
        <f t="shared" si="69"/>
        <v/>
      </c>
      <c r="P910" s="42" t="str">
        <f t="shared" si="70"/>
        <v/>
      </c>
    </row>
    <row r="911" spans="1:16" ht="17">
      <c r="A911" s="6"/>
      <c r="B911" s="95" t="str">
        <f t="shared" si="66"/>
        <v/>
      </c>
      <c r="C911" s="97"/>
      <c r="D911" s="95"/>
      <c r="E911" s="96"/>
      <c r="F911" s="96"/>
      <c r="G911" s="99"/>
      <c r="H911" s="95"/>
      <c r="I911" s="95"/>
      <c r="J911" s="95"/>
      <c r="K911" s="95"/>
      <c r="L911" s="96"/>
      <c r="M911" s="42" t="str">
        <f t="shared" si="67"/>
        <v/>
      </c>
      <c r="N911" s="42" t="str">
        <f t="shared" si="68"/>
        <v/>
      </c>
      <c r="O911" s="43" t="str">
        <f t="shared" si="69"/>
        <v/>
      </c>
      <c r="P911" s="42" t="str">
        <f t="shared" si="70"/>
        <v/>
      </c>
    </row>
    <row r="912" spans="1:16" ht="17">
      <c r="A912" s="6"/>
      <c r="B912" s="95" t="str">
        <f t="shared" si="66"/>
        <v/>
      </c>
      <c r="C912" s="97"/>
      <c r="D912" s="95"/>
      <c r="E912" s="96"/>
      <c r="F912" s="96"/>
      <c r="G912" s="99"/>
      <c r="H912" s="95"/>
      <c r="I912" s="95"/>
      <c r="J912" s="95"/>
      <c r="K912" s="95"/>
      <c r="L912" s="96"/>
      <c r="M912" s="42" t="str">
        <f t="shared" si="67"/>
        <v/>
      </c>
      <c r="N912" s="42" t="str">
        <f t="shared" si="68"/>
        <v/>
      </c>
      <c r="O912" s="43" t="str">
        <f t="shared" si="69"/>
        <v/>
      </c>
      <c r="P912" s="42" t="str">
        <f t="shared" si="70"/>
        <v/>
      </c>
    </row>
    <row r="913" spans="1:16" ht="17">
      <c r="A913" s="6"/>
      <c r="B913" s="95" t="str">
        <f t="shared" si="66"/>
        <v/>
      </c>
      <c r="C913" s="97"/>
      <c r="D913" s="95"/>
      <c r="E913" s="96"/>
      <c r="F913" s="96"/>
      <c r="G913" s="99"/>
      <c r="H913" s="95"/>
      <c r="I913" s="95"/>
      <c r="J913" s="95"/>
      <c r="K913" s="95"/>
      <c r="L913" s="96"/>
      <c r="M913" s="42" t="str">
        <f t="shared" si="67"/>
        <v/>
      </c>
      <c r="N913" s="42" t="str">
        <f t="shared" si="68"/>
        <v/>
      </c>
      <c r="O913" s="43" t="str">
        <f t="shared" si="69"/>
        <v/>
      </c>
      <c r="P913" s="42" t="str">
        <f t="shared" si="70"/>
        <v/>
      </c>
    </row>
    <row r="914" spans="1:16" ht="17">
      <c r="A914" s="6"/>
      <c r="B914" s="95" t="str">
        <f t="shared" si="66"/>
        <v/>
      </c>
      <c r="C914" s="97"/>
      <c r="D914" s="95"/>
      <c r="E914" s="96"/>
      <c r="F914" s="96"/>
      <c r="G914" s="99"/>
      <c r="H914" s="95"/>
      <c r="I914" s="95"/>
      <c r="J914" s="95"/>
      <c r="K914" s="95"/>
      <c r="L914" s="96"/>
      <c r="M914" s="42" t="str">
        <f t="shared" si="67"/>
        <v/>
      </c>
      <c r="N914" s="42" t="str">
        <f t="shared" si="68"/>
        <v/>
      </c>
      <c r="O914" s="43" t="str">
        <f t="shared" si="69"/>
        <v/>
      </c>
      <c r="P914" s="42" t="str">
        <f t="shared" si="70"/>
        <v/>
      </c>
    </row>
    <row r="915" spans="1:16" ht="17">
      <c r="A915" s="6"/>
      <c r="B915" s="95" t="str">
        <f t="shared" si="66"/>
        <v/>
      </c>
      <c r="C915" s="97"/>
      <c r="D915" s="95"/>
      <c r="E915" s="96"/>
      <c r="F915" s="96"/>
      <c r="G915" s="99"/>
      <c r="H915" s="95"/>
      <c r="I915" s="95"/>
      <c r="J915" s="95"/>
      <c r="K915" s="95"/>
      <c r="L915" s="96"/>
      <c r="M915" s="42" t="str">
        <f t="shared" si="67"/>
        <v/>
      </c>
      <c r="N915" s="42" t="str">
        <f t="shared" si="68"/>
        <v/>
      </c>
      <c r="O915" s="43" t="str">
        <f t="shared" si="69"/>
        <v/>
      </c>
      <c r="P915" s="42" t="str">
        <f t="shared" si="70"/>
        <v/>
      </c>
    </row>
    <row r="916" spans="1:16" ht="17">
      <c r="A916" s="6"/>
      <c r="B916" s="95" t="str">
        <f t="shared" si="66"/>
        <v/>
      </c>
      <c r="C916" s="97"/>
      <c r="D916" s="95"/>
      <c r="E916" s="96"/>
      <c r="F916" s="96"/>
      <c r="G916" s="99"/>
      <c r="H916" s="95"/>
      <c r="I916" s="95"/>
      <c r="J916" s="95"/>
      <c r="K916" s="95"/>
      <c r="L916" s="96"/>
      <c r="M916" s="42" t="str">
        <f t="shared" si="67"/>
        <v/>
      </c>
      <c r="N916" s="42" t="str">
        <f t="shared" si="68"/>
        <v/>
      </c>
      <c r="O916" s="43" t="str">
        <f t="shared" si="69"/>
        <v/>
      </c>
      <c r="P916" s="42" t="str">
        <f t="shared" si="70"/>
        <v/>
      </c>
    </row>
    <row r="917" spans="1:16" ht="17">
      <c r="A917" s="6"/>
      <c r="B917" s="95" t="str">
        <f t="shared" si="66"/>
        <v/>
      </c>
      <c r="C917" s="97"/>
      <c r="D917" s="95"/>
      <c r="E917" s="96"/>
      <c r="F917" s="96"/>
      <c r="G917" s="99"/>
      <c r="H917" s="95"/>
      <c r="I917" s="95"/>
      <c r="J917" s="95"/>
      <c r="K917" s="95"/>
      <c r="L917" s="96"/>
      <c r="M917" s="42" t="str">
        <f t="shared" si="67"/>
        <v/>
      </c>
      <c r="N917" s="42" t="str">
        <f t="shared" si="68"/>
        <v/>
      </c>
      <c r="O917" s="43" t="str">
        <f t="shared" si="69"/>
        <v/>
      </c>
      <c r="P917" s="42" t="str">
        <f t="shared" si="70"/>
        <v/>
      </c>
    </row>
    <row r="918" spans="1:16" ht="17">
      <c r="A918" s="6"/>
      <c r="B918" s="95" t="str">
        <f t="shared" si="66"/>
        <v/>
      </c>
      <c r="C918" s="97"/>
      <c r="D918" s="95"/>
      <c r="E918" s="96"/>
      <c r="F918" s="96"/>
      <c r="G918" s="99"/>
      <c r="H918" s="95"/>
      <c r="I918" s="95"/>
      <c r="J918" s="95"/>
      <c r="K918" s="95"/>
      <c r="L918" s="96"/>
      <c r="M918" s="42" t="str">
        <f t="shared" si="67"/>
        <v/>
      </c>
      <c r="N918" s="42" t="str">
        <f t="shared" si="68"/>
        <v/>
      </c>
      <c r="O918" s="43" t="str">
        <f t="shared" si="69"/>
        <v/>
      </c>
      <c r="P918" s="42" t="str">
        <f t="shared" si="70"/>
        <v/>
      </c>
    </row>
    <row r="919" spans="1:16" ht="17">
      <c r="A919" s="6"/>
      <c r="B919" s="95" t="str">
        <f t="shared" si="66"/>
        <v/>
      </c>
      <c r="C919" s="97"/>
      <c r="D919" s="95"/>
      <c r="E919" s="96"/>
      <c r="F919" s="96"/>
      <c r="G919" s="99"/>
      <c r="H919" s="95"/>
      <c r="I919" s="95"/>
      <c r="J919" s="95"/>
      <c r="K919" s="95"/>
      <c r="L919" s="96"/>
      <c r="M919" s="42" t="str">
        <f t="shared" si="67"/>
        <v/>
      </c>
      <c r="N919" s="42" t="str">
        <f t="shared" si="68"/>
        <v/>
      </c>
      <c r="O919" s="43" t="str">
        <f t="shared" si="69"/>
        <v/>
      </c>
      <c r="P919" s="42" t="str">
        <f t="shared" si="70"/>
        <v/>
      </c>
    </row>
    <row r="920" spans="1:16" ht="17">
      <c r="A920" s="6"/>
      <c r="B920" s="95" t="str">
        <f t="shared" si="66"/>
        <v/>
      </c>
      <c r="C920" s="97"/>
      <c r="D920" s="95"/>
      <c r="E920" s="96"/>
      <c r="F920" s="96"/>
      <c r="G920" s="99"/>
      <c r="H920" s="95"/>
      <c r="I920" s="95"/>
      <c r="J920" s="95"/>
      <c r="K920" s="95"/>
      <c r="L920" s="96"/>
      <c r="M920" s="42" t="str">
        <f t="shared" si="67"/>
        <v/>
      </c>
      <c r="N920" s="42" t="str">
        <f t="shared" si="68"/>
        <v/>
      </c>
      <c r="O920" s="43" t="str">
        <f t="shared" si="69"/>
        <v/>
      </c>
      <c r="P920" s="42" t="str">
        <f t="shared" si="70"/>
        <v/>
      </c>
    </row>
    <row r="921" spans="1:16" ht="17">
      <c r="A921" s="6"/>
      <c r="B921" s="95" t="str">
        <f t="shared" si="66"/>
        <v/>
      </c>
      <c r="C921" s="97"/>
      <c r="D921" s="95"/>
      <c r="E921" s="96"/>
      <c r="F921" s="96"/>
      <c r="G921" s="99"/>
      <c r="H921" s="95"/>
      <c r="I921" s="95"/>
      <c r="J921" s="95"/>
      <c r="K921" s="95"/>
      <c r="L921" s="96"/>
      <c r="M921" s="42" t="str">
        <f t="shared" si="67"/>
        <v/>
      </c>
      <c r="N921" s="42" t="str">
        <f t="shared" si="68"/>
        <v/>
      </c>
      <c r="O921" s="43" t="str">
        <f t="shared" si="69"/>
        <v/>
      </c>
      <c r="P921" s="42" t="str">
        <f t="shared" si="70"/>
        <v/>
      </c>
    </row>
    <row r="922" spans="1:16" ht="17">
      <c r="A922" s="6"/>
      <c r="B922" s="95" t="str">
        <f t="shared" si="66"/>
        <v/>
      </c>
      <c r="C922" s="97"/>
      <c r="D922" s="95"/>
      <c r="E922" s="96"/>
      <c r="F922" s="96"/>
      <c r="G922" s="99"/>
      <c r="H922" s="95"/>
      <c r="I922" s="95"/>
      <c r="J922" s="95"/>
      <c r="K922" s="95"/>
      <c r="L922" s="96"/>
      <c r="M922" s="42" t="str">
        <f t="shared" si="67"/>
        <v/>
      </c>
      <c r="N922" s="42" t="str">
        <f t="shared" si="68"/>
        <v/>
      </c>
      <c r="O922" s="43" t="str">
        <f t="shared" si="69"/>
        <v/>
      </c>
      <c r="P922" s="42" t="str">
        <f t="shared" si="70"/>
        <v/>
      </c>
    </row>
    <row r="923" spans="1:16" ht="17">
      <c r="A923" s="6"/>
      <c r="B923" s="95" t="str">
        <f t="shared" si="66"/>
        <v/>
      </c>
      <c r="C923" s="97"/>
      <c r="D923" s="95"/>
      <c r="E923" s="96"/>
      <c r="F923" s="96"/>
      <c r="G923" s="99"/>
      <c r="H923" s="95"/>
      <c r="I923" s="95"/>
      <c r="J923" s="95"/>
      <c r="K923" s="95"/>
      <c r="L923" s="96"/>
      <c r="M923" s="42" t="str">
        <f t="shared" si="67"/>
        <v/>
      </c>
      <c r="N923" s="42" t="str">
        <f t="shared" si="68"/>
        <v/>
      </c>
      <c r="O923" s="43" t="str">
        <f t="shared" si="69"/>
        <v/>
      </c>
      <c r="P923" s="42" t="str">
        <f t="shared" si="70"/>
        <v/>
      </c>
    </row>
    <row r="924" spans="1:16" ht="17">
      <c r="A924" s="6"/>
      <c r="B924" s="95" t="str">
        <f t="shared" si="66"/>
        <v/>
      </c>
      <c r="C924" s="97"/>
      <c r="D924" s="95"/>
      <c r="E924" s="96"/>
      <c r="F924" s="96"/>
      <c r="G924" s="99"/>
      <c r="H924" s="95"/>
      <c r="I924" s="95"/>
      <c r="J924" s="95"/>
      <c r="K924" s="95"/>
      <c r="L924" s="96"/>
      <c r="M924" s="42" t="str">
        <f t="shared" si="67"/>
        <v/>
      </c>
      <c r="N924" s="42" t="str">
        <f t="shared" si="68"/>
        <v/>
      </c>
      <c r="O924" s="43" t="str">
        <f t="shared" si="69"/>
        <v/>
      </c>
      <c r="P924" s="42" t="str">
        <f t="shared" si="70"/>
        <v/>
      </c>
    </row>
    <row r="925" spans="1:16" ht="17">
      <c r="A925" s="6"/>
      <c r="B925" s="95" t="str">
        <f t="shared" si="66"/>
        <v/>
      </c>
      <c r="C925" s="97"/>
      <c r="D925" s="95"/>
      <c r="E925" s="96"/>
      <c r="F925" s="96"/>
      <c r="G925" s="99"/>
      <c r="H925" s="95"/>
      <c r="I925" s="95"/>
      <c r="J925" s="95"/>
      <c r="K925" s="95"/>
      <c r="L925" s="96"/>
      <c r="M925" s="42" t="str">
        <f t="shared" si="67"/>
        <v/>
      </c>
      <c r="N925" s="42" t="str">
        <f t="shared" si="68"/>
        <v/>
      </c>
      <c r="O925" s="43" t="str">
        <f t="shared" si="69"/>
        <v/>
      </c>
      <c r="P925" s="42" t="str">
        <f t="shared" si="70"/>
        <v/>
      </c>
    </row>
    <row r="926" spans="1:16" ht="17">
      <c r="A926" s="6"/>
      <c r="B926" s="95" t="str">
        <f t="shared" si="66"/>
        <v/>
      </c>
      <c r="C926" s="97"/>
      <c r="D926" s="95"/>
      <c r="E926" s="96"/>
      <c r="F926" s="96"/>
      <c r="G926" s="99"/>
      <c r="H926" s="95"/>
      <c r="I926" s="95"/>
      <c r="J926" s="95"/>
      <c r="K926" s="95"/>
      <c r="L926" s="96"/>
      <c r="M926" s="42" t="str">
        <f t="shared" si="67"/>
        <v/>
      </c>
      <c r="N926" s="42" t="str">
        <f t="shared" si="68"/>
        <v/>
      </c>
      <c r="O926" s="43" t="str">
        <f t="shared" si="69"/>
        <v/>
      </c>
      <c r="P926" s="42" t="str">
        <f t="shared" si="70"/>
        <v/>
      </c>
    </row>
    <row r="927" spans="1:16" ht="17">
      <c r="A927" s="6"/>
      <c r="B927" s="95" t="str">
        <f t="shared" si="66"/>
        <v/>
      </c>
      <c r="C927" s="97"/>
      <c r="D927" s="95"/>
      <c r="E927" s="96"/>
      <c r="F927" s="96"/>
      <c r="G927" s="99"/>
      <c r="H927" s="95"/>
      <c r="I927" s="95"/>
      <c r="J927" s="95"/>
      <c r="K927" s="95"/>
      <c r="L927" s="96"/>
      <c r="M927" s="42" t="str">
        <f t="shared" si="67"/>
        <v/>
      </c>
      <c r="N927" s="42" t="str">
        <f t="shared" si="68"/>
        <v/>
      </c>
      <c r="O927" s="43" t="str">
        <f t="shared" si="69"/>
        <v/>
      </c>
      <c r="P927" s="42" t="str">
        <f t="shared" si="70"/>
        <v/>
      </c>
    </row>
    <row r="928" spans="1:16" ht="17">
      <c r="A928" s="6"/>
      <c r="B928" s="95" t="str">
        <f t="shared" si="66"/>
        <v/>
      </c>
      <c r="C928" s="97"/>
      <c r="D928" s="95"/>
      <c r="E928" s="96"/>
      <c r="F928" s="96"/>
      <c r="G928" s="99"/>
      <c r="H928" s="95"/>
      <c r="I928" s="95"/>
      <c r="J928" s="95"/>
      <c r="K928" s="95"/>
      <c r="L928" s="96"/>
      <c r="M928" s="42" t="str">
        <f t="shared" si="67"/>
        <v/>
      </c>
      <c r="N928" s="42" t="str">
        <f t="shared" si="68"/>
        <v/>
      </c>
      <c r="O928" s="43" t="str">
        <f t="shared" si="69"/>
        <v/>
      </c>
      <c r="P928" s="42" t="str">
        <f t="shared" si="70"/>
        <v/>
      </c>
    </row>
    <row r="929" spans="1:16" ht="17">
      <c r="A929" s="6"/>
      <c r="B929" s="95" t="str">
        <f t="shared" si="66"/>
        <v/>
      </c>
      <c r="C929" s="97"/>
      <c r="D929" s="95"/>
      <c r="E929" s="96"/>
      <c r="F929" s="96"/>
      <c r="G929" s="99"/>
      <c r="H929" s="95"/>
      <c r="I929" s="95"/>
      <c r="J929" s="95"/>
      <c r="K929" s="95"/>
      <c r="L929" s="96"/>
      <c r="M929" s="42" t="str">
        <f t="shared" si="67"/>
        <v/>
      </c>
      <c r="N929" s="42" t="str">
        <f t="shared" si="68"/>
        <v/>
      </c>
      <c r="O929" s="43" t="str">
        <f t="shared" si="69"/>
        <v/>
      </c>
      <c r="P929" s="42" t="str">
        <f t="shared" si="70"/>
        <v/>
      </c>
    </row>
    <row r="930" spans="1:16" ht="17">
      <c r="A930" s="6"/>
      <c r="B930" s="95" t="str">
        <f t="shared" ref="B930:B993" si="71">IF(C930="","","GG"&amp;TEXT(ROW()-6,"00000"))</f>
        <v/>
      </c>
      <c r="C930" s="97"/>
      <c r="D930" s="95"/>
      <c r="E930" s="96"/>
      <c r="F930" s="96"/>
      <c r="G930" s="99"/>
      <c r="H930" s="95"/>
      <c r="I930" s="95"/>
      <c r="J930" s="95"/>
      <c r="K930" s="95"/>
      <c r="L930" s="96"/>
      <c r="M930" s="42" t="str">
        <f t="shared" si="67"/>
        <v/>
      </c>
      <c r="N930" s="42" t="str">
        <f t="shared" si="68"/>
        <v/>
      </c>
      <c r="O930" s="43" t="str">
        <f t="shared" si="69"/>
        <v/>
      </c>
      <c r="P930" s="42" t="str">
        <f t="shared" si="70"/>
        <v/>
      </c>
    </row>
    <row r="931" spans="1:16" ht="17">
      <c r="A931" s="6"/>
      <c r="B931" s="95" t="str">
        <f t="shared" si="71"/>
        <v/>
      </c>
      <c r="C931" s="97"/>
      <c r="D931" s="95"/>
      <c r="E931" s="96"/>
      <c r="F931" s="96"/>
      <c r="G931" s="99"/>
      <c r="H931" s="95"/>
      <c r="I931" s="95"/>
      <c r="J931" s="95"/>
      <c r="K931" s="95"/>
      <c r="L931" s="96"/>
      <c r="M931" s="42" t="str">
        <f t="shared" si="67"/>
        <v/>
      </c>
      <c r="N931" s="42" t="str">
        <f t="shared" si="68"/>
        <v/>
      </c>
      <c r="O931" s="43" t="str">
        <f t="shared" si="69"/>
        <v/>
      </c>
      <c r="P931" s="42" t="str">
        <f t="shared" si="70"/>
        <v/>
      </c>
    </row>
    <row r="932" spans="1:16" ht="17">
      <c r="A932" s="6"/>
      <c r="B932" s="95" t="str">
        <f t="shared" si="71"/>
        <v/>
      </c>
      <c r="C932" s="97"/>
      <c r="D932" s="95"/>
      <c r="E932" s="96"/>
      <c r="F932" s="96"/>
      <c r="G932" s="99"/>
      <c r="H932" s="95"/>
      <c r="I932" s="95"/>
      <c r="J932" s="95"/>
      <c r="K932" s="95"/>
      <c r="L932" s="96"/>
      <c r="M932" s="42" t="str">
        <f t="shared" si="67"/>
        <v/>
      </c>
      <c r="N932" s="42" t="str">
        <f t="shared" si="68"/>
        <v/>
      </c>
      <c r="O932" s="43" t="str">
        <f t="shared" si="69"/>
        <v/>
      </c>
      <c r="P932" s="42" t="str">
        <f t="shared" si="70"/>
        <v/>
      </c>
    </row>
    <row r="933" spans="1:16" ht="17">
      <c r="A933" s="6"/>
      <c r="B933" s="95" t="str">
        <f t="shared" si="71"/>
        <v/>
      </c>
      <c r="C933" s="97"/>
      <c r="D933" s="95"/>
      <c r="E933" s="96"/>
      <c r="F933" s="96"/>
      <c r="G933" s="99"/>
      <c r="H933" s="95"/>
      <c r="I933" s="95"/>
      <c r="J933" s="95"/>
      <c r="K933" s="95"/>
      <c r="L933" s="96"/>
      <c r="M933" s="42" t="str">
        <f t="shared" si="67"/>
        <v/>
      </c>
      <c r="N933" s="42" t="str">
        <f t="shared" si="68"/>
        <v/>
      </c>
      <c r="O933" s="43" t="str">
        <f t="shared" si="69"/>
        <v/>
      </c>
      <c r="P933" s="42" t="str">
        <f t="shared" si="70"/>
        <v/>
      </c>
    </row>
    <row r="934" spans="1:16" ht="17">
      <c r="A934" s="6"/>
      <c r="B934" s="95" t="str">
        <f t="shared" si="71"/>
        <v/>
      </c>
      <c r="C934" s="97"/>
      <c r="D934" s="95"/>
      <c r="E934" s="96"/>
      <c r="F934" s="96"/>
      <c r="G934" s="99"/>
      <c r="H934" s="95"/>
      <c r="I934" s="95"/>
      <c r="J934" s="95"/>
      <c r="K934" s="95"/>
      <c r="L934" s="96"/>
      <c r="M934" s="42" t="str">
        <f t="shared" si="67"/>
        <v/>
      </c>
      <c r="N934" s="42" t="str">
        <f t="shared" si="68"/>
        <v/>
      </c>
      <c r="O934" s="43" t="str">
        <f t="shared" si="69"/>
        <v/>
      </c>
      <c r="P934" s="42" t="str">
        <f t="shared" si="70"/>
        <v/>
      </c>
    </row>
    <row r="935" spans="1:16" ht="17">
      <c r="A935" s="6"/>
      <c r="B935" s="95" t="str">
        <f t="shared" si="71"/>
        <v/>
      </c>
      <c r="C935" s="97"/>
      <c r="D935" s="95"/>
      <c r="E935" s="96"/>
      <c r="F935" s="96"/>
      <c r="G935" s="99"/>
      <c r="H935" s="95"/>
      <c r="I935" s="95"/>
      <c r="J935" s="95"/>
      <c r="K935" s="95"/>
      <c r="L935" s="96"/>
      <c r="M935" s="42" t="str">
        <f t="shared" si="67"/>
        <v/>
      </c>
      <c r="N935" s="42" t="str">
        <f t="shared" si="68"/>
        <v/>
      </c>
      <c r="O935" s="43" t="str">
        <f t="shared" si="69"/>
        <v/>
      </c>
      <c r="P935" s="42" t="str">
        <f t="shared" si="70"/>
        <v/>
      </c>
    </row>
    <row r="936" spans="1:16" ht="17">
      <c r="A936" s="6"/>
      <c r="B936" s="95" t="str">
        <f t="shared" si="71"/>
        <v/>
      </c>
      <c r="C936" s="97"/>
      <c r="D936" s="95"/>
      <c r="E936" s="96"/>
      <c r="F936" s="96"/>
      <c r="G936" s="99"/>
      <c r="H936" s="95"/>
      <c r="I936" s="95"/>
      <c r="J936" s="95"/>
      <c r="K936" s="95"/>
      <c r="L936" s="96"/>
      <c r="M936" s="42" t="str">
        <f t="shared" si="67"/>
        <v/>
      </c>
      <c r="N936" s="42" t="str">
        <f t="shared" si="68"/>
        <v/>
      </c>
      <c r="O936" s="43" t="str">
        <f t="shared" si="69"/>
        <v/>
      </c>
      <c r="P936" s="42" t="str">
        <f t="shared" si="70"/>
        <v/>
      </c>
    </row>
    <row r="937" spans="1:16" ht="17">
      <c r="A937" s="6"/>
      <c r="B937" s="95" t="str">
        <f t="shared" si="71"/>
        <v/>
      </c>
      <c r="C937" s="97"/>
      <c r="D937" s="95"/>
      <c r="E937" s="96"/>
      <c r="F937" s="96"/>
      <c r="G937" s="99"/>
      <c r="H937" s="95"/>
      <c r="I937" s="95"/>
      <c r="J937" s="95"/>
      <c r="K937" s="95"/>
      <c r="L937" s="96"/>
      <c r="M937" s="42" t="str">
        <f t="shared" si="67"/>
        <v/>
      </c>
      <c r="N937" s="42" t="str">
        <f t="shared" si="68"/>
        <v/>
      </c>
      <c r="O937" s="43" t="str">
        <f t="shared" si="69"/>
        <v/>
      </c>
      <c r="P937" s="42" t="str">
        <f t="shared" si="70"/>
        <v/>
      </c>
    </row>
    <row r="938" spans="1:16" ht="17">
      <c r="A938" s="6"/>
      <c r="B938" s="95" t="str">
        <f t="shared" si="71"/>
        <v/>
      </c>
      <c r="C938" s="97"/>
      <c r="D938" s="95"/>
      <c r="E938" s="96"/>
      <c r="F938" s="96"/>
      <c r="G938" s="99"/>
      <c r="H938" s="95"/>
      <c r="I938" s="95"/>
      <c r="J938" s="95"/>
      <c r="K938" s="95"/>
      <c r="L938" s="96"/>
      <c r="M938" s="42" t="str">
        <f t="shared" si="67"/>
        <v/>
      </c>
      <c r="N938" s="42" t="str">
        <f t="shared" si="68"/>
        <v/>
      </c>
      <c r="O938" s="43" t="str">
        <f t="shared" si="69"/>
        <v/>
      </c>
      <c r="P938" s="42" t="str">
        <f t="shared" si="70"/>
        <v/>
      </c>
    </row>
    <row r="939" spans="1:16" ht="17">
      <c r="A939" s="6"/>
      <c r="B939" s="95" t="str">
        <f t="shared" si="71"/>
        <v/>
      </c>
      <c r="C939" s="97"/>
      <c r="D939" s="95"/>
      <c r="E939" s="96"/>
      <c r="F939" s="96"/>
      <c r="G939" s="99"/>
      <c r="H939" s="95"/>
      <c r="I939" s="95"/>
      <c r="J939" s="95"/>
      <c r="K939" s="95"/>
      <c r="L939" s="96"/>
      <c r="M939" s="42" t="str">
        <f t="shared" si="67"/>
        <v/>
      </c>
      <c r="N939" s="42" t="str">
        <f t="shared" si="68"/>
        <v/>
      </c>
      <c r="O939" s="43" t="str">
        <f t="shared" si="69"/>
        <v/>
      </c>
      <c r="P939" s="42" t="str">
        <f t="shared" si="70"/>
        <v/>
      </c>
    </row>
    <row r="940" spans="1:16" ht="17">
      <c r="A940" s="6"/>
      <c r="B940" s="95" t="str">
        <f t="shared" si="71"/>
        <v/>
      </c>
      <c r="C940" s="97"/>
      <c r="D940" s="95"/>
      <c r="E940" s="96"/>
      <c r="F940" s="96"/>
      <c r="G940" s="99"/>
      <c r="H940" s="95"/>
      <c r="I940" s="95"/>
      <c r="J940" s="95"/>
      <c r="K940" s="95"/>
      <c r="L940" s="96"/>
      <c r="M940" s="42" t="str">
        <f t="shared" si="67"/>
        <v/>
      </c>
      <c r="N940" s="42" t="str">
        <f t="shared" si="68"/>
        <v/>
      </c>
      <c r="O940" s="43" t="str">
        <f t="shared" si="69"/>
        <v/>
      </c>
      <c r="P940" s="42" t="str">
        <f t="shared" si="70"/>
        <v/>
      </c>
    </row>
    <row r="941" spans="1:16" ht="17">
      <c r="A941" s="6"/>
      <c r="B941" s="95" t="str">
        <f t="shared" si="71"/>
        <v/>
      </c>
      <c r="C941" s="97"/>
      <c r="D941" s="95"/>
      <c r="E941" s="96"/>
      <c r="F941" s="96"/>
      <c r="G941" s="99"/>
      <c r="H941" s="95"/>
      <c r="I941" s="95"/>
      <c r="J941" s="95"/>
      <c r="K941" s="95"/>
      <c r="L941" s="96"/>
      <c r="M941" s="42" t="str">
        <f t="shared" si="67"/>
        <v/>
      </c>
      <c r="N941" s="42" t="str">
        <f t="shared" si="68"/>
        <v/>
      </c>
      <c r="O941" s="43" t="str">
        <f t="shared" si="69"/>
        <v/>
      </c>
      <c r="P941" s="42" t="str">
        <f t="shared" si="70"/>
        <v/>
      </c>
    </row>
    <row r="942" spans="1:16" ht="17">
      <c r="A942" s="6"/>
      <c r="B942" s="95" t="str">
        <f t="shared" si="71"/>
        <v/>
      </c>
      <c r="C942" s="97"/>
      <c r="D942" s="95"/>
      <c r="E942" s="96"/>
      <c r="F942" s="96"/>
      <c r="G942" s="99"/>
      <c r="H942" s="95"/>
      <c r="I942" s="95"/>
      <c r="J942" s="95"/>
      <c r="K942" s="95"/>
      <c r="L942" s="96"/>
      <c r="M942" s="42" t="str">
        <f t="shared" si="67"/>
        <v/>
      </c>
      <c r="N942" s="42" t="str">
        <f t="shared" si="68"/>
        <v/>
      </c>
      <c r="O942" s="43" t="str">
        <f t="shared" si="69"/>
        <v/>
      </c>
      <c r="P942" s="42" t="str">
        <f t="shared" si="70"/>
        <v/>
      </c>
    </row>
    <row r="943" spans="1:16" ht="17">
      <c r="A943" s="6"/>
      <c r="B943" s="95" t="str">
        <f t="shared" si="71"/>
        <v/>
      </c>
      <c r="C943" s="97"/>
      <c r="D943" s="95"/>
      <c r="E943" s="96"/>
      <c r="F943" s="96"/>
      <c r="G943" s="99"/>
      <c r="H943" s="95"/>
      <c r="I943" s="95"/>
      <c r="J943" s="95"/>
      <c r="K943" s="95"/>
      <c r="L943" s="96"/>
      <c r="M943" s="42" t="str">
        <f t="shared" si="67"/>
        <v/>
      </c>
      <c r="N943" s="42" t="str">
        <f t="shared" si="68"/>
        <v/>
      </c>
      <c r="O943" s="43" t="str">
        <f t="shared" si="69"/>
        <v/>
      </c>
      <c r="P943" s="42" t="str">
        <f t="shared" si="70"/>
        <v/>
      </c>
    </row>
    <row r="944" spans="1:16" ht="17">
      <c r="A944" s="6"/>
      <c r="B944" s="95" t="str">
        <f t="shared" si="71"/>
        <v/>
      </c>
      <c r="C944" s="97"/>
      <c r="D944" s="95"/>
      <c r="E944" s="96"/>
      <c r="F944" s="96"/>
      <c r="G944" s="99"/>
      <c r="H944" s="95"/>
      <c r="I944" s="95"/>
      <c r="J944" s="95"/>
      <c r="K944" s="95"/>
      <c r="L944" s="96"/>
      <c r="M944" s="42" t="str">
        <f t="shared" si="67"/>
        <v/>
      </c>
      <c r="N944" s="42" t="str">
        <f t="shared" si="68"/>
        <v/>
      </c>
      <c r="O944" s="43" t="str">
        <f t="shared" si="69"/>
        <v/>
      </c>
      <c r="P944" s="42" t="str">
        <f t="shared" si="70"/>
        <v/>
      </c>
    </row>
    <row r="945" spans="1:16" ht="17">
      <c r="A945" s="6"/>
      <c r="B945" s="95" t="str">
        <f t="shared" si="71"/>
        <v/>
      </c>
      <c r="C945" s="97"/>
      <c r="D945" s="95"/>
      <c r="E945" s="96"/>
      <c r="F945" s="96"/>
      <c r="G945" s="99"/>
      <c r="H945" s="95"/>
      <c r="I945" s="95"/>
      <c r="J945" s="95"/>
      <c r="K945" s="95"/>
      <c r="L945" s="96"/>
      <c r="M945" s="42" t="str">
        <f t="shared" si="67"/>
        <v/>
      </c>
      <c r="N945" s="42" t="str">
        <f t="shared" si="68"/>
        <v/>
      </c>
      <c r="O945" s="43" t="str">
        <f t="shared" si="69"/>
        <v/>
      </c>
      <c r="P945" s="42" t="str">
        <f t="shared" si="70"/>
        <v/>
      </c>
    </row>
    <row r="946" spans="1:16" ht="17">
      <c r="A946" s="6"/>
      <c r="B946" s="95" t="str">
        <f t="shared" si="71"/>
        <v/>
      </c>
      <c r="C946" s="97"/>
      <c r="D946" s="95"/>
      <c r="E946" s="96"/>
      <c r="F946" s="96"/>
      <c r="G946" s="99"/>
      <c r="H946" s="95"/>
      <c r="I946" s="95"/>
      <c r="J946" s="95"/>
      <c r="K946" s="95"/>
      <c r="L946" s="96"/>
      <c r="M946" s="42" t="str">
        <f t="shared" si="67"/>
        <v/>
      </c>
      <c r="N946" s="42" t="str">
        <f t="shared" si="68"/>
        <v/>
      </c>
      <c r="O946" s="43" t="str">
        <f t="shared" si="69"/>
        <v/>
      </c>
      <c r="P946" s="42" t="str">
        <f t="shared" si="70"/>
        <v/>
      </c>
    </row>
    <row r="947" spans="1:16" ht="17">
      <c r="A947" s="6"/>
      <c r="B947" s="95" t="str">
        <f t="shared" si="71"/>
        <v/>
      </c>
      <c r="C947" s="97"/>
      <c r="D947" s="95"/>
      <c r="E947" s="96"/>
      <c r="F947" s="96"/>
      <c r="G947" s="99"/>
      <c r="H947" s="95"/>
      <c r="I947" s="95"/>
      <c r="J947" s="95"/>
      <c r="K947" s="95"/>
      <c r="L947" s="96"/>
      <c r="M947" s="42" t="str">
        <f t="shared" si="67"/>
        <v/>
      </c>
      <c r="N947" s="42" t="str">
        <f t="shared" si="68"/>
        <v/>
      </c>
      <c r="O947" s="43" t="str">
        <f t="shared" si="69"/>
        <v/>
      </c>
      <c r="P947" s="42" t="str">
        <f t="shared" si="70"/>
        <v/>
      </c>
    </row>
    <row r="948" spans="1:16" ht="17">
      <c r="A948" s="6"/>
      <c r="B948" s="95" t="str">
        <f t="shared" si="71"/>
        <v/>
      </c>
      <c r="C948" s="97"/>
      <c r="D948" s="95"/>
      <c r="E948" s="96"/>
      <c r="F948" s="96"/>
      <c r="G948" s="99"/>
      <c r="H948" s="95"/>
      <c r="I948" s="95"/>
      <c r="J948" s="95"/>
      <c r="K948" s="95"/>
      <c r="L948" s="96"/>
      <c r="M948" s="42" t="str">
        <f t="shared" si="67"/>
        <v/>
      </c>
      <c r="N948" s="42" t="str">
        <f t="shared" si="68"/>
        <v/>
      </c>
      <c r="O948" s="43" t="str">
        <f t="shared" si="69"/>
        <v/>
      </c>
      <c r="P948" s="42" t="str">
        <f t="shared" si="70"/>
        <v/>
      </c>
    </row>
    <row r="949" spans="1:16" ht="17">
      <c r="A949" s="6"/>
      <c r="B949" s="95" t="str">
        <f t="shared" si="71"/>
        <v/>
      </c>
      <c r="C949" s="97"/>
      <c r="D949" s="95"/>
      <c r="E949" s="96"/>
      <c r="F949" s="96"/>
      <c r="G949" s="99"/>
      <c r="H949" s="95"/>
      <c r="I949" s="95"/>
      <c r="J949" s="95"/>
      <c r="K949" s="95"/>
      <c r="L949" s="96"/>
      <c r="M949" s="42" t="str">
        <f t="shared" si="67"/>
        <v/>
      </c>
      <c r="N949" s="42" t="str">
        <f t="shared" si="68"/>
        <v/>
      </c>
      <c r="O949" s="43" t="str">
        <f t="shared" si="69"/>
        <v/>
      </c>
      <c r="P949" s="42" t="str">
        <f t="shared" si="70"/>
        <v/>
      </c>
    </row>
    <row r="950" spans="1:16" ht="17">
      <c r="A950" s="6"/>
      <c r="B950" s="95" t="str">
        <f t="shared" si="71"/>
        <v/>
      </c>
      <c r="C950" s="97"/>
      <c r="D950" s="95"/>
      <c r="E950" s="96"/>
      <c r="F950" s="96"/>
      <c r="G950" s="99"/>
      <c r="H950" s="95"/>
      <c r="I950" s="95"/>
      <c r="J950" s="95"/>
      <c r="K950" s="95"/>
      <c r="L950" s="96"/>
      <c r="M950" s="42" t="str">
        <f t="shared" si="67"/>
        <v/>
      </c>
      <c r="N950" s="42" t="str">
        <f t="shared" si="68"/>
        <v/>
      </c>
      <c r="O950" s="43" t="str">
        <f t="shared" si="69"/>
        <v/>
      </c>
      <c r="P950" s="42" t="str">
        <f t="shared" si="70"/>
        <v/>
      </c>
    </row>
    <row r="951" spans="1:16" ht="17">
      <c r="A951" s="6"/>
      <c r="B951" s="95" t="str">
        <f t="shared" si="71"/>
        <v/>
      </c>
      <c r="C951" s="97"/>
      <c r="D951" s="95"/>
      <c r="E951" s="96"/>
      <c r="F951" s="96"/>
      <c r="G951" s="99"/>
      <c r="H951" s="95"/>
      <c r="I951" s="95"/>
      <c r="J951" s="95"/>
      <c r="K951" s="95"/>
      <c r="L951" s="96"/>
      <c r="M951" s="42" t="str">
        <f t="shared" si="67"/>
        <v/>
      </c>
      <c r="N951" s="42" t="str">
        <f t="shared" si="68"/>
        <v/>
      </c>
      <c r="O951" s="43" t="str">
        <f t="shared" si="69"/>
        <v/>
      </c>
      <c r="P951" s="42" t="str">
        <f t="shared" si="70"/>
        <v/>
      </c>
    </row>
    <row r="952" spans="1:16" ht="17">
      <c r="A952" s="6"/>
      <c r="B952" s="95" t="str">
        <f t="shared" si="71"/>
        <v/>
      </c>
      <c r="C952" s="97"/>
      <c r="D952" s="95"/>
      <c r="E952" s="96"/>
      <c r="F952" s="96"/>
      <c r="G952" s="99"/>
      <c r="H952" s="95"/>
      <c r="I952" s="95"/>
      <c r="J952" s="95"/>
      <c r="K952" s="95"/>
      <c r="L952" s="96"/>
      <c r="M952" s="42" t="str">
        <f t="shared" si="67"/>
        <v/>
      </c>
      <c r="N952" s="42" t="str">
        <f t="shared" si="68"/>
        <v/>
      </c>
      <c r="O952" s="43" t="str">
        <f t="shared" si="69"/>
        <v/>
      </c>
      <c r="P952" s="42" t="str">
        <f t="shared" si="70"/>
        <v/>
      </c>
    </row>
    <row r="953" spans="1:16" ht="17">
      <c r="A953" s="6"/>
      <c r="B953" s="95" t="str">
        <f t="shared" si="71"/>
        <v/>
      </c>
      <c r="C953" s="97"/>
      <c r="D953" s="95"/>
      <c r="E953" s="96"/>
      <c r="F953" s="96"/>
      <c r="G953" s="99"/>
      <c r="H953" s="95"/>
      <c r="I953" s="95"/>
      <c r="J953" s="95"/>
      <c r="K953" s="95"/>
      <c r="L953" s="96"/>
      <c r="M953" s="42" t="str">
        <f t="shared" si="67"/>
        <v/>
      </c>
      <c r="N953" s="42" t="str">
        <f t="shared" si="68"/>
        <v/>
      </c>
      <c r="O953" s="43" t="str">
        <f t="shared" si="69"/>
        <v/>
      </c>
      <c r="P953" s="42" t="str">
        <f t="shared" si="70"/>
        <v/>
      </c>
    </row>
    <row r="954" spans="1:16" ht="17">
      <c r="A954" s="6"/>
      <c r="B954" s="95" t="str">
        <f t="shared" si="71"/>
        <v/>
      </c>
      <c r="C954" s="97"/>
      <c r="D954" s="95"/>
      <c r="E954" s="96"/>
      <c r="F954" s="96"/>
      <c r="G954" s="99"/>
      <c r="H954" s="95"/>
      <c r="I954" s="95"/>
      <c r="J954" s="95"/>
      <c r="K954" s="95"/>
      <c r="L954" s="96"/>
      <c r="M954" s="42" t="str">
        <f t="shared" si="67"/>
        <v/>
      </c>
      <c r="N954" s="42" t="str">
        <f t="shared" si="68"/>
        <v/>
      </c>
      <c r="O954" s="43" t="str">
        <f t="shared" si="69"/>
        <v/>
      </c>
      <c r="P954" s="42" t="str">
        <f t="shared" si="70"/>
        <v/>
      </c>
    </row>
    <row r="955" spans="1:16" ht="17">
      <c r="A955" s="6"/>
      <c r="B955" s="95" t="str">
        <f t="shared" si="71"/>
        <v/>
      </c>
      <c r="C955" s="97"/>
      <c r="D955" s="95"/>
      <c r="E955" s="96"/>
      <c r="F955" s="96"/>
      <c r="G955" s="99"/>
      <c r="H955" s="95"/>
      <c r="I955" s="95"/>
      <c r="J955" s="95"/>
      <c r="K955" s="95"/>
      <c r="L955" s="96"/>
      <c r="M955" s="42" t="str">
        <f t="shared" si="67"/>
        <v/>
      </c>
      <c r="N955" s="42" t="str">
        <f t="shared" si="68"/>
        <v/>
      </c>
      <c r="O955" s="43" t="str">
        <f t="shared" si="69"/>
        <v/>
      </c>
      <c r="P955" s="42" t="str">
        <f t="shared" si="70"/>
        <v/>
      </c>
    </row>
    <row r="956" spans="1:16" ht="17">
      <c r="A956" s="6"/>
      <c r="B956" s="95" t="str">
        <f t="shared" si="71"/>
        <v/>
      </c>
      <c r="C956" s="97"/>
      <c r="D956" s="95"/>
      <c r="E956" s="96"/>
      <c r="F956" s="96"/>
      <c r="G956" s="99"/>
      <c r="H956" s="95"/>
      <c r="I956" s="95"/>
      <c r="J956" s="95"/>
      <c r="K956" s="95"/>
      <c r="L956" s="96"/>
      <c r="M956" s="42" t="str">
        <f t="shared" si="67"/>
        <v/>
      </c>
      <c r="N956" s="42" t="str">
        <f t="shared" si="68"/>
        <v/>
      </c>
      <c r="O956" s="43" t="str">
        <f t="shared" si="69"/>
        <v/>
      </c>
      <c r="P956" s="42" t="str">
        <f t="shared" si="70"/>
        <v/>
      </c>
    </row>
    <row r="957" spans="1:16" ht="17">
      <c r="A957" s="6"/>
      <c r="B957" s="95" t="str">
        <f t="shared" si="71"/>
        <v/>
      </c>
      <c r="C957" s="97"/>
      <c r="D957" s="95"/>
      <c r="E957" s="96"/>
      <c r="F957" s="96"/>
      <c r="G957" s="99"/>
      <c r="H957" s="95"/>
      <c r="I957" s="95"/>
      <c r="J957" s="95"/>
      <c r="K957" s="95"/>
      <c r="L957" s="96"/>
      <c r="M957" s="42" t="str">
        <f t="shared" si="67"/>
        <v/>
      </c>
      <c r="N957" s="42" t="str">
        <f t="shared" si="68"/>
        <v/>
      </c>
      <c r="O957" s="43" t="str">
        <f t="shared" si="69"/>
        <v/>
      </c>
      <c r="P957" s="42" t="str">
        <f t="shared" si="70"/>
        <v/>
      </c>
    </row>
    <row r="958" spans="1:16" ht="17">
      <c r="A958" s="6"/>
      <c r="B958" s="95" t="str">
        <f t="shared" si="71"/>
        <v/>
      </c>
      <c r="C958" s="97"/>
      <c r="D958" s="95"/>
      <c r="E958" s="96"/>
      <c r="F958" s="96"/>
      <c r="G958" s="99"/>
      <c r="H958" s="95"/>
      <c r="I958" s="95"/>
      <c r="J958" s="95"/>
      <c r="K958" s="95"/>
      <c r="L958" s="96"/>
      <c r="M958" s="42" t="str">
        <f t="shared" si="67"/>
        <v/>
      </c>
      <c r="N958" s="42" t="str">
        <f t="shared" si="68"/>
        <v/>
      </c>
      <c r="O958" s="43" t="str">
        <f t="shared" si="69"/>
        <v/>
      </c>
      <c r="P958" s="42" t="str">
        <f t="shared" si="70"/>
        <v/>
      </c>
    </row>
    <row r="959" spans="1:16" ht="17">
      <c r="A959" s="6"/>
      <c r="B959" s="95" t="str">
        <f t="shared" si="71"/>
        <v/>
      </c>
      <c r="C959" s="97"/>
      <c r="D959" s="95"/>
      <c r="E959" s="96"/>
      <c r="F959" s="96"/>
      <c r="G959" s="99"/>
      <c r="H959" s="95"/>
      <c r="I959" s="95"/>
      <c r="J959" s="95"/>
      <c r="K959" s="95"/>
      <c r="L959" s="96"/>
      <c r="M959" s="42" t="str">
        <f t="shared" si="67"/>
        <v/>
      </c>
      <c r="N959" s="42" t="str">
        <f t="shared" si="68"/>
        <v/>
      </c>
      <c r="O959" s="43" t="str">
        <f t="shared" si="69"/>
        <v/>
      </c>
      <c r="P959" s="42" t="str">
        <f t="shared" si="70"/>
        <v/>
      </c>
    </row>
    <row r="960" spans="1:16" ht="17">
      <c r="A960" s="6"/>
      <c r="B960" s="95" t="str">
        <f t="shared" si="71"/>
        <v/>
      </c>
      <c r="C960" s="97"/>
      <c r="D960" s="95"/>
      <c r="E960" s="96"/>
      <c r="F960" s="96"/>
      <c r="G960" s="99"/>
      <c r="H960" s="95"/>
      <c r="I960" s="95"/>
      <c r="J960" s="95"/>
      <c r="K960" s="95"/>
      <c r="L960" s="96"/>
      <c r="M960" s="42" t="str">
        <f t="shared" si="67"/>
        <v/>
      </c>
      <c r="N960" s="42" t="str">
        <f t="shared" si="68"/>
        <v/>
      </c>
      <c r="O960" s="43" t="str">
        <f t="shared" si="69"/>
        <v/>
      </c>
      <c r="P960" s="42" t="str">
        <f t="shared" si="70"/>
        <v/>
      </c>
    </row>
    <row r="961" spans="1:16" ht="17">
      <c r="A961" s="6"/>
      <c r="B961" s="95" t="str">
        <f t="shared" si="71"/>
        <v/>
      </c>
      <c r="C961" s="97"/>
      <c r="D961" s="95"/>
      <c r="E961" s="96"/>
      <c r="F961" s="96"/>
      <c r="G961" s="99"/>
      <c r="H961" s="95"/>
      <c r="I961" s="95"/>
      <c r="J961" s="95"/>
      <c r="K961" s="95"/>
      <c r="L961" s="96"/>
      <c r="M961" s="42" t="str">
        <f t="shared" si="67"/>
        <v/>
      </c>
      <c r="N961" s="42" t="str">
        <f t="shared" si="68"/>
        <v/>
      </c>
      <c r="O961" s="43" t="str">
        <f t="shared" si="69"/>
        <v/>
      </c>
      <c r="P961" s="42" t="str">
        <f t="shared" si="70"/>
        <v/>
      </c>
    </row>
    <row r="962" spans="1:16" ht="17">
      <c r="A962" s="6"/>
      <c r="B962" s="95" t="str">
        <f t="shared" si="71"/>
        <v/>
      </c>
      <c r="C962" s="97"/>
      <c r="D962" s="95"/>
      <c r="E962" s="96"/>
      <c r="F962" s="96"/>
      <c r="G962" s="99"/>
      <c r="H962" s="95"/>
      <c r="I962" s="95"/>
      <c r="J962" s="95"/>
      <c r="K962" s="95"/>
      <c r="L962" s="96"/>
      <c r="M962" s="42" t="str">
        <f t="shared" si="67"/>
        <v/>
      </c>
      <c r="N962" s="42" t="str">
        <f t="shared" si="68"/>
        <v/>
      </c>
      <c r="O962" s="43" t="str">
        <f t="shared" si="69"/>
        <v/>
      </c>
      <c r="P962" s="42" t="str">
        <f t="shared" si="70"/>
        <v/>
      </c>
    </row>
    <row r="963" spans="1:16" ht="17">
      <c r="A963" s="6"/>
      <c r="B963" s="95" t="str">
        <f t="shared" si="71"/>
        <v/>
      </c>
      <c r="C963" s="97"/>
      <c r="D963" s="95"/>
      <c r="E963" s="96"/>
      <c r="F963" s="96"/>
      <c r="G963" s="99"/>
      <c r="H963" s="95"/>
      <c r="I963" s="95"/>
      <c r="J963" s="95"/>
      <c r="K963" s="95"/>
      <c r="L963" s="96"/>
      <c r="M963" s="42" t="str">
        <f t="shared" si="67"/>
        <v/>
      </c>
      <c r="N963" s="42" t="str">
        <f t="shared" si="68"/>
        <v/>
      </c>
      <c r="O963" s="43" t="str">
        <f t="shared" si="69"/>
        <v/>
      </c>
      <c r="P963" s="42" t="str">
        <f t="shared" si="70"/>
        <v/>
      </c>
    </row>
    <row r="964" spans="1:16" ht="17">
      <c r="A964" s="6"/>
      <c r="B964" s="95" t="str">
        <f t="shared" si="71"/>
        <v/>
      </c>
      <c r="C964" s="97"/>
      <c r="D964" s="95"/>
      <c r="E964" s="96"/>
      <c r="F964" s="96"/>
      <c r="G964" s="99"/>
      <c r="H964" s="95"/>
      <c r="I964" s="95"/>
      <c r="J964" s="95"/>
      <c r="K964" s="95"/>
      <c r="L964" s="96"/>
      <c r="M964" s="42" t="str">
        <f t="shared" si="67"/>
        <v/>
      </c>
      <c r="N964" s="42" t="str">
        <f t="shared" si="68"/>
        <v/>
      </c>
      <c r="O964" s="43" t="str">
        <f t="shared" si="69"/>
        <v/>
      </c>
      <c r="P964" s="42" t="str">
        <f t="shared" si="70"/>
        <v/>
      </c>
    </row>
    <row r="965" spans="1:16" ht="17">
      <c r="A965" s="6"/>
      <c r="B965" s="95" t="str">
        <f t="shared" si="71"/>
        <v/>
      </c>
      <c r="C965" s="97"/>
      <c r="D965" s="95"/>
      <c r="E965" s="96"/>
      <c r="F965" s="96"/>
      <c r="G965" s="99"/>
      <c r="H965" s="95"/>
      <c r="I965" s="95"/>
      <c r="J965" s="95"/>
      <c r="K965" s="95"/>
      <c r="L965" s="96"/>
      <c r="M965" s="42" t="str">
        <f t="shared" si="67"/>
        <v/>
      </c>
      <c r="N965" s="42" t="str">
        <f t="shared" si="68"/>
        <v/>
      </c>
      <c r="O965" s="43" t="str">
        <f t="shared" si="69"/>
        <v/>
      </c>
      <c r="P965" s="42" t="str">
        <f t="shared" si="70"/>
        <v/>
      </c>
    </row>
    <row r="966" spans="1:16" ht="17">
      <c r="A966" s="6"/>
      <c r="B966" s="95" t="str">
        <f t="shared" si="71"/>
        <v/>
      </c>
      <c r="C966" s="97"/>
      <c r="D966" s="95"/>
      <c r="E966" s="96"/>
      <c r="F966" s="96"/>
      <c r="G966" s="99"/>
      <c r="H966" s="95"/>
      <c r="I966" s="95"/>
      <c r="J966" s="95"/>
      <c r="K966" s="95"/>
      <c r="L966" s="96"/>
      <c r="M966" s="42" t="str">
        <f t="shared" si="67"/>
        <v/>
      </c>
      <c r="N966" s="42" t="str">
        <f t="shared" si="68"/>
        <v/>
      </c>
      <c r="O966" s="43" t="str">
        <f t="shared" si="69"/>
        <v/>
      </c>
      <c r="P966" s="42" t="str">
        <f t="shared" si="70"/>
        <v/>
      </c>
    </row>
    <row r="967" spans="1:16" ht="17">
      <c r="A967" s="6"/>
      <c r="B967" s="95" t="str">
        <f t="shared" si="71"/>
        <v/>
      </c>
      <c r="C967" s="97"/>
      <c r="D967" s="95"/>
      <c r="E967" s="96"/>
      <c r="F967" s="96"/>
      <c r="G967" s="99"/>
      <c r="H967" s="95"/>
      <c r="I967" s="95"/>
      <c r="J967" s="95"/>
      <c r="K967" s="95"/>
      <c r="L967" s="96"/>
      <c r="M967" s="42" t="str">
        <f t="shared" ref="M967:M1030" si="72">IF(C967="","",IF(D967="Gider",IF(H967&lt;&gt;"",H967,"CARİ MAHSUP"),IF(L967&lt;&gt;"",L967,H967)))</f>
        <v/>
      </c>
      <c r="N967" s="42" t="str">
        <f t="shared" ref="N967:N1000" si="73">IF(C967="","",IF(D967="Gider",E967,IF(H967&lt;&gt;"",H967,E967)))</f>
        <v/>
      </c>
      <c r="O967" s="43" t="str">
        <f t="shared" ref="O967:O1000" si="74">IF(C967="","",DATE(YEAR(C967),MONTH(C967),1))</f>
        <v/>
      </c>
      <c r="P967" s="42" t="str">
        <f t="shared" ref="P967:P1000" si="75">IF(C967="","",IF(OR(D967="",E967="",G967=""),"EKSİK",IF(AND(D967="Gelir",I967="Hayır",L967&lt;&gt;""),IF(R967,"TAHAKKUK","TANIMSIZ BORÇLU"),IF(AND(D967="Gelir",I967="Evet",L967&lt;&gt;""),"TAHAKKUK NAKİT OLAMAZ",IF(AND(D967="Gelir",I967="Hayır",H967&lt;&gt;""),"NAKİTSİZDE KASA OLMAZ","UYGUN")))))</f>
        <v/>
      </c>
    </row>
    <row r="968" spans="1:16" ht="17">
      <c r="A968" s="6"/>
      <c r="B968" s="95" t="str">
        <f t="shared" si="71"/>
        <v/>
      </c>
      <c r="C968" s="97"/>
      <c r="D968" s="95"/>
      <c r="E968" s="96"/>
      <c r="F968" s="96"/>
      <c r="G968" s="99"/>
      <c r="H968" s="95"/>
      <c r="I968" s="95"/>
      <c r="J968" s="95"/>
      <c r="K968" s="95"/>
      <c r="L968" s="96"/>
      <c r="M968" s="42" t="str">
        <f t="shared" si="72"/>
        <v/>
      </c>
      <c r="N968" s="42" t="str">
        <f t="shared" si="73"/>
        <v/>
      </c>
      <c r="O968" s="43" t="str">
        <f t="shared" si="74"/>
        <v/>
      </c>
      <c r="P968" s="42" t="str">
        <f t="shared" si="75"/>
        <v/>
      </c>
    </row>
    <row r="969" spans="1:16" ht="17">
      <c r="A969" s="6"/>
      <c r="B969" s="95" t="str">
        <f t="shared" si="71"/>
        <v/>
      </c>
      <c r="C969" s="97"/>
      <c r="D969" s="95"/>
      <c r="E969" s="96"/>
      <c r="F969" s="96"/>
      <c r="G969" s="99"/>
      <c r="H969" s="95"/>
      <c r="I969" s="95"/>
      <c r="J969" s="95"/>
      <c r="K969" s="95"/>
      <c r="L969" s="96"/>
      <c r="M969" s="42" t="str">
        <f t="shared" si="72"/>
        <v/>
      </c>
      <c r="N969" s="42" t="str">
        <f t="shared" si="73"/>
        <v/>
      </c>
      <c r="O969" s="43" t="str">
        <f t="shared" si="74"/>
        <v/>
      </c>
      <c r="P969" s="42" t="str">
        <f t="shared" si="75"/>
        <v/>
      </c>
    </row>
    <row r="970" spans="1:16" ht="17">
      <c r="A970" s="6"/>
      <c r="B970" s="95" t="str">
        <f t="shared" si="71"/>
        <v/>
      </c>
      <c r="C970" s="97"/>
      <c r="D970" s="95"/>
      <c r="E970" s="96"/>
      <c r="F970" s="96"/>
      <c r="G970" s="99"/>
      <c r="H970" s="95"/>
      <c r="I970" s="95"/>
      <c r="J970" s="95"/>
      <c r="K970" s="95"/>
      <c r="L970" s="96"/>
      <c r="M970" s="42" t="str">
        <f t="shared" si="72"/>
        <v/>
      </c>
      <c r="N970" s="42" t="str">
        <f t="shared" si="73"/>
        <v/>
      </c>
      <c r="O970" s="43" t="str">
        <f t="shared" si="74"/>
        <v/>
      </c>
      <c r="P970" s="42" t="str">
        <f t="shared" si="75"/>
        <v/>
      </c>
    </row>
    <row r="971" spans="1:16" ht="17">
      <c r="A971" s="6"/>
      <c r="B971" s="95" t="str">
        <f t="shared" si="71"/>
        <v/>
      </c>
      <c r="C971" s="97"/>
      <c r="D971" s="95"/>
      <c r="E971" s="96"/>
      <c r="F971" s="96"/>
      <c r="G971" s="99"/>
      <c r="H971" s="95"/>
      <c r="I971" s="95"/>
      <c r="J971" s="95"/>
      <c r="K971" s="95"/>
      <c r="L971" s="96"/>
      <c r="M971" s="42" t="str">
        <f t="shared" si="72"/>
        <v/>
      </c>
      <c r="N971" s="42" t="str">
        <f t="shared" si="73"/>
        <v/>
      </c>
      <c r="O971" s="43" t="str">
        <f t="shared" si="74"/>
        <v/>
      </c>
      <c r="P971" s="42" t="str">
        <f t="shared" si="75"/>
        <v/>
      </c>
    </row>
    <row r="972" spans="1:16" ht="17">
      <c r="A972" s="6"/>
      <c r="B972" s="95" t="str">
        <f t="shared" si="71"/>
        <v/>
      </c>
      <c r="C972" s="97"/>
      <c r="D972" s="95"/>
      <c r="E972" s="96"/>
      <c r="F972" s="96"/>
      <c r="G972" s="99"/>
      <c r="H972" s="95"/>
      <c r="I972" s="95"/>
      <c r="J972" s="95"/>
      <c r="K972" s="95"/>
      <c r="L972" s="96"/>
      <c r="M972" s="42" t="str">
        <f t="shared" si="72"/>
        <v/>
      </c>
      <c r="N972" s="42" t="str">
        <f t="shared" si="73"/>
        <v/>
      </c>
      <c r="O972" s="43" t="str">
        <f t="shared" si="74"/>
        <v/>
      </c>
      <c r="P972" s="42" t="str">
        <f t="shared" si="75"/>
        <v/>
      </c>
    </row>
    <row r="973" spans="1:16" ht="17">
      <c r="A973" s="6"/>
      <c r="B973" s="95" t="str">
        <f t="shared" si="71"/>
        <v/>
      </c>
      <c r="C973" s="97"/>
      <c r="D973" s="95"/>
      <c r="E973" s="96"/>
      <c r="F973" s="96"/>
      <c r="G973" s="99"/>
      <c r="H973" s="95"/>
      <c r="I973" s="95"/>
      <c r="J973" s="95"/>
      <c r="K973" s="95"/>
      <c r="L973" s="96"/>
      <c r="M973" s="42" t="str">
        <f t="shared" si="72"/>
        <v/>
      </c>
      <c r="N973" s="42" t="str">
        <f t="shared" si="73"/>
        <v/>
      </c>
      <c r="O973" s="43" t="str">
        <f t="shared" si="74"/>
        <v/>
      </c>
      <c r="P973" s="42" t="str">
        <f t="shared" si="75"/>
        <v/>
      </c>
    </row>
    <row r="974" spans="1:16" ht="17">
      <c r="A974" s="6"/>
      <c r="B974" s="95" t="str">
        <f t="shared" si="71"/>
        <v/>
      </c>
      <c r="C974" s="97"/>
      <c r="D974" s="95"/>
      <c r="E974" s="96"/>
      <c r="F974" s="96"/>
      <c r="G974" s="99"/>
      <c r="H974" s="95"/>
      <c r="I974" s="95"/>
      <c r="J974" s="95"/>
      <c r="K974" s="95"/>
      <c r="L974" s="96"/>
      <c r="M974" s="42" t="str">
        <f t="shared" si="72"/>
        <v/>
      </c>
      <c r="N974" s="42" t="str">
        <f t="shared" si="73"/>
        <v/>
      </c>
      <c r="O974" s="43" t="str">
        <f t="shared" si="74"/>
        <v/>
      </c>
      <c r="P974" s="42" t="str">
        <f t="shared" si="75"/>
        <v/>
      </c>
    </row>
    <row r="975" spans="1:16" ht="17">
      <c r="A975" s="6"/>
      <c r="B975" s="95" t="str">
        <f t="shared" si="71"/>
        <v/>
      </c>
      <c r="C975" s="97"/>
      <c r="D975" s="95"/>
      <c r="E975" s="96"/>
      <c r="F975" s="96"/>
      <c r="G975" s="99"/>
      <c r="H975" s="95"/>
      <c r="I975" s="95"/>
      <c r="J975" s="95"/>
      <c r="K975" s="95"/>
      <c r="L975" s="96"/>
      <c r="M975" s="42" t="str">
        <f t="shared" si="72"/>
        <v/>
      </c>
      <c r="N975" s="42" t="str">
        <f t="shared" si="73"/>
        <v/>
      </c>
      <c r="O975" s="43" t="str">
        <f t="shared" si="74"/>
        <v/>
      </c>
      <c r="P975" s="42" t="str">
        <f t="shared" si="75"/>
        <v/>
      </c>
    </row>
    <row r="976" spans="1:16" ht="17">
      <c r="A976" s="6"/>
      <c r="B976" s="95" t="str">
        <f t="shared" si="71"/>
        <v/>
      </c>
      <c r="C976" s="97"/>
      <c r="D976" s="95"/>
      <c r="E976" s="96"/>
      <c r="F976" s="96"/>
      <c r="G976" s="99"/>
      <c r="H976" s="95"/>
      <c r="I976" s="95"/>
      <c r="J976" s="95"/>
      <c r="K976" s="95"/>
      <c r="L976" s="96"/>
      <c r="M976" s="42" t="str">
        <f t="shared" si="72"/>
        <v/>
      </c>
      <c r="N976" s="42" t="str">
        <f t="shared" si="73"/>
        <v/>
      </c>
      <c r="O976" s="43" t="str">
        <f t="shared" si="74"/>
        <v/>
      </c>
      <c r="P976" s="42" t="str">
        <f t="shared" si="75"/>
        <v/>
      </c>
    </row>
    <row r="977" spans="1:16" ht="17">
      <c r="A977" s="6"/>
      <c r="B977" s="95" t="str">
        <f t="shared" si="71"/>
        <v/>
      </c>
      <c r="C977" s="97"/>
      <c r="D977" s="95"/>
      <c r="E977" s="96"/>
      <c r="F977" s="96"/>
      <c r="G977" s="99"/>
      <c r="H977" s="95"/>
      <c r="I977" s="95"/>
      <c r="J977" s="95"/>
      <c r="K977" s="95"/>
      <c r="L977" s="96"/>
      <c r="M977" s="42" t="str">
        <f t="shared" si="72"/>
        <v/>
      </c>
      <c r="N977" s="42" t="str">
        <f t="shared" si="73"/>
        <v/>
      </c>
      <c r="O977" s="43" t="str">
        <f t="shared" si="74"/>
        <v/>
      </c>
      <c r="P977" s="42" t="str">
        <f t="shared" si="75"/>
        <v/>
      </c>
    </row>
    <row r="978" spans="1:16" ht="17">
      <c r="A978" s="6"/>
      <c r="B978" s="95" t="str">
        <f t="shared" si="71"/>
        <v/>
      </c>
      <c r="C978" s="97"/>
      <c r="D978" s="95"/>
      <c r="E978" s="96"/>
      <c r="F978" s="96"/>
      <c r="G978" s="99"/>
      <c r="H978" s="95"/>
      <c r="I978" s="95"/>
      <c r="J978" s="95"/>
      <c r="K978" s="95"/>
      <c r="L978" s="96"/>
      <c r="M978" s="42" t="str">
        <f t="shared" si="72"/>
        <v/>
      </c>
      <c r="N978" s="42" t="str">
        <f t="shared" si="73"/>
        <v/>
      </c>
      <c r="O978" s="43" t="str">
        <f t="shared" si="74"/>
        <v/>
      </c>
      <c r="P978" s="42" t="str">
        <f t="shared" si="75"/>
        <v/>
      </c>
    </row>
    <row r="979" spans="1:16" ht="17">
      <c r="A979" s="6"/>
      <c r="B979" s="95" t="str">
        <f t="shared" si="71"/>
        <v/>
      </c>
      <c r="C979" s="97"/>
      <c r="D979" s="95"/>
      <c r="E979" s="96"/>
      <c r="F979" s="96"/>
      <c r="G979" s="99"/>
      <c r="H979" s="95"/>
      <c r="I979" s="95"/>
      <c r="J979" s="95"/>
      <c r="K979" s="95"/>
      <c r="L979" s="96"/>
      <c r="M979" s="42" t="str">
        <f t="shared" si="72"/>
        <v/>
      </c>
      <c r="N979" s="42" t="str">
        <f t="shared" si="73"/>
        <v/>
      </c>
      <c r="O979" s="43" t="str">
        <f t="shared" si="74"/>
        <v/>
      </c>
      <c r="P979" s="42" t="str">
        <f t="shared" si="75"/>
        <v/>
      </c>
    </row>
    <row r="980" spans="1:16" ht="17">
      <c r="A980" s="6"/>
      <c r="B980" s="95" t="str">
        <f t="shared" si="71"/>
        <v/>
      </c>
      <c r="C980" s="97"/>
      <c r="D980" s="95"/>
      <c r="E980" s="96"/>
      <c r="F980" s="96"/>
      <c r="G980" s="99"/>
      <c r="H980" s="95"/>
      <c r="I980" s="95"/>
      <c r="J980" s="95"/>
      <c r="K980" s="95"/>
      <c r="L980" s="96"/>
      <c r="M980" s="42" t="str">
        <f t="shared" si="72"/>
        <v/>
      </c>
      <c r="N980" s="42" t="str">
        <f t="shared" si="73"/>
        <v/>
      </c>
      <c r="O980" s="43" t="str">
        <f t="shared" si="74"/>
        <v/>
      </c>
      <c r="P980" s="42" t="str">
        <f t="shared" si="75"/>
        <v/>
      </c>
    </row>
    <row r="981" spans="1:16" ht="17">
      <c r="A981" s="6"/>
      <c r="B981" s="95" t="str">
        <f t="shared" si="71"/>
        <v/>
      </c>
      <c r="C981" s="97"/>
      <c r="D981" s="95"/>
      <c r="E981" s="96"/>
      <c r="F981" s="96"/>
      <c r="G981" s="99"/>
      <c r="H981" s="95"/>
      <c r="I981" s="95"/>
      <c r="J981" s="95"/>
      <c r="K981" s="95"/>
      <c r="L981" s="96"/>
      <c r="M981" s="42" t="str">
        <f t="shared" si="72"/>
        <v/>
      </c>
      <c r="N981" s="42" t="str">
        <f t="shared" si="73"/>
        <v/>
      </c>
      <c r="O981" s="43" t="str">
        <f t="shared" si="74"/>
        <v/>
      </c>
      <c r="P981" s="42" t="str">
        <f t="shared" si="75"/>
        <v/>
      </c>
    </row>
    <row r="982" spans="1:16" ht="17">
      <c r="A982" s="6"/>
      <c r="B982" s="95" t="str">
        <f t="shared" si="71"/>
        <v/>
      </c>
      <c r="C982" s="97"/>
      <c r="D982" s="95"/>
      <c r="E982" s="96"/>
      <c r="F982" s="96"/>
      <c r="G982" s="99"/>
      <c r="H982" s="95"/>
      <c r="I982" s="95"/>
      <c r="J982" s="95"/>
      <c r="K982" s="95"/>
      <c r="L982" s="96"/>
      <c r="M982" s="42" t="str">
        <f t="shared" si="72"/>
        <v/>
      </c>
      <c r="N982" s="42" t="str">
        <f t="shared" si="73"/>
        <v/>
      </c>
      <c r="O982" s="43" t="str">
        <f t="shared" si="74"/>
        <v/>
      </c>
      <c r="P982" s="42" t="str">
        <f t="shared" si="75"/>
        <v/>
      </c>
    </row>
    <row r="983" spans="1:16" ht="17">
      <c r="A983" s="6"/>
      <c r="B983" s="95" t="str">
        <f t="shared" si="71"/>
        <v/>
      </c>
      <c r="C983" s="97"/>
      <c r="D983" s="95"/>
      <c r="E983" s="96"/>
      <c r="F983" s="96"/>
      <c r="G983" s="99"/>
      <c r="H983" s="95"/>
      <c r="I983" s="95"/>
      <c r="J983" s="95"/>
      <c r="K983" s="95"/>
      <c r="L983" s="96"/>
      <c r="M983" s="42" t="str">
        <f t="shared" si="72"/>
        <v/>
      </c>
      <c r="N983" s="42" t="str">
        <f t="shared" si="73"/>
        <v/>
      </c>
      <c r="O983" s="43" t="str">
        <f t="shared" si="74"/>
        <v/>
      </c>
      <c r="P983" s="42" t="str">
        <f t="shared" si="75"/>
        <v/>
      </c>
    </row>
    <row r="984" spans="1:16" ht="17">
      <c r="A984" s="6"/>
      <c r="B984" s="95" t="str">
        <f t="shared" si="71"/>
        <v/>
      </c>
      <c r="C984" s="97"/>
      <c r="D984" s="95"/>
      <c r="E984" s="96"/>
      <c r="F984" s="96"/>
      <c r="G984" s="99"/>
      <c r="H984" s="95"/>
      <c r="I984" s="95"/>
      <c r="J984" s="95"/>
      <c r="K984" s="95"/>
      <c r="L984" s="96"/>
      <c r="M984" s="42" t="str">
        <f t="shared" si="72"/>
        <v/>
      </c>
      <c r="N984" s="42" t="str">
        <f t="shared" si="73"/>
        <v/>
      </c>
      <c r="O984" s="43" t="str">
        <f t="shared" si="74"/>
        <v/>
      </c>
      <c r="P984" s="42" t="str">
        <f t="shared" si="75"/>
        <v/>
      </c>
    </row>
    <row r="985" spans="1:16" ht="17">
      <c r="A985" s="6"/>
      <c r="B985" s="95" t="str">
        <f t="shared" si="71"/>
        <v/>
      </c>
      <c r="C985" s="97"/>
      <c r="D985" s="95"/>
      <c r="E985" s="96"/>
      <c r="F985" s="96"/>
      <c r="G985" s="99"/>
      <c r="H985" s="95"/>
      <c r="I985" s="95"/>
      <c r="J985" s="95"/>
      <c r="K985" s="95"/>
      <c r="L985" s="96"/>
      <c r="M985" s="42" t="str">
        <f t="shared" si="72"/>
        <v/>
      </c>
      <c r="N985" s="42" t="str">
        <f t="shared" si="73"/>
        <v/>
      </c>
      <c r="O985" s="43" t="str">
        <f t="shared" si="74"/>
        <v/>
      </c>
      <c r="P985" s="42" t="str">
        <f t="shared" si="75"/>
        <v/>
      </c>
    </row>
    <row r="986" spans="1:16" ht="17">
      <c r="A986" s="6"/>
      <c r="B986" s="95" t="str">
        <f t="shared" si="71"/>
        <v/>
      </c>
      <c r="C986" s="97"/>
      <c r="D986" s="95"/>
      <c r="E986" s="96"/>
      <c r="F986" s="96"/>
      <c r="G986" s="99"/>
      <c r="H986" s="95"/>
      <c r="I986" s="95"/>
      <c r="J986" s="95"/>
      <c r="K986" s="95"/>
      <c r="L986" s="96"/>
      <c r="M986" s="42" t="str">
        <f t="shared" si="72"/>
        <v/>
      </c>
      <c r="N986" s="42" t="str">
        <f t="shared" si="73"/>
        <v/>
      </c>
      <c r="O986" s="43" t="str">
        <f t="shared" si="74"/>
        <v/>
      </c>
      <c r="P986" s="42" t="str">
        <f t="shared" si="75"/>
        <v/>
      </c>
    </row>
    <row r="987" spans="1:16" ht="17">
      <c r="A987" s="6"/>
      <c r="B987" s="95" t="str">
        <f t="shared" si="71"/>
        <v/>
      </c>
      <c r="C987" s="97"/>
      <c r="D987" s="95"/>
      <c r="E987" s="96"/>
      <c r="F987" s="96"/>
      <c r="G987" s="99"/>
      <c r="H987" s="95"/>
      <c r="I987" s="95"/>
      <c r="J987" s="95"/>
      <c r="K987" s="95"/>
      <c r="L987" s="96"/>
      <c r="M987" s="42" t="str">
        <f t="shared" si="72"/>
        <v/>
      </c>
      <c r="N987" s="42" t="str">
        <f t="shared" si="73"/>
        <v/>
      </c>
      <c r="O987" s="43" t="str">
        <f t="shared" si="74"/>
        <v/>
      </c>
      <c r="P987" s="42" t="str">
        <f t="shared" si="75"/>
        <v/>
      </c>
    </row>
    <row r="988" spans="1:16" ht="17">
      <c r="A988" s="6"/>
      <c r="B988" s="95" t="str">
        <f t="shared" si="71"/>
        <v/>
      </c>
      <c r="C988" s="97"/>
      <c r="D988" s="95"/>
      <c r="E988" s="96"/>
      <c r="F988" s="96"/>
      <c r="G988" s="99"/>
      <c r="H988" s="95"/>
      <c r="I988" s="95"/>
      <c r="J988" s="95"/>
      <c r="K988" s="95"/>
      <c r="L988" s="96"/>
      <c r="M988" s="42" t="str">
        <f t="shared" si="72"/>
        <v/>
      </c>
      <c r="N988" s="42" t="str">
        <f t="shared" si="73"/>
        <v/>
      </c>
      <c r="O988" s="43" t="str">
        <f t="shared" si="74"/>
        <v/>
      </c>
      <c r="P988" s="42" t="str">
        <f t="shared" si="75"/>
        <v/>
      </c>
    </row>
    <row r="989" spans="1:16" ht="17">
      <c r="A989" s="6"/>
      <c r="B989" s="95" t="str">
        <f t="shared" si="71"/>
        <v/>
      </c>
      <c r="C989" s="97"/>
      <c r="D989" s="95"/>
      <c r="E989" s="96"/>
      <c r="F989" s="96"/>
      <c r="G989" s="99"/>
      <c r="H989" s="95"/>
      <c r="I989" s="95"/>
      <c r="J989" s="95"/>
      <c r="K989" s="95"/>
      <c r="L989" s="96"/>
      <c r="M989" s="42" t="str">
        <f t="shared" si="72"/>
        <v/>
      </c>
      <c r="N989" s="42" t="str">
        <f t="shared" si="73"/>
        <v/>
      </c>
      <c r="O989" s="43" t="str">
        <f t="shared" si="74"/>
        <v/>
      </c>
      <c r="P989" s="42" t="str">
        <f t="shared" si="75"/>
        <v/>
      </c>
    </row>
    <row r="990" spans="1:16" ht="17">
      <c r="A990" s="6"/>
      <c r="B990" s="95" t="str">
        <f t="shared" si="71"/>
        <v/>
      </c>
      <c r="C990" s="97"/>
      <c r="D990" s="95"/>
      <c r="E990" s="96"/>
      <c r="F990" s="96"/>
      <c r="G990" s="99"/>
      <c r="H990" s="95"/>
      <c r="I990" s="95"/>
      <c r="J990" s="95"/>
      <c r="K990" s="95"/>
      <c r="L990" s="96"/>
      <c r="M990" s="42" t="str">
        <f t="shared" si="72"/>
        <v/>
      </c>
      <c r="N990" s="42" t="str">
        <f t="shared" si="73"/>
        <v/>
      </c>
      <c r="O990" s="43" t="str">
        <f t="shared" si="74"/>
        <v/>
      </c>
      <c r="P990" s="42" t="str">
        <f t="shared" si="75"/>
        <v/>
      </c>
    </row>
    <row r="991" spans="1:16" ht="17">
      <c r="A991" s="6"/>
      <c r="B991" s="95" t="str">
        <f t="shared" si="71"/>
        <v/>
      </c>
      <c r="C991" s="97"/>
      <c r="D991" s="95"/>
      <c r="E991" s="96"/>
      <c r="F991" s="96"/>
      <c r="G991" s="99"/>
      <c r="H991" s="95"/>
      <c r="I991" s="95"/>
      <c r="J991" s="95"/>
      <c r="K991" s="95"/>
      <c r="L991" s="96"/>
      <c r="M991" s="42" t="str">
        <f t="shared" si="72"/>
        <v/>
      </c>
      <c r="N991" s="42" t="str">
        <f t="shared" si="73"/>
        <v/>
      </c>
      <c r="O991" s="43" t="str">
        <f t="shared" si="74"/>
        <v/>
      </c>
      <c r="P991" s="42" t="str">
        <f t="shared" si="75"/>
        <v/>
      </c>
    </row>
    <row r="992" spans="1:16" ht="17">
      <c r="A992" s="6"/>
      <c r="B992" s="95" t="str">
        <f t="shared" si="71"/>
        <v/>
      </c>
      <c r="C992" s="97"/>
      <c r="D992" s="95"/>
      <c r="E992" s="96"/>
      <c r="F992" s="96"/>
      <c r="G992" s="99"/>
      <c r="H992" s="95"/>
      <c r="I992" s="95"/>
      <c r="J992" s="95"/>
      <c r="K992" s="95"/>
      <c r="L992" s="96"/>
      <c r="M992" s="42" t="str">
        <f t="shared" si="72"/>
        <v/>
      </c>
      <c r="N992" s="42" t="str">
        <f t="shared" si="73"/>
        <v/>
      </c>
      <c r="O992" s="43" t="str">
        <f t="shared" si="74"/>
        <v/>
      </c>
      <c r="P992" s="42" t="str">
        <f t="shared" si="75"/>
        <v/>
      </c>
    </row>
    <row r="993" spans="1:16" ht="17">
      <c r="A993" s="6"/>
      <c r="B993" s="95" t="str">
        <f t="shared" si="71"/>
        <v/>
      </c>
      <c r="C993" s="97"/>
      <c r="D993" s="95"/>
      <c r="E993" s="96"/>
      <c r="F993" s="96"/>
      <c r="G993" s="99"/>
      <c r="H993" s="95"/>
      <c r="I993" s="95"/>
      <c r="J993" s="95"/>
      <c r="K993" s="95"/>
      <c r="L993" s="96"/>
      <c r="M993" s="42" t="str">
        <f t="shared" si="72"/>
        <v/>
      </c>
      <c r="N993" s="42" t="str">
        <f t="shared" si="73"/>
        <v/>
      </c>
      <c r="O993" s="43" t="str">
        <f t="shared" si="74"/>
        <v/>
      </c>
      <c r="P993" s="42" t="str">
        <f t="shared" si="75"/>
        <v/>
      </c>
    </row>
    <row r="994" spans="1:16" ht="17">
      <c r="A994" s="6"/>
      <c r="B994" s="95" t="str">
        <f t="shared" ref="B994:B1057" si="76">IF(C994="","","GG"&amp;TEXT(ROW()-6,"00000"))</f>
        <v/>
      </c>
      <c r="C994" s="97"/>
      <c r="D994" s="95"/>
      <c r="E994" s="96"/>
      <c r="F994" s="96"/>
      <c r="G994" s="99"/>
      <c r="H994" s="95"/>
      <c r="I994" s="95"/>
      <c r="J994" s="95"/>
      <c r="K994" s="95"/>
      <c r="L994" s="96"/>
      <c r="M994" s="42" t="str">
        <f t="shared" si="72"/>
        <v/>
      </c>
      <c r="N994" s="42" t="str">
        <f t="shared" si="73"/>
        <v/>
      </c>
      <c r="O994" s="43" t="str">
        <f t="shared" si="74"/>
        <v/>
      </c>
      <c r="P994" s="42" t="str">
        <f t="shared" si="75"/>
        <v/>
      </c>
    </row>
    <row r="995" spans="1:16" ht="17">
      <c r="A995" s="6"/>
      <c r="B995" s="95" t="str">
        <f t="shared" si="76"/>
        <v/>
      </c>
      <c r="C995" s="97"/>
      <c r="D995" s="95"/>
      <c r="E995" s="96"/>
      <c r="F995" s="96"/>
      <c r="G995" s="99"/>
      <c r="H995" s="95"/>
      <c r="I995" s="95"/>
      <c r="J995" s="95"/>
      <c r="K995" s="95"/>
      <c r="L995" s="96"/>
      <c r="M995" s="42" t="str">
        <f t="shared" si="72"/>
        <v/>
      </c>
      <c r="N995" s="42" t="str">
        <f t="shared" si="73"/>
        <v/>
      </c>
      <c r="O995" s="43" t="str">
        <f t="shared" si="74"/>
        <v/>
      </c>
      <c r="P995" s="42" t="str">
        <f t="shared" si="75"/>
        <v/>
      </c>
    </row>
    <row r="996" spans="1:16" ht="17">
      <c r="A996" s="6"/>
      <c r="B996" s="95" t="str">
        <f t="shared" si="76"/>
        <v/>
      </c>
      <c r="C996" s="97"/>
      <c r="D996" s="95"/>
      <c r="E996" s="96"/>
      <c r="F996" s="96"/>
      <c r="G996" s="99"/>
      <c r="H996" s="95"/>
      <c r="I996" s="95"/>
      <c r="J996" s="95"/>
      <c r="K996" s="95"/>
      <c r="L996" s="96"/>
      <c r="M996" s="42" t="str">
        <f t="shared" si="72"/>
        <v/>
      </c>
      <c r="N996" s="42" t="str">
        <f t="shared" si="73"/>
        <v/>
      </c>
      <c r="O996" s="43" t="str">
        <f t="shared" si="74"/>
        <v/>
      </c>
      <c r="P996" s="42" t="str">
        <f t="shared" si="75"/>
        <v/>
      </c>
    </row>
    <row r="997" spans="1:16" ht="17">
      <c r="A997" s="6"/>
      <c r="B997" s="95" t="str">
        <f t="shared" si="76"/>
        <v/>
      </c>
      <c r="C997" s="97"/>
      <c r="D997" s="95"/>
      <c r="E997" s="96"/>
      <c r="F997" s="96"/>
      <c r="G997" s="99"/>
      <c r="H997" s="95"/>
      <c r="I997" s="95"/>
      <c r="J997" s="95"/>
      <c r="K997" s="95"/>
      <c r="L997" s="96"/>
      <c r="M997" s="42" t="str">
        <f t="shared" si="72"/>
        <v/>
      </c>
      <c r="N997" s="42" t="str">
        <f t="shared" si="73"/>
        <v/>
      </c>
      <c r="O997" s="43" t="str">
        <f t="shared" si="74"/>
        <v/>
      </c>
      <c r="P997" s="42" t="str">
        <f t="shared" si="75"/>
        <v/>
      </c>
    </row>
    <row r="998" spans="1:16" ht="17">
      <c r="A998" s="6"/>
      <c r="B998" s="95" t="str">
        <f t="shared" si="76"/>
        <v/>
      </c>
      <c r="C998" s="97"/>
      <c r="D998" s="95"/>
      <c r="E998" s="96"/>
      <c r="F998" s="96"/>
      <c r="G998" s="99"/>
      <c r="H998" s="95"/>
      <c r="I998" s="95"/>
      <c r="J998" s="95"/>
      <c r="K998" s="95"/>
      <c r="L998" s="96"/>
      <c r="M998" s="42" t="str">
        <f t="shared" si="72"/>
        <v/>
      </c>
      <c r="N998" s="42" t="str">
        <f t="shared" si="73"/>
        <v/>
      </c>
      <c r="O998" s="43" t="str">
        <f t="shared" si="74"/>
        <v/>
      </c>
      <c r="P998" s="42" t="str">
        <f t="shared" si="75"/>
        <v/>
      </c>
    </row>
    <row r="999" spans="1:16" ht="17">
      <c r="A999" s="6"/>
      <c r="B999" s="95" t="str">
        <f t="shared" si="76"/>
        <v/>
      </c>
      <c r="C999" s="97"/>
      <c r="D999" s="95"/>
      <c r="E999" s="96"/>
      <c r="F999" s="96"/>
      <c r="G999" s="99"/>
      <c r="H999" s="95"/>
      <c r="I999" s="95"/>
      <c r="J999" s="95"/>
      <c r="K999" s="95"/>
      <c r="L999" s="96"/>
      <c r="M999" s="42" t="str">
        <f t="shared" si="72"/>
        <v/>
      </c>
      <c r="N999" s="42" t="str">
        <f t="shared" si="73"/>
        <v/>
      </c>
      <c r="O999" s="43" t="str">
        <f t="shared" si="74"/>
        <v/>
      </c>
      <c r="P999" s="42" t="str">
        <f t="shared" si="75"/>
        <v/>
      </c>
    </row>
    <row r="1000" spans="1:16" ht="17">
      <c r="A1000" s="6"/>
      <c r="B1000" s="95" t="str">
        <f t="shared" si="76"/>
        <v/>
      </c>
      <c r="C1000" s="97"/>
      <c r="D1000" s="95"/>
      <c r="E1000" s="96"/>
      <c r="F1000" s="96"/>
      <c r="G1000" s="99"/>
      <c r="H1000" s="95"/>
      <c r="I1000" s="95"/>
      <c r="J1000" s="95"/>
      <c r="K1000" s="95"/>
      <c r="L1000" s="96"/>
      <c r="M1000" s="42" t="str">
        <f t="shared" si="72"/>
        <v/>
      </c>
      <c r="N1000" s="42" t="str">
        <f t="shared" si="73"/>
        <v/>
      </c>
      <c r="O1000" s="43" t="str">
        <f t="shared" si="74"/>
        <v/>
      </c>
      <c r="P1000" s="42" t="str">
        <f t="shared" si="75"/>
        <v/>
      </c>
    </row>
  </sheetData>
  <mergeCells count="6">
    <mergeCell ref="A2:B2"/>
    <mergeCell ref="K5:P5"/>
    <mergeCell ref="A4:G4"/>
    <mergeCell ref="C1:O1"/>
    <mergeCell ref="A3:O3"/>
    <mergeCell ref="C2:O2"/>
  </mergeCells>
  <conditionalFormatting sqref="P7:P1000">
    <cfRule type="expression" dxfId="45" priority="1">
      <formula>OR(P7="TANIMSIZ BORÇLU",P7="NAKİTSİZDE KASA OLMAZ",P7="TAHAKKUK NAKİT OLAMAZ")</formula>
    </cfRule>
    <cfRule type="expression" dxfId="44" priority="2">
      <formula>P7="TAHAKKUK"</formula>
    </cfRule>
  </conditionalFormatting>
  <dataValidations count="5">
    <dataValidation type="list" sqref="D7:D1000" xr:uid="{00000000-0002-0000-0700-000000000000}">
      <formula1>"Gelir,Gider"</formula1>
    </dataValidation>
    <dataValidation type="list" sqref="E7:E1000" xr:uid="{00000000-0002-0000-0700-000001000000}">
      <formula1>_xlfn._LONGTEXT("Defter Tasdik Geliri,Diğer Gelirler,Geçici Vergi Damga,Kuruluş Ücreti,Kurumlar Vergisi Damga,Luca Kontör,Muhasebe Hizmet Geliri (sözleşme dışı),Beyanname / Bildirim Ücreti,Diğer Hizmet Geliri,Demirbaş,Diğer Gider,Elektrik / Su / Doğalgaz,Kırtasiye,Mehmet ","Ali Kartal,Ofis Kirası,Personel,Telefon / İnternet,Temsil / Ağırlama,Ulaşım,Vergi / Harç,Yazılım / Abonelik")</formula1>
    </dataValidation>
    <dataValidation type="list" sqref="I7:I1000" xr:uid="{00000000-0002-0000-0700-000003000000}">
      <formula1>"Evet,Hayır"</formula1>
    </dataValidation>
    <dataValidation type="list" sqref="H7:H300" xr:uid="{00000000-0002-0000-0700-000005000000}">
      <formula1>LST_HESAP</formula1>
    </dataValidation>
    <dataValidation type="list" sqref="L7:L300" xr:uid="{00000000-0002-0000-0700-000006000000}">
      <formula1>LST_BORCLU_TARAF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2000000}">
          <x14:formula1>
            <xm:f>SISTEM!$N$7:$N$12</xm:f>
          </x14:formula1>
          <xm:sqref>H7:H1000</xm:sqref>
        </x14:dataValidation>
        <x14:dataValidation type="list" xr:uid="{00000000-0002-0000-0700-000004000000}">
          <x14:formula1>
            <xm:f>SISTEM!$M$7:$M$63</xm:f>
          </x14:formula1>
          <xm:sqref>L7:L1000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563EB"/>
  </sheetPr>
  <dimension ref="A1:O500"/>
  <sheetViews>
    <sheetView showGridLines="0" workbookViewId="0"/>
  </sheetViews>
  <sheetFormatPr baseColWidth="10" defaultColWidth="8.83203125" defaultRowHeight="14"/>
  <cols>
    <col min="1" max="1" width="10" customWidth="1"/>
    <col min="2" max="2" width="16" customWidth="1"/>
    <col min="3" max="3" width="24" customWidth="1"/>
    <col min="4" max="5" width="22" customWidth="1"/>
    <col min="6" max="6" width="15" customWidth="1"/>
    <col min="7" max="7" width="44" customWidth="1"/>
    <col min="8" max="8" width="14" customWidth="1"/>
    <col min="9" max="9" width="16" customWidth="1"/>
    <col min="10" max="10" width="19" customWidth="1"/>
    <col min="11" max="11" width="2.5" hidden="1" customWidth="1"/>
    <col min="12" max="12" width="24" customWidth="1"/>
  </cols>
  <sheetData>
    <row r="1" spans="1:15" ht="38" customHeight="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32" t="s">
        <v>1642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28" customHeight="1">
      <c r="A2" s="244" t="s">
        <v>438</v>
      </c>
      <c r="B2" s="245"/>
      <c r="C2" s="213" t="s">
        <v>1643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1:15" ht="28" customHeight="1">
      <c r="A3" s="213" t="s">
        <v>1644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5" ht="24" customHeight="1">
      <c r="A4" s="207" t="str">
        <f>IFERROR(HYPERLINK("#MENU!A1","← MENÜ   │   VİRMAN"),"← MENÜ   │   VİRMAN")</f>
        <v>← MENÜ   │   VİRMAN</v>
      </c>
      <c r="B4" s="208"/>
      <c r="C4" s="208"/>
      <c r="D4" s="208"/>
      <c r="E4" s="208"/>
      <c r="F4" s="208"/>
      <c r="G4" s="209"/>
      <c r="H4" s="79" t="str">
        <f>IFERROR(HYPERLINK("#TAHSILAT!A1","TAHSİLAT"),"TAHSİLAT")</f>
        <v>TAHSİLAT</v>
      </c>
      <c r="I4" s="80"/>
      <c r="J4" s="79" t="str">
        <f>IFERROR(HYPERLINK("#GELIR_GIDER!A1","GELİR / GİDER"),"GELİR / GİDER")</f>
        <v>GELİR / GİDER</v>
      </c>
      <c r="K4" s="80"/>
      <c r="L4" s="79" t="str">
        <f>IFERROR(HYPERLINK("#VIRMAN!A1","VİRMAN"),"VİRMAN")</f>
        <v>VİRMAN</v>
      </c>
      <c r="M4" s="80"/>
      <c r="N4" s="79" t="str">
        <f>IFERROR(HYPERLINK("#RAPOR!A1","RAPOR"),"RAPOR")</f>
        <v>RAPOR</v>
      </c>
      <c r="O4" s="21"/>
    </row>
    <row r="5" spans="1:15" ht="16">
      <c r="A5" s="6"/>
      <c r="B5" s="9" t="s">
        <v>1645</v>
      </c>
      <c r="C5" s="10">
        <f>SUM($F$7:$F$500)</f>
        <v>1389462.04</v>
      </c>
      <c r="D5" s="9"/>
      <c r="E5" s="9" t="s">
        <v>598</v>
      </c>
      <c r="F5" s="9">
        <f>COUNTIF($B$7:$B$500,"&lt;&gt;")</f>
        <v>422</v>
      </c>
      <c r="G5" s="252" t="s">
        <v>1646</v>
      </c>
      <c r="H5" s="173"/>
      <c r="I5" s="173"/>
      <c r="J5" s="173"/>
      <c r="K5" s="6"/>
      <c r="L5" s="6"/>
      <c r="M5" s="6"/>
      <c r="N5" s="6"/>
      <c r="O5" s="6"/>
    </row>
    <row r="6" spans="1:15" ht="32" customHeight="1">
      <c r="A6" s="6"/>
      <c r="B6" s="88" t="s">
        <v>1647</v>
      </c>
      <c r="C6" s="88" t="s">
        <v>602</v>
      </c>
      <c r="D6" s="88" t="s">
        <v>1648</v>
      </c>
      <c r="E6" s="88" t="s">
        <v>1649</v>
      </c>
      <c r="F6" s="88" t="s">
        <v>603</v>
      </c>
      <c r="G6" s="88" t="s">
        <v>607</v>
      </c>
      <c r="H6" s="88" t="s">
        <v>606</v>
      </c>
      <c r="I6" s="88" t="s">
        <v>608</v>
      </c>
      <c r="J6" s="88" t="s">
        <v>586</v>
      </c>
      <c r="K6" s="89" t="s">
        <v>1650</v>
      </c>
      <c r="L6" s="114" t="s">
        <v>1651</v>
      </c>
      <c r="M6" s="90"/>
      <c r="N6" s="90"/>
      <c r="O6" s="6"/>
    </row>
    <row r="7" spans="1:15" ht="17">
      <c r="A7" s="6"/>
      <c r="B7" s="95" t="s">
        <v>1652</v>
      </c>
      <c r="C7" s="97">
        <v>46034</v>
      </c>
      <c r="D7" s="96" t="s">
        <v>618</v>
      </c>
      <c r="E7" s="96" t="s">
        <v>628</v>
      </c>
      <c r="F7" s="99">
        <v>15000</v>
      </c>
      <c r="G7" s="96" t="s">
        <v>1653</v>
      </c>
      <c r="H7" s="95"/>
      <c r="I7" s="95"/>
      <c r="J7" s="42" t="str">
        <f t="shared" ref="J7:J70" si="0">IF(C7="","",IF(OR(D7="",E7="",F7=""),"EKSİK",IF(D7=E7,"AYNI HESAP OLAMAZ",IF(AND(D7="MERKEZ KASA",E7="ÖMER KARTAL",K7),"YANLIŞ VIRMAN","UYGUN"))))</f>
        <v>UYGUN</v>
      </c>
      <c r="K7" s="22" t="b">
        <f t="shared" ref="K7:K70" si="1">OR(ISNUMBER(SEARCH("MUHASEBE ÜCRETİ",G7&amp;"")),ISNUMBER(SEARCH("SGK",G7&amp;"")),ISNUMBER(SEARCH("MENDERES MAHSUP",G7&amp;"")),ISNUMBER(SEARCH("GRAND 06 ÖMER BAKİYE",G7&amp;"")))</f>
        <v>0</v>
      </c>
      <c r="L7" s="115" t="s">
        <v>1654</v>
      </c>
      <c r="M7" s="6"/>
      <c r="N7" s="6"/>
      <c r="O7" s="6"/>
    </row>
    <row r="8" spans="1:15" ht="17">
      <c r="A8" s="6"/>
      <c r="B8" s="95" t="s">
        <v>1655</v>
      </c>
      <c r="C8" s="97">
        <v>46053</v>
      </c>
      <c r="D8" s="96" t="s">
        <v>618</v>
      </c>
      <c r="E8" s="96" t="s">
        <v>628</v>
      </c>
      <c r="F8" s="99">
        <v>15000</v>
      </c>
      <c r="G8" s="96" t="s">
        <v>1656</v>
      </c>
      <c r="H8" s="95"/>
      <c r="I8" s="95"/>
      <c r="J8" s="42" t="str">
        <f t="shared" si="0"/>
        <v>UYGUN</v>
      </c>
      <c r="K8" s="22" t="b">
        <f t="shared" si="1"/>
        <v>0</v>
      </c>
      <c r="L8" s="115" t="s">
        <v>1654</v>
      </c>
      <c r="M8" s="6"/>
      <c r="N8" s="6"/>
      <c r="O8" s="6"/>
    </row>
    <row r="9" spans="1:15" ht="17">
      <c r="A9" s="6"/>
      <c r="B9" s="95" t="s">
        <v>1657</v>
      </c>
      <c r="C9" s="97">
        <v>46053</v>
      </c>
      <c r="D9" s="96" t="s">
        <v>618</v>
      </c>
      <c r="E9" s="96" t="s">
        <v>628</v>
      </c>
      <c r="F9" s="99">
        <v>5000</v>
      </c>
      <c r="G9" s="96" t="s">
        <v>1658</v>
      </c>
      <c r="H9" s="95"/>
      <c r="I9" s="95"/>
      <c r="J9" s="42" t="str">
        <f t="shared" si="0"/>
        <v>UYGUN</v>
      </c>
      <c r="K9" s="22" t="b">
        <f t="shared" si="1"/>
        <v>0</v>
      </c>
      <c r="L9" s="115" t="s">
        <v>1654</v>
      </c>
      <c r="M9" s="6"/>
      <c r="N9" s="6"/>
      <c r="O9" s="6"/>
    </row>
    <row r="10" spans="1:15" ht="17">
      <c r="A10" s="6"/>
      <c r="B10" s="95" t="s">
        <v>1659</v>
      </c>
      <c r="C10" s="97">
        <v>46087</v>
      </c>
      <c r="D10" s="96" t="s">
        <v>628</v>
      </c>
      <c r="E10" s="96" t="s">
        <v>618</v>
      </c>
      <c r="F10" s="99">
        <v>15000</v>
      </c>
      <c r="G10" s="96" t="s">
        <v>1660</v>
      </c>
      <c r="H10" s="95"/>
      <c r="I10" s="95"/>
      <c r="J10" s="42" t="str">
        <f t="shared" si="0"/>
        <v>UYGUN</v>
      </c>
      <c r="K10" s="22" t="b">
        <f t="shared" si="1"/>
        <v>0</v>
      </c>
      <c r="L10" s="115" t="s">
        <v>1661</v>
      </c>
      <c r="M10" s="6"/>
      <c r="N10" s="6"/>
      <c r="O10" s="6"/>
    </row>
    <row r="11" spans="1:15" ht="17">
      <c r="A11" s="6"/>
      <c r="B11" s="95" t="s">
        <v>1662</v>
      </c>
      <c r="C11" s="97">
        <v>46137</v>
      </c>
      <c r="D11" s="96" t="s">
        <v>618</v>
      </c>
      <c r="E11" s="96" t="s">
        <v>628</v>
      </c>
      <c r="F11" s="99">
        <v>20000</v>
      </c>
      <c r="G11" s="96" t="s">
        <v>1663</v>
      </c>
      <c r="H11" s="95"/>
      <c r="I11" s="95"/>
      <c r="J11" s="42" t="str">
        <f t="shared" si="0"/>
        <v>UYGUN</v>
      </c>
      <c r="K11" s="22" t="b">
        <f t="shared" si="1"/>
        <v>0</v>
      </c>
      <c r="L11" s="115" t="s">
        <v>1654</v>
      </c>
      <c r="M11" s="6"/>
      <c r="N11" s="6"/>
      <c r="O11" s="6"/>
    </row>
    <row r="12" spans="1:15" ht="17">
      <c r="A12" s="6"/>
      <c r="B12" s="95" t="s">
        <v>1664</v>
      </c>
      <c r="C12" s="97">
        <v>46144</v>
      </c>
      <c r="D12" s="96" t="s">
        <v>618</v>
      </c>
      <c r="E12" s="96" t="s">
        <v>628</v>
      </c>
      <c r="F12" s="99">
        <v>1000</v>
      </c>
      <c r="G12" s="96" t="s">
        <v>1665</v>
      </c>
      <c r="H12" s="95"/>
      <c r="I12" s="95"/>
      <c r="J12" s="42" t="str">
        <f t="shared" si="0"/>
        <v>UYGUN</v>
      </c>
      <c r="K12" s="22" t="b">
        <f t="shared" si="1"/>
        <v>0</v>
      </c>
      <c r="L12" s="115" t="s">
        <v>1654</v>
      </c>
      <c r="M12" s="6"/>
      <c r="N12" s="6"/>
      <c r="O12" s="6"/>
    </row>
    <row r="13" spans="1:15" ht="17">
      <c r="A13" s="6"/>
      <c r="B13" s="95" t="s">
        <v>1666</v>
      </c>
      <c r="C13" s="97">
        <v>46173</v>
      </c>
      <c r="D13" s="96" t="s">
        <v>618</v>
      </c>
      <c r="E13" s="96" t="s">
        <v>628</v>
      </c>
      <c r="F13" s="99">
        <v>17000</v>
      </c>
      <c r="G13" s="96" t="s">
        <v>1667</v>
      </c>
      <c r="H13" s="95"/>
      <c r="I13" s="95"/>
      <c r="J13" s="42" t="str">
        <f t="shared" si="0"/>
        <v>UYGUN</v>
      </c>
      <c r="K13" s="22" t="b">
        <f t="shared" si="1"/>
        <v>0</v>
      </c>
      <c r="L13" s="115" t="s">
        <v>1654</v>
      </c>
      <c r="M13" s="6"/>
      <c r="N13" s="6"/>
      <c r="O13" s="6"/>
    </row>
    <row r="14" spans="1:15" ht="17">
      <c r="A14" s="6"/>
      <c r="B14" s="95" t="s">
        <v>1668</v>
      </c>
      <c r="C14" s="97">
        <v>46054</v>
      </c>
      <c r="D14" s="96" t="s">
        <v>628</v>
      </c>
      <c r="E14" s="96" t="s">
        <v>618</v>
      </c>
      <c r="F14" s="99">
        <v>32000</v>
      </c>
      <c r="G14" s="96" t="s">
        <v>1669</v>
      </c>
      <c r="H14" s="95"/>
      <c r="I14" s="95"/>
      <c r="J14" s="42" t="str">
        <f t="shared" si="0"/>
        <v>UYGUN</v>
      </c>
      <c r="K14" s="22" t="b">
        <f t="shared" si="1"/>
        <v>0</v>
      </c>
      <c r="L14" s="115" t="s">
        <v>1661</v>
      </c>
      <c r="M14" s="6"/>
      <c r="N14" s="6"/>
      <c r="O14" s="6"/>
    </row>
    <row r="15" spans="1:15" ht="34">
      <c r="A15" s="6"/>
      <c r="B15" s="95" t="s">
        <v>1670</v>
      </c>
      <c r="C15" s="97">
        <v>46053</v>
      </c>
      <c r="D15" s="96" t="s">
        <v>618</v>
      </c>
      <c r="E15" s="96" t="s">
        <v>628</v>
      </c>
      <c r="F15" s="99">
        <v>127783.09</v>
      </c>
      <c r="G15" s="96" t="s">
        <v>1671</v>
      </c>
      <c r="H15" s="95"/>
      <c r="I15" s="95"/>
      <c r="J15" s="42" t="str">
        <f t="shared" si="0"/>
        <v>UYGUN</v>
      </c>
      <c r="K15" s="22" t="b">
        <f t="shared" si="1"/>
        <v>0</v>
      </c>
      <c r="L15" s="115" t="s">
        <v>1672</v>
      </c>
      <c r="M15" s="6"/>
      <c r="N15" s="6"/>
      <c r="O15" s="6"/>
    </row>
    <row r="16" spans="1:15" ht="34">
      <c r="A16" s="6"/>
      <c r="B16" s="95" t="s">
        <v>1673</v>
      </c>
      <c r="C16" s="97">
        <v>46053</v>
      </c>
      <c r="D16" s="96" t="s">
        <v>618</v>
      </c>
      <c r="E16" s="96" t="s">
        <v>1674</v>
      </c>
      <c r="F16" s="99">
        <v>127783.09</v>
      </c>
      <c r="G16" s="96" t="s">
        <v>1675</v>
      </c>
      <c r="H16" s="95"/>
      <c r="I16" s="95"/>
      <c r="J16" s="42" t="str">
        <f t="shared" si="0"/>
        <v>UYGUN</v>
      </c>
      <c r="K16" s="22" t="b">
        <f t="shared" si="1"/>
        <v>0</v>
      </c>
      <c r="L16" s="115" t="s">
        <v>1672</v>
      </c>
      <c r="M16" s="6"/>
      <c r="N16" s="6"/>
      <c r="O16" s="6"/>
    </row>
    <row r="17" spans="1:15" ht="34">
      <c r="A17" s="6"/>
      <c r="B17" s="95" t="s">
        <v>1676</v>
      </c>
      <c r="C17" s="97">
        <v>46081</v>
      </c>
      <c r="D17" s="96" t="s">
        <v>618</v>
      </c>
      <c r="E17" s="96" t="s">
        <v>628</v>
      </c>
      <c r="F17" s="99">
        <v>10310.91</v>
      </c>
      <c r="G17" s="96" t="s">
        <v>1677</v>
      </c>
      <c r="H17" s="95"/>
      <c r="I17" s="95"/>
      <c r="J17" s="42" t="str">
        <f t="shared" si="0"/>
        <v>UYGUN</v>
      </c>
      <c r="K17" s="22" t="b">
        <f t="shared" si="1"/>
        <v>0</v>
      </c>
      <c r="L17" s="115" t="s">
        <v>1672</v>
      </c>
      <c r="M17" s="6"/>
      <c r="N17" s="6"/>
      <c r="O17" s="6"/>
    </row>
    <row r="18" spans="1:15" ht="34">
      <c r="A18" s="6"/>
      <c r="B18" s="95" t="s">
        <v>1678</v>
      </c>
      <c r="C18" s="97">
        <v>46081</v>
      </c>
      <c r="D18" s="96" t="s">
        <v>618</v>
      </c>
      <c r="E18" s="96" t="s">
        <v>1674</v>
      </c>
      <c r="F18" s="99">
        <v>10310.91</v>
      </c>
      <c r="G18" s="96" t="s">
        <v>1679</v>
      </c>
      <c r="H18" s="95"/>
      <c r="I18" s="95"/>
      <c r="J18" s="42" t="str">
        <f t="shared" si="0"/>
        <v>UYGUN</v>
      </c>
      <c r="K18" s="22" t="b">
        <f t="shared" si="1"/>
        <v>0</v>
      </c>
      <c r="L18" s="115" t="s">
        <v>1672</v>
      </c>
      <c r="M18" s="6"/>
      <c r="N18" s="6"/>
      <c r="O18" s="6"/>
    </row>
    <row r="19" spans="1:15" ht="34">
      <c r="A19" s="6"/>
      <c r="B19" s="95" t="s">
        <v>1680</v>
      </c>
      <c r="C19" s="97">
        <v>46112</v>
      </c>
      <c r="D19" s="96" t="s">
        <v>618</v>
      </c>
      <c r="E19" s="96" t="s">
        <v>628</v>
      </c>
      <c r="F19" s="99">
        <v>77421.02</v>
      </c>
      <c r="G19" s="96" t="s">
        <v>1681</v>
      </c>
      <c r="H19" s="95"/>
      <c r="I19" s="95"/>
      <c r="J19" s="42" t="str">
        <f t="shared" si="0"/>
        <v>UYGUN</v>
      </c>
      <c r="K19" s="22" t="b">
        <f t="shared" si="1"/>
        <v>0</v>
      </c>
      <c r="L19" s="115" t="s">
        <v>1672</v>
      </c>
      <c r="M19" s="6"/>
      <c r="N19" s="6"/>
      <c r="O19" s="6"/>
    </row>
    <row r="20" spans="1:15" ht="34">
      <c r="A20" s="6"/>
      <c r="B20" s="95" t="s">
        <v>1682</v>
      </c>
      <c r="C20" s="97">
        <v>46112</v>
      </c>
      <c r="D20" s="96" t="s">
        <v>618</v>
      </c>
      <c r="E20" s="96" t="s">
        <v>1674</v>
      </c>
      <c r="F20" s="99">
        <v>77421.02</v>
      </c>
      <c r="G20" s="96" t="s">
        <v>1683</v>
      </c>
      <c r="H20" s="95"/>
      <c r="I20" s="95"/>
      <c r="J20" s="42" t="str">
        <f t="shared" si="0"/>
        <v>UYGUN</v>
      </c>
      <c r="K20" s="22" t="b">
        <f t="shared" si="1"/>
        <v>0</v>
      </c>
      <c r="L20" s="115" t="s">
        <v>1672</v>
      </c>
      <c r="M20" s="6"/>
      <c r="N20" s="6"/>
      <c r="O20" s="6"/>
    </row>
    <row r="21" spans="1:15" ht="34">
      <c r="A21" s="6"/>
      <c r="B21" s="95" t="s">
        <v>1684</v>
      </c>
      <c r="C21" s="97">
        <v>46142</v>
      </c>
      <c r="D21" s="96" t="s">
        <v>618</v>
      </c>
      <c r="E21" s="96" t="s">
        <v>628</v>
      </c>
      <c r="F21" s="99">
        <v>137353</v>
      </c>
      <c r="G21" s="96" t="s">
        <v>1685</v>
      </c>
      <c r="H21" s="95"/>
      <c r="I21" s="95"/>
      <c r="J21" s="42" t="str">
        <f t="shared" si="0"/>
        <v>UYGUN</v>
      </c>
      <c r="K21" s="22" t="b">
        <f t="shared" si="1"/>
        <v>0</v>
      </c>
      <c r="L21" s="115" t="s">
        <v>1672</v>
      </c>
      <c r="M21" s="6"/>
      <c r="N21" s="6"/>
      <c r="O21" s="6"/>
    </row>
    <row r="22" spans="1:15" ht="34">
      <c r="A22" s="6"/>
      <c r="B22" s="95" t="s">
        <v>1686</v>
      </c>
      <c r="C22" s="97">
        <v>46142</v>
      </c>
      <c r="D22" s="96" t="s">
        <v>618</v>
      </c>
      <c r="E22" s="96" t="s">
        <v>1674</v>
      </c>
      <c r="F22" s="99">
        <v>137353</v>
      </c>
      <c r="G22" s="96" t="s">
        <v>1687</v>
      </c>
      <c r="H22" s="95"/>
      <c r="I22" s="95"/>
      <c r="J22" s="42" t="str">
        <f t="shared" si="0"/>
        <v>UYGUN</v>
      </c>
      <c r="K22" s="22" t="b">
        <f t="shared" si="1"/>
        <v>0</v>
      </c>
      <c r="L22" s="115" t="s">
        <v>1672</v>
      </c>
      <c r="M22" s="6"/>
      <c r="N22" s="6"/>
      <c r="O22" s="6"/>
    </row>
    <row r="23" spans="1:15" ht="34">
      <c r="A23" s="6"/>
      <c r="B23" s="95" t="s">
        <v>1688</v>
      </c>
      <c r="C23" s="97">
        <v>46173</v>
      </c>
      <c r="D23" s="96" t="s">
        <v>618</v>
      </c>
      <c r="E23" s="96" t="s">
        <v>628</v>
      </c>
      <c r="F23" s="99">
        <v>109773</v>
      </c>
      <c r="G23" s="96" t="s">
        <v>1689</v>
      </c>
      <c r="H23" s="95"/>
      <c r="I23" s="95"/>
      <c r="J23" s="42" t="str">
        <f t="shared" si="0"/>
        <v>UYGUN</v>
      </c>
      <c r="K23" s="22" t="b">
        <f t="shared" si="1"/>
        <v>0</v>
      </c>
      <c r="L23" s="115" t="s">
        <v>1672</v>
      </c>
      <c r="M23" s="6"/>
      <c r="N23" s="6"/>
      <c r="O23" s="6"/>
    </row>
    <row r="24" spans="1:15" ht="34">
      <c r="A24" s="6"/>
      <c r="B24" s="95" t="s">
        <v>1690</v>
      </c>
      <c r="C24" s="97">
        <v>46173</v>
      </c>
      <c r="D24" s="96" t="s">
        <v>618</v>
      </c>
      <c r="E24" s="96" t="s">
        <v>1674</v>
      </c>
      <c r="F24" s="99">
        <v>109773</v>
      </c>
      <c r="G24" s="96" t="s">
        <v>1691</v>
      </c>
      <c r="H24" s="95"/>
      <c r="I24" s="95"/>
      <c r="J24" s="42" t="str">
        <f t="shared" si="0"/>
        <v>UYGUN</v>
      </c>
      <c r="K24" s="22" t="b">
        <f t="shared" si="1"/>
        <v>0</v>
      </c>
      <c r="L24" s="115" t="s">
        <v>1672</v>
      </c>
      <c r="M24" s="6"/>
      <c r="N24" s="6"/>
      <c r="O24" s="6"/>
    </row>
    <row r="25" spans="1:15" ht="34">
      <c r="A25" s="6"/>
      <c r="B25" s="95" t="s">
        <v>1692</v>
      </c>
      <c r="C25" s="97">
        <v>46203</v>
      </c>
      <c r="D25" s="96" t="s">
        <v>618</v>
      </c>
      <c r="E25" s="96" t="s">
        <v>628</v>
      </c>
      <c r="F25" s="99">
        <v>113720</v>
      </c>
      <c r="G25" s="96" t="s">
        <v>1693</v>
      </c>
      <c r="H25" s="95"/>
      <c r="I25" s="95"/>
      <c r="J25" s="42" t="str">
        <f t="shared" si="0"/>
        <v>UYGUN</v>
      </c>
      <c r="K25" s="22" t="b">
        <f t="shared" si="1"/>
        <v>0</v>
      </c>
      <c r="L25" s="115" t="s">
        <v>1672</v>
      </c>
      <c r="M25" s="6"/>
      <c r="N25" s="6"/>
      <c r="O25" s="6"/>
    </row>
    <row r="26" spans="1:15" ht="34">
      <c r="A26" s="6"/>
      <c r="B26" s="95" t="s">
        <v>1694</v>
      </c>
      <c r="C26" s="97">
        <v>46203</v>
      </c>
      <c r="D26" s="96" t="s">
        <v>618</v>
      </c>
      <c r="E26" s="96" t="s">
        <v>1674</v>
      </c>
      <c r="F26" s="99">
        <v>113720</v>
      </c>
      <c r="G26" s="96" t="s">
        <v>1695</v>
      </c>
      <c r="H26" s="95"/>
      <c r="I26" s="95"/>
      <c r="J26" s="42" t="str">
        <f t="shared" si="0"/>
        <v>UYGUN</v>
      </c>
      <c r="K26" s="22" t="b">
        <f t="shared" si="1"/>
        <v>0</v>
      </c>
      <c r="L26" s="115" t="s">
        <v>1672</v>
      </c>
      <c r="M26" s="6"/>
      <c r="N26" s="6"/>
      <c r="O26" s="6"/>
    </row>
    <row r="27" spans="1:15" ht="34">
      <c r="A27" s="6"/>
      <c r="B27" s="95" t="s">
        <v>1696</v>
      </c>
      <c r="C27" s="97">
        <v>46234</v>
      </c>
      <c r="D27" s="96" t="s">
        <v>618</v>
      </c>
      <c r="E27" s="96" t="s">
        <v>628</v>
      </c>
      <c r="F27" s="99">
        <v>58370</v>
      </c>
      <c r="G27" s="96" t="s">
        <v>1697</v>
      </c>
      <c r="H27" s="95"/>
      <c r="I27" s="95"/>
      <c r="J27" s="42" t="str">
        <f t="shared" si="0"/>
        <v>UYGUN</v>
      </c>
      <c r="K27" s="22" t="b">
        <f t="shared" si="1"/>
        <v>0</v>
      </c>
      <c r="L27" s="115" t="s">
        <v>1672</v>
      </c>
      <c r="M27" s="6"/>
      <c r="N27" s="6"/>
      <c r="O27" s="6"/>
    </row>
    <row r="28" spans="1:15" ht="34">
      <c r="A28" s="6"/>
      <c r="B28" s="95" t="s">
        <v>1698</v>
      </c>
      <c r="C28" s="97">
        <v>46234</v>
      </c>
      <c r="D28" s="96" t="s">
        <v>618</v>
      </c>
      <c r="E28" s="96" t="s">
        <v>1674</v>
      </c>
      <c r="F28" s="99">
        <v>58370</v>
      </c>
      <c r="G28" s="96" t="s">
        <v>1699</v>
      </c>
      <c r="H28" s="95"/>
      <c r="I28" s="95"/>
      <c r="J28" s="42" t="str">
        <f t="shared" si="0"/>
        <v>UYGUN</v>
      </c>
      <c r="K28" s="22" t="b">
        <f t="shared" si="1"/>
        <v>0</v>
      </c>
      <c r="L28" s="115" t="s">
        <v>1672</v>
      </c>
      <c r="M28" s="6"/>
      <c r="N28" s="6"/>
      <c r="O28" s="6"/>
    </row>
    <row r="29" spans="1:15" ht="17">
      <c r="A29" s="6"/>
      <c r="B29" s="95"/>
      <c r="C29" s="97"/>
      <c r="D29" s="96"/>
      <c r="E29" s="96"/>
      <c r="F29" s="99"/>
      <c r="G29" s="96"/>
      <c r="H29" s="95"/>
      <c r="I29" s="95"/>
      <c r="J29" s="42" t="str">
        <f t="shared" si="0"/>
        <v/>
      </c>
      <c r="K29" s="22" t="b">
        <f t="shared" si="1"/>
        <v>0</v>
      </c>
      <c r="L29" s="115"/>
      <c r="M29" s="6"/>
      <c r="N29" s="6"/>
      <c r="O29" s="6"/>
    </row>
    <row r="30" spans="1:15" ht="17">
      <c r="A30" s="6"/>
      <c r="B30" s="95"/>
      <c r="C30" s="97"/>
      <c r="D30" s="96"/>
      <c r="E30" s="96"/>
      <c r="F30" s="99"/>
      <c r="G30" s="96"/>
      <c r="H30" s="95"/>
      <c r="I30" s="95"/>
      <c r="J30" s="42" t="str">
        <f t="shared" si="0"/>
        <v/>
      </c>
      <c r="K30" s="22" t="b">
        <f t="shared" si="1"/>
        <v>0</v>
      </c>
      <c r="L30" s="115"/>
      <c r="M30" s="6"/>
      <c r="N30" s="6"/>
      <c r="O30" s="6"/>
    </row>
    <row r="31" spans="1:15" ht="17">
      <c r="A31" s="6"/>
      <c r="B31" s="95"/>
      <c r="C31" s="97"/>
      <c r="D31" s="96"/>
      <c r="E31" s="96"/>
      <c r="F31" s="99"/>
      <c r="G31" s="96"/>
      <c r="H31" s="95"/>
      <c r="I31" s="95"/>
      <c r="J31" s="42" t="str">
        <f t="shared" si="0"/>
        <v/>
      </c>
      <c r="K31" s="22" t="b">
        <f t="shared" si="1"/>
        <v>0</v>
      </c>
      <c r="L31" s="115"/>
      <c r="M31" s="6"/>
      <c r="N31" s="6"/>
      <c r="O31" s="6"/>
    </row>
    <row r="32" spans="1:15" ht="17">
      <c r="A32" s="6"/>
      <c r="B32" s="95"/>
      <c r="C32" s="97"/>
      <c r="D32" s="96"/>
      <c r="E32" s="96"/>
      <c r="F32" s="99"/>
      <c r="G32" s="96"/>
      <c r="H32" s="95"/>
      <c r="I32" s="95"/>
      <c r="J32" s="42" t="str">
        <f t="shared" si="0"/>
        <v/>
      </c>
      <c r="K32" s="22" t="b">
        <f t="shared" si="1"/>
        <v>0</v>
      </c>
      <c r="L32" s="115"/>
      <c r="M32" s="6"/>
      <c r="N32" s="6"/>
      <c r="O32" s="6"/>
    </row>
    <row r="33" spans="1:15" ht="17">
      <c r="A33" s="6"/>
      <c r="B33" s="95"/>
      <c r="C33" s="97"/>
      <c r="D33" s="96"/>
      <c r="E33" s="96"/>
      <c r="F33" s="99"/>
      <c r="G33" s="96"/>
      <c r="H33" s="95"/>
      <c r="I33" s="95"/>
      <c r="J33" s="42" t="str">
        <f t="shared" si="0"/>
        <v/>
      </c>
      <c r="K33" s="22" t="b">
        <f t="shared" si="1"/>
        <v>0</v>
      </c>
      <c r="L33" s="115"/>
      <c r="M33" s="6"/>
      <c r="N33" s="6"/>
      <c r="O33" s="6"/>
    </row>
    <row r="34" spans="1:15" ht="17">
      <c r="A34" s="6"/>
      <c r="B34" s="95"/>
      <c r="C34" s="97"/>
      <c r="D34" s="96"/>
      <c r="E34" s="96"/>
      <c r="F34" s="99"/>
      <c r="G34" s="96"/>
      <c r="H34" s="95"/>
      <c r="I34" s="95"/>
      <c r="J34" s="42" t="str">
        <f t="shared" si="0"/>
        <v/>
      </c>
      <c r="K34" s="22" t="b">
        <f t="shared" si="1"/>
        <v>0</v>
      </c>
      <c r="L34" s="115"/>
      <c r="M34" s="6"/>
      <c r="N34" s="6"/>
      <c r="O34" s="6"/>
    </row>
    <row r="35" spans="1:15" ht="17">
      <c r="A35" s="6"/>
      <c r="B35" s="95"/>
      <c r="C35" s="97"/>
      <c r="D35" s="96"/>
      <c r="E35" s="96"/>
      <c r="F35" s="99"/>
      <c r="G35" s="96"/>
      <c r="H35" s="95"/>
      <c r="I35" s="95"/>
      <c r="J35" s="42" t="str">
        <f t="shared" si="0"/>
        <v/>
      </c>
      <c r="K35" s="22" t="b">
        <f t="shared" si="1"/>
        <v>0</v>
      </c>
      <c r="L35" s="115"/>
      <c r="M35" s="6"/>
      <c r="N35" s="6"/>
      <c r="O35" s="6"/>
    </row>
    <row r="36" spans="1:15" ht="17">
      <c r="A36" s="6"/>
      <c r="B36" s="95"/>
      <c r="C36" s="97"/>
      <c r="D36" s="96"/>
      <c r="E36" s="96"/>
      <c r="F36" s="99"/>
      <c r="G36" s="96"/>
      <c r="H36" s="95"/>
      <c r="I36" s="95"/>
      <c r="J36" s="42" t="str">
        <f t="shared" si="0"/>
        <v/>
      </c>
      <c r="K36" s="22" t="b">
        <f t="shared" si="1"/>
        <v>0</v>
      </c>
      <c r="L36" s="115"/>
      <c r="M36" s="6"/>
      <c r="N36" s="6"/>
      <c r="O36" s="6"/>
    </row>
    <row r="37" spans="1:15" ht="17">
      <c r="A37" s="6"/>
      <c r="B37" s="95"/>
      <c r="C37" s="97"/>
      <c r="D37" s="96"/>
      <c r="E37" s="96"/>
      <c r="F37" s="99"/>
      <c r="G37" s="96"/>
      <c r="H37" s="95"/>
      <c r="I37" s="95"/>
      <c r="J37" s="42" t="str">
        <f t="shared" si="0"/>
        <v/>
      </c>
      <c r="K37" s="22" t="b">
        <f t="shared" si="1"/>
        <v>0</v>
      </c>
      <c r="L37" s="115"/>
      <c r="M37" s="6"/>
      <c r="N37" s="6"/>
      <c r="O37" s="6"/>
    </row>
    <row r="38" spans="1:15" ht="17">
      <c r="A38" s="6"/>
      <c r="B38" s="95"/>
      <c r="C38" s="97"/>
      <c r="D38" s="96"/>
      <c r="E38" s="96"/>
      <c r="F38" s="99"/>
      <c r="G38" s="96"/>
      <c r="H38" s="95"/>
      <c r="I38" s="95"/>
      <c r="J38" s="42" t="str">
        <f t="shared" si="0"/>
        <v/>
      </c>
      <c r="K38" s="22" t="b">
        <f t="shared" si="1"/>
        <v>0</v>
      </c>
      <c r="L38" s="115"/>
      <c r="M38" s="6"/>
      <c r="N38" s="6"/>
      <c r="O38" s="6"/>
    </row>
    <row r="39" spans="1:15" ht="17">
      <c r="A39" s="6"/>
      <c r="B39" s="95"/>
      <c r="C39" s="97"/>
      <c r="D39" s="96"/>
      <c r="E39" s="96"/>
      <c r="F39" s="99"/>
      <c r="G39" s="96"/>
      <c r="H39" s="95"/>
      <c r="I39" s="95"/>
      <c r="J39" s="42" t="str">
        <f t="shared" si="0"/>
        <v/>
      </c>
      <c r="K39" s="22" t="b">
        <f t="shared" si="1"/>
        <v>0</v>
      </c>
      <c r="L39" s="115"/>
      <c r="M39" s="6"/>
      <c r="N39" s="6"/>
      <c r="O39" s="6"/>
    </row>
    <row r="40" spans="1:15" ht="17">
      <c r="A40" s="6"/>
      <c r="B40" s="95"/>
      <c r="C40" s="97"/>
      <c r="D40" s="96"/>
      <c r="E40" s="96"/>
      <c r="F40" s="99"/>
      <c r="G40" s="96"/>
      <c r="H40" s="95"/>
      <c r="I40" s="95"/>
      <c r="J40" s="42" t="str">
        <f t="shared" si="0"/>
        <v/>
      </c>
      <c r="K40" s="22" t="b">
        <f t="shared" si="1"/>
        <v>0</v>
      </c>
      <c r="L40" s="115"/>
      <c r="M40" s="6"/>
      <c r="N40" s="6"/>
      <c r="O40" s="6"/>
    </row>
    <row r="41" spans="1:15" ht="17">
      <c r="A41" s="6"/>
      <c r="B41" s="95"/>
      <c r="C41" s="97"/>
      <c r="D41" s="96"/>
      <c r="E41" s="96"/>
      <c r="F41" s="99"/>
      <c r="G41" s="96"/>
      <c r="H41" s="95"/>
      <c r="I41" s="95"/>
      <c r="J41" s="42" t="str">
        <f t="shared" si="0"/>
        <v/>
      </c>
      <c r="K41" s="22" t="b">
        <f t="shared" si="1"/>
        <v>0</v>
      </c>
      <c r="L41" s="115"/>
      <c r="M41" s="6"/>
      <c r="N41" s="6"/>
      <c r="O41" s="6"/>
    </row>
    <row r="42" spans="1:15" ht="17">
      <c r="A42" s="6"/>
      <c r="B42" s="95"/>
      <c r="C42" s="97"/>
      <c r="D42" s="96"/>
      <c r="E42" s="96"/>
      <c r="F42" s="99"/>
      <c r="G42" s="96"/>
      <c r="H42" s="95"/>
      <c r="I42" s="95"/>
      <c r="J42" s="42" t="str">
        <f t="shared" si="0"/>
        <v/>
      </c>
      <c r="K42" s="22" t="b">
        <f t="shared" si="1"/>
        <v>0</v>
      </c>
      <c r="L42" s="115"/>
      <c r="M42" s="6"/>
      <c r="N42" s="6"/>
      <c r="O42" s="6"/>
    </row>
    <row r="43" spans="1:15" ht="17">
      <c r="A43" s="6"/>
      <c r="B43" s="95"/>
      <c r="C43" s="97"/>
      <c r="D43" s="96"/>
      <c r="E43" s="96"/>
      <c r="F43" s="99"/>
      <c r="G43" s="96"/>
      <c r="H43" s="95"/>
      <c r="I43" s="95"/>
      <c r="J43" s="42" t="str">
        <f t="shared" si="0"/>
        <v/>
      </c>
      <c r="K43" s="22" t="b">
        <f t="shared" si="1"/>
        <v>0</v>
      </c>
      <c r="L43" s="115"/>
      <c r="M43" s="6"/>
      <c r="N43" s="6"/>
      <c r="O43" s="6"/>
    </row>
    <row r="44" spans="1:15" ht="17">
      <c r="A44" s="6"/>
      <c r="B44" s="95"/>
      <c r="C44" s="97"/>
      <c r="D44" s="96"/>
      <c r="E44" s="96"/>
      <c r="F44" s="99"/>
      <c r="G44" s="96"/>
      <c r="H44" s="95"/>
      <c r="I44" s="95"/>
      <c r="J44" s="42" t="str">
        <f t="shared" si="0"/>
        <v/>
      </c>
      <c r="K44" s="22" t="b">
        <f t="shared" si="1"/>
        <v>0</v>
      </c>
      <c r="L44" s="115"/>
      <c r="M44" s="6"/>
      <c r="N44" s="6"/>
      <c r="O44" s="6"/>
    </row>
    <row r="45" spans="1:15" ht="17">
      <c r="A45" s="6"/>
      <c r="B45" s="95"/>
      <c r="C45" s="97"/>
      <c r="D45" s="96"/>
      <c r="E45" s="96"/>
      <c r="F45" s="99"/>
      <c r="G45" s="96"/>
      <c r="H45" s="95"/>
      <c r="I45" s="95"/>
      <c r="J45" s="42" t="str">
        <f t="shared" si="0"/>
        <v/>
      </c>
      <c r="K45" s="22" t="b">
        <f t="shared" si="1"/>
        <v>0</v>
      </c>
      <c r="L45" s="115"/>
      <c r="M45" s="6"/>
      <c r="N45" s="6"/>
      <c r="O45" s="6"/>
    </row>
    <row r="46" spans="1:15" ht="17">
      <c r="A46" s="6"/>
      <c r="B46" s="95"/>
      <c r="C46" s="97"/>
      <c r="D46" s="96"/>
      <c r="E46" s="96"/>
      <c r="F46" s="99"/>
      <c r="G46" s="96"/>
      <c r="H46" s="95"/>
      <c r="I46" s="95"/>
      <c r="J46" s="42" t="str">
        <f t="shared" si="0"/>
        <v/>
      </c>
      <c r="K46" s="22" t="b">
        <f t="shared" si="1"/>
        <v>0</v>
      </c>
      <c r="L46" s="115"/>
      <c r="M46" s="6"/>
      <c r="N46" s="6"/>
      <c r="O46" s="6"/>
    </row>
    <row r="47" spans="1:15" ht="17">
      <c r="A47" s="6"/>
      <c r="B47" s="95"/>
      <c r="C47" s="97"/>
      <c r="D47" s="96"/>
      <c r="E47" s="96"/>
      <c r="F47" s="99"/>
      <c r="G47" s="96"/>
      <c r="H47" s="95"/>
      <c r="I47" s="95"/>
      <c r="J47" s="42" t="str">
        <f t="shared" si="0"/>
        <v/>
      </c>
      <c r="K47" s="22" t="b">
        <f t="shared" si="1"/>
        <v>0</v>
      </c>
      <c r="L47" s="115"/>
      <c r="M47" s="6"/>
      <c r="N47" s="6"/>
      <c r="O47" s="6"/>
    </row>
    <row r="48" spans="1:15" ht="17">
      <c r="A48" s="6"/>
      <c r="B48" s="95"/>
      <c r="C48" s="97"/>
      <c r="D48" s="96"/>
      <c r="E48" s="96"/>
      <c r="F48" s="99"/>
      <c r="G48" s="96"/>
      <c r="H48" s="95"/>
      <c r="I48" s="95"/>
      <c r="J48" s="42" t="str">
        <f t="shared" si="0"/>
        <v/>
      </c>
      <c r="K48" s="22" t="b">
        <f t="shared" si="1"/>
        <v>0</v>
      </c>
      <c r="L48" s="115"/>
      <c r="M48" s="6"/>
      <c r="N48" s="6"/>
      <c r="O48" s="6"/>
    </row>
    <row r="49" spans="1:15" ht="17">
      <c r="A49" s="6"/>
      <c r="B49" s="95"/>
      <c r="C49" s="97"/>
      <c r="D49" s="96"/>
      <c r="E49" s="96"/>
      <c r="F49" s="99"/>
      <c r="G49" s="96"/>
      <c r="H49" s="95"/>
      <c r="I49" s="95"/>
      <c r="J49" s="42" t="str">
        <f t="shared" si="0"/>
        <v/>
      </c>
      <c r="K49" s="22" t="b">
        <f t="shared" si="1"/>
        <v>0</v>
      </c>
      <c r="L49" s="115"/>
      <c r="M49" s="6"/>
      <c r="N49" s="6"/>
      <c r="O49" s="6"/>
    </row>
    <row r="50" spans="1:15" ht="17">
      <c r="A50" s="6"/>
      <c r="B50" s="95"/>
      <c r="C50" s="97"/>
      <c r="D50" s="96"/>
      <c r="E50" s="96"/>
      <c r="F50" s="99"/>
      <c r="G50" s="96"/>
      <c r="H50" s="95"/>
      <c r="I50" s="95"/>
      <c r="J50" s="42" t="str">
        <f t="shared" si="0"/>
        <v/>
      </c>
      <c r="K50" s="22" t="b">
        <f t="shared" si="1"/>
        <v>0</v>
      </c>
      <c r="L50" s="115"/>
      <c r="M50" s="6"/>
      <c r="N50" s="6"/>
      <c r="O50" s="6"/>
    </row>
    <row r="51" spans="1:15" ht="17">
      <c r="A51" s="6"/>
      <c r="B51" s="95"/>
      <c r="C51" s="97"/>
      <c r="D51" s="96"/>
      <c r="E51" s="96"/>
      <c r="F51" s="99"/>
      <c r="G51" s="96"/>
      <c r="H51" s="95"/>
      <c r="I51" s="95"/>
      <c r="J51" s="42" t="str">
        <f t="shared" si="0"/>
        <v/>
      </c>
      <c r="K51" s="22" t="b">
        <f t="shared" si="1"/>
        <v>0</v>
      </c>
      <c r="L51" s="115"/>
      <c r="M51" s="6"/>
      <c r="N51" s="6"/>
      <c r="O51" s="6"/>
    </row>
    <row r="52" spans="1:15" ht="17">
      <c r="A52" s="6"/>
      <c r="B52" s="95"/>
      <c r="C52" s="97"/>
      <c r="D52" s="96"/>
      <c r="E52" s="96"/>
      <c r="F52" s="99"/>
      <c r="G52" s="96"/>
      <c r="H52" s="95"/>
      <c r="I52" s="95"/>
      <c r="J52" s="42" t="str">
        <f t="shared" si="0"/>
        <v/>
      </c>
      <c r="K52" s="22" t="b">
        <f t="shared" si="1"/>
        <v>0</v>
      </c>
      <c r="L52" s="115"/>
      <c r="M52" s="6"/>
      <c r="N52" s="6"/>
      <c r="O52" s="6"/>
    </row>
    <row r="53" spans="1:15" ht="17">
      <c r="A53" s="6"/>
      <c r="B53" s="95"/>
      <c r="C53" s="97"/>
      <c r="D53" s="96"/>
      <c r="E53" s="96"/>
      <c r="F53" s="99"/>
      <c r="G53" s="96"/>
      <c r="H53" s="95"/>
      <c r="I53" s="95"/>
      <c r="J53" s="42" t="str">
        <f t="shared" si="0"/>
        <v/>
      </c>
      <c r="K53" s="22" t="b">
        <f t="shared" si="1"/>
        <v>0</v>
      </c>
      <c r="L53" s="115"/>
      <c r="M53" s="6"/>
      <c r="N53" s="6"/>
      <c r="O53" s="6"/>
    </row>
    <row r="54" spans="1:15" ht="17">
      <c r="A54" s="6"/>
      <c r="B54" s="95"/>
      <c r="C54" s="97"/>
      <c r="D54" s="96"/>
      <c r="E54" s="96"/>
      <c r="F54" s="99"/>
      <c r="G54" s="96"/>
      <c r="H54" s="95"/>
      <c r="I54" s="95"/>
      <c r="J54" s="42" t="str">
        <f t="shared" si="0"/>
        <v/>
      </c>
      <c r="K54" s="22" t="b">
        <f t="shared" si="1"/>
        <v>0</v>
      </c>
      <c r="L54" s="115"/>
      <c r="M54" s="6"/>
      <c r="N54" s="6"/>
      <c r="O54" s="6"/>
    </row>
    <row r="55" spans="1:15" ht="17">
      <c r="A55" s="6"/>
      <c r="B55" s="95"/>
      <c r="C55" s="97"/>
      <c r="D55" s="96"/>
      <c r="E55" s="96"/>
      <c r="F55" s="99"/>
      <c r="G55" s="96"/>
      <c r="H55" s="95"/>
      <c r="I55" s="95"/>
      <c r="J55" s="42" t="str">
        <f t="shared" si="0"/>
        <v/>
      </c>
      <c r="K55" s="22" t="b">
        <f t="shared" si="1"/>
        <v>0</v>
      </c>
      <c r="L55" s="115"/>
      <c r="M55" s="6"/>
      <c r="N55" s="6"/>
      <c r="O55" s="6"/>
    </row>
    <row r="56" spans="1:15" ht="17">
      <c r="A56" s="6"/>
      <c r="B56" s="95"/>
      <c r="C56" s="97"/>
      <c r="D56" s="96"/>
      <c r="E56" s="96"/>
      <c r="F56" s="99"/>
      <c r="G56" s="96"/>
      <c r="H56" s="95"/>
      <c r="I56" s="95"/>
      <c r="J56" s="42" t="str">
        <f t="shared" si="0"/>
        <v/>
      </c>
      <c r="K56" s="22" t="b">
        <f t="shared" si="1"/>
        <v>0</v>
      </c>
      <c r="L56" s="115"/>
      <c r="M56" s="6"/>
      <c r="N56" s="6"/>
      <c r="O56" s="6"/>
    </row>
    <row r="57" spans="1:15" ht="17">
      <c r="A57" s="6"/>
      <c r="B57" s="95"/>
      <c r="C57" s="97"/>
      <c r="D57" s="96"/>
      <c r="E57" s="96"/>
      <c r="F57" s="99"/>
      <c r="G57" s="96"/>
      <c r="H57" s="95"/>
      <c r="I57" s="95"/>
      <c r="J57" s="42" t="str">
        <f t="shared" si="0"/>
        <v/>
      </c>
      <c r="K57" s="22" t="b">
        <f t="shared" si="1"/>
        <v>0</v>
      </c>
      <c r="L57" s="115"/>
      <c r="M57" s="6"/>
      <c r="N57" s="6"/>
      <c r="O57" s="6"/>
    </row>
    <row r="58" spans="1:15" ht="17">
      <c r="A58" s="6"/>
      <c r="B58" s="95"/>
      <c r="C58" s="97"/>
      <c r="D58" s="96"/>
      <c r="E58" s="96"/>
      <c r="F58" s="99"/>
      <c r="G58" s="96"/>
      <c r="H58" s="95"/>
      <c r="I58" s="95"/>
      <c r="J58" s="42" t="str">
        <f t="shared" si="0"/>
        <v/>
      </c>
      <c r="K58" s="22" t="b">
        <f t="shared" si="1"/>
        <v>0</v>
      </c>
      <c r="L58" s="115"/>
      <c r="M58" s="6"/>
      <c r="N58" s="6"/>
      <c r="O58" s="6"/>
    </row>
    <row r="59" spans="1:15" ht="17">
      <c r="A59" s="6"/>
      <c r="B59" s="95"/>
      <c r="C59" s="97"/>
      <c r="D59" s="96"/>
      <c r="E59" s="96"/>
      <c r="F59" s="99"/>
      <c r="G59" s="96"/>
      <c r="H59" s="95"/>
      <c r="I59" s="95"/>
      <c r="J59" s="42" t="str">
        <f t="shared" si="0"/>
        <v/>
      </c>
      <c r="K59" s="22" t="b">
        <f t="shared" si="1"/>
        <v>0</v>
      </c>
      <c r="L59" s="115"/>
      <c r="M59" s="6"/>
      <c r="N59" s="6"/>
      <c r="O59" s="6"/>
    </row>
    <row r="60" spans="1:15" ht="17">
      <c r="A60" s="6"/>
      <c r="B60" s="95"/>
      <c r="C60" s="97"/>
      <c r="D60" s="96"/>
      <c r="E60" s="96"/>
      <c r="F60" s="99"/>
      <c r="G60" s="96"/>
      <c r="H60" s="95"/>
      <c r="I60" s="95"/>
      <c r="J60" s="42" t="str">
        <f t="shared" si="0"/>
        <v/>
      </c>
      <c r="K60" s="22" t="b">
        <f t="shared" si="1"/>
        <v>0</v>
      </c>
      <c r="L60" s="115"/>
      <c r="M60" s="6"/>
      <c r="N60" s="6"/>
      <c r="O60" s="6"/>
    </row>
    <row r="61" spans="1:15" ht="17">
      <c r="A61" s="6"/>
      <c r="B61" s="95"/>
      <c r="C61" s="97"/>
      <c r="D61" s="96"/>
      <c r="E61" s="96"/>
      <c r="F61" s="99"/>
      <c r="G61" s="96"/>
      <c r="H61" s="95"/>
      <c r="I61" s="95"/>
      <c r="J61" s="42" t="str">
        <f t="shared" si="0"/>
        <v/>
      </c>
      <c r="K61" s="22" t="b">
        <f t="shared" si="1"/>
        <v>0</v>
      </c>
      <c r="L61" s="115"/>
      <c r="M61" s="6"/>
      <c r="N61" s="6"/>
      <c r="O61" s="6"/>
    </row>
    <row r="62" spans="1:15" ht="17">
      <c r="A62" s="6"/>
      <c r="B62" s="95"/>
      <c r="C62" s="97"/>
      <c r="D62" s="96"/>
      <c r="E62" s="96"/>
      <c r="F62" s="99"/>
      <c r="G62" s="96"/>
      <c r="H62" s="95"/>
      <c r="I62" s="95"/>
      <c r="J62" s="42" t="str">
        <f t="shared" si="0"/>
        <v/>
      </c>
      <c r="K62" s="22" t="b">
        <f t="shared" si="1"/>
        <v>0</v>
      </c>
      <c r="L62" s="115"/>
      <c r="M62" s="6"/>
      <c r="N62" s="6"/>
      <c r="O62" s="6"/>
    </row>
    <row r="63" spans="1:15" ht="17">
      <c r="A63" s="6"/>
      <c r="B63" s="95"/>
      <c r="C63" s="97"/>
      <c r="D63" s="96"/>
      <c r="E63" s="96"/>
      <c r="F63" s="99"/>
      <c r="G63" s="96"/>
      <c r="H63" s="95"/>
      <c r="I63" s="95"/>
      <c r="J63" s="42" t="str">
        <f t="shared" si="0"/>
        <v/>
      </c>
      <c r="K63" s="22" t="b">
        <f t="shared" si="1"/>
        <v>0</v>
      </c>
      <c r="L63" s="115"/>
      <c r="M63" s="6"/>
      <c r="N63" s="6"/>
      <c r="O63" s="6"/>
    </row>
    <row r="64" spans="1:15" ht="17">
      <c r="A64" s="6"/>
      <c r="B64" s="95"/>
      <c r="C64" s="97"/>
      <c r="D64" s="96"/>
      <c r="E64" s="96"/>
      <c r="F64" s="99"/>
      <c r="G64" s="96"/>
      <c r="H64" s="95"/>
      <c r="I64" s="95"/>
      <c r="J64" s="42" t="str">
        <f t="shared" si="0"/>
        <v/>
      </c>
      <c r="K64" s="22" t="b">
        <f t="shared" si="1"/>
        <v>0</v>
      </c>
      <c r="L64" s="115"/>
      <c r="M64" s="6"/>
      <c r="N64" s="6"/>
      <c r="O64" s="6"/>
    </row>
    <row r="65" spans="1:15" ht="17">
      <c r="A65" s="6"/>
      <c r="B65" s="95"/>
      <c r="C65" s="97"/>
      <c r="D65" s="96"/>
      <c r="E65" s="96"/>
      <c r="F65" s="99"/>
      <c r="G65" s="96"/>
      <c r="H65" s="95"/>
      <c r="I65" s="95"/>
      <c r="J65" s="42" t="str">
        <f t="shared" si="0"/>
        <v/>
      </c>
      <c r="K65" s="22" t="b">
        <f t="shared" si="1"/>
        <v>0</v>
      </c>
      <c r="L65" s="115"/>
      <c r="M65" s="6"/>
      <c r="N65" s="6"/>
      <c r="O65" s="6"/>
    </row>
    <row r="66" spans="1:15" ht="17">
      <c r="A66" s="6"/>
      <c r="B66" s="95"/>
      <c r="C66" s="97"/>
      <c r="D66" s="96"/>
      <c r="E66" s="96"/>
      <c r="F66" s="99"/>
      <c r="G66" s="96"/>
      <c r="H66" s="95"/>
      <c r="I66" s="95"/>
      <c r="J66" s="42" t="str">
        <f t="shared" si="0"/>
        <v/>
      </c>
      <c r="K66" s="22" t="b">
        <f t="shared" si="1"/>
        <v>0</v>
      </c>
      <c r="L66" s="115"/>
      <c r="M66" s="6"/>
      <c r="N66" s="6"/>
      <c r="O66" s="6"/>
    </row>
    <row r="67" spans="1:15" ht="17">
      <c r="A67" s="6"/>
      <c r="B67" s="95"/>
      <c r="C67" s="97"/>
      <c r="D67" s="96"/>
      <c r="E67" s="96"/>
      <c r="F67" s="99"/>
      <c r="G67" s="96"/>
      <c r="H67" s="95"/>
      <c r="I67" s="95"/>
      <c r="J67" s="42" t="str">
        <f t="shared" si="0"/>
        <v/>
      </c>
      <c r="K67" s="22" t="b">
        <f t="shared" si="1"/>
        <v>0</v>
      </c>
      <c r="L67" s="115"/>
      <c r="M67" s="6"/>
      <c r="N67" s="6"/>
      <c r="O67" s="6"/>
    </row>
    <row r="68" spans="1:15" ht="17">
      <c r="A68" s="6"/>
      <c r="B68" s="95"/>
      <c r="C68" s="97"/>
      <c r="D68" s="96"/>
      <c r="E68" s="96"/>
      <c r="F68" s="99"/>
      <c r="G68" s="96"/>
      <c r="H68" s="95"/>
      <c r="I68" s="95"/>
      <c r="J68" s="42" t="str">
        <f t="shared" si="0"/>
        <v/>
      </c>
      <c r="K68" s="22" t="b">
        <f t="shared" si="1"/>
        <v>0</v>
      </c>
      <c r="L68" s="115"/>
      <c r="M68" s="6"/>
      <c r="N68" s="6"/>
      <c r="O68" s="6"/>
    </row>
    <row r="69" spans="1:15" ht="17">
      <c r="A69" s="6"/>
      <c r="B69" s="95"/>
      <c r="C69" s="97"/>
      <c r="D69" s="96"/>
      <c r="E69" s="96"/>
      <c r="F69" s="99"/>
      <c r="G69" s="96"/>
      <c r="H69" s="95"/>
      <c r="I69" s="95"/>
      <c r="J69" s="42" t="str">
        <f t="shared" si="0"/>
        <v/>
      </c>
      <c r="K69" s="22" t="b">
        <f t="shared" si="1"/>
        <v>0</v>
      </c>
      <c r="L69" s="115"/>
      <c r="M69" s="6"/>
      <c r="N69" s="6"/>
      <c r="O69" s="6"/>
    </row>
    <row r="70" spans="1:15" ht="17">
      <c r="A70" s="6"/>
      <c r="B70" s="95"/>
      <c r="C70" s="97"/>
      <c r="D70" s="96"/>
      <c r="E70" s="96"/>
      <c r="F70" s="99"/>
      <c r="G70" s="96"/>
      <c r="H70" s="95"/>
      <c r="I70" s="95"/>
      <c r="J70" s="42" t="str">
        <f t="shared" si="0"/>
        <v/>
      </c>
      <c r="K70" s="22" t="b">
        <f t="shared" si="1"/>
        <v>0</v>
      </c>
      <c r="L70" s="115"/>
      <c r="M70" s="6"/>
      <c r="N70" s="6"/>
      <c r="O70" s="6"/>
    </row>
    <row r="71" spans="1:15" ht="17">
      <c r="A71" s="6"/>
      <c r="B71" s="95"/>
      <c r="C71" s="97"/>
      <c r="D71" s="96"/>
      <c r="E71" s="96"/>
      <c r="F71" s="99"/>
      <c r="G71" s="96"/>
      <c r="H71" s="95"/>
      <c r="I71" s="95"/>
      <c r="J71" s="42" t="str">
        <f t="shared" ref="J71:J134" si="2">IF(C71="","",IF(OR(D71="",E71="",F71=""),"EKSİK",IF(D71=E71,"AYNI HESAP OLAMAZ",IF(AND(D71="MERKEZ KASA",E71="ÖMER KARTAL",K71),"YANLIŞ VIRMAN","UYGUN"))))</f>
        <v/>
      </c>
      <c r="K71" s="22" t="b">
        <f t="shared" ref="K71:K134" si="3">OR(ISNUMBER(SEARCH("MUHASEBE ÜCRETİ",G71&amp;"")),ISNUMBER(SEARCH("SGK",G71&amp;"")),ISNUMBER(SEARCH("MENDERES MAHSUP",G71&amp;"")),ISNUMBER(SEARCH("GRAND 06 ÖMER BAKİYE",G71&amp;"")))</f>
        <v>0</v>
      </c>
      <c r="L71" s="115"/>
      <c r="M71" s="6"/>
      <c r="N71" s="6"/>
      <c r="O71" s="6"/>
    </row>
    <row r="72" spans="1:15" ht="17">
      <c r="A72" s="6"/>
      <c r="B72" s="95"/>
      <c r="C72" s="97"/>
      <c r="D72" s="96"/>
      <c r="E72" s="96"/>
      <c r="F72" s="99"/>
      <c r="G72" s="96"/>
      <c r="H72" s="95"/>
      <c r="I72" s="95"/>
      <c r="J72" s="42" t="str">
        <f t="shared" si="2"/>
        <v/>
      </c>
      <c r="K72" s="22" t="b">
        <f t="shared" si="3"/>
        <v>0</v>
      </c>
      <c r="L72" s="115"/>
      <c r="M72" s="6"/>
      <c r="N72" s="6"/>
      <c r="O72" s="6"/>
    </row>
    <row r="73" spans="1:15" ht="17">
      <c r="A73" s="6"/>
      <c r="B73" s="95"/>
      <c r="C73" s="97"/>
      <c r="D73" s="96"/>
      <c r="E73" s="96"/>
      <c r="F73" s="99"/>
      <c r="G73" s="96"/>
      <c r="H73" s="95"/>
      <c r="I73" s="95"/>
      <c r="J73" s="42" t="str">
        <f t="shared" si="2"/>
        <v/>
      </c>
      <c r="K73" s="22" t="b">
        <f t="shared" si="3"/>
        <v>0</v>
      </c>
      <c r="L73" s="115"/>
      <c r="M73" s="6"/>
      <c r="N73" s="6"/>
      <c r="O73" s="6"/>
    </row>
    <row r="74" spans="1:15" ht="17">
      <c r="A74" s="6"/>
      <c r="B74" s="95"/>
      <c r="C74" s="97"/>
      <c r="D74" s="96"/>
      <c r="E74" s="96"/>
      <c r="F74" s="99"/>
      <c r="G74" s="96"/>
      <c r="H74" s="95"/>
      <c r="I74" s="95"/>
      <c r="J74" s="42" t="str">
        <f t="shared" si="2"/>
        <v/>
      </c>
      <c r="K74" s="22" t="b">
        <f t="shared" si="3"/>
        <v>0</v>
      </c>
      <c r="L74" s="115"/>
      <c r="M74" s="6"/>
      <c r="N74" s="6"/>
      <c r="O74" s="6"/>
    </row>
    <row r="75" spans="1:15" ht="17">
      <c r="A75" s="6"/>
      <c r="B75" s="95"/>
      <c r="C75" s="97"/>
      <c r="D75" s="96"/>
      <c r="E75" s="96"/>
      <c r="F75" s="99"/>
      <c r="G75" s="96"/>
      <c r="H75" s="95"/>
      <c r="I75" s="95"/>
      <c r="J75" s="42" t="str">
        <f t="shared" si="2"/>
        <v/>
      </c>
      <c r="K75" s="22" t="b">
        <f t="shared" si="3"/>
        <v>0</v>
      </c>
      <c r="L75" s="115"/>
      <c r="M75" s="6"/>
      <c r="N75" s="6"/>
      <c r="O75" s="6"/>
    </row>
    <row r="76" spans="1:15" ht="17">
      <c r="A76" s="6"/>
      <c r="B76" s="95"/>
      <c r="C76" s="97"/>
      <c r="D76" s="96"/>
      <c r="E76" s="96"/>
      <c r="F76" s="99"/>
      <c r="G76" s="96"/>
      <c r="H76" s="95"/>
      <c r="I76" s="95"/>
      <c r="J76" s="42" t="str">
        <f t="shared" si="2"/>
        <v/>
      </c>
      <c r="K76" s="22" t="b">
        <f t="shared" si="3"/>
        <v>0</v>
      </c>
      <c r="L76" s="115"/>
      <c r="M76" s="6"/>
      <c r="N76" s="6"/>
      <c r="O76" s="6"/>
    </row>
    <row r="77" spans="1:15" ht="17">
      <c r="A77" s="6"/>
      <c r="B77" s="95"/>
      <c r="C77" s="97"/>
      <c r="D77" s="96"/>
      <c r="E77" s="96"/>
      <c r="F77" s="99"/>
      <c r="G77" s="96"/>
      <c r="H77" s="95"/>
      <c r="I77" s="95"/>
      <c r="J77" s="42" t="str">
        <f t="shared" si="2"/>
        <v/>
      </c>
      <c r="K77" s="22" t="b">
        <f t="shared" si="3"/>
        <v>0</v>
      </c>
      <c r="L77" s="115"/>
      <c r="M77" s="6"/>
      <c r="N77" s="6"/>
      <c r="O77" s="6"/>
    </row>
    <row r="78" spans="1:15" ht="17">
      <c r="A78" s="6"/>
      <c r="B78" s="95"/>
      <c r="C78" s="97"/>
      <c r="D78" s="96"/>
      <c r="E78" s="96"/>
      <c r="F78" s="99"/>
      <c r="G78" s="96"/>
      <c r="H78" s="95"/>
      <c r="I78" s="95"/>
      <c r="J78" s="42" t="str">
        <f t="shared" si="2"/>
        <v/>
      </c>
      <c r="K78" s="22" t="b">
        <f t="shared" si="3"/>
        <v>0</v>
      </c>
      <c r="L78" s="115"/>
      <c r="M78" s="6"/>
      <c r="N78" s="6"/>
      <c r="O78" s="6"/>
    </row>
    <row r="79" spans="1:15" ht="17">
      <c r="A79" s="6"/>
      <c r="B79" s="95"/>
      <c r="C79" s="97"/>
      <c r="D79" s="96"/>
      <c r="E79" s="96"/>
      <c r="F79" s="99"/>
      <c r="G79" s="96"/>
      <c r="H79" s="95"/>
      <c r="I79" s="95"/>
      <c r="J79" s="42" t="str">
        <f t="shared" si="2"/>
        <v/>
      </c>
      <c r="K79" s="22" t="b">
        <f t="shared" si="3"/>
        <v>0</v>
      </c>
      <c r="L79" s="115"/>
      <c r="M79" s="6"/>
      <c r="N79" s="6"/>
      <c r="O79" s="6"/>
    </row>
    <row r="80" spans="1:15" ht="17">
      <c r="A80" s="6"/>
      <c r="B80" s="95"/>
      <c r="C80" s="97"/>
      <c r="D80" s="96"/>
      <c r="E80" s="96"/>
      <c r="F80" s="99"/>
      <c r="G80" s="96"/>
      <c r="H80" s="95"/>
      <c r="I80" s="95"/>
      <c r="J80" s="42" t="str">
        <f t="shared" si="2"/>
        <v/>
      </c>
      <c r="K80" s="22" t="b">
        <f t="shared" si="3"/>
        <v>0</v>
      </c>
      <c r="L80" s="115"/>
      <c r="M80" s="6"/>
      <c r="N80" s="6"/>
      <c r="O80" s="6"/>
    </row>
    <row r="81" spans="1:15" ht="17">
      <c r="A81" s="6"/>
      <c r="B81" s="95"/>
      <c r="C81" s="97"/>
      <c r="D81" s="96"/>
      <c r="E81" s="96"/>
      <c r="F81" s="99"/>
      <c r="G81" s="96"/>
      <c r="H81" s="95"/>
      <c r="I81" s="95"/>
      <c r="J81" s="42" t="str">
        <f t="shared" si="2"/>
        <v/>
      </c>
      <c r="K81" s="22" t="b">
        <f t="shared" si="3"/>
        <v>0</v>
      </c>
      <c r="L81" s="115"/>
      <c r="M81" s="6"/>
      <c r="N81" s="6"/>
      <c r="O81" s="6"/>
    </row>
    <row r="82" spans="1:15" ht="17">
      <c r="A82" s="6"/>
      <c r="B82" s="95"/>
      <c r="C82" s="97"/>
      <c r="D82" s="96"/>
      <c r="E82" s="96"/>
      <c r="F82" s="99"/>
      <c r="G82" s="96"/>
      <c r="H82" s="95"/>
      <c r="I82" s="95"/>
      <c r="J82" s="42" t="str">
        <f t="shared" si="2"/>
        <v/>
      </c>
      <c r="K82" s="22" t="b">
        <f t="shared" si="3"/>
        <v>0</v>
      </c>
      <c r="L82" s="115"/>
      <c r="M82" s="6"/>
      <c r="N82" s="6"/>
      <c r="O82" s="6"/>
    </row>
    <row r="83" spans="1:15" ht="17">
      <c r="A83" s="6"/>
      <c r="B83" s="95"/>
      <c r="C83" s="97"/>
      <c r="D83" s="96"/>
      <c r="E83" s="96"/>
      <c r="F83" s="99"/>
      <c r="G83" s="96"/>
      <c r="H83" s="95"/>
      <c r="I83" s="95"/>
      <c r="J83" s="42" t="str">
        <f t="shared" si="2"/>
        <v/>
      </c>
      <c r="K83" s="22" t="b">
        <f t="shared" si="3"/>
        <v>0</v>
      </c>
      <c r="L83" s="115"/>
      <c r="M83" s="6"/>
      <c r="N83" s="6"/>
      <c r="O83" s="6"/>
    </row>
    <row r="84" spans="1:15" ht="17">
      <c r="A84" s="6"/>
      <c r="B84" s="95"/>
      <c r="C84" s="97"/>
      <c r="D84" s="96"/>
      <c r="E84" s="96"/>
      <c r="F84" s="99"/>
      <c r="G84" s="96"/>
      <c r="H84" s="95"/>
      <c r="I84" s="95"/>
      <c r="J84" s="42" t="str">
        <f t="shared" si="2"/>
        <v/>
      </c>
      <c r="K84" s="22" t="b">
        <f t="shared" si="3"/>
        <v>0</v>
      </c>
      <c r="L84" s="115"/>
      <c r="M84" s="6"/>
      <c r="N84" s="6"/>
      <c r="O84" s="6"/>
    </row>
    <row r="85" spans="1:15" ht="17">
      <c r="A85" s="6"/>
      <c r="B85" s="95"/>
      <c r="C85" s="97"/>
      <c r="D85" s="96"/>
      <c r="E85" s="96"/>
      <c r="F85" s="99"/>
      <c r="G85" s="96"/>
      <c r="H85" s="95"/>
      <c r="I85" s="95"/>
      <c r="J85" s="42" t="str">
        <f t="shared" si="2"/>
        <v/>
      </c>
      <c r="K85" s="22" t="b">
        <f t="shared" si="3"/>
        <v>0</v>
      </c>
      <c r="L85" s="115"/>
      <c r="M85" s="6"/>
      <c r="N85" s="6"/>
      <c r="O85" s="6"/>
    </row>
    <row r="86" spans="1:15" ht="17">
      <c r="A86" s="6"/>
      <c r="B86" s="95"/>
      <c r="C86" s="97"/>
      <c r="D86" s="96"/>
      <c r="E86" s="96"/>
      <c r="F86" s="99"/>
      <c r="G86" s="96"/>
      <c r="H86" s="95"/>
      <c r="I86" s="95"/>
      <c r="J86" s="42" t="str">
        <f t="shared" si="2"/>
        <v/>
      </c>
      <c r="K86" s="22" t="b">
        <f t="shared" si="3"/>
        <v>0</v>
      </c>
      <c r="L86" s="115"/>
      <c r="M86" s="6"/>
      <c r="N86" s="6"/>
      <c r="O86" s="6"/>
    </row>
    <row r="87" spans="1:15" ht="17">
      <c r="A87" s="6"/>
      <c r="B87" s="95"/>
      <c r="C87" s="97"/>
      <c r="D87" s="96"/>
      <c r="E87" s="96"/>
      <c r="F87" s="99"/>
      <c r="G87" s="96"/>
      <c r="H87" s="95"/>
      <c r="I87" s="95"/>
      <c r="J87" s="42" t="str">
        <f t="shared" si="2"/>
        <v/>
      </c>
      <c r="K87" s="22" t="b">
        <f t="shared" si="3"/>
        <v>0</v>
      </c>
      <c r="L87" s="115"/>
      <c r="M87" s="6"/>
      <c r="N87" s="6"/>
      <c r="O87" s="6"/>
    </row>
    <row r="88" spans="1:15" ht="17">
      <c r="A88" s="6"/>
      <c r="B88" s="95"/>
      <c r="C88" s="97"/>
      <c r="D88" s="96"/>
      <c r="E88" s="96"/>
      <c r="F88" s="99"/>
      <c r="G88" s="96"/>
      <c r="H88" s="95"/>
      <c r="I88" s="95"/>
      <c r="J88" s="42" t="str">
        <f t="shared" si="2"/>
        <v/>
      </c>
      <c r="K88" s="22" t="b">
        <f t="shared" si="3"/>
        <v>0</v>
      </c>
      <c r="L88" s="115"/>
      <c r="M88" s="6"/>
      <c r="N88" s="6"/>
      <c r="O88" s="6"/>
    </row>
    <row r="89" spans="1:15" ht="17">
      <c r="A89" s="6"/>
      <c r="B89" s="95"/>
      <c r="C89" s="97"/>
      <c r="D89" s="96"/>
      <c r="E89" s="96"/>
      <c r="F89" s="99"/>
      <c r="G89" s="96"/>
      <c r="H89" s="95"/>
      <c r="I89" s="95"/>
      <c r="J89" s="42" t="str">
        <f t="shared" si="2"/>
        <v/>
      </c>
      <c r="K89" s="22" t="b">
        <f t="shared" si="3"/>
        <v>0</v>
      </c>
      <c r="L89" s="115"/>
      <c r="M89" s="6"/>
      <c r="N89" s="6"/>
      <c r="O89" s="6"/>
    </row>
    <row r="90" spans="1:15" ht="17">
      <c r="A90" s="6"/>
      <c r="B90" s="95"/>
      <c r="C90" s="97"/>
      <c r="D90" s="96"/>
      <c r="E90" s="96"/>
      <c r="F90" s="99"/>
      <c r="G90" s="96"/>
      <c r="H90" s="95"/>
      <c r="I90" s="95"/>
      <c r="J90" s="42" t="str">
        <f t="shared" si="2"/>
        <v/>
      </c>
      <c r="K90" s="22" t="b">
        <f t="shared" si="3"/>
        <v>0</v>
      </c>
      <c r="L90" s="115"/>
      <c r="M90" s="6"/>
      <c r="N90" s="6"/>
      <c r="O90" s="6"/>
    </row>
    <row r="91" spans="1:15" ht="17">
      <c r="A91" s="6"/>
      <c r="B91" s="95"/>
      <c r="C91" s="97"/>
      <c r="D91" s="96"/>
      <c r="E91" s="96"/>
      <c r="F91" s="99"/>
      <c r="G91" s="96"/>
      <c r="H91" s="95"/>
      <c r="I91" s="95"/>
      <c r="J91" s="42" t="str">
        <f t="shared" si="2"/>
        <v/>
      </c>
      <c r="K91" s="22" t="b">
        <f t="shared" si="3"/>
        <v>0</v>
      </c>
      <c r="L91" s="115"/>
      <c r="M91" s="6"/>
      <c r="N91" s="6"/>
      <c r="O91" s="6"/>
    </row>
    <row r="92" spans="1:15" ht="17">
      <c r="A92" s="6"/>
      <c r="B92" s="95"/>
      <c r="C92" s="97"/>
      <c r="D92" s="96"/>
      <c r="E92" s="96"/>
      <c r="F92" s="99"/>
      <c r="G92" s="96"/>
      <c r="H92" s="95"/>
      <c r="I92" s="95"/>
      <c r="J92" s="42" t="str">
        <f t="shared" si="2"/>
        <v/>
      </c>
      <c r="K92" s="22" t="b">
        <f t="shared" si="3"/>
        <v>0</v>
      </c>
      <c r="L92" s="115"/>
      <c r="M92" s="6"/>
      <c r="N92" s="6"/>
      <c r="O92" s="6"/>
    </row>
    <row r="93" spans="1:15" ht="17">
      <c r="A93" s="6"/>
      <c r="B93" s="95"/>
      <c r="C93" s="97"/>
      <c r="D93" s="96"/>
      <c r="E93" s="96"/>
      <c r="F93" s="99"/>
      <c r="G93" s="96"/>
      <c r="H93" s="95"/>
      <c r="I93" s="95"/>
      <c r="J93" s="42" t="str">
        <f t="shared" si="2"/>
        <v/>
      </c>
      <c r="K93" s="22" t="b">
        <f t="shared" si="3"/>
        <v>0</v>
      </c>
      <c r="L93" s="115"/>
      <c r="M93" s="6"/>
      <c r="N93" s="6"/>
      <c r="O93" s="6"/>
    </row>
    <row r="94" spans="1:15" ht="17">
      <c r="A94" s="6"/>
      <c r="B94" s="95"/>
      <c r="C94" s="97"/>
      <c r="D94" s="96"/>
      <c r="E94" s="96"/>
      <c r="F94" s="99"/>
      <c r="G94" s="96"/>
      <c r="H94" s="95"/>
      <c r="I94" s="95"/>
      <c r="J94" s="42" t="str">
        <f t="shared" si="2"/>
        <v/>
      </c>
      <c r="K94" s="22" t="b">
        <f t="shared" si="3"/>
        <v>0</v>
      </c>
      <c r="L94" s="115"/>
      <c r="M94" s="6"/>
      <c r="N94" s="6"/>
      <c r="O94" s="6"/>
    </row>
    <row r="95" spans="1:15" ht="17">
      <c r="A95" s="6"/>
      <c r="B95" s="95"/>
      <c r="C95" s="97"/>
      <c r="D95" s="96"/>
      <c r="E95" s="96"/>
      <c r="F95" s="99"/>
      <c r="G95" s="96"/>
      <c r="H95" s="95"/>
      <c r="I95" s="95"/>
      <c r="J95" s="42" t="str">
        <f t="shared" si="2"/>
        <v/>
      </c>
      <c r="K95" s="22" t="b">
        <f t="shared" si="3"/>
        <v>0</v>
      </c>
      <c r="L95" s="115"/>
      <c r="M95" s="6"/>
      <c r="N95" s="6"/>
      <c r="O95" s="6"/>
    </row>
    <row r="96" spans="1:15" ht="17">
      <c r="A96" s="6"/>
      <c r="B96" s="95"/>
      <c r="C96" s="97"/>
      <c r="D96" s="96"/>
      <c r="E96" s="96"/>
      <c r="F96" s="99"/>
      <c r="G96" s="96"/>
      <c r="H96" s="95"/>
      <c r="I96" s="95"/>
      <c r="J96" s="42" t="str">
        <f t="shared" si="2"/>
        <v/>
      </c>
      <c r="K96" s="22" t="b">
        <f t="shared" si="3"/>
        <v>0</v>
      </c>
      <c r="L96" s="115"/>
      <c r="M96" s="6"/>
      <c r="N96" s="6"/>
      <c r="O96" s="6"/>
    </row>
    <row r="97" spans="1:15" ht="17">
      <c r="A97" s="6"/>
      <c r="B97" s="95"/>
      <c r="C97" s="97"/>
      <c r="D97" s="96"/>
      <c r="E97" s="96"/>
      <c r="F97" s="99"/>
      <c r="G97" s="96"/>
      <c r="H97" s="95"/>
      <c r="I97" s="95"/>
      <c r="J97" s="42" t="str">
        <f t="shared" si="2"/>
        <v/>
      </c>
      <c r="K97" s="22" t="b">
        <f t="shared" si="3"/>
        <v>0</v>
      </c>
      <c r="L97" s="115"/>
      <c r="M97" s="6"/>
      <c r="N97" s="6"/>
      <c r="O97" s="6"/>
    </row>
    <row r="98" spans="1:15" ht="17">
      <c r="A98" s="6"/>
      <c r="B98" s="95"/>
      <c r="C98" s="97"/>
      <c r="D98" s="96"/>
      <c r="E98" s="96"/>
      <c r="F98" s="99"/>
      <c r="G98" s="96"/>
      <c r="H98" s="95"/>
      <c r="I98" s="95"/>
      <c r="J98" s="42" t="str">
        <f t="shared" si="2"/>
        <v/>
      </c>
      <c r="K98" s="22" t="b">
        <f t="shared" si="3"/>
        <v>0</v>
      </c>
      <c r="L98" s="115"/>
      <c r="M98" s="6"/>
      <c r="N98" s="6"/>
      <c r="O98" s="6"/>
    </row>
    <row r="99" spans="1:15" ht="17">
      <c r="A99" s="6"/>
      <c r="B99" s="95"/>
      <c r="C99" s="97"/>
      <c r="D99" s="96"/>
      <c r="E99" s="96"/>
      <c r="F99" s="99"/>
      <c r="G99" s="96"/>
      <c r="H99" s="95"/>
      <c r="I99" s="95"/>
      <c r="J99" s="42" t="str">
        <f t="shared" si="2"/>
        <v/>
      </c>
      <c r="K99" s="22" t="b">
        <f t="shared" si="3"/>
        <v>0</v>
      </c>
      <c r="L99" s="115"/>
      <c r="M99" s="6"/>
      <c r="N99" s="6"/>
      <c r="O99" s="6"/>
    </row>
    <row r="100" spans="1:15" ht="17">
      <c r="A100" s="6"/>
      <c r="B100" s="95"/>
      <c r="C100" s="97"/>
      <c r="D100" s="96"/>
      <c r="E100" s="96"/>
      <c r="F100" s="99"/>
      <c r="G100" s="96"/>
      <c r="H100" s="95"/>
      <c r="I100" s="95"/>
      <c r="J100" s="42" t="str">
        <f t="shared" si="2"/>
        <v/>
      </c>
      <c r="K100" s="22" t="b">
        <f t="shared" si="3"/>
        <v>0</v>
      </c>
      <c r="L100" s="115"/>
      <c r="M100" s="6"/>
      <c r="N100" s="6"/>
      <c r="O100" s="6"/>
    </row>
    <row r="101" spans="1:15" ht="17">
      <c r="A101" s="6"/>
      <c r="B101" s="95" t="str">
        <f t="shared" ref="B101:B164" si="4">IF(C101="","","V"&amp;TEXT(ROW()-6,"00000"))</f>
        <v/>
      </c>
      <c r="C101" s="97"/>
      <c r="D101" s="96"/>
      <c r="E101" s="96"/>
      <c r="F101" s="99"/>
      <c r="G101" s="96"/>
      <c r="H101" s="95"/>
      <c r="I101" s="95"/>
      <c r="J101" s="42" t="str">
        <f t="shared" si="2"/>
        <v/>
      </c>
      <c r="K101" s="22" t="b">
        <f t="shared" si="3"/>
        <v>0</v>
      </c>
      <c r="L101" s="115"/>
      <c r="M101" s="6"/>
      <c r="N101" s="6"/>
      <c r="O101" s="6"/>
    </row>
    <row r="102" spans="1:15" ht="17">
      <c r="A102" s="6"/>
      <c r="B102" s="95" t="str">
        <f t="shared" si="4"/>
        <v/>
      </c>
      <c r="C102" s="97"/>
      <c r="D102" s="96"/>
      <c r="E102" s="96"/>
      <c r="F102" s="99"/>
      <c r="G102" s="96"/>
      <c r="H102" s="95"/>
      <c r="I102" s="95"/>
      <c r="J102" s="42" t="str">
        <f t="shared" si="2"/>
        <v/>
      </c>
      <c r="K102" s="22" t="b">
        <f t="shared" si="3"/>
        <v>0</v>
      </c>
      <c r="L102" s="115"/>
      <c r="M102" s="6"/>
      <c r="N102" s="6"/>
      <c r="O102" s="6"/>
    </row>
    <row r="103" spans="1:15" ht="17">
      <c r="A103" s="6"/>
      <c r="B103" s="95" t="str">
        <f t="shared" si="4"/>
        <v/>
      </c>
      <c r="C103" s="97"/>
      <c r="D103" s="96"/>
      <c r="E103" s="96"/>
      <c r="F103" s="99"/>
      <c r="G103" s="96"/>
      <c r="H103" s="95"/>
      <c r="I103" s="95"/>
      <c r="J103" s="42" t="str">
        <f t="shared" si="2"/>
        <v/>
      </c>
      <c r="K103" s="22" t="b">
        <f t="shared" si="3"/>
        <v>0</v>
      </c>
      <c r="L103" s="115"/>
      <c r="M103" s="6"/>
      <c r="N103" s="6"/>
      <c r="O103" s="6"/>
    </row>
    <row r="104" spans="1:15" ht="17">
      <c r="A104" s="6"/>
      <c r="B104" s="95" t="str">
        <f t="shared" si="4"/>
        <v/>
      </c>
      <c r="C104" s="97"/>
      <c r="D104" s="96"/>
      <c r="E104" s="96"/>
      <c r="F104" s="99"/>
      <c r="G104" s="96"/>
      <c r="H104" s="95"/>
      <c r="I104" s="95"/>
      <c r="J104" s="42" t="str">
        <f t="shared" si="2"/>
        <v/>
      </c>
      <c r="K104" s="22" t="b">
        <f t="shared" si="3"/>
        <v>0</v>
      </c>
      <c r="L104" s="115"/>
      <c r="M104" s="6"/>
      <c r="N104" s="6"/>
      <c r="O104" s="6"/>
    </row>
    <row r="105" spans="1:15" ht="17">
      <c r="A105" s="6"/>
      <c r="B105" s="95" t="str">
        <f t="shared" si="4"/>
        <v/>
      </c>
      <c r="C105" s="97"/>
      <c r="D105" s="96"/>
      <c r="E105" s="96"/>
      <c r="F105" s="99"/>
      <c r="G105" s="96"/>
      <c r="H105" s="95"/>
      <c r="I105" s="95"/>
      <c r="J105" s="42" t="str">
        <f t="shared" si="2"/>
        <v/>
      </c>
      <c r="K105" s="22" t="b">
        <f t="shared" si="3"/>
        <v>0</v>
      </c>
      <c r="L105" s="115"/>
      <c r="M105" s="6"/>
      <c r="N105" s="6"/>
      <c r="O105" s="6"/>
    </row>
    <row r="106" spans="1:15" ht="17">
      <c r="A106" s="6"/>
      <c r="B106" s="95" t="str">
        <f t="shared" si="4"/>
        <v/>
      </c>
      <c r="C106" s="97"/>
      <c r="D106" s="96"/>
      <c r="E106" s="96"/>
      <c r="F106" s="99"/>
      <c r="G106" s="96"/>
      <c r="H106" s="95"/>
      <c r="I106" s="95"/>
      <c r="J106" s="42" t="str">
        <f t="shared" si="2"/>
        <v/>
      </c>
      <c r="K106" s="22" t="b">
        <f t="shared" si="3"/>
        <v>0</v>
      </c>
      <c r="L106" s="115"/>
      <c r="M106" s="6"/>
      <c r="N106" s="6"/>
      <c r="O106" s="6"/>
    </row>
    <row r="107" spans="1:15" ht="17">
      <c r="A107" s="6"/>
      <c r="B107" s="95" t="str">
        <f t="shared" si="4"/>
        <v/>
      </c>
      <c r="C107" s="97"/>
      <c r="D107" s="96"/>
      <c r="E107" s="96"/>
      <c r="F107" s="99"/>
      <c r="G107" s="96"/>
      <c r="H107" s="95"/>
      <c r="I107" s="95"/>
      <c r="J107" s="42" t="str">
        <f t="shared" si="2"/>
        <v/>
      </c>
      <c r="K107" s="22" t="b">
        <f t="shared" si="3"/>
        <v>0</v>
      </c>
      <c r="L107" s="115"/>
      <c r="M107" s="6"/>
      <c r="N107" s="6"/>
      <c r="O107" s="6"/>
    </row>
    <row r="108" spans="1:15" ht="17">
      <c r="A108" s="6"/>
      <c r="B108" s="95" t="str">
        <f t="shared" si="4"/>
        <v/>
      </c>
      <c r="C108" s="97"/>
      <c r="D108" s="96"/>
      <c r="E108" s="96"/>
      <c r="F108" s="99"/>
      <c r="G108" s="96"/>
      <c r="H108" s="95"/>
      <c r="I108" s="95"/>
      <c r="J108" s="42" t="str">
        <f t="shared" si="2"/>
        <v/>
      </c>
      <c r="K108" s="22" t="b">
        <f t="shared" si="3"/>
        <v>0</v>
      </c>
      <c r="L108" s="115"/>
      <c r="M108" s="6"/>
      <c r="N108" s="6"/>
      <c r="O108" s="6"/>
    </row>
    <row r="109" spans="1:15" ht="17">
      <c r="A109" s="6"/>
      <c r="B109" s="95" t="str">
        <f t="shared" si="4"/>
        <v/>
      </c>
      <c r="C109" s="97"/>
      <c r="D109" s="96"/>
      <c r="E109" s="96"/>
      <c r="F109" s="99"/>
      <c r="G109" s="96"/>
      <c r="H109" s="95"/>
      <c r="I109" s="95"/>
      <c r="J109" s="42" t="str">
        <f t="shared" si="2"/>
        <v/>
      </c>
      <c r="K109" s="22" t="b">
        <f t="shared" si="3"/>
        <v>0</v>
      </c>
      <c r="L109" s="115"/>
      <c r="M109" s="6"/>
      <c r="N109" s="6"/>
      <c r="O109" s="6"/>
    </row>
    <row r="110" spans="1:15" ht="17">
      <c r="A110" s="6"/>
      <c r="B110" s="95" t="str">
        <f t="shared" si="4"/>
        <v/>
      </c>
      <c r="C110" s="97"/>
      <c r="D110" s="96"/>
      <c r="E110" s="96"/>
      <c r="F110" s="99"/>
      <c r="G110" s="96"/>
      <c r="H110" s="95"/>
      <c r="I110" s="95"/>
      <c r="J110" s="42" t="str">
        <f t="shared" si="2"/>
        <v/>
      </c>
      <c r="K110" s="22" t="b">
        <f t="shared" si="3"/>
        <v>0</v>
      </c>
      <c r="L110" s="115"/>
      <c r="M110" s="6"/>
      <c r="N110" s="6"/>
      <c r="O110" s="6"/>
    </row>
    <row r="111" spans="1:15" ht="17">
      <c r="A111" s="6"/>
      <c r="B111" s="95" t="str">
        <f t="shared" si="4"/>
        <v/>
      </c>
      <c r="C111" s="97"/>
      <c r="D111" s="96"/>
      <c r="E111" s="96"/>
      <c r="F111" s="99"/>
      <c r="G111" s="96"/>
      <c r="H111" s="95"/>
      <c r="I111" s="95"/>
      <c r="J111" s="42" t="str">
        <f t="shared" si="2"/>
        <v/>
      </c>
      <c r="K111" s="22" t="b">
        <f t="shared" si="3"/>
        <v>0</v>
      </c>
      <c r="L111" s="115"/>
      <c r="M111" s="6"/>
      <c r="N111" s="6"/>
      <c r="O111" s="6"/>
    </row>
    <row r="112" spans="1:15" ht="17">
      <c r="A112" s="6"/>
      <c r="B112" s="95" t="str">
        <f t="shared" si="4"/>
        <v/>
      </c>
      <c r="C112" s="97"/>
      <c r="D112" s="96"/>
      <c r="E112" s="96"/>
      <c r="F112" s="99"/>
      <c r="G112" s="96"/>
      <c r="H112" s="95"/>
      <c r="I112" s="95"/>
      <c r="J112" s="42" t="str">
        <f t="shared" si="2"/>
        <v/>
      </c>
      <c r="K112" s="22" t="b">
        <f t="shared" si="3"/>
        <v>0</v>
      </c>
      <c r="L112" s="115"/>
      <c r="M112" s="6"/>
      <c r="N112" s="6"/>
      <c r="O112" s="6"/>
    </row>
    <row r="113" spans="1:15" ht="17">
      <c r="A113" s="6"/>
      <c r="B113" s="95" t="str">
        <f t="shared" si="4"/>
        <v/>
      </c>
      <c r="C113" s="97"/>
      <c r="D113" s="96"/>
      <c r="E113" s="96"/>
      <c r="F113" s="99"/>
      <c r="G113" s="96"/>
      <c r="H113" s="95"/>
      <c r="I113" s="95"/>
      <c r="J113" s="42" t="str">
        <f t="shared" si="2"/>
        <v/>
      </c>
      <c r="K113" s="22" t="b">
        <f t="shared" si="3"/>
        <v>0</v>
      </c>
      <c r="L113" s="115"/>
      <c r="M113" s="6"/>
      <c r="N113" s="6"/>
      <c r="O113" s="6"/>
    </row>
    <row r="114" spans="1:15" ht="17">
      <c r="A114" s="6"/>
      <c r="B114" s="95" t="str">
        <f t="shared" si="4"/>
        <v/>
      </c>
      <c r="C114" s="97"/>
      <c r="D114" s="96"/>
      <c r="E114" s="96"/>
      <c r="F114" s="99"/>
      <c r="G114" s="96"/>
      <c r="H114" s="95"/>
      <c r="I114" s="95"/>
      <c r="J114" s="42" t="str">
        <f t="shared" si="2"/>
        <v/>
      </c>
      <c r="K114" s="22" t="b">
        <f t="shared" si="3"/>
        <v>0</v>
      </c>
      <c r="L114" s="115"/>
      <c r="M114" s="6"/>
      <c r="N114" s="6"/>
      <c r="O114" s="6"/>
    </row>
    <row r="115" spans="1:15" ht="17">
      <c r="A115" s="6"/>
      <c r="B115" s="95" t="str">
        <f t="shared" si="4"/>
        <v/>
      </c>
      <c r="C115" s="97"/>
      <c r="D115" s="96"/>
      <c r="E115" s="96"/>
      <c r="F115" s="99"/>
      <c r="G115" s="96"/>
      <c r="H115" s="95"/>
      <c r="I115" s="95"/>
      <c r="J115" s="42" t="str">
        <f t="shared" si="2"/>
        <v/>
      </c>
      <c r="K115" s="22" t="b">
        <f t="shared" si="3"/>
        <v>0</v>
      </c>
      <c r="L115" s="115"/>
      <c r="M115" s="6"/>
      <c r="N115" s="6"/>
      <c r="O115" s="6"/>
    </row>
    <row r="116" spans="1:15" ht="17">
      <c r="A116" s="6"/>
      <c r="B116" s="95" t="str">
        <f t="shared" si="4"/>
        <v/>
      </c>
      <c r="C116" s="97"/>
      <c r="D116" s="96"/>
      <c r="E116" s="96"/>
      <c r="F116" s="99"/>
      <c r="G116" s="96"/>
      <c r="H116" s="95"/>
      <c r="I116" s="95"/>
      <c r="J116" s="42" t="str">
        <f t="shared" si="2"/>
        <v/>
      </c>
      <c r="K116" s="22" t="b">
        <f t="shared" si="3"/>
        <v>0</v>
      </c>
      <c r="L116" s="115"/>
      <c r="M116" s="6"/>
      <c r="N116" s="6"/>
      <c r="O116" s="6"/>
    </row>
    <row r="117" spans="1:15" ht="17">
      <c r="A117" s="6"/>
      <c r="B117" s="95" t="str">
        <f t="shared" si="4"/>
        <v/>
      </c>
      <c r="C117" s="97"/>
      <c r="D117" s="96"/>
      <c r="E117" s="96"/>
      <c r="F117" s="99"/>
      <c r="G117" s="96"/>
      <c r="H117" s="95"/>
      <c r="I117" s="95"/>
      <c r="J117" s="42" t="str">
        <f t="shared" si="2"/>
        <v/>
      </c>
      <c r="K117" s="22" t="b">
        <f t="shared" si="3"/>
        <v>0</v>
      </c>
      <c r="L117" s="115"/>
      <c r="M117" s="6"/>
      <c r="N117" s="6"/>
      <c r="O117" s="6"/>
    </row>
    <row r="118" spans="1:15" ht="17">
      <c r="A118" s="6"/>
      <c r="B118" s="95" t="str">
        <f t="shared" si="4"/>
        <v/>
      </c>
      <c r="C118" s="97"/>
      <c r="D118" s="96"/>
      <c r="E118" s="96"/>
      <c r="F118" s="99"/>
      <c r="G118" s="96"/>
      <c r="H118" s="95"/>
      <c r="I118" s="95"/>
      <c r="J118" s="42" t="str">
        <f t="shared" si="2"/>
        <v/>
      </c>
      <c r="K118" s="22" t="b">
        <f t="shared" si="3"/>
        <v>0</v>
      </c>
      <c r="L118" s="115"/>
      <c r="M118" s="6"/>
      <c r="N118" s="6"/>
      <c r="O118" s="6"/>
    </row>
    <row r="119" spans="1:15" ht="17">
      <c r="A119" s="6"/>
      <c r="B119" s="95" t="str">
        <f t="shared" si="4"/>
        <v/>
      </c>
      <c r="C119" s="97"/>
      <c r="D119" s="96"/>
      <c r="E119" s="96"/>
      <c r="F119" s="99"/>
      <c r="G119" s="96"/>
      <c r="H119" s="95"/>
      <c r="I119" s="95"/>
      <c r="J119" s="42" t="str">
        <f t="shared" si="2"/>
        <v/>
      </c>
      <c r="K119" s="22" t="b">
        <f t="shared" si="3"/>
        <v>0</v>
      </c>
      <c r="L119" s="115"/>
      <c r="M119" s="6"/>
      <c r="N119" s="6"/>
      <c r="O119" s="6"/>
    </row>
    <row r="120" spans="1:15" ht="17">
      <c r="A120" s="6"/>
      <c r="B120" s="95" t="str">
        <f t="shared" si="4"/>
        <v/>
      </c>
      <c r="C120" s="97"/>
      <c r="D120" s="96"/>
      <c r="E120" s="96"/>
      <c r="F120" s="99"/>
      <c r="G120" s="96"/>
      <c r="H120" s="95"/>
      <c r="I120" s="95"/>
      <c r="J120" s="42" t="str">
        <f t="shared" si="2"/>
        <v/>
      </c>
      <c r="K120" s="22" t="b">
        <f t="shared" si="3"/>
        <v>0</v>
      </c>
      <c r="L120" s="115"/>
      <c r="M120" s="6"/>
      <c r="N120" s="6"/>
      <c r="O120" s="6"/>
    </row>
    <row r="121" spans="1:15" ht="17">
      <c r="A121" s="6"/>
      <c r="B121" s="95" t="str">
        <f t="shared" si="4"/>
        <v/>
      </c>
      <c r="C121" s="97"/>
      <c r="D121" s="96"/>
      <c r="E121" s="96"/>
      <c r="F121" s="99"/>
      <c r="G121" s="96"/>
      <c r="H121" s="95"/>
      <c r="I121" s="95"/>
      <c r="J121" s="42" t="str">
        <f t="shared" si="2"/>
        <v/>
      </c>
      <c r="K121" s="22" t="b">
        <f t="shared" si="3"/>
        <v>0</v>
      </c>
      <c r="L121" s="115"/>
      <c r="M121" s="6"/>
      <c r="N121" s="6"/>
      <c r="O121" s="6"/>
    </row>
    <row r="122" spans="1:15" ht="17">
      <c r="A122" s="6"/>
      <c r="B122" s="95" t="str">
        <f t="shared" si="4"/>
        <v/>
      </c>
      <c r="C122" s="97"/>
      <c r="D122" s="96"/>
      <c r="E122" s="96"/>
      <c r="F122" s="99"/>
      <c r="G122" s="96"/>
      <c r="H122" s="95"/>
      <c r="I122" s="95"/>
      <c r="J122" s="42" t="str">
        <f t="shared" si="2"/>
        <v/>
      </c>
      <c r="K122" s="22" t="b">
        <f t="shared" si="3"/>
        <v>0</v>
      </c>
      <c r="L122" s="115"/>
      <c r="M122" s="6"/>
      <c r="N122" s="6"/>
      <c r="O122" s="6"/>
    </row>
    <row r="123" spans="1:15" ht="17">
      <c r="A123" s="6"/>
      <c r="B123" s="95" t="str">
        <f t="shared" si="4"/>
        <v/>
      </c>
      <c r="C123" s="97"/>
      <c r="D123" s="96"/>
      <c r="E123" s="96"/>
      <c r="F123" s="99"/>
      <c r="G123" s="96"/>
      <c r="H123" s="95"/>
      <c r="I123" s="95"/>
      <c r="J123" s="42" t="str">
        <f t="shared" si="2"/>
        <v/>
      </c>
      <c r="K123" s="22" t="b">
        <f t="shared" si="3"/>
        <v>0</v>
      </c>
      <c r="L123" s="115"/>
      <c r="M123" s="6"/>
      <c r="N123" s="6"/>
      <c r="O123" s="6"/>
    </row>
    <row r="124" spans="1:15" ht="17">
      <c r="A124" s="6"/>
      <c r="B124" s="95" t="str">
        <f t="shared" si="4"/>
        <v/>
      </c>
      <c r="C124" s="97"/>
      <c r="D124" s="96"/>
      <c r="E124" s="96"/>
      <c r="F124" s="99"/>
      <c r="G124" s="96"/>
      <c r="H124" s="95"/>
      <c r="I124" s="95"/>
      <c r="J124" s="42" t="str">
        <f t="shared" si="2"/>
        <v/>
      </c>
      <c r="K124" s="22" t="b">
        <f t="shared" si="3"/>
        <v>0</v>
      </c>
      <c r="L124" s="115"/>
      <c r="M124" s="6"/>
      <c r="N124" s="6"/>
      <c r="O124" s="6"/>
    </row>
    <row r="125" spans="1:15" ht="17">
      <c r="A125" s="6"/>
      <c r="B125" s="95" t="str">
        <f t="shared" si="4"/>
        <v/>
      </c>
      <c r="C125" s="97"/>
      <c r="D125" s="96"/>
      <c r="E125" s="96"/>
      <c r="F125" s="99"/>
      <c r="G125" s="96"/>
      <c r="H125" s="95"/>
      <c r="I125" s="95"/>
      <c r="J125" s="42" t="str">
        <f t="shared" si="2"/>
        <v/>
      </c>
      <c r="K125" s="22" t="b">
        <f t="shared" si="3"/>
        <v>0</v>
      </c>
      <c r="L125" s="115"/>
      <c r="M125" s="6"/>
      <c r="N125" s="6"/>
      <c r="O125" s="6"/>
    </row>
    <row r="126" spans="1:15" ht="17">
      <c r="A126" s="6"/>
      <c r="B126" s="95" t="str">
        <f t="shared" si="4"/>
        <v/>
      </c>
      <c r="C126" s="97"/>
      <c r="D126" s="96"/>
      <c r="E126" s="96"/>
      <c r="F126" s="99"/>
      <c r="G126" s="96"/>
      <c r="H126" s="95"/>
      <c r="I126" s="95"/>
      <c r="J126" s="42" t="str">
        <f t="shared" si="2"/>
        <v/>
      </c>
      <c r="K126" s="22" t="b">
        <f t="shared" si="3"/>
        <v>0</v>
      </c>
      <c r="L126" s="115"/>
      <c r="M126" s="6"/>
      <c r="N126" s="6"/>
      <c r="O126" s="6"/>
    </row>
    <row r="127" spans="1:15" ht="17">
      <c r="A127" s="6"/>
      <c r="B127" s="95" t="str">
        <f t="shared" si="4"/>
        <v/>
      </c>
      <c r="C127" s="97"/>
      <c r="D127" s="96"/>
      <c r="E127" s="96"/>
      <c r="F127" s="99"/>
      <c r="G127" s="96"/>
      <c r="H127" s="95"/>
      <c r="I127" s="95"/>
      <c r="J127" s="42" t="str">
        <f t="shared" si="2"/>
        <v/>
      </c>
      <c r="K127" s="22" t="b">
        <f t="shared" si="3"/>
        <v>0</v>
      </c>
      <c r="L127" s="115"/>
      <c r="M127" s="6"/>
      <c r="N127" s="6"/>
      <c r="O127" s="6"/>
    </row>
    <row r="128" spans="1:15" ht="17">
      <c r="A128" s="6"/>
      <c r="B128" s="95" t="str">
        <f t="shared" si="4"/>
        <v/>
      </c>
      <c r="C128" s="97"/>
      <c r="D128" s="96"/>
      <c r="E128" s="96"/>
      <c r="F128" s="99"/>
      <c r="G128" s="96"/>
      <c r="H128" s="95"/>
      <c r="I128" s="95"/>
      <c r="J128" s="42" t="str">
        <f t="shared" si="2"/>
        <v/>
      </c>
      <c r="K128" s="22" t="b">
        <f t="shared" si="3"/>
        <v>0</v>
      </c>
      <c r="L128" s="115"/>
      <c r="M128" s="6"/>
      <c r="N128" s="6"/>
      <c r="O128" s="6"/>
    </row>
    <row r="129" spans="1:15" ht="17">
      <c r="A129" s="6"/>
      <c r="B129" s="95" t="str">
        <f t="shared" si="4"/>
        <v/>
      </c>
      <c r="C129" s="97"/>
      <c r="D129" s="96"/>
      <c r="E129" s="96"/>
      <c r="F129" s="99"/>
      <c r="G129" s="96"/>
      <c r="H129" s="95"/>
      <c r="I129" s="95"/>
      <c r="J129" s="42" t="str">
        <f t="shared" si="2"/>
        <v/>
      </c>
      <c r="K129" s="22" t="b">
        <f t="shared" si="3"/>
        <v>0</v>
      </c>
      <c r="L129" s="115"/>
      <c r="M129" s="6"/>
      <c r="N129" s="6"/>
      <c r="O129" s="6"/>
    </row>
    <row r="130" spans="1:15" ht="17">
      <c r="A130" s="6"/>
      <c r="B130" s="95" t="str">
        <f t="shared" si="4"/>
        <v/>
      </c>
      <c r="C130" s="97"/>
      <c r="D130" s="96"/>
      <c r="E130" s="96"/>
      <c r="F130" s="99"/>
      <c r="G130" s="96"/>
      <c r="H130" s="95"/>
      <c r="I130" s="95"/>
      <c r="J130" s="42" t="str">
        <f t="shared" si="2"/>
        <v/>
      </c>
      <c r="K130" s="22" t="b">
        <f t="shared" si="3"/>
        <v>0</v>
      </c>
      <c r="L130" s="115"/>
      <c r="M130" s="6"/>
      <c r="N130" s="6"/>
      <c r="O130" s="6"/>
    </row>
    <row r="131" spans="1:15" ht="17">
      <c r="A131" s="6"/>
      <c r="B131" s="95" t="str">
        <f t="shared" si="4"/>
        <v/>
      </c>
      <c r="C131" s="97"/>
      <c r="D131" s="96"/>
      <c r="E131" s="96"/>
      <c r="F131" s="99"/>
      <c r="G131" s="96"/>
      <c r="H131" s="95"/>
      <c r="I131" s="95"/>
      <c r="J131" s="42" t="str">
        <f t="shared" si="2"/>
        <v/>
      </c>
      <c r="K131" s="22" t="b">
        <f t="shared" si="3"/>
        <v>0</v>
      </c>
      <c r="L131" s="115"/>
      <c r="M131" s="6"/>
      <c r="N131" s="6"/>
      <c r="O131" s="6"/>
    </row>
    <row r="132" spans="1:15" ht="17">
      <c r="A132" s="6"/>
      <c r="B132" s="95" t="str">
        <f t="shared" si="4"/>
        <v/>
      </c>
      <c r="C132" s="97"/>
      <c r="D132" s="96"/>
      <c r="E132" s="96"/>
      <c r="F132" s="99"/>
      <c r="G132" s="96"/>
      <c r="H132" s="95"/>
      <c r="I132" s="95"/>
      <c r="J132" s="42" t="str">
        <f t="shared" si="2"/>
        <v/>
      </c>
      <c r="K132" s="22" t="b">
        <f t="shared" si="3"/>
        <v>0</v>
      </c>
      <c r="L132" s="115"/>
      <c r="M132" s="6"/>
      <c r="N132" s="6"/>
      <c r="O132" s="6"/>
    </row>
    <row r="133" spans="1:15" ht="17">
      <c r="A133" s="6"/>
      <c r="B133" s="95" t="str">
        <f t="shared" si="4"/>
        <v/>
      </c>
      <c r="C133" s="97"/>
      <c r="D133" s="96"/>
      <c r="E133" s="96"/>
      <c r="F133" s="99"/>
      <c r="G133" s="96"/>
      <c r="H133" s="95"/>
      <c r="I133" s="95"/>
      <c r="J133" s="42" t="str">
        <f t="shared" si="2"/>
        <v/>
      </c>
      <c r="K133" s="22" t="b">
        <f t="shared" si="3"/>
        <v>0</v>
      </c>
      <c r="L133" s="115"/>
      <c r="M133" s="6"/>
      <c r="N133" s="6"/>
      <c r="O133" s="6"/>
    </row>
    <row r="134" spans="1:15" ht="17">
      <c r="A134" s="6"/>
      <c r="B134" s="95" t="str">
        <f t="shared" si="4"/>
        <v/>
      </c>
      <c r="C134" s="97"/>
      <c r="D134" s="96"/>
      <c r="E134" s="96"/>
      <c r="F134" s="99"/>
      <c r="G134" s="96"/>
      <c r="H134" s="95"/>
      <c r="I134" s="95"/>
      <c r="J134" s="42" t="str">
        <f t="shared" si="2"/>
        <v/>
      </c>
      <c r="K134" s="22" t="b">
        <f t="shared" si="3"/>
        <v>0</v>
      </c>
      <c r="L134" s="115"/>
      <c r="M134" s="6"/>
      <c r="N134" s="6"/>
      <c r="O134" s="6"/>
    </row>
    <row r="135" spans="1:15" ht="17">
      <c r="A135" s="6"/>
      <c r="B135" s="95" t="str">
        <f t="shared" si="4"/>
        <v/>
      </c>
      <c r="C135" s="97"/>
      <c r="D135" s="96"/>
      <c r="E135" s="96"/>
      <c r="F135" s="99"/>
      <c r="G135" s="96"/>
      <c r="H135" s="95"/>
      <c r="I135" s="95"/>
      <c r="J135" s="42" t="str">
        <f t="shared" ref="J135:J198" si="5">IF(C135="","",IF(OR(D135="",E135="",F135=""),"EKSİK",IF(D135=E135,"AYNI HESAP OLAMAZ",IF(AND(D135="MERKEZ KASA",E135="ÖMER KARTAL",K135),"YANLIŞ VIRMAN","UYGUN"))))</f>
        <v/>
      </c>
      <c r="K135" s="22" t="b">
        <f t="shared" ref="K135:K198" si="6">OR(ISNUMBER(SEARCH("MUHASEBE ÜCRETİ",G135&amp;"")),ISNUMBER(SEARCH("SGK",G135&amp;"")),ISNUMBER(SEARCH("MENDERES MAHSUP",G135&amp;"")),ISNUMBER(SEARCH("GRAND 06 ÖMER BAKİYE",G135&amp;"")))</f>
        <v>0</v>
      </c>
      <c r="L135" s="115"/>
      <c r="M135" s="6"/>
      <c r="N135" s="6"/>
      <c r="O135" s="6"/>
    </row>
    <row r="136" spans="1:15" ht="17">
      <c r="A136" s="6"/>
      <c r="B136" s="95" t="str">
        <f t="shared" si="4"/>
        <v/>
      </c>
      <c r="C136" s="97"/>
      <c r="D136" s="96"/>
      <c r="E136" s="96"/>
      <c r="F136" s="99"/>
      <c r="G136" s="96"/>
      <c r="H136" s="95"/>
      <c r="I136" s="95"/>
      <c r="J136" s="42" t="str">
        <f t="shared" si="5"/>
        <v/>
      </c>
      <c r="K136" s="22" t="b">
        <f t="shared" si="6"/>
        <v>0</v>
      </c>
      <c r="L136" s="115"/>
      <c r="M136" s="6"/>
      <c r="N136" s="6"/>
      <c r="O136" s="6"/>
    </row>
    <row r="137" spans="1:15" ht="17">
      <c r="A137" s="6"/>
      <c r="B137" s="95" t="str">
        <f t="shared" si="4"/>
        <v/>
      </c>
      <c r="C137" s="97"/>
      <c r="D137" s="96"/>
      <c r="E137" s="96"/>
      <c r="F137" s="99"/>
      <c r="G137" s="96"/>
      <c r="H137" s="95"/>
      <c r="I137" s="95"/>
      <c r="J137" s="42" t="str">
        <f t="shared" si="5"/>
        <v/>
      </c>
      <c r="K137" s="22" t="b">
        <f t="shared" si="6"/>
        <v>0</v>
      </c>
      <c r="L137" s="115"/>
      <c r="M137" s="6"/>
      <c r="N137" s="6"/>
      <c r="O137" s="6"/>
    </row>
    <row r="138" spans="1:15" ht="17">
      <c r="A138" s="6"/>
      <c r="B138" s="95" t="str">
        <f t="shared" si="4"/>
        <v/>
      </c>
      <c r="C138" s="97"/>
      <c r="D138" s="96"/>
      <c r="E138" s="96"/>
      <c r="F138" s="99"/>
      <c r="G138" s="96"/>
      <c r="H138" s="95"/>
      <c r="I138" s="95"/>
      <c r="J138" s="42" t="str">
        <f t="shared" si="5"/>
        <v/>
      </c>
      <c r="K138" s="22" t="b">
        <f t="shared" si="6"/>
        <v>0</v>
      </c>
      <c r="L138" s="115"/>
      <c r="M138" s="6"/>
      <c r="N138" s="6"/>
      <c r="O138" s="6"/>
    </row>
    <row r="139" spans="1:15" ht="17">
      <c r="A139" s="6"/>
      <c r="B139" s="95" t="str">
        <f t="shared" si="4"/>
        <v/>
      </c>
      <c r="C139" s="97"/>
      <c r="D139" s="96"/>
      <c r="E139" s="96"/>
      <c r="F139" s="99"/>
      <c r="G139" s="96"/>
      <c r="H139" s="95"/>
      <c r="I139" s="95"/>
      <c r="J139" s="42" t="str">
        <f t="shared" si="5"/>
        <v/>
      </c>
      <c r="K139" s="22" t="b">
        <f t="shared" si="6"/>
        <v>0</v>
      </c>
      <c r="L139" s="115"/>
      <c r="M139" s="6"/>
      <c r="N139" s="6"/>
      <c r="O139" s="6"/>
    </row>
    <row r="140" spans="1:15" ht="17">
      <c r="A140" s="6"/>
      <c r="B140" s="95" t="str">
        <f t="shared" si="4"/>
        <v/>
      </c>
      <c r="C140" s="97"/>
      <c r="D140" s="96"/>
      <c r="E140" s="96"/>
      <c r="F140" s="99"/>
      <c r="G140" s="96"/>
      <c r="H140" s="95"/>
      <c r="I140" s="95"/>
      <c r="J140" s="42" t="str">
        <f t="shared" si="5"/>
        <v/>
      </c>
      <c r="K140" s="22" t="b">
        <f t="shared" si="6"/>
        <v>0</v>
      </c>
      <c r="L140" s="115"/>
      <c r="M140" s="6"/>
      <c r="N140" s="6"/>
      <c r="O140" s="6"/>
    </row>
    <row r="141" spans="1:15" ht="17">
      <c r="A141" s="6"/>
      <c r="B141" s="95" t="str">
        <f t="shared" si="4"/>
        <v/>
      </c>
      <c r="C141" s="97"/>
      <c r="D141" s="96"/>
      <c r="E141" s="96"/>
      <c r="F141" s="99"/>
      <c r="G141" s="96"/>
      <c r="H141" s="95"/>
      <c r="I141" s="95"/>
      <c r="J141" s="42" t="str">
        <f t="shared" si="5"/>
        <v/>
      </c>
      <c r="K141" s="22" t="b">
        <f t="shared" si="6"/>
        <v>0</v>
      </c>
      <c r="L141" s="115"/>
      <c r="M141" s="6"/>
      <c r="N141" s="6"/>
      <c r="O141" s="6"/>
    </row>
    <row r="142" spans="1:15" ht="17">
      <c r="A142" s="6"/>
      <c r="B142" s="95" t="str">
        <f t="shared" si="4"/>
        <v/>
      </c>
      <c r="C142" s="97"/>
      <c r="D142" s="96"/>
      <c r="E142" s="96"/>
      <c r="F142" s="99"/>
      <c r="G142" s="96"/>
      <c r="H142" s="95"/>
      <c r="I142" s="95"/>
      <c r="J142" s="42" t="str">
        <f t="shared" si="5"/>
        <v/>
      </c>
      <c r="K142" s="22" t="b">
        <f t="shared" si="6"/>
        <v>0</v>
      </c>
      <c r="L142" s="115"/>
      <c r="M142" s="6"/>
      <c r="N142" s="6"/>
      <c r="O142" s="6"/>
    </row>
    <row r="143" spans="1:15" ht="17">
      <c r="A143" s="6"/>
      <c r="B143" s="95" t="str">
        <f t="shared" si="4"/>
        <v/>
      </c>
      <c r="C143" s="97"/>
      <c r="D143" s="96"/>
      <c r="E143" s="96"/>
      <c r="F143" s="99"/>
      <c r="G143" s="96"/>
      <c r="H143" s="95"/>
      <c r="I143" s="95"/>
      <c r="J143" s="42" t="str">
        <f t="shared" si="5"/>
        <v/>
      </c>
      <c r="K143" s="22" t="b">
        <f t="shared" si="6"/>
        <v>0</v>
      </c>
      <c r="L143" s="115"/>
      <c r="M143" s="6"/>
      <c r="N143" s="6"/>
      <c r="O143" s="6"/>
    </row>
    <row r="144" spans="1:15" ht="17">
      <c r="A144" s="6"/>
      <c r="B144" s="95" t="str">
        <f t="shared" si="4"/>
        <v/>
      </c>
      <c r="C144" s="97"/>
      <c r="D144" s="96"/>
      <c r="E144" s="96"/>
      <c r="F144" s="99"/>
      <c r="G144" s="96"/>
      <c r="H144" s="95"/>
      <c r="I144" s="95"/>
      <c r="J144" s="42" t="str">
        <f t="shared" si="5"/>
        <v/>
      </c>
      <c r="K144" s="22" t="b">
        <f t="shared" si="6"/>
        <v>0</v>
      </c>
      <c r="L144" s="115"/>
      <c r="M144" s="6"/>
      <c r="N144" s="6"/>
      <c r="O144" s="6"/>
    </row>
    <row r="145" spans="1:15" ht="17">
      <c r="A145" s="6"/>
      <c r="B145" s="95" t="str">
        <f t="shared" si="4"/>
        <v/>
      </c>
      <c r="C145" s="97"/>
      <c r="D145" s="96"/>
      <c r="E145" s="96"/>
      <c r="F145" s="99"/>
      <c r="G145" s="96"/>
      <c r="H145" s="95"/>
      <c r="I145" s="95"/>
      <c r="J145" s="42" t="str">
        <f t="shared" si="5"/>
        <v/>
      </c>
      <c r="K145" s="22" t="b">
        <f t="shared" si="6"/>
        <v>0</v>
      </c>
      <c r="L145" s="115"/>
      <c r="M145" s="6"/>
      <c r="N145" s="6"/>
      <c r="O145" s="6"/>
    </row>
    <row r="146" spans="1:15" ht="17">
      <c r="A146" s="6"/>
      <c r="B146" s="95" t="str">
        <f t="shared" si="4"/>
        <v/>
      </c>
      <c r="C146" s="97"/>
      <c r="D146" s="96"/>
      <c r="E146" s="96"/>
      <c r="F146" s="99"/>
      <c r="G146" s="96"/>
      <c r="H146" s="95"/>
      <c r="I146" s="95"/>
      <c r="J146" s="42" t="str">
        <f t="shared" si="5"/>
        <v/>
      </c>
      <c r="K146" s="22" t="b">
        <f t="shared" si="6"/>
        <v>0</v>
      </c>
      <c r="L146" s="115"/>
      <c r="M146" s="6"/>
      <c r="N146" s="6"/>
      <c r="O146" s="6"/>
    </row>
    <row r="147" spans="1:15" ht="17">
      <c r="A147" s="6"/>
      <c r="B147" s="95" t="str">
        <f t="shared" si="4"/>
        <v/>
      </c>
      <c r="C147" s="97"/>
      <c r="D147" s="96"/>
      <c r="E147" s="96"/>
      <c r="F147" s="99"/>
      <c r="G147" s="96"/>
      <c r="H147" s="95"/>
      <c r="I147" s="95"/>
      <c r="J147" s="42" t="str">
        <f t="shared" si="5"/>
        <v/>
      </c>
      <c r="K147" s="22" t="b">
        <f t="shared" si="6"/>
        <v>0</v>
      </c>
      <c r="L147" s="115"/>
      <c r="M147" s="6"/>
      <c r="N147" s="6"/>
      <c r="O147" s="6"/>
    </row>
    <row r="148" spans="1:15" ht="17">
      <c r="A148" s="6"/>
      <c r="B148" s="95" t="str">
        <f t="shared" si="4"/>
        <v/>
      </c>
      <c r="C148" s="97"/>
      <c r="D148" s="96"/>
      <c r="E148" s="96"/>
      <c r="F148" s="99"/>
      <c r="G148" s="96"/>
      <c r="H148" s="95"/>
      <c r="I148" s="95"/>
      <c r="J148" s="42" t="str">
        <f t="shared" si="5"/>
        <v/>
      </c>
      <c r="K148" s="22" t="b">
        <f t="shared" si="6"/>
        <v>0</v>
      </c>
      <c r="L148" s="115"/>
      <c r="M148" s="6"/>
      <c r="N148" s="6"/>
      <c r="O148" s="6"/>
    </row>
    <row r="149" spans="1:15" ht="17">
      <c r="A149" s="6"/>
      <c r="B149" s="95" t="str">
        <f t="shared" si="4"/>
        <v/>
      </c>
      <c r="C149" s="97"/>
      <c r="D149" s="96"/>
      <c r="E149" s="96"/>
      <c r="F149" s="99"/>
      <c r="G149" s="96"/>
      <c r="H149" s="95"/>
      <c r="I149" s="95"/>
      <c r="J149" s="42" t="str">
        <f t="shared" si="5"/>
        <v/>
      </c>
      <c r="K149" s="22" t="b">
        <f t="shared" si="6"/>
        <v>0</v>
      </c>
      <c r="L149" s="115"/>
      <c r="M149" s="6"/>
      <c r="N149" s="6"/>
      <c r="O149" s="6"/>
    </row>
    <row r="150" spans="1:15" ht="17">
      <c r="A150" s="6"/>
      <c r="B150" s="95" t="str">
        <f t="shared" si="4"/>
        <v/>
      </c>
      <c r="C150" s="97"/>
      <c r="D150" s="96"/>
      <c r="E150" s="96"/>
      <c r="F150" s="99"/>
      <c r="G150" s="96"/>
      <c r="H150" s="95"/>
      <c r="I150" s="95"/>
      <c r="J150" s="42" t="str">
        <f t="shared" si="5"/>
        <v/>
      </c>
      <c r="K150" s="22" t="b">
        <f t="shared" si="6"/>
        <v>0</v>
      </c>
      <c r="L150" s="115"/>
      <c r="M150" s="6"/>
      <c r="N150" s="6"/>
      <c r="O150" s="6"/>
    </row>
    <row r="151" spans="1:15" ht="17">
      <c r="A151" s="6"/>
      <c r="B151" s="95" t="str">
        <f t="shared" si="4"/>
        <v/>
      </c>
      <c r="C151" s="97"/>
      <c r="D151" s="96"/>
      <c r="E151" s="96"/>
      <c r="F151" s="99"/>
      <c r="G151" s="96"/>
      <c r="H151" s="95"/>
      <c r="I151" s="95"/>
      <c r="J151" s="42" t="str">
        <f t="shared" si="5"/>
        <v/>
      </c>
      <c r="K151" s="22" t="b">
        <f t="shared" si="6"/>
        <v>0</v>
      </c>
      <c r="L151" s="115"/>
      <c r="M151" s="6"/>
      <c r="N151" s="6"/>
      <c r="O151" s="6"/>
    </row>
    <row r="152" spans="1:15" ht="17">
      <c r="A152" s="6"/>
      <c r="B152" s="95" t="str">
        <f t="shared" si="4"/>
        <v/>
      </c>
      <c r="C152" s="97"/>
      <c r="D152" s="96"/>
      <c r="E152" s="96"/>
      <c r="F152" s="99"/>
      <c r="G152" s="96"/>
      <c r="H152" s="95"/>
      <c r="I152" s="95"/>
      <c r="J152" s="42" t="str">
        <f t="shared" si="5"/>
        <v/>
      </c>
      <c r="K152" s="22" t="b">
        <f t="shared" si="6"/>
        <v>0</v>
      </c>
      <c r="L152" s="115"/>
      <c r="M152" s="6"/>
      <c r="N152" s="6"/>
      <c r="O152" s="6"/>
    </row>
    <row r="153" spans="1:15" ht="17">
      <c r="A153" s="6"/>
      <c r="B153" s="95" t="str">
        <f t="shared" si="4"/>
        <v/>
      </c>
      <c r="C153" s="97"/>
      <c r="D153" s="96"/>
      <c r="E153" s="96"/>
      <c r="F153" s="99"/>
      <c r="G153" s="96"/>
      <c r="H153" s="95"/>
      <c r="I153" s="95"/>
      <c r="J153" s="42" t="str">
        <f t="shared" si="5"/>
        <v/>
      </c>
      <c r="K153" s="22" t="b">
        <f t="shared" si="6"/>
        <v>0</v>
      </c>
      <c r="L153" s="115"/>
      <c r="M153" s="6"/>
      <c r="N153" s="6"/>
      <c r="O153" s="6"/>
    </row>
    <row r="154" spans="1:15" ht="17">
      <c r="A154" s="6"/>
      <c r="B154" s="95" t="str">
        <f t="shared" si="4"/>
        <v/>
      </c>
      <c r="C154" s="97"/>
      <c r="D154" s="96"/>
      <c r="E154" s="96"/>
      <c r="F154" s="99"/>
      <c r="G154" s="96"/>
      <c r="H154" s="95"/>
      <c r="I154" s="95"/>
      <c r="J154" s="42" t="str">
        <f t="shared" si="5"/>
        <v/>
      </c>
      <c r="K154" s="22" t="b">
        <f t="shared" si="6"/>
        <v>0</v>
      </c>
      <c r="L154" s="115"/>
      <c r="M154" s="6"/>
      <c r="N154" s="6"/>
      <c r="O154" s="6"/>
    </row>
    <row r="155" spans="1:15" ht="17">
      <c r="A155" s="6"/>
      <c r="B155" s="95" t="str">
        <f t="shared" si="4"/>
        <v/>
      </c>
      <c r="C155" s="97"/>
      <c r="D155" s="96"/>
      <c r="E155" s="96"/>
      <c r="F155" s="99"/>
      <c r="G155" s="96"/>
      <c r="H155" s="95"/>
      <c r="I155" s="95"/>
      <c r="J155" s="42" t="str">
        <f t="shared" si="5"/>
        <v/>
      </c>
      <c r="K155" s="22" t="b">
        <f t="shared" si="6"/>
        <v>0</v>
      </c>
      <c r="L155" s="115"/>
      <c r="M155" s="6"/>
      <c r="N155" s="6"/>
      <c r="O155" s="6"/>
    </row>
    <row r="156" spans="1:15" ht="17">
      <c r="A156" s="6"/>
      <c r="B156" s="95" t="str">
        <f t="shared" si="4"/>
        <v/>
      </c>
      <c r="C156" s="97"/>
      <c r="D156" s="96"/>
      <c r="E156" s="96"/>
      <c r="F156" s="99"/>
      <c r="G156" s="96"/>
      <c r="H156" s="95"/>
      <c r="I156" s="95"/>
      <c r="J156" s="42" t="str">
        <f t="shared" si="5"/>
        <v/>
      </c>
      <c r="K156" s="22" t="b">
        <f t="shared" si="6"/>
        <v>0</v>
      </c>
      <c r="L156" s="115"/>
      <c r="M156" s="6"/>
      <c r="N156" s="6"/>
      <c r="O156" s="6"/>
    </row>
    <row r="157" spans="1:15" ht="17">
      <c r="A157" s="6"/>
      <c r="B157" s="95" t="str">
        <f t="shared" si="4"/>
        <v/>
      </c>
      <c r="C157" s="97"/>
      <c r="D157" s="96"/>
      <c r="E157" s="96"/>
      <c r="F157" s="99"/>
      <c r="G157" s="96"/>
      <c r="H157" s="95"/>
      <c r="I157" s="95"/>
      <c r="J157" s="42" t="str">
        <f t="shared" si="5"/>
        <v/>
      </c>
      <c r="K157" s="22" t="b">
        <f t="shared" si="6"/>
        <v>0</v>
      </c>
      <c r="L157" s="115"/>
      <c r="M157" s="6"/>
      <c r="N157" s="6"/>
      <c r="O157" s="6"/>
    </row>
    <row r="158" spans="1:15" ht="17">
      <c r="A158" s="6"/>
      <c r="B158" s="95" t="str">
        <f t="shared" si="4"/>
        <v/>
      </c>
      <c r="C158" s="97"/>
      <c r="D158" s="96"/>
      <c r="E158" s="96"/>
      <c r="F158" s="99"/>
      <c r="G158" s="96"/>
      <c r="H158" s="95"/>
      <c r="I158" s="95"/>
      <c r="J158" s="42" t="str">
        <f t="shared" si="5"/>
        <v/>
      </c>
      <c r="K158" s="22" t="b">
        <f t="shared" si="6"/>
        <v>0</v>
      </c>
      <c r="L158" s="115"/>
      <c r="M158" s="6"/>
      <c r="N158" s="6"/>
      <c r="O158" s="6"/>
    </row>
    <row r="159" spans="1:15" ht="17">
      <c r="A159" s="6"/>
      <c r="B159" s="95" t="str">
        <f t="shared" si="4"/>
        <v/>
      </c>
      <c r="C159" s="97"/>
      <c r="D159" s="96"/>
      <c r="E159" s="96"/>
      <c r="F159" s="99"/>
      <c r="G159" s="96"/>
      <c r="H159" s="95"/>
      <c r="I159" s="95"/>
      <c r="J159" s="42" t="str">
        <f t="shared" si="5"/>
        <v/>
      </c>
      <c r="K159" s="22" t="b">
        <f t="shared" si="6"/>
        <v>0</v>
      </c>
      <c r="L159" s="115"/>
      <c r="M159" s="6"/>
      <c r="N159" s="6"/>
      <c r="O159" s="6"/>
    </row>
    <row r="160" spans="1:15" ht="17">
      <c r="A160" s="6"/>
      <c r="B160" s="95" t="str">
        <f t="shared" si="4"/>
        <v/>
      </c>
      <c r="C160" s="97"/>
      <c r="D160" s="96"/>
      <c r="E160" s="96"/>
      <c r="F160" s="99"/>
      <c r="G160" s="96"/>
      <c r="H160" s="95"/>
      <c r="I160" s="95"/>
      <c r="J160" s="42" t="str">
        <f t="shared" si="5"/>
        <v/>
      </c>
      <c r="K160" s="22" t="b">
        <f t="shared" si="6"/>
        <v>0</v>
      </c>
      <c r="L160" s="115"/>
      <c r="M160" s="6"/>
      <c r="N160" s="6"/>
      <c r="O160" s="6"/>
    </row>
    <row r="161" spans="1:15" ht="17">
      <c r="A161" s="6"/>
      <c r="B161" s="95" t="str">
        <f t="shared" si="4"/>
        <v/>
      </c>
      <c r="C161" s="97"/>
      <c r="D161" s="96"/>
      <c r="E161" s="96"/>
      <c r="F161" s="99"/>
      <c r="G161" s="96"/>
      <c r="H161" s="95"/>
      <c r="I161" s="95"/>
      <c r="J161" s="42" t="str">
        <f t="shared" si="5"/>
        <v/>
      </c>
      <c r="K161" s="22" t="b">
        <f t="shared" si="6"/>
        <v>0</v>
      </c>
      <c r="L161" s="115"/>
      <c r="M161" s="6"/>
      <c r="N161" s="6"/>
      <c r="O161" s="6"/>
    </row>
    <row r="162" spans="1:15" ht="17">
      <c r="A162" s="6"/>
      <c r="B162" s="95" t="str">
        <f t="shared" si="4"/>
        <v/>
      </c>
      <c r="C162" s="97"/>
      <c r="D162" s="96"/>
      <c r="E162" s="96"/>
      <c r="F162" s="99"/>
      <c r="G162" s="96"/>
      <c r="H162" s="95"/>
      <c r="I162" s="95"/>
      <c r="J162" s="42" t="str">
        <f t="shared" si="5"/>
        <v/>
      </c>
      <c r="K162" s="22" t="b">
        <f t="shared" si="6"/>
        <v>0</v>
      </c>
      <c r="L162" s="115"/>
      <c r="M162" s="6"/>
      <c r="N162" s="6"/>
      <c r="O162" s="6"/>
    </row>
    <row r="163" spans="1:15" ht="17">
      <c r="A163" s="6"/>
      <c r="B163" s="95" t="str">
        <f t="shared" si="4"/>
        <v/>
      </c>
      <c r="C163" s="97"/>
      <c r="D163" s="96"/>
      <c r="E163" s="96"/>
      <c r="F163" s="99"/>
      <c r="G163" s="96"/>
      <c r="H163" s="95"/>
      <c r="I163" s="95"/>
      <c r="J163" s="42" t="str">
        <f t="shared" si="5"/>
        <v/>
      </c>
      <c r="K163" s="22" t="b">
        <f t="shared" si="6"/>
        <v>0</v>
      </c>
      <c r="L163" s="115"/>
      <c r="M163" s="6"/>
      <c r="N163" s="6"/>
      <c r="O163" s="6"/>
    </row>
    <row r="164" spans="1:15" ht="17">
      <c r="A164" s="6"/>
      <c r="B164" s="95" t="str">
        <f t="shared" si="4"/>
        <v/>
      </c>
      <c r="C164" s="97"/>
      <c r="D164" s="96"/>
      <c r="E164" s="96"/>
      <c r="F164" s="99"/>
      <c r="G164" s="96"/>
      <c r="H164" s="95"/>
      <c r="I164" s="95"/>
      <c r="J164" s="42" t="str">
        <f t="shared" si="5"/>
        <v/>
      </c>
      <c r="K164" s="22" t="b">
        <f t="shared" si="6"/>
        <v>0</v>
      </c>
      <c r="L164" s="115"/>
      <c r="M164" s="6"/>
      <c r="N164" s="6"/>
      <c r="O164" s="6"/>
    </row>
    <row r="165" spans="1:15" ht="17">
      <c r="A165" s="6"/>
      <c r="B165" s="95" t="str">
        <f t="shared" ref="B165:B228" si="7">IF(C165="","","V"&amp;TEXT(ROW()-6,"00000"))</f>
        <v/>
      </c>
      <c r="C165" s="97"/>
      <c r="D165" s="96"/>
      <c r="E165" s="96"/>
      <c r="F165" s="99"/>
      <c r="G165" s="96"/>
      <c r="H165" s="95"/>
      <c r="I165" s="95"/>
      <c r="J165" s="42" t="str">
        <f t="shared" si="5"/>
        <v/>
      </c>
      <c r="K165" s="22" t="b">
        <f t="shared" si="6"/>
        <v>0</v>
      </c>
      <c r="L165" s="115"/>
      <c r="M165" s="6"/>
      <c r="N165" s="6"/>
      <c r="O165" s="6"/>
    </row>
    <row r="166" spans="1:15" ht="17">
      <c r="A166" s="6"/>
      <c r="B166" s="95" t="str">
        <f t="shared" si="7"/>
        <v/>
      </c>
      <c r="C166" s="97"/>
      <c r="D166" s="96"/>
      <c r="E166" s="96"/>
      <c r="F166" s="99"/>
      <c r="G166" s="96"/>
      <c r="H166" s="95"/>
      <c r="I166" s="95"/>
      <c r="J166" s="42" t="str">
        <f t="shared" si="5"/>
        <v/>
      </c>
      <c r="K166" s="22" t="b">
        <f t="shared" si="6"/>
        <v>0</v>
      </c>
      <c r="L166" s="115"/>
      <c r="M166" s="6"/>
      <c r="N166" s="6"/>
      <c r="O166" s="6"/>
    </row>
    <row r="167" spans="1:15" ht="17">
      <c r="A167" s="6"/>
      <c r="B167" s="95" t="str">
        <f t="shared" si="7"/>
        <v/>
      </c>
      <c r="C167" s="97"/>
      <c r="D167" s="96"/>
      <c r="E167" s="96"/>
      <c r="F167" s="99"/>
      <c r="G167" s="96"/>
      <c r="H167" s="95"/>
      <c r="I167" s="95"/>
      <c r="J167" s="42" t="str">
        <f t="shared" si="5"/>
        <v/>
      </c>
      <c r="K167" s="22" t="b">
        <f t="shared" si="6"/>
        <v>0</v>
      </c>
      <c r="L167" s="115"/>
      <c r="M167" s="6"/>
      <c r="N167" s="6"/>
      <c r="O167" s="6"/>
    </row>
    <row r="168" spans="1:15" ht="17">
      <c r="A168" s="6"/>
      <c r="B168" s="95" t="str">
        <f t="shared" si="7"/>
        <v/>
      </c>
      <c r="C168" s="97"/>
      <c r="D168" s="96"/>
      <c r="E168" s="96"/>
      <c r="F168" s="99"/>
      <c r="G168" s="96"/>
      <c r="H168" s="95"/>
      <c r="I168" s="95"/>
      <c r="J168" s="42" t="str">
        <f t="shared" si="5"/>
        <v/>
      </c>
      <c r="K168" s="22" t="b">
        <f t="shared" si="6"/>
        <v>0</v>
      </c>
      <c r="L168" s="115"/>
      <c r="M168" s="6"/>
      <c r="N168" s="6"/>
      <c r="O168" s="6"/>
    </row>
    <row r="169" spans="1:15" ht="17">
      <c r="A169" s="6"/>
      <c r="B169" s="95" t="str">
        <f t="shared" si="7"/>
        <v/>
      </c>
      <c r="C169" s="97"/>
      <c r="D169" s="96"/>
      <c r="E169" s="96"/>
      <c r="F169" s="99"/>
      <c r="G169" s="96"/>
      <c r="H169" s="95"/>
      <c r="I169" s="95"/>
      <c r="J169" s="42" t="str">
        <f t="shared" si="5"/>
        <v/>
      </c>
      <c r="K169" s="22" t="b">
        <f t="shared" si="6"/>
        <v>0</v>
      </c>
      <c r="L169" s="115"/>
      <c r="M169" s="6"/>
      <c r="N169" s="6"/>
      <c r="O169" s="6"/>
    </row>
    <row r="170" spans="1:15" ht="17">
      <c r="A170" s="6"/>
      <c r="B170" s="95" t="str">
        <f t="shared" si="7"/>
        <v/>
      </c>
      <c r="C170" s="97"/>
      <c r="D170" s="96"/>
      <c r="E170" s="96"/>
      <c r="F170" s="99"/>
      <c r="G170" s="96"/>
      <c r="H170" s="95"/>
      <c r="I170" s="95"/>
      <c r="J170" s="42" t="str">
        <f t="shared" si="5"/>
        <v/>
      </c>
      <c r="K170" s="22" t="b">
        <f t="shared" si="6"/>
        <v>0</v>
      </c>
      <c r="L170" s="115"/>
      <c r="M170" s="6"/>
      <c r="N170" s="6"/>
      <c r="O170" s="6"/>
    </row>
    <row r="171" spans="1:15" ht="17">
      <c r="A171" s="6"/>
      <c r="B171" s="95" t="str">
        <f t="shared" si="7"/>
        <v/>
      </c>
      <c r="C171" s="97"/>
      <c r="D171" s="96"/>
      <c r="E171" s="96"/>
      <c r="F171" s="99"/>
      <c r="G171" s="96"/>
      <c r="H171" s="95"/>
      <c r="I171" s="95"/>
      <c r="J171" s="42" t="str">
        <f t="shared" si="5"/>
        <v/>
      </c>
      <c r="K171" s="22" t="b">
        <f t="shared" si="6"/>
        <v>0</v>
      </c>
      <c r="L171" s="115"/>
      <c r="M171" s="6"/>
      <c r="N171" s="6"/>
      <c r="O171" s="6"/>
    </row>
    <row r="172" spans="1:15" ht="17">
      <c r="A172" s="6"/>
      <c r="B172" s="95" t="str">
        <f t="shared" si="7"/>
        <v/>
      </c>
      <c r="C172" s="97"/>
      <c r="D172" s="96"/>
      <c r="E172" s="96"/>
      <c r="F172" s="99"/>
      <c r="G172" s="96"/>
      <c r="H172" s="95"/>
      <c r="I172" s="95"/>
      <c r="J172" s="42" t="str">
        <f t="shared" si="5"/>
        <v/>
      </c>
      <c r="K172" s="22" t="b">
        <f t="shared" si="6"/>
        <v>0</v>
      </c>
      <c r="L172" s="115"/>
      <c r="M172" s="6"/>
      <c r="N172" s="6"/>
      <c r="O172" s="6"/>
    </row>
    <row r="173" spans="1:15" ht="17">
      <c r="A173" s="6"/>
      <c r="B173" s="95" t="str">
        <f t="shared" si="7"/>
        <v/>
      </c>
      <c r="C173" s="97"/>
      <c r="D173" s="96"/>
      <c r="E173" s="96"/>
      <c r="F173" s="99"/>
      <c r="G173" s="96"/>
      <c r="H173" s="95"/>
      <c r="I173" s="95"/>
      <c r="J173" s="42" t="str">
        <f t="shared" si="5"/>
        <v/>
      </c>
      <c r="K173" s="22" t="b">
        <f t="shared" si="6"/>
        <v>0</v>
      </c>
      <c r="L173" s="115"/>
      <c r="M173" s="6"/>
      <c r="N173" s="6"/>
      <c r="O173" s="6"/>
    </row>
    <row r="174" spans="1:15" ht="17">
      <c r="A174" s="6"/>
      <c r="B174" s="95" t="str">
        <f t="shared" si="7"/>
        <v/>
      </c>
      <c r="C174" s="97"/>
      <c r="D174" s="96"/>
      <c r="E174" s="96"/>
      <c r="F174" s="99"/>
      <c r="G174" s="96"/>
      <c r="H174" s="95"/>
      <c r="I174" s="95"/>
      <c r="J174" s="42" t="str">
        <f t="shared" si="5"/>
        <v/>
      </c>
      <c r="K174" s="22" t="b">
        <f t="shared" si="6"/>
        <v>0</v>
      </c>
      <c r="L174" s="115"/>
      <c r="M174" s="6"/>
      <c r="N174" s="6"/>
      <c r="O174" s="6"/>
    </row>
    <row r="175" spans="1:15" ht="17">
      <c r="A175" s="6"/>
      <c r="B175" s="95" t="str">
        <f t="shared" si="7"/>
        <v/>
      </c>
      <c r="C175" s="97"/>
      <c r="D175" s="96"/>
      <c r="E175" s="96"/>
      <c r="F175" s="99"/>
      <c r="G175" s="96"/>
      <c r="H175" s="95"/>
      <c r="I175" s="95"/>
      <c r="J175" s="42" t="str">
        <f t="shared" si="5"/>
        <v/>
      </c>
      <c r="K175" s="22" t="b">
        <f t="shared" si="6"/>
        <v>0</v>
      </c>
      <c r="L175" s="115"/>
      <c r="M175" s="6"/>
      <c r="N175" s="6"/>
      <c r="O175" s="6"/>
    </row>
    <row r="176" spans="1:15" ht="17">
      <c r="A176" s="6"/>
      <c r="B176" s="95" t="str">
        <f t="shared" si="7"/>
        <v/>
      </c>
      <c r="C176" s="97"/>
      <c r="D176" s="96"/>
      <c r="E176" s="96"/>
      <c r="F176" s="99"/>
      <c r="G176" s="96"/>
      <c r="H176" s="95"/>
      <c r="I176" s="95"/>
      <c r="J176" s="42" t="str">
        <f t="shared" si="5"/>
        <v/>
      </c>
      <c r="K176" s="22" t="b">
        <f t="shared" si="6"/>
        <v>0</v>
      </c>
      <c r="L176" s="115"/>
      <c r="M176" s="6"/>
      <c r="N176" s="6"/>
      <c r="O176" s="6"/>
    </row>
    <row r="177" spans="1:15" ht="17">
      <c r="A177" s="6"/>
      <c r="B177" s="95" t="str">
        <f t="shared" si="7"/>
        <v/>
      </c>
      <c r="C177" s="97"/>
      <c r="D177" s="96"/>
      <c r="E177" s="96"/>
      <c r="F177" s="99"/>
      <c r="G177" s="96"/>
      <c r="H177" s="95"/>
      <c r="I177" s="95"/>
      <c r="J177" s="42" t="str">
        <f t="shared" si="5"/>
        <v/>
      </c>
      <c r="K177" s="22" t="b">
        <f t="shared" si="6"/>
        <v>0</v>
      </c>
      <c r="L177" s="115"/>
      <c r="M177" s="6"/>
      <c r="N177" s="6"/>
      <c r="O177" s="6"/>
    </row>
    <row r="178" spans="1:15" ht="17">
      <c r="A178" s="6"/>
      <c r="B178" s="95" t="str">
        <f t="shared" si="7"/>
        <v/>
      </c>
      <c r="C178" s="97"/>
      <c r="D178" s="96"/>
      <c r="E178" s="96"/>
      <c r="F178" s="99"/>
      <c r="G178" s="96"/>
      <c r="H178" s="95"/>
      <c r="I178" s="95"/>
      <c r="J178" s="42" t="str">
        <f t="shared" si="5"/>
        <v/>
      </c>
      <c r="K178" s="22" t="b">
        <f t="shared" si="6"/>
        <v>0</v>
      </c>
      <c r="L178" s="115"/>
      <c r="M178" s="6"/>
      <c r="N178" s="6"/>
      <c r="O178" s="6"/>
    </row>
    <row r="179" spans="1:15" ht="17">
      <c r="A179" s="6"/>
      <c r="B179" s="95" t="str">
        <f t="shared" si="7"/>
        <v/>
      </c>
      <c r="C179" s="97"/>
      <c r="D179" s="96"/>
      <c r="E179" s="96"/>
      <c r="F179" s="99"/>
      <c r="G179" s="96"/>
      <c r="H179" s="95"/>
      <c r="I179" s="95"/>
      <c r="J179" s="42" t="str">
        <f t="shared" si="5"/>
        <v/>
      </c>
      <c r="K179" s="22" t="b">
        <f t="shared" si="6"/>
        <v>0</v>
      </c>
      <c r="L179" s="115"/>
      <c r="M179" s="6"/>
      <c r="N179" s="6"/>
      <c r="O179" s="6"/>
    </row>
    <row r="180" spans="1:15" ht="17">
      <c r="A180" s="6"/>
      <c r="B180" s="95" t="str">
        <f t="shared" si="7"/>
        <v/>
      </c>
      <c r="C180" s="97"/>
      <c r="D180" s="96"/>
      <c r="E180" s="96"/>
      <c r="F180" s="99"/>
      <c r="G180" s="96"/>
      <c r="H180" s="95"/>
      <c r="I180" s="95"/>
      <c r="J180" s="42" t="str">
        <f t="shared" si="5"/>
        <v/>
      </c>
      <c r="K180" s="22" t="b">
        <f t="shared" si="6"/>
        <v>0</v>
      </c>
      <c r="L180" s="115"/>
      <c r="M180" s="6"/>
      <c r="N180" s="6"/>
      <c r="O180" s="6"/>
    </row>
    <row r="181" spans="1:15" ht="17">
      <c r="A181" s="6"/>
      <c r="B181" s="95" t="str">
        <f t="shared" si="7"/>
        <v/>
      </c>
      <c r="C181" s="97"/>
      <c r="D181" s="96"/>
      <c r="E181" s="96"/>
      <c r="F181" s="99"/>
      <c r="G181" s="96"/>
      <c r="H181" s="95"/>
      <c r="I181" s="95"/>
      <c r="J181" s="42" t="str">
        <f t="shared" si="5"/>
        <v/>
      </c>
      <c r="K181" s="22" t="b">
        <f t="shared" si="6"/>
        <v>0</v>
      </c>
      <c r="L181" s="115"/>
      <c r="M181" s="6"/>
      <c r="N181" s="6"/>
      <c r="O181" s="6"/>
    </row>
    <row r="182" spans="1:15" ht="17">
      <c r="A182" s="6"/>
      <c r="B182" s="95" t="str">
        <f t="shared" si="7"/>
        <v/>
      </c>
      <c r="C182" s="97"/>
      <c r="D182" s="96"/>
      <c r="E182" s="96"/>
      <c r="F182" s="99"/>
      <c r="G182" s="96"/>
      <c r="H182" s="95"/>
      <c r="I182" s="95"/>
      <c r="J182" s="42" t="str">
        <f t="shared" si="5"/>
        <v/>
      </c>
      <c r="K182" s="22" t="b">
        <f t="shared" si="6"/>
        <v>0</v>
      </c>
      <c r="L182" s="115"/>
      <c r="M182" s="6"/>
      <c r="N182" s="6"/>
      <c r="O182" s="6"/>
    </row>
    <row r="183" spans="1:15" ht="17">
      <c r="A183" s="6"/>
      <c r="B183" s="95" t="str">
        <f t="shared" si="7"/>
        <v/>
      </c>
      <c r="C183" s="97"/>
      <c r="D183" s="96"/>
      <c r="E183" s="96"/>
      <c r="F183" s="99"/>
      <c r="G183" s="96"/>
      <c r="H183" s="95"/>
      <c r="I183" s="95"/>
      <c r="J183" s="42" t="str">
        <f t="shared" si="5"/>
        <v/>
      </c>
      <c r="K183" s="22" t="b">
        <f t="shared" si="6"/>
        <v>0</v>
      </c>
      <c r="L183" s="115"/>
      <c r="M183" s="6"/>
      <c r="N183" s="6"/>
      <c r="O183" s="6"/>
    </row>
    <row r="184" spans="1:15" ht="17">
      <c r="A184" s="6"/>
      <c r="B184" s="95" t="str">
        <f t="shared" si="7"/>
        <v/>
      </c>
      <c r="C184" s="97"/>
      <c r="D184" s="96"/>
      <c r="E184" s="96"/>
      <c r="F184" s="99"/>
      <c r="G184" s="96"/>
      <c r="H184" s="95"/>
      <c r="I184" s="95"/>
      <c r="J184" s="42" t="str">
        <f t="shared" si="5"/>
        <v/>
      </c>
      <c r="K184" s="22" t="b">
        <f t="shared" si="6"/>
        <v>0</v>
      </c>
      <c r="L184" s="115"/>
      <c r="M184" s="6"/>
      <c r="N184" s="6"/>
      <c r="O184" s="6"/>
    </row>
    <row r="185" spans="1:15" ht="17">
      <c r="A185" s="6"/>
      <c r="B185" s="95" t="str">
        <f t="shared" si="7"/>
        <v/>
      </c>
      <c r="C185" s="97"/>
      <c r="D185" s="96"/>
      <c r="E185" s="96"/>
      <c r="F185" s="99"/>
      <c r="G185" s="96"/>
      <c r="H185" s="95"/>
      <c r="I185" s="95"/>
      <c r="J185" s="42" t="str">
        <f t="shared" si="5"/>
        <v/>
      </c>
      <c r="K185" s="22" t="b">
        <f t="shared" si="6"/>
        <v>0</v>
      </c>
      <c r="L185" s="115"/>
      <c r="M185" s="6"/>
      <c r="N185" s="6"/>
      <c r="O185" s="6"/>
    </row>
    <row r="186" spans="1:15" ht="17">
      <c r="A186" s="6"/>
      <c r="B186" s="95" t="str">
        <f t="shared" si="7"/>
        <v/>
      </c>
      <c r="C186" s="97"/>
      <c r="D186" s="96"/>
      <c r="E186" s="96"/>
      <c r="F186" s="99"/>
      <c r="G186" s="96"/>
      <c r="H186" s="95"/>
      <c r="I186" s="95"/>
      <c r="J186" s="42" t="str">
        <f t="shared" si="5"/>
        <v/>
      </c>
      <c r="K186" s="22" t="b">
        <f t="shared" si="6"/>
        <v>0</v>
      </c>
      <c r="L186" s="115"/>
      <c r="M186" s="6"/>
      <c r="N186" s="6"/>
      <c r="O186" s="6"/>
    </row>
    <row r="187" spans="1:15" ht="17">
      <c r="A187" s="6"/>
      <c r="B187" s="95" t="str">
        <f t="shared" si="7"/>
        <v/>
      </c>
      <c r="C187" s="97"/>
      <c r="D187" s="96"/>
      <c r="E187" s="96"/>
      <c r="F187" s="99"/>
      <c r="G187" s="96"/>
      <c r="H187" s="95"/>
      <c r="I187" s="95"/>
      <c r="J187" s="42" t="str">
        <f t="shared" si="5"/>
        <v/>
      </c>
      <c r="K187" s="22" t="b">
        <f t="shared" si="6"/>
        <v>0</v>
      </c>
      <c r="L187" s="115"/>
      <c r="M187" s="6"/>
      <c r="N187" s="6"/>
      <c r="O187" s="6"/>
    </row>
    <row r="188" spans="1:15" ht="17">
      <c r="A188" s="6"/>
      <c r="B188" s="95" t="str">
        <f t="shared" si="7"/>
        <v/>
      </c>
      <c r="C188" s="97"/>
      <c r="D188" s="96"/>
      <c r="E188" s="96"/>
      <c r="F188" s="99"/>
      <c r="G188" s="96"/>
      <c r="H188" s="95"/>
      <c r="I188" s="95"/>
      <c r="J188" s="42" t="str">
        <f t="shared" si="5"/>
        <v/>
      </c>
      <c r="K188" s="22" t="b">
        <f t="shared" si="6"/>
        <v>0</v>
      </c>
      <c r="L188" s="115"/>
      <c r="M188" s="6"/>
      <c r="N188" s="6"/>
      <c r="O188" s="6"/>
    </row>
    <row r="189" spans="1:15" ht="17">
      <c r="A189" s="6"/>
      <c r="B189" s="95" t="str">
        <f t="shared" si="7"/>
        <v/>
      </c>
      <c r="C189" s="97"/>
      <c r="D189" s="96"/>
      <c r="E189" s="96"/>
      <c r="F189" s="99"/>
      <c r="G189" s="96"/>
      <c r="H189" s="95"/>
      <c r="I189" s="95"/>
      <c r="J189" s="42" t="str">
        <f t="shared" si="5"/>
        <v/>
      </c>
      <c r="K189" s="22" t="b">
        <f t="shared" si="6"/>
        <v>0</v>
      </c>
      <c r="L189" s="115"/>
      <c r="M189" s="6"/>
      <c r="N189" s="6"/>
      <c r="O189" s="6"/>
    </row>
    <row r="190" spans="1:15" ht="17">
      <c r="A190" s="6"/>
      <c r="B190" s="95" t="str">
        <f t="shared" si="7"/>
        <v/>
      </c>
      <c r="C190" s="97"/>
      <c r="D190" s="96"/>
      <c r="E190" s="96"/>
      <c r="F190" s="99"/>
      <c r="G190" s="96"/>
      <c r="H190" s="95"/>
      <c r="I190" s="95"/>
      <c r="J190" s="42" t="str">
        <f t="shared" si="5"/>
        <v/>
      </c>
      <c r="K190" s="22" t="b">
        <f t="shared" si="6"/>
        <v>0</v>
      </c>
      <c r="L190" s="115"/>
      <c r="M190" s="6"/>
      <c r="N190" s="6"/>
      <c r="O190" s="6"/>
    </row>
    <row r="191" spans="1:15" ht="17">
      <c r="A191" s="6"/>
      <c r="B191" s="95" t="str">
        <f t="shared" si="7"/>
        <v/>
      </c>
      <c r="C191" s="97"/>
      <c r="D191" s="96"/>
      <c r="E191" s="96"/>
      <c r="F191" s="99"/>
      <c r="G191" s="96"/>
      <c r="H191" s="95"/>
      <c r="I191" s="95"/>
      <c r="J191" s="42" t="str">
        <f t="shared" si="5"/>
        <v/>
      </c>
      <c r="K191" s="22" t="b">
        <f t="shared" si="6"/>
        <v>0</v>
      </c>
      <c r="L191" s="115"/>
      <c r="M191" s="6"/>
      <c r="N191" s="6"/>
      <c r="O191" s="6"/>
    </row>
    <row r="192" spans="1:15" ht="17">
      <c r="A192" s="6"/>
      <c r="B192" s="95" t="str">
        <f t="shared" si="7"/>
        <v/>
      </c>
      <c r="C192" s="97"/>
      <c r="D192" s="96"/>
      <c r="E192" s="96"/>
      <c r="F192" s="99"/>
      <c r="G192" s="96"/>
      <c r="H192" s="95"/>
      <c r="I192" s="95"/>
      <c r="J192" s="42" t="str">
        <f t="shared" si="5"/>
        <v/>
      </c>
      <c r="K192" s="22" t="b">
        <f t="shared" si="6"/>
        <v>0</v>
      </c>
      <c r="L192" s="115"/>
      <c r="M192" s="6"/>
      <c r="N192" s="6"/>
      <c r="O192" s="6"/>
    </row>
    <row r="193" spans="1:15" ht="17">
      <c r="A193" s="6"/>
      <c r="B193" s="95" t="str">
        <f t="shared" si="7"/>
        <v/>
      </c>
      <c r="C193" s="97"/>
      <c r="D193" s="96"/>
      <c r="E193" s="96"/>
      <c r="F193" s="99"/>
      <c r="G193" s="96"/>
      <c r="H193" s="95"/>
      <c r="I193" s="95"/>
      <c r="J193" s="42" t="str">
        <f t="shared" si="5"/>
        <v/>
      </c>
      <c r="K193" s="22" t="b">
        <f t="shared" si="6"/>
        <v>0</v>
      </c>
      <c r="L193" s="115"/>
      <c r="M193" s="6"/>
      <c r="N193" s="6"/>
      <c r="O193" s="6"/>
    </row>
    <row r="194" spans="1:15" ht="17">
      <c r="A194" s="6"/>
      <c r="B194" s="95" t="str">
        <f t="shared" si="7"/>
        <v/>
      </c>
      <c r="C194" s="97"/>
      <c r="D194" s="96"/>
      <c r="E194" s="96"/>
      <c r="F194" s="99"/>
      <c r="G194" s="96"/>
      <c r="H194" s="95"/>
      <c r="I194" s="95"/>
      <c r="J194" s="42" t="str">
        <f t="shared" si="5"/>
        <v/>
      </c>
      <c r="K194" s="22" t="b">
        <f t="shared" si="6"/>
        <v>0</v>
      </c>
      <c r="L194" s="115"/>
      <c r="M194" s="6"/>
      <c r="N194" s="6"/>
      <c r="O194" s="6"/>
    </row>
    <row r="195" spans="1:15" ht="17">
      <c r="A195" s="6"/>
      <c r="B195" s="95" t="str">
        <f t="shared" si="7"/>
        <v/>
      </c>
      <c r="C195" s="97"/>
      <c r="D195" s="96"/>
      <c r="E195" s="96"/>
      <c r="F195" s="99"/>
      <c r="G195" s="96"/>
      <c r="H195" s="95"/>
      <c r="I195" s="95"/>
      <c r="J195" s="42" t="str">
        <f t="shared" si="5"/>
        <v/>
      </c>
      <c r="K195" s="22" t="b">
        <f t="shared" si="6"/>
        <v>0</v>
      </c>
      <c r="L195" s="115"/>
      <c r="M195" s="6"/>
      <c r="N195" s="6"/>
      <c r="O195" s="6"/>
    </row>
    <row r="196" spans="1:15" ht="17">
      <c r="A196" s="6"/>
      <c r="B196" s="95" t="str">
        <f t="shared" si="7"/>
        <v/>
      </c>
      <c r="C196" s="97"/>
      <c r="D196" s="96"/>
      <c r="E196" s="96"/>
      <c r="F196" s="99"/>
      <c r="G196" s="96"/>
      <c r="H196" s="95"/>
      <c r="I196" s="95"/>
      <c r="J196" s="42" t="str">
        <f t="shared" si="5"/>
        <v/>
      </c>
      <c r="K196" s="22" t="b">
        <f t="shared" si="6"/>
        <v>0</v>
      </c>
      <c r="L196" s="115"/>
      <c r="M196" s="6"/>
      <c r="N196" s="6"/>
      <c r="O196" s="6"/>
    </row>
    <row r="197" spans="1:15" ht="17">
      <c r="A197" s="6"/>
      <c r="B197" s="95" t="str">
        <f t="shared" si="7"/>
        <v/>
      </c>
      <c r="C197" s="97"/>
      <c r="D197" s="96"/>
      <c r="E197" s="96"/>
      <c r="F197" s="99"/>
      <c r="G197" s="96"/>
      <c r="H197" s="95"/>
      <c r="I197" s="95"/>
      <c r="J197" s="42" t="str">
        <f t="shared" si="5"/>
        <v/>
      </c>
      <c r="K197" s="22" t="b">
        <f t="shared" si="6"/>
        <v>0</v>
      </c>
      <c r="L197" s="115"/>
      <c r="M197" s="6"/>
      <c r="N197" s="6"/>
      <c r="O197" s="6"/>
    </row>
    <row r="198" spans="1:15" ht="17">
      <c r="A198" s="6"/>
      <c r="B198" s="95" t="str">
        <f t="shared" si="7"/>
        <v/>
      </c>
      <c r="C198" s="97"/>
      <c r="D198" s="96"/>
      <c r="E198" s="96"/>
      <c r="F198" s="99"/>
      <c r="G198" s="96"/>
      <c r="H198" s="95"/>
      <c r="I198" s="95"/>
      <c r="J198" s="42" t="str">
        <f t="shared" si="5"/>
        <v/>
      </c>
      <c r="K198" s="22" t="b">
        <f t="shared" si="6"/>
        <v>0</v>
      </c>
      <c r="L198" s="115"/>
      <c r="M198" s="6"/>
      <c r="N198" s="6"/>
      <c r="O198" s="6"/>
    </row>
    <row r="199" spans="1:15" ht="17">
      <c r="A199" s="6"/>
      <c r="B199" s="95" t="str">
        <f t="shared" si="7"/>
        <v/>
      </c>
      <c r="C199" s="97"/>
      <c r="D199" s="96"/>
      <c r="E199" s="96"/>
      <c r="F199" s="99"/>
      <c r="G199" s="96"/>
      <c r="H199" s="95"/>
      <c r="I199" s="95"/>
      <c r="J199" s="42" t="str">
        <f t="shared" ref="J199:J262" si="8">IF(C199="","",IF(OR(D199="",E199="",F199=""),"EKSİK",IF(D199=E199,"AYNI HESAP OLAMAZ",IF(AND(D199="MERKEZ KASA",E199="ÖMER KARTAL",K199),"YANLIŞ VIRMAN","UYGUN"))))</f>
        <v/>
      </c>
      <c r="K199" s="22" t="b">
        <f t="shared" ref="K199:K262" si="9">OR(ISNUMBER(SEARCH("MUHASEBE ÜCRETİ",G199&amp;"")),ISNUMBER(SEARCH("SGK",G199&amp;"")),ISNUMBER(SEARCH("MENDERES MAHSUP",G199&amp;"")),ISNUMBER(SEARCH("GRAND 06 ÖMER BAKİYE",G199&amp;"")))</f>
        <v>0</v>
      </c>
      <c r="L199" s="115"/>
      <c r="M199" s="6"/>
      <c r="N199" s="6"/>
      <c r="O199" s="6"/>
    </row>
    <row r="200" spans="1:15" ht="17">
      <c r="A200" s="6"/>
      <c r="B200" s="95" t="str">
        <f t="shared" si="7"/>
        <v/>
      </c>
      <c r="C200" s="97"/>
      <c r="D200" s="96"/>
      <c r="E200" s="96"/>
      <c r="F200" s="99"/>
      <c r="G200" s="96"/>
      <c r="H200" s="95"/>
      <c r="I200" s="95"/>
      <c r="J200" s="42" t="str">
        <f t="shared" si="8"/>
        <v/>
      </c>
      <c r="K200" s="22" t="b">
        <f t="shared" si="9"/>
        <v>0</v>
      </c>
      <c r="L200" s="115"/>
      <c r="M200" s="6"/>
      <c r="N200" s="6"/>
      <c r="O200" s="6"/>
    </row>
    <row r="201" spans="1:15" ht="17">
      <c r="A201" s="6"/>
      <c r="B201" s="95" t="str">
        <f t="shared" si="7"/>
        <v/>
      </c>
      <c r="C201" s="97"/>
      <c r="D201" s="96"/>
      <c r="E201" s="96"/>
      <c r="F201" s="99"/>
      <c r="G201" s="96"/>
      <c r="H201" s="95"/>
      <c r="I201" s="95"/>
      <c r="J201" s="42" t="str">
        <f t="shared" si="8"/>
        <v/>
      </c>
      <c r="K201" s="6" t="b">
        <f t="shared" si="9"/>
        <v>0</v>
      </c>
      <c r="L201" s="115"/>
      <c r="M201" s="6"/>
      <c r="N201" s="6"/>
      <c r="O201" s="6"/>
    </row>
    <row r="202" spans="1:15" ht="17">
      <c r="A202" s="6"/>
      <c r="B202" s="95" t="str">
        <f t="shared" si="7"/>
        <v/>
      </c>
      <c r="C202" s="97"/>
      <c r="D202" s="96"/>
      <c r="E202" s="96"/>
      <c r="F202" s="99"/>
      <c r="G202" s="96"/>
      <c r="H202" s="95"/>
      <c r="I202" s="95"/>
      <c r="J202" s="42" t="str">
        <f t="shared" si="8"/>
        <v/>
      </c>
      <c r="K202" s="6" t="b">
        <f t="shared" si="9"/>
        <v>0</v>
      </c>
      <c r="L202" s="115"/>
      <c r="M202" s="6"/>
      <c r="N202" s="6"/>
      <c r="O202" s="6"/>
    </row>
    <row r="203" spans="1:15" ht="17">
      <c r="A203" s="6"/>
      <c r="B203" s="95" t="str">
        <f t="shared" si="7"/>
        <v/>
      </c>
      <c r="C203" s="97"/>
      <c r="D203" s="96"/>
      <c r="E203" s="96"/>
      <c r="F203" s="99"/>
      <c r="G203" s="96"/>
      <c r="H203" s="95"/>
      <c r="I203" s="95"/>
      <c r="J203" s="42" t="str">
        <f t="shared" si="8"/>
        <v/>
      </c>
      <c r="K203" s="6" t="b">
        <f t="shared" si="9"/>
        <v>0</v>
      </c>
      <c r="L203" s="115"/>
      <c r="M203" s="6"/>
      <c r="N203" s="6"/>
      <c r="O203" s="6"/>
    </row>
    <row r="204" spans="1:15" ht="17">
      <c r="A204" s="6"/>
      <c r="B204" s="95" t="str">
        <f t="shared" si="7"/>
        <v/>
      </c>
      <c r="C204" s="97"/>
      <c r="D204" s="96"/>
      <c r="E204" s="96"/>
      <c r="F204" s="99"/>
      <c r="G204" s="96"/>
      <c r="H204" s="95"/>
      <c r="I204" s="95"/>
      <c r="J204" s="42" t="str">
        <f t="shared" si="8"/>
        <v/>
      </c>
      <c r="K204" s="6" t="b">
        <f t="shared" si="9"/>
        <v>0</v>
      </c>
      <c r="L204" s="115"/>
      <c r="M204" s="6"/>
      <c r="N204" s="6"/>
      <c r="O204" s="6"/>
    </row>
    <row r="205" spans="1:15" ht="17">
      <c r="A205" s="6"/>
      <c r="B205" s="95" t="str">
        <f t="shared" si="7"/>
        <v/>
      </c>
      <c r="C205" s="97"/>
      <c r="D205" s="96"/>
      <c r="E205" s="96"/>
      <c r="F205" s="99"/>
      <c r="G205" s="96"/>
      <c r="H205" s="95"/>
      <c r="I205" s="95"/>
      <c r="J205" s="42" t="str">
        <f t="shared" si="8"/>
        <v/>
      </c>
      <c r="K205" s="6" t="b">
        <f t="shared" si="9"/>
        <v>0</v>
      </c>
      <c r="L205" s="115"/>
      <c r="M205" s="6"/>
      <c r="N205" s="6"/>
      <c r="O205" s="6"/>
    </row>
    <row r="206" spans="1:15" ht="17">
      <c r="A206" s="6"/>
      <c r="B206" s="95" t="str">
        <f t="shared" si="7"/>
        <v/>
      </c>
      <c r="C206" s="97"/>
      <c r="D206" s="96"/>
      <c r="E206" s="96"/>
      <c r="F206" s="99"/>
      <c r="G206" s="96"/>
      <c r="H206" s="95"/>
      <c r="I206" s="95"/>
      <c r="J206" s="42" t="str">
        <f t="shared" si="8"/>
        <v/>
      </c>
      <c r="K206" s="6" t="b">
        <f t="shared" si="9"/>
        <v>0</v>
      </c>
      <c r="L206" s="115"/>
      <c r="M206" s="6"/>
      <c r="N206" s="6"/>
      <c r="O206" s="6"/>
    </row>
    <row r="207" spans="1:15" ht="17">
      <c r="A207" s="6"/>
      <c r="B207" s="95" t="str">
        <f t="shared" si="7"/>
        <v/>
      </c>
      <c r="C207" s="97"/>
      <c r="D207" s="96"/>
      <c r="E207" s="96"/>
      <c r="F207" s="99"/>
      <c r="G207" s="96"/>
      <c r="H207" s="95"/>
      <c r="I207" s="95"/>
      <c r="J207" s="42" t="str">
        <f t="shared" si="8"/>
        <v/>
      </c>
      <c r="K207" s="6" t="b">
        <f t="shared" si="9"/>
        <v>0</v>
      </c>
      <c r="L207" s="115"/>
      <c r="M207" s="6"/>
      <c r="N207" s="6"/>
      <c r="O207" s="6"/>
    </row>
    <row r="208" spans="1:15" ht="17">
      <c r="A208" s="6"/>
      <c r="B208" s="95" t="str">
        <f t="shared" si="7"/>
        <v/>
      </c>
      <c r="C208" s="97"/>
      <c r="D208" s="96"/>
      <c r="E208" s="96"/>
      <c r="F208" s="99"/>
      <c r="G208" s="96"/>
      <c r="H208" s="95"/>
      <c r="I208" s="95"/>
      <c r="J208" s="42" t="str">
        <f t="shared" si="8"/>
        <v/>
      </c>
      <c r="K208" s="6" t="b">
        <f t="shared" si="9"/>
        <v>0</v>
      </c>
      <c r="L208" s="115"/>
      <c r="M208" s="6"/>
      <c r="N208" s="6"/>
      <c r="O208" s="6"/>
    </row>
    <row r="209" spans="1:15" ht="17">
      <c r="A209" s="6"/>
      <c r="B209" s="95" t="str">
        <f t="shared" si="7"/>
        <v/>
      </c>
      <c r="C209" s="97"/>
      <c r="D209" s="96"/>
      <c r="E209" s="96"/>
      <c r="F209" s="99"/>
      <c r="G209" s="96"/>
      <c r="H209" s="95"/>
      <c r="I209" s="95"/>
      <c r="J209" s="42" t="str">
        <f t="shared" si="8"/>
        <v/>
      </c>
      <c r="K209" s="6" t="b">
        <f t="shared" si="9"/>
        <v>0</v>
      </c>
      <c r="L209" s="115"/>
      <c r="M209" s="6"/>
      <c r="N209" s="6"/>
      <c r="O209" s="6"/>
    </row>
    <row r="210" spans="1:15" ht="17">
      <c r="A210" s="6"/>
      <c r="B210" s="95" t="str">
        <f t="shared" si="7"/>
        <v/>
      </c>
      <c r="C210" s="97"/>
      <c r="D210" s="96"/>
      <c r="E210" s="96"/>
      <c r="F210" s="99"/>
      <c r="G210" s="96"/>
      <c r="H210" s="95"/>
      <c r="I210" s="95"/>
      <c r="J210" s="42" t="str">
        <f t="shared" si="8"/>
        <v/>
      </c>
      <c r="K210" s="6" t="b">
        <f t="shared" si="9"/>
        <v>0</v>
      </c>
      <c r="L210" s="115"/>
      <c r="M210" s="6"/>
      <c r="N210" s="6"/>
      <c r="O210" s="6"/>
    </row>
    <row r="211" spans="1:15" ht="17">
      <c r="A211" s="6"/>
      <c r="B211" s="95" t="str">
        <f t="shared" si="7"/>
        <v/>
      </c>
      <c r="C211" s="97"/>
      <c r="D211" s="96"/>
      <c r="E211" s="96"/>
      <c r="F211" s="99"/>
      <c r="G211" s="96"/>
      <c r="H211" s="95"/>
      <c r="I211" s="95"/>
      <c r="J211" s="42" t="str">
        <f t="shared" si="8"/>
        <v/>
      </c>
      <c r="K211" s="6" t="b">
        <f t="shared" si="9"/>
        <v>0</v>
      </c>
      <c r="L211" s="115"/>
      <c r="M211" s="6"/>
      <c r="N211" s="6"/>
      <c r="O211" s="6"/>
    </row>
    <row r="212" spans="1:15" ht="17">
      <c r="A212" s="6"/>
      <c r="B212" s="95" t="str">
        <f t="shared" si="7"/>
        <v/>
      </c>
      <c r="C212" s="97"/>
      <c r="D212" s="96"/>
      <c r="E212" s="96"/>
      <c r="F212" s="99"/>
      <c r="G212" s="96"/>
      <c r="H212" s="95"/>
      <c r="I212" s="95"/>
      <c r="J212" s="42" t="str">
        <f t="shared" si="8"/>
        <v/>
      </c>
      <c r="K212" s="6" t="b">
        <f t="shared" si="9"/>
        <v>0</v>
      </c>
      <c r="L212" s="115"/>
      <c r="M212" s="6"/>
      <c r="N212" s="6"/>
      <c r="O212" s="6"/>
    </row>
    <row r="213" spans="1:15" ht="17">
      <c r="A213" s="6"/>
      <c r="B213" s="95" t="str">
        <f t="shared" si="7"/>
        <v/>
      </c>
      <c r="C213" s="97"/>
      <c r="D213" s="96"/>
      <c r="E213" s="96"/>
      <c r="F213" s="99"/>
      <c r="G213" s="96"/>
      <c r="H213" s="95"/>
      <c r="I213" s="95"/>
      <c r="J213" s="42" t="str">
        <f t="shared" si="8"/>
        <v/>
      </c>
      <c r="K213" s="6" t="b">
        <f t="shared" si="9"/>
        <v>0</v>
      </c>
      <c r="L213" s="115"/>
      <c r="M213" s="6"/>
      <c r="N213" s="6"/>
      <c r="O213" s="6"/>
    </row>
    <row r="214" spans="1:15" ht="17">
      <c r="A214" s="6"/>
      <c r="B214" s="95" t="str">
        <f t="shared" si="7"/>
        <v/>
      </c>
      <c r="C214" s="97"/>
      <c r="D214" s="96"/>
      <c r="E214" s="96"/>
      <c r="F214" s="99"/>
      <c r="G214" s="96"/>
      <c r="H214" s="95"/>
      <c r="I214" s="95"/>
      <c r="J214" s="42" t="str">
        <f t="shared" si="8"/>
        <v/>
      </c>
      <c r="K214" s="6" t="b">
        <f t="shared" si="9"/>
        <v>0</v>
      </c>
      <c r="L214" s="115"/>
      <c r="M214" s="6"/>
      <c r="N214" s="6"/>
      <c r="O214" s="6"/>
    </row>
    <row r="215" spans="1:15" ht="17">
      <c r="A215" s="6"/>
      <c r="B215" s="95" t="str">
        <f t="shared" si="7"/>
        <v/>
      </c>
      <c r="C215" s="97"/>
      <c r="D215" s="96"/>
      <c r="E215" s="96"/>
      <c r="F215" s="99"/>
      <c r="G215" s="96"/>
      <c r="H215" s="95"/>
      <c r="I215" s="95"/>
      <c r="J215" s="42" t="str">
        <f t="shared" si="8"/>
        <v/>
      </c>
      <c r="K215" s="6" t="b">
        <f t="shared" si="9"/>
        <v>0</v>
      </c>
      <c r="L215" s="115"/>
      <c r="M215" s="6"/>
      <c r="N215" s="6"/>
      <c r="O215" s="6"/>
    </row>
    <row r="216" spans="1:15" ht="17">
      <c r="A216" s="6"/>
      <c r="B216" s="95" t="str">
        <f t="shared" si="7"/>
        <v/>
      </c>
      <c r="C216" s="97"/>
      <c r="D216" s="96"/>
      <c r="E216" s="96"/>
      <c r="F216" s="99"/>
      <c r="G216" s="96"/>
      <c r="H216" s="95"/>
      <c r="I216" s="95"/>
      <c r="J216" s="42" t="str">
        <f t="shared" si="8"/>
        <v/>
      </c>
      <c r="K216" s="6" t="b">
        <f t="shared" si="9"/>
        <v>0</v>
      </c>
      <c r="L216" s="115"/>
      <c r="M216" s="6"/>
      <c r="N216" s="6"/>
      <c r="O216" s="6"/>
    </row>
    <row r="217" spans="1:15" ht="17">
      <c r="A217" s="6"/>
      <c r="B217" s="95" t="str">
        <f t="shared" si="7"/>
        <v/>
      </c>
      <c r="C217" s="97"/>
      <c r="D217" s="96"/>
      <c r="E217" s="96"/>
      <c r="F217" s="99"/>
      <c r="G217" s="96"/>
      <c r="H217" s="95"/>
      <c r="I217" s="95"/>
      <c r="J217" s="42" t="str">
        <f t="shared" si="8"/>
        <v/>
      </c>
      <c r="K217" s="6" t="b">
        <f t="shared" si="9"/>
        <v>0</v>
      </c>
      <c r="L217" s="115"/>
      <c r="M217" s="6"/>
      <c r="N217" s="6"/>
      <c r="O217" s="6"/>
    </row>
    <row r="218" spans="1:15" ht="17">
      <c r="A218" s="6"/>
      <c r="B218" s="95" t="str">
        <f t="shared" si="7"/>
        <v/>
      </c>
      <c r="C218" s="97"/>
      <c r="D218" s="96"/>
      <c r="E218" s="96"/>
      <c r="F218" s="99"/>
      <c r="G218" s="96"/>
      <c r="H218" s="95"/>
      <c r="I218" s="95"/>
      <c r="J218" s="42" t="str">
        <f t="shared" si="8"/>
        <v/>
      </c>
      <c r="K218" s="6" t="b">
        <f t="shared" si="9"/>
        <v>0</v>
      </c>
      <c r="L218" s="115"/>
      <c r="M218" s="6"/>
      <c r="N218" s="6"/>
      <c r="O218" s="6"/>
    </row>
    <row r="219" spans="1:15" ht="17">
      <c r="A219" s="6"/>
      <c r="B219" s="95" t="str">
        <f t="shared" si="7"/>
        <v/>
      </c>
      <c r="C219" s="97"/>
      <c r="D219" s="96"/>
      <c r="E219" s="96"/>
      <c r="F219" s="99"/>
      <c r="G219" s="96"/>
      <c r="H219" s="95"/>
      <c r="I219" s="95"/>
      <c r="J219" s="42" t="str">
        <f t="shared" si="8"/>
        <v/>
      </c>
      <c r="K219" s="6" t="b">
        <f t="shared" si="9"/>
        <v>0</v>
      </c>
      <c r="L219" s="115"/>
      <c r="M219" s="6"/>
      <c r="N219" s="6"/>
      <c r="O219" s="6"/>
    </row>
    <row r="220" spans="1:15" ht="17">
      <c r="A220" s="6"/>
      <c r="B220" s="95" t="str">
        <f t="shared" si="7"/>
        <v/>
      </c>
      <c r="C220" s="97"/>
      <c r="D220" s="96"/>
      <c r="E220" s="96"/>
      <c r="F220" s="99"/>
      <c r="G220" s="96"/>
      <c r="H220" s="95"/>
      <c r="I220" s="95"/>
      <c r="J220" s="42" t="str">
        <f t="shared" si="8"/>
        <v/>
      </c>
      <c r="K220" s="6" t="b">
        <f t="shared" si="9"/>
        <v>0</v>
      </c>
      <c r="L220" s="115"/>
      <c r="M220" s="6"/>
      <c r="N220" s="6"/>
      <c r="O220" s="6"/>
    </row>
    <row r="221" spans="1:15" ht="17">
      <c r="A221" s="6"/>
      <c r="B221" s="95" t="str">
        <f t="shared" si="7"/>
        <v/>
      </c>
      <c r="C221" s="97"/>
      <c r="D221" s="96"/>
      <c r="E221" s="96"/>
      <c r="F221" s="99"/>
      <c r="G221" s="96"/>
      <c r="H221" s="95"/>
      <c r="I221" s="95"/>
      <c r="J221" s="42" t="str">
        <f t="shared" si="8"/>
        <v/>
      </c>
      <c r="K221" s="6" t="b">
        <f t="shared" si="9"/>
        <v>0</v>
      </c>
      <c r="L221" s="115"/>
      <c r="M221" s="6"/>
      <c r="N221" s="6"/>
      <c r="O221" s="6"/>
    </row>
    <row r="222" spans="1:15" ht="17">
      <c r="A222" s="6"/>
      <c r="B222" s="95" t="str">
        <f t="shared" si="7"/>
        <v/>
      </c>
      <c r="C222" s="97"/>
      <c r="D222" s="96"/>
      <c r="E222" s="96"/>
      <c r="F222" s="99"/>
      <c r="G222" s="96"/>
      <c r="H222" s="95"/>
      <c r="I222" s="95"/>
      <c r="J222" s="42" t="str">
        <f t="shared" si="8"/>
        <v/>
      </c>
      <c r="K222" s="6" t="b">
        <f t="shared" si="9"/>
        <v>0</v>
      </c>
      <c r="L222" s="115"/>
      <c r="M222" s="6"/>
      <c r="N222" s="6"/>
      <c r="O222" s="6"/>
    </row>
    <row r="223" spans="1:15" ht="17">
      <c r="A223" s="6"/>
      <c r="B223" s="95" t="str">
        <f t="shared" si="7"/>
        <v/>
      </c>
      <c r="C223" s="97"/>
      <c r="D223" s="96"/>
      <c r="E223" s="96"/>
      <c r="F223" s="99"/>
      <c r="G223" s="96"/>
      <c r="H223" s="95"/>
      <c r="I223" s="95"/>
      <c r="J223" s="42" t="str">
        <f t="shared" si="8"/>
        <v/>
      </c>
      <c r="K223" s="6" t="b">
        <f t="shared" si="9"/>
        <v>0</v>
      </c>
      <c r="L223" s="115"/>
      <c r="M223" s="6"/>
      <c r="N223" s="6"/>
      <c r="O223" s="6"/>
    </row>
    <row r="224" spans="1:15" ht="17">
      <c r="A224" s="6"/>
      <c r="B224" s="95" t="str">
        <f t="shared" si="7"/>
        <v/>
      </c>
      <c r="C224" s="97"/>
      <c r="D224" s="96"/>
      <c r="E224" s="96"/>
      <c r="F224" s="99"/>
      <c r="G224" s="96"/>
      <c r="H224" s="95"/>
      <c r="I224" s="95"/>
      <c r="J224" s="42" t="str">
        <f t="shared" si="8"/>
        <v/>
      </c>
      <c r="K224" s="6" t="b">
        <f t="shared" si="9"/>
        <v>0</v>
      </c>
      <c r="L224" s="115"/>
      <c r="M224" s="6"/>
      <c r="N224" s="6"/>
      <c r="O224" s="6"/>
    </row>
    <row r="225" spans="1:15" ht="17">
      <c r="A225" s="6"/>
      <c r="B225" s="95" t="str">
        <f t="shared" si="7"/>
        <v/>
      </c>
      <c r="C225" s="97"/>
      <c r="D225" s="96"/>
      <c r="E225" s="96"/>
      <c r="F225" s="99"/>
      <c r="G225" s="96"/>
      <c r="H225" s="95"/>
      <c r="I225" s="95"/>
      <c r="J225" s="42" t="str">
        <f t="shared" si="8"/>
        <v/>
      </c>
      <c r="K225" s="6" t="b">
        <f t="shared" si="9"/>
        <v>0</v>
      </c>
      <c r="L225" s="115"/>
      <c r="M225" s="6"/>
      <c r="N225" s="6"/>
      <c r="O225" s="6"/>
    </row>
    <row r="226" spans="1:15" ht="17">
      <c r="A226" s="6"/>
      <c r="B226" s="95" t="str">
        <f t="shared" si="7"/>
        <v/>
      </c>
      <c r="C226" s="97"/>
      <c r="D226" s="96"/>
      <c r="E226" s="96"/>
      <c r="F226" s="99"/>
      <c r="G226" s="96"/>
      <c r="H226" s="95"/>
      <c r="I226" s="95"/>
      <c r="J226" s="42" t="str">
        <f t="shared" si="8"/>
        <v/>
      </c>
      <c r="K226" s="6" t="b">
        <f t="shared" si="9"/>
        <v>0</v>
      </c>
      <c r="L226" s="115"/>
      <c r="M226" s="6"/>
      <c r="N226" s="6"/>
      <c r="O226" s="6"/>
    </row>
    <row r="227" spans="1:15" ht="17">
      <c r="A227" s="6"/>
      <c r="B227" s="95" t="str">
        <f t="shared" si="7"/>
        <v/>
      </c>
      <c r="C227" s="97"/>
      <c r="D227" s="96"/>
      <c r="E227" s="96"/>
      <c r="F227" s="99"/>
      <c r="G227" s="96"/>
      <c r="H227" s="95"/>
      <c r="I227" s="95"/>
      <c r="J227" s="42" t="str">
        <f t="shared" si="8"/>
        <v/>
      </c>
      <c r="K227" s="6" t="b">
        <f t="shared" si="9"/>
        <v>0</v>
      </c>
      <c r="L227" s="115"/>
      <c r="M227" s="6"/>
      <c r="N227" s="6"/>
      <c r="O227" s="6"/>
    </row>
    <row r="228" spans="1:15" ht="17">
      <c r="A228" s="6"/>
      <c r="B228" s="95" t="str">
        <f t="shared" si="7"/>
        <v/>
      </c>
      <c r="C228" s="97"/>
      <c r="D228" s="96"/>
      <c r="E228" s="96"/>
      <c r="F228" s="99"/>
      <c r="G228" s="96"/>
      <c r="H228" s="95"/>
      <c r="I228" s="95"/>
      <c r="J228" s="42" t="str">
        <f t="shared" si="8"/>
        <v/>
      </c>
      <c r="K228" s="6" t="b">
        <f t="shared" si="9"/>
        <v>0</v>
      </c>
      <c r="L228" s="115"/>
      <c r="M228" s="6"/>
      <c r="N228" s="6"/>
      <c r="O228" s="6"/>
    </row>
    <row r="229" spans="1:15" ht="17">
      <c r="A229" s="6"/>
      <c r="B229" s="95" t="str">
        <f t="shared" ref="B229:B292" si="10">IF(C229="","","V"&amp;TEXT(ROW()-6,"00000"))</f>
        <v/>
      </c>
      <c r="C229" s="97"/>
      <c r="D229" s="96"/>
      <c r="E229" s="96"/>
      <c r="F229" s="99"/>
      <c r="G229" s="96"/>
      <c r="H229" s="95"/>
      <c r="I229" s="95"/>
      <c r="J229" s="42" t="str">
        <f t="shared" si="8"/>
        <v/>
      </c>
      <c r="K229" s="6" t="b">
        <f t="shared" si="9"/>
        <v>0</v>
      </c>
      <c r="L229" s="115"/>
      <c r="M229" s="6"/>
      <c r="N229" s="6"/>
      <c r="O229" s="6"/>
    </row>
    <row r="230" spans="1:15" ht="17">
      <c r="A230" s="6"/>
      <c r="B230" s="95" t="str">
        <f t="shared" si="10"/>
        <v/>
      </c>
      <c r="C230" s="97"/>
      <c r="D230" s="96"/>
      <c r="E230" s="96"/>
      <c r="F230" s="99"/>
      <c r="G230" s="96"/>
      <c r="H230" s="95"/>
      <c r="I230" s="95"/>
      <c r="J230" s="42" t="str">
        <f t="shared" si="8"/>
        <v/>
      </c>
      <c r="K230" s="6" t="b">
        <f t="shared" si="9"/>
        <v>0</v>
      </c>
      <c r="L230" s="115"/>
      <c r="M230" s="6"/>
      <c r="N230" s="6"/>
      <c r="O230" s="6"/>
    </row>
    <row r="231" spans="1:15" ht="17">
      <c r="A231" s="6"/>
      <c r="B231" s="95" t="str">
        <f t="shared" si="10"/>
        <v/>
      </c>
      <c r="C231" s="97"/>
      <c r="D231" s="96"/>
      <c r="E231" s="96"/>
      <c r="F231" s="99"/>
      <c r="G231" s="96"/>
      <c r="H231" s="95"/>
      <c r="I231" s="95"/>
      <c r="J231" s="42" t="str">
        <f t="shared" si="8"/>
        <v/>
      </c>
      <c r="K231" s="6" t="b">
        <f t="shared" si="9"/>
        <v>0</v>
      </c>
      <c r="L231" s="115"/>
      <c r="M231" s="6"/>
      <c r="N231" s="6"/>
      <c r="O231" s="6"/>
    </row>
    <row r="232" spans="1:15" ht="17">
      <c r="A232" s="6"/>
      <c r="B232" s="95" t="str">
        <f t="shared" si="10"/>
        <v/>
      </c>
      <c r="C232" s="97"/>
      <c r="D232" s="96"/>
      <c r="E232" s="96"/>
      <c r="F232" s="99"/>
      <c r="G232" s="96"/>
      <c r="H232" s="95"/>
      <c r="I232" s="95"/>
      <c r="J232" s="42" t="str">
        <f t="shared" si="8"/>
        <v/>
      </c>
      <c r="K232" s="6" t="b">
        <f t="shared" si="9"/>
        <v>0</v>
      </c>
      <c r="L232" s="115"/>
      <c r="M232" s="6"/>
      <c r="N232" s="6"/>
      <c r="O232" s="6"/>
    </row>
    <row r="233" spans="1:15" ht="17">
      <c r="A233" s="6"/>
      <c r="B233" s="95" t="str">
        <f t="shared" si="10"/>
        <v/>
      </c>
      <c r="C233" s="97"/>
      <c r="D233" s="96"/>
      <c r="E233" s="96"/>
      <c r="F233" s="99"/>
      <c r="G233" s="96"/>
      <c r="H233" s="95"/>
      <c r="I233" s="95"/>
      <c r="J233" s="42" t="str">
        <f t="shared" si="8"/>
        <v/>
      </c>
      <c r="K233" s="6" t="b">
        <f t="shared" si="9"/>
        <v>0</v>
      </c>
      <c r="L233" s="115"/>
      <c r="M233" s="6"/>
      <c r="N233" s="6"/>
      <c r="O233" s="6"/>
    </row>
    <row r="234" spans="1:15" ht="17">
      <c r="A234" s="6"/>
      <c r="B234" s="95" t="str">
        <f t="shared" si="10"/>
        <v/>
      </c>
      <c r="C234" s="97"/>
      <c r="D234" s="96"/>
      <c r="E234" s="96"/>
      <c r="F234" s="99"/>
      <c r="G234" s="96"/>
      <c r="H234" s="95"/>
      <c r="I234" s="95"/>
      <c r="J234" s="42" t="str">
        <f t="shared" si="8"/>
        <v/>
      </c>
      <c r="K234" s="6" t="b">
        <f t="shared" si="9"/>
        <v>0</v>
      </c>
      <c r="L234" s="115"/>
      <c r="M234" s="6"/>
      <c r="N234" s="6"/>
      <c r="O234" s="6"/>
    </row>
    <row r="235" spans="1:15" ht="17">
      <c r="A235" s="6"/>
      <c r="B235" s="95" t="str">
        <f t="shared" si="10"/>
        <v/>
      </c>
      <c r="C235" s="97"/>
      <c r="D235" s="96"/>
      <c r="E235" s="96"/>
      <c r="F235" s="99"/>
      <c r="G235" s="96"/>
      <c r="H235" s="95"/>
      <c r="I235" s="95"/>
      <c r="J235" s="42" t="str">
        <f t="shared" si="8"/>
        <v/>
      </c>
      <c r="K235" s="6" t="b">
        <f t="shared" si="9"/>
        <v>0</v>
      </c>
      <c r="L235" s="115"/>
      <c r="M235" s="6"/>
      <c r="N235" s="6"/>
      <c r="O235" s="6"/>
    </row>
    <row r="236" spans="1:15" ht="17">
      <c r="A236" s="6"/>
      <c r="B236" s="95" t="str">
        <f t="shared" si="10"/>
        <v/>
      </c>
      <c r="C236" s="97"/>
      <c r="D236" s="96"/>
      <c r="E236" s="96"/>
      <c r="F236" s="99"/>
      <c r="G236" s="96"/>
      <c r="H236" s="95"/>
      <c r="I236" s="95"/>
      <c r="J236" s="42" t="str">
        <f t="shared" si="8"/>
        <v/>
      </c>
      <c r="K236" s="6" t="b">
        <f t="shared" si="9"/>
        <v>0</v>
      </c>
      <c r="L236" s="115"/>
      <c r="M236" s="6"/>
      <c r="N236" s="6"/>
      <c r="O236" s="6"/>
    </row>
    <row r="237" spans="1:15" ht="17">
      <c r="A237" s="6"/>
      <c r="B237" s="95" t="str">
        <f t="shared" si="10"/>
        <v/>
      </c>
      <c r="C237" s="97"/>
      <c r="D237" s="96"/>
      <c r="E237" s="96"/>
      <c r="F237" s="99"/>
      <c r="G237" s="96"/>
      <c r="H237" s="95"/>
      <c r="I237" s="95"/>
      <c r="J237" s="42" t="str">
        <f t="shared" si="8"/>
        <v/>
      </c>
      <c r="K237" s="6" t="b">
        <f t="shared" si="9"/>
        <v>0</v>
      </c>
      <c r="L237" s="115"/>
      <c r="M237" s="6"/>
      <c r="N237" s="6"/>
      <c r="O237" s="6"/>
    </row>
    <row r="238" spans="1:15" ht="17">
      <c r="A238" s="6"/>
      <c r="B238" s="95" t="str">
        <f t="shared" si="10"/>
        <v/>
      </c>
      <c r="C238" s="97"/>
      <c r="D238" s="96"/>
      <c r="E238" s="96"/>
      <c r="F238" s="99"/>
      <c r="G238" s="96"/>
      <c r="H238" s="95"/>
      <c r="I238" s="95"/>
      <c r="J238" s="42" t="str">
        <f t="shared" si="8"/>
        <v/>
      </c>
      <c r="K238" s="6" t="b">
        <f t="shared" si="9"/>
        <v>0</v>
      </c>
      <c r="L238" s="115"/>
      <c r="M238" s="6"/>
      <c r="N238" s="6"/>
      <c r="O238" s="6"/>
    </row>
    <row r="239" spans="1:15" ht="17">
      <c r="A239" s="6"/>
      <c r="B239" s="95" t="str">
        <f t="shared" si="10"/>
        <v/>
      </c>
      <c r="C239" s="97"/>
      <c r="D239" s="96"/>
      <c r="E239" s="96"/>
      <c r="F239" s="99"/>
      <c r="G239" s="96"/>
      <c r="H239" s="95"/>
      <c r="I239" s="95"/>
      <c r="J239" s="42" t="str">
        <f t="shared" si="8"/>
        <v/>
      </c>
      <c r="K239" s="6" t="b">
        <f t="shared" si="9"/>
        <v>0</v>
      </c>
      <c r="L239" s="115"/>
      <c r="M239" s="6"/>
      <c r="N239" s="6"/>
      <c r="O239" s="6"/>
    </row>
    <row r="240" spans="1:15" ht="17">
      <c r="A240" s="6"/>
      <c r="B240" s="95" t="str">
        <f t="shared" si="10"/>
        <v/>
      </c>
      <c r="C240" s="97"/>
      <c r="D240" s="96"/>
      <c r="E240" s="96"/>
      <c r="F240" s="99"/>
      <c r="G240" s="96"/>
      <c r="H240" s="95"/>
      <c r="I240" s="95"/>
      <c r="J240" s="42" t="str">
        <f t="shared" si="8"/>
        <v/>
      </c>
      <c r="K240" s="6" t="b">
        <f t="shared" si="9"/>
        <v>0</v>
      </c>
      <c r="L240" s="115"/>
      <c r="M240" s="6"/>
      <c r="N240" s="6"/>
      <c r="O240" s="6"/>
    </row>
    <row r="241" spans="1:15" ht="17">
      <c r="A241" s="6"/>
      <c r="B241" s="95" t="str">
        <f t="shared" si="10"/>
        <v/>
      </c>
      <c r="C241" s="97"/>
      <c r="D241" s="96"/>
      <c r="E241" s="96"/>
      <c r="F241" s="99"/>
      <c r="G241" s="96"/>
      <c r="H241" s="95"/>
      <c r="I241" s="95"/>
      <c r="J241" s="42" t="str">
        <f t="shared" si="8"/>
        <v/>
      </c>
      <c r="K241" s="6" t="b">
        <f t="shared" si="9"/>
        <v>0</v>
      </c>
      <c r="L241" s="115"/>
      <c r="M241" s="6"/>
      <c r="N241" s="6"/>
      <c r="O241" s="6"/>
    </row>
    <row r="242" spans="1:15" ht="17">
      <c r="A242" s="6"/>
      <c r="B242" s="95" t="str">
        <f t="shared" si="10"/>
        <v/>
      </c>
      <c r="C242" s="97"/>
      <c r="D242" s="96"/>
      <c r="E242" s="96"/>
      <c r="F242" s="99"/>
      <c r="G242" s="96"/>
      <c r="H242" s="95"/>
      <c r="I242" s="95"/>
      <c r="J242" s="42" t="str">
        <f t="shared" si="8"/>
        <v/>
      </c>
      <c r="K242" s="6" t="b">
        <f t="shared" si="9"/>
        <v>0</v>
      </c>
      <c r="L242" s="115"/>
      <c r="M242" s="6"/>
      <c r="N242" s="6"/>
      <c r="O242" s="6"/>
    </row>
    <row r="243" spans="1:15" ht="17">
      <c r="A243" s="6"/>
      <c r="B243" s="95" t="str">
        <f t="shared" si="10"/>
        <v/>
      </c>
      <c r="C243" s="97"/>
      <c r="D243" s="96"/>
      <c r="E243" s="96"/>
      <c r="F243" s="99"/>
      <c r="G243" s="96"/>
      <c r="H243" s="95"/>
      <c r="I243" s="95"/>
      <c r="J243" s="42" t="str">
        <f t="shared" si="8"/>
        <v/>
      </c>
      <c r="K243" s="6" t="b">
        <f t="shared" si="9"/>
        <v>0</v>
      </c>
      <c r="L243" s="115"/>
      <c r="M243" s="6"/>
      <c r="N243" s="6"/>
      <c r="O243" s="6"/>
    </row>
    <row r="244" spans="1:15" ht="17">
      <c r="A244" s="6"/>
      <c r="B244" s="95" t="str">
        <f t="shared" si="10"/>
        <v/>
      </c>
      <c r="C244" s="97"/>
      <c r="D244" s="96"/>
      <c r="E244" s="96"/>
      <c r="F244" s="99"/>
      <c r="G244" s="96"/>
      <c r="H244" s="95"/>
      <c r="I244" s="95"/>
      <c r="J244" s="42" t="str">
        <f t="shared" si="8"/>
        <v/>
      </c>
      <c r="K244" s="6" t="b">
        <f t="shared" si="9"/>
        <v>0</v>
      </c>
      <c r="L244" s="115"/>
      <c r="M244" s="6"/>
      <c r="N244" s="6"/>
      <c r="O244" s="6"/>
    </row>
    <row r="245" spans="1:15" ht="17">
      <c r="A245" s="6"/>
      <c r="B245" s="95" t="str">
        <f t="shared" si="10"/>
        <v/>
      </c>
      <c r="C245" s="97"/>
      <c r="D245" s="96"/>
      <c r="E245" s="96"/>
      <c r="F245" s="99"/>
      <c r="G245" s="96"/>
      <c r="H245" s="95"/>
      <c r="I245" s="95"/>
      <c r="J245" s="42" t="str">
        <f t="shared" si="8"/>
        <v/>
      </c>
      <c r="K245" s="6" t="b">
        <f t="shared" si="9"/>
        <v>0</v>
      </c>
      <c r="L245" s="115"/>
      <c r="M245" s="6"/>
      <c r="N245" s="6"/>
      <c r="O245" s="6"/>
    </row>
    <row r="246" spans="1:15" ht="17">
      <c r="A246" s="6"/>
      <c r="B246" s="95" t="str">
        <f t="shared" si="10"/>
        <v/>
      </c>
      <c r="C246" s="97"/>
      <c r="D246" s="96"/>
      <c r="E246" s="96"/>
      <c r="F246" s="99"/>
      <c r="G246" s="96"/>
      <c r="H246" s="95"/>
      <c r="I246" s="95"/>
      <c r="J246" s="42" t="str">
        <f t="shared" si="8"/>
        <v/>
      </c>
      <c r="K246" s="6" t="b">
        <f t="shared" si="9"/>
        <v>0</v>
      </c>
      <c r="L246" s="115"/>
      <c r="M246" s="6"/>
      <c r="N246" s="6"/>
      <c r="O246" s="6"/>
    </row>
    <row r="247" spans="1:15" ht="17">
      <c r="A247" s="6"/>
      <c r="B247" s="95" t="str">
        <f t="shared" si="10"/>
        <v/>
      </c>
      <c r="C247" s="97"/>
      <c r="D247" s="96"/>
      <c r="E247" s="96"/>
      <c r="F247" s="99"/>
      <c r="G247" s="96"/>
      <c r="H247" s="95"/>
      <c r="I247" s="95"/>
      <c r="J247" s="42" t="str">
        <f t="shared" si="8"/>
        <v/>
      </c>
      <c r="K247" s="6" t="b">
        <f t="shared" si="9"/>
        <v>0</v>
      </c>
      <c r="L247" s="115"/>
      <c r="M247" s="6"/>
      <c r="N247" s="6"/>
      <c r="O247" s="6"/>
    </row>
    <row r="248" spans="1:15" ht="17">
      <c r="A248" s="6"/>
      <c r="B248" s="95" t="str">
        <f t="shared" si="10"/>
        <v/>
      </c>
      <c r="C248" s="97"/>
      <c r="D248" s="96"/>
      <c r="E248" s="96"/>
      <c r="F248" s="99"/>
      <c r="G248" s="96"/>
      <c r="H248" s="95"/>
      <c r="I248" s="95"/>
      <c r="J248" s="42" t="str">
        <f t="shared" si="8"/>
        <v/>
      </c>
      <c r="K248" s="6" t="b">
        <f t="shared" si="9"/>
        <v>0</v>
      </c>
      <c r="L248" s="115"/>
      <c r="M248" s="6"/>
      <c r="N248" s="6"/>
      <c r="O248" s="6"/>
    </row>
    <row r="249" spans="1:15" ht="17">
      <c r="A249" s="6"/>
      <c r="B249" s="95" t="str">
        <f t="shared" si="10"/>
        <v/>
      </c>
      <c r="C249" s="97"/>
      <c r="D249" s="96"/>
      <c r="E249" s="96"/>
      <c r="F249" s="99"/>
      <c r="G249" s="96"/>
      <c r="H249" s="95"/>
      <c r="I249" s="95"/>
      <c r="J249" s="42" t="str">
        <f t="shared" si="8"/>
        <v/>
      </c>
      <c r="K249" s="6" t="b">
        <f t="shared" si="9"/>
        <v>0</v>
      </c>
      <c r="L249" s="115"/>
      <c r="M249" s="6"/>
      <c r="N249" s="6"/>
      <c r="O249" s="6"/>
    </row>
    <row r="250" spans="1:15" ht="17">
      <c r="A250" s="6"/>
      <c r="B250" s="95" t="str">
        <f t="shared" si="10"/>
        <v/>
      </c>
      <c r="C250" s="97"/>
      <c r="D250" s="96"/>
      <c r="E250" s="96"/>
      <c r="F250" s="99"/>
      <c r="G250" s="96"/>
      <c r="H250" s="95"/>
      <c r="I250" s="95"/>
      <c r="J250" s="42" t="str">
        <f t="shared" si="8"/>
        <v/>
      </c>
      <c r="K250" s="6" t="b">
        <f t="shared" si="9"/>
        <v>0</v>
      </c>
      <c r="L250" s="115"/>
      <c r="M250" s="6"/>
      <c r="N250" s="6"/>
      <c r="O250" s="6"/>
    </row>
    <row r="251" spans="1:15" ht="17">
      <c r="A251" s="6"/>
      <c r="B251" s="95" t="str">
        <f t="shared" si="10"/>
        <v/>
      </c>
      <c r="C251" s="97"/>
      <c r="D251" s="96"/>
      <c r="E251" s="96"/>
      <c r="F251" s="99"/>
      <c r="G251" s="96"/>
      <c r="H251" s="95"/>
      <c r="I251" s="95"/>
      <c r="J251" s="42" t="str">
        <f t="shared" si="8"/>
        <v/>
      </c>
      <c r="K251" s="6" t="b">
        <f t="shared" si="9"/>
        <v>0</v>
      </c>
      <c r="L251" s="115"/>
      <c r="M251" s="6"/>
      <c r="N251" s="6"/>
      <c r="O251" s="6"/>
    </row>
    <row r="252" spans="1:15" ht="17">
      <c r="A252" s="6"/>
      <c r="B252" s="95" t="str">
        <f t="shared" si="10"/>
        <v/>
      </c>
      <c r="C252" s="97"/>
      <c r="D252" s="96"/>
      <c r="E252" s="96"/>
      <c r="F252" s="99"/>
      <c r="G252" s="96"/>
      <c r="H252" s="95"/>
      <c r="I252" s="95"/>
      <c r="J252" s="42" t="str">
        <f t="shared" si="8"/>
        <v/>
      </c>
      <c r="K252" s="6" t="b">
        <f t="shared" si="9"/>
        <v>0</v>
      </c>
      <c r="L252" s="115"/>
      <c r="M252" s="6"/>
      <c r="N252" s="6"/>
      <c r="O252" s="6"/>
    </row>
    <row r="253" spans="1:15" ht="17">
      <c r="A253" s="6"/>
      <c r="B253" s="95" t="str">
        <f t="shared" si="10"/>
        <v/>
      </c>
      <c r="C253" s="97"/>
      <c r="D253" s="96"/>
      <c r="E253" s="96"/>
      <c r="F253" s="99"/>
      <c r="G253" s="96"/>
      <c r="H253" s="95"/>
      <c r="I253" s="95"/>
      <c r="J253" s="42" t="str">
        <f t="shared" si="8"/>
        <v/>
      </c>
      <c r="K253" s="6" t="b">
        <f t="shared" si="9"/>
        <v>0</v>
      </c>
      <c r="L253" s="115"/>
      <c r="M253" s="6"/>
      <c r="N253" s="6"/>
      <c r="O253" s="6"/>
    </row>
    <row r="254" spans="1:15" ht="17">
      <c r="A254" s="6"/>
      <c r="B254" s="95" t="str">
        <f t="shared" si="10"/>
        <v/>
      </c>
      <c r="C254" s="97"/>
      <c r="D254" s="96"/>
      <c r="E254" s="96"/>
      <c r="F254" s="99"/>
      <c r="G254" s="96"/>
      <c r="H254" s="95"/>
      <c r="I254" s="95"/>
      <c r="J254" s="42" t="str">
        <f t="shared" si="8"/>
        <v/>
      </c>
      <c r="K254" s="6" t="b">
        <f t="shared" si="9"/>
        <v>0</v>
      </c>
      <c r="L254" s="115"/>
      <c r="M254" s="6"/>
      <c r="N254" s="6"/>
      <c r="O254" s="6"/>
    </row>
    <row r="255" spans="1:15" ht="17">
      <c r="A255" s="6"/>
      <c r="B255" s="95" t="str">
        <f t="shared" si="10"/>
        <v/>
      </c>
      <c r="C255" s="97"/>
      <c r="D255" s="96"/>
      <c r="E255" s="96"/>
      <c r="F255" s="99"/>
      <c r="G255" s="96"/>
      <c r="H255" s="95"/>
      <c r="I255" s="95"/>
      <c r="J255" s="42" t="str">
        <f t="shared" si="8"/>
        <v/>
      </c>
      <c r="K255" s="6" t="b">
        <f t="shared" si="9"/>
        <v>0</v>
      </c>
      <c r="L255" s="115"/>
      <c r="M255" s="6"/>
      <c r="N255" s="6"/>
      <c r="O255" s="6"/>
    </row>
    <row r="256" spans="1:15" ht="17">
      <c r="A256" s="6"/>
      <c r="B256" s="95" t="str">
        <f t="shared" si="10"/>
        <v/>
      </c>
      <c r="C256" s="97"/>
      <c r="D256" s="96"/>
      <c r="E256" s="96"/>
      <c r="F256" s="99"/>
      <c r="G256" s="96"/>
      <c r="H256" s="95"/>
      <c r="I256" s="95"/>
      <c r="J256" s="42" t="str">
        <f t="shared" si="8"/>
        <v/>
      </c>
      <c r="K256" s="6" t="b">
        <f t="shared" si="9"/>
        <v>0</v>
      </c>
      <c r="L256" s="115"/>
      <c r="M256" s="6"/>
      <c r="N256" s="6"/>
      <c r="O256" s="6"/>
    </row>
    <row r="257" spans="1:15" ht="17">
      <c r="A257" s="6"/>
      <c r="B257" s="95" t="str">
        <f t="shared" si="10"/>
        <v/>
      </c>
      <c r="C257" s="97"/>
      <c r="D257" s="96"/>
      <c r="E257" s="96"/>
      <c r="F257" s="99"/>
      <c r="G257" s="96"/>
      <c r="H257" s="95"/>
      <c r="I257" s="95"/>
      <c r="J257" s="42" t="str">
        <f t="shared" si="8"/>
        <v/>
      </c>
      <c r="K257" s="6" t="b">
        <f t="shared" si="9"/>
        <v>0</v>
      </c>
      <c r="L257" s="115"/>
      <c r="M257" s="6"/>
      <c r="N257" s="6"/>
      <c r="O257" s="6"/>
    </row>
    <row r="258" spans="1:15" ht="17">
      <c r="A258" s="6"/>
      <c r="B258" s="95" t="str">
        <f t="shared" si="10"/>
        <v/>
      </c>
      <c r="C258" s="97"/>
      <c r="D258" s="96"/>
      <c r="E258" s="96"/>
      <c r="F258" s="99"/>
      <c r="G258" s="96"/>
      <c r="H258" s="95"/>
      <c r="I258" s="95"/>
      <c r="J258" s="42" t="str">
        <f t="shared" si="8"/>
        <v/>
      </c>
      <c r="K258" s="6" t="b">
        <f t="shared" si="9"/>
        <v>0</v>
      </c>
      <c r="L258" s="115"/>
      <c r="M258" s="6"/>
      <c r="N258" s="6"/>
      <c r="O258" s="6"/>
    </row>
    <row r="259" spans="1:15" ht="17">
      <c r="A259" s="6"/>
      <c r="B259" s="95" t="str">
        <f t="shared" si="10"/>
        <v/>
      </c>
      <c r="C259" s="97"/>
      <c r="D259" s="96"/>
      <c r="E259" s="96"/>
      <c r="F259" s="99"/>
      <c r="G259" s="96"/>
      <c r="H259" s="95"/>
      <c r="I259" s="95"/>
      <c r="J259" s="42" t="str">
        <f t="shared" si="8"/>
        <v/>
      </c>
      <c r="K259" s="6" t="b">
        <f t="shared" si="9"/>
        <v>0</v>
      </c>
      <c r="L259" s="115"/>
      <c r="M259" s="6"/>
      <c r="N259" s="6"/>
      <c r="O259" s="6"/>
    </row>
    <row r="260" spans="1:15" ht="17">
      <c r="A260" s="6"/>
      <c r="B260" s="95" t="str">
        <f t="shared" si="10"/>
        <v/>
      </c>
      <c r="C260" s="97"/>
      <c r="D260" s="96"/>
      <c r="E260" s="96"/>
      <c r="F260" s="99"/>
      <c r="G260" s="96"/>
      <c r="H260" s="95"/>
      <c r="I260" s="95"/>
      <c r="J260" s="42" t="str">
        <f t="shared" si="8"/>
        <v/>
      </c>
      <c r="K260" s="6" t="b">
        <f t="shared" si="9"/>
        <v>0</v>
      </c>
      <c r="L260" s="115"/>
      <c r="M260" s="6"/>
      <c r="N260" s="6"/>
      <c r="O260" s="6"/>
    </row>
    <row r="261" spans="1:15" ht="17">
      <c r="A261" s="6"/>
      <c r="B261" s="95" t="str">
        <f t="shared" si="10"/>
        <v/>
      </c>
      <c r="C261" s="97"/>
      <c r="D261" s="96"/>
      <c r="E261" s="96"/>
      <c r="F261" s="99"/>
      <c r="G261" s="96"/>
      <c r="H261" s="95"/>
      <c r="I261" s="95"/>
      <c r="J261" s="42" t="str">
        <f t="shared" si="8"/>
        <v/>
      </c>
      <c r="K261" s="6" t="b">
        <f t="shared" si="9"/>
        <v>0</v>
      </c>
      <c r="L261" s="115"/>
      <c r="M261" s="6"/>
      <c r="N261" s="6"/>
      <c r="O261" s="6"/>
    </row>
    <row r="262" spans="1:15" ht="17">
      <c r="A262" s="6"/>
      <c r="B262" s="95" t="str">
        <f t="shared" si="10"/>
        <v/>
      </c>
      <c r="C262" s="97"/>
      <c r="D262" s="96"/>
      <c r="E262" s="96"/>
      <c r="F262" s="99"/>
      <c r="G262" s="96"/>
      <c r="H262" s="95"/>
      <c r="I262" s="95"/>
      <c r="J262" s="42" t="str">
        <f t="shared" si="8"/>
        <v/>
      </c>
      <c r="K262" s="6" t="b">
        <f t="shared" si="9"/>
        <v>0</v>
      </c>
      <c r="L262" s="115"/>
      <c r="M262" s="6"/>
      <c r="N262" s="6"/>
      <c r="O262" s="6"/>
    </row>
    <row r="263" spans="1:15" ht="17">
      <c r="A263" s="6"/>
      <c r="B263" s="95" t="str">
        <f t="shared" si="10"/>
        <v/>
      </c>
      <c r="C263" s="97"/>
      <c r="D263" s="96"/>
      <c r="E263" s="96"/>
      <c r="F263" s="99"/>
      <c r="G263" s="96"/>
      <c r="H263" s="95"/>
      <c r="I263" s="95"/>
      <c r="J263" s="42" t="str">
        <f t="shared" ref="J263:J326" si="11">IF(C263="","",IF(OR(D263="",E263="",F263=""),"EKSİK",IF(D263=E263,"AYNI HESAP OLAMAZ",IF(AND(D263="MERKEZ KASA",E263="ÖMER KARTAL",K263),"YANLIŞ VIRMAN","UYGUN"))))</f>
        <v/>
      </c>
      <c r="K263" s="6" t="b">
        <f t="shared" ref="K263:K326" si="12">OR(ISNUMBER(SEARCH("MUHASEBE ÜCRETİ",G263&amp;"")),ISNUMBER(SEARCH("SGK",G263&amp;"")),ISNUMBER(SEARCH("MENDERES MAHSUP",G263&amp;"")),ISNUMBER(SEARCH("GRAND 06 ÖMER BAKİYE",G263&amp;"")))</f>
        <v>0</v>
      </c>
      <c r="L263" s="115"/>
      <c r="M263" s="6"/>
      <c r="N263" s="6"/>
      <c r="O263" s="6"/>
    </row>
    <row r="264" spans="1:15" ht="17">
      <c r="A264" s="6"/>
      <c r="B264" s="95" t="str">
        <f t="shared" si="10"/>
        <v/>
      </c>
      <c r="C264" s="97"/>
      <c r="D264" s="96"/>
      <c r="E264" s="96"/>
      <c r="F264" s="99"/>
      <c r="G264" s="96"/>
      <c r="H264" s="95"/>
      <c r="I264" s="95"/>
      <c r="J264" s="42" t="str">
        <f t="shared" si="11"/>
        <v/>
      </c>
      <c r="K264" s="6" t="b">
        <f t="shared" si="12"/>
        <v>0</v>
      </c>
      <c r="L264" s="115"/>
      <c r="M264" s="6"/>
      <c r="N264" s="6"/>
      <c r="O264" s="6"/>
    </row>
    <row r="265" spans="1:15" ht="17">
      <c r="A265" s="6"/>
      <c r="B265" s="95" t="str">
        <f t="shared" si="10"/>
        <v/>
      </c>
      <c r="C265" s="97"/>
      <c r="D265" s="96"/>
      <c r="E265" s="96"/>
      <c r="F265" s="99"/>
      <c r="G265" s="96"/>
      <c r="H265" s="95"/>
      <c r="I265" s="95"/>
      <c r="J265" s="42" t="str">
        <f t="shared" si="11"/>
        <v/>
      </c>
      <c r="K265" s="6" t="b">
        <f t="shared" si="12"/>
        <v>0</v>
      </c>
      <c r="L265" s="115"/>
      <c r="M265" s="6"/>
      <c r="N265" s="6"/>
      <c r="O265" s="6"/>
    </row>
    <row r="266" spans="1:15" ht="17">
      <c r="A266" s="6"/>
      <c r="B266" s="95" t="str">
        <f t="shared" si="10"/>
        <v/>
      </c>
      <c r="C266" s="97"/>
      <c r="D266" s="96"/>
      <c r="E266" s="96"/>
      <c r="F266" s="99"/>
      <c r="G266" s="96"/>
      <c r="H266" s="95"/>
      <c r="I266" s="95"/>
      <c r="J266" s="42" t="str">
        <f t="shared" si="11"/>
        <v/>
      </c>
      <c r="K266" s="6" t="b">
        <f t="shared" si="12"/>
        <v>0</v>
      </c>
      <c r="L266" s="115"/>
      <c r="M266" s="6"/>
      <c r="N266" s="6"/>
      <c r="O266" s="6"/>
    </row>
    <row r="267" spans="1:15" ht="17">
      <c r="A267" s="6"/>
      <c r="B267" s="95" t="str">
        <f t="shared" si="10"/>
        <v/>
      </c>
      <c r="C267" s="97"/>
      <c r="D267" s="96"/>
      <c r="E267" s="96"/>
      <c r="F267" s="99"/>
      <c r="G267" s="96"/>
      <c r="H267" s="95"/>
      <c r="I267" s="95"/>
      <c r="J267" s="42" t="str">
        <f t="shared" si="11"/>
        <v/>
      </c>
      <c r="K267" s="6" t="b">
        <f t="shared" si="12"/>
        <v>0</v>
      </c>
      <c r="L267" s="115"/>
      <c r="M267" s="6"/>
      <c r="N267" s="6"/>
      <c r="O267" s="6"/>
    </row>
    <row r="268" spans="1:15" ht="17">
      <c r="A268" s="6"/>
      <c r="B268" s="95" t="str">
        <f t="shared" si="10"/>
        <v/>
      </c>
      <c r="C268" s="97"/>
      <c r="D268" s="96"/>
      <c r="E268" s="96"/>
      <c r="F268" s="99"/>
      <c r="G268" s="96"/>
      <c r="H268" s="95"/>
      <c r="I268" s="95"/>
      <c r="J268" s="42" t="str">
        <f t="shared" si="11"/>
        <v/>
      </c>
      <c r="K268" s="6" t="b">
        <f t="shared" si="12"/>
        <v>0</v>
      </c>
      <c r="L268" s="115"/>
      <c r="M268" s="6"/>
      <c r="N268" s="6"/>
      <c r="O268" s="6"/>
    </row>
    <row r="269" spans="1:15" ht="17">
      <c r="A269" s="6"/>
      <c r="B269" s="95" t="str">
        <f t="shared" si="10"/>
        <v/>
      </c>
      <c r="C269" s="97"/>
      <c r="D269" s="96"/>
      <c r="E269" s="96"/>
      <c r="F269" s="99"/>
      <c r="G269" s="96"/>
      <c r="H269" s="95"/>
      <c r="I269" s="95"/>
      <c r="J269" s="42" t="str">
        <f t="shared" si="11"/>
        <v/>
      </c>
      <c r="K269" s="6" t="b">
        <f t="shared" si="12"/>
        <v>0</v>
      </c>
      <c r="L269" s="115"/>
      <c r="M269" s="6"/>
      <c r="N269" s="6"/>
      <c r="O269" s="6"/>
    </row>
    <row r="270" spans="1:15" ht="17">
      <c r="A270" s="6"/>
      <c r="B270" s="95" t="str">
        <f t="shared" si="10"/>
        <v/>
      </c>
      <c r="C270" s="97"/>
      <c r="D270" s="96"/>
      <c r="E270" s="96"/>
      <c r="F270" s="99"/>
      <c r="G270" s="96"/>
      <c r="H270" s="95"/>
      <c r="I270" s="95"/>
      <c r="J270" s="42" t="str">
        <f t="shared" si="11"/>
        <v/>
      </c>
      <c r="K270" s="6" t="b">
        <f t="shared" si="12"/>
        <v>0</v>
      </c>
      <c r="L270" s="115"/>
      <c r="M270" s="6"/>
      <c r="N270" s="6"/>
      <c r="O270" s="6"/>
    </row>
    <row r="271" spans="1:15" ht="17">
      <c r="A271" s="6"/>
      <c r="B271" s="95" t="str">
        <f t="shared" si="10"/>
        <v/>
      </c>
      <c r="C271" s="97"/>
      <c r="D271" s="96"/>
      <c r="E271" s="96"/>
      <c r="F271" s="99"/>
      <c r="G271" s="96"/>
      <c r="H271" s="95"/>
      <c r="I271" s="95"/>
      <c r="J271" s="42" t="str">
        <f t="shared" si="11"/>
        <v/>
      </c>
      <c r="K271" s="6" t="b">
        <f t="shared" si="12"/>
        <v>0</v>
      </c>
      <c r="L271" s="115"/>
      <c r="M271" s="6"/>
      <c r="N271" s="6"/>
      <c r="O271" s="6"/>
    </row>
    <row r="272" spans="1:15" ht="17">
      <c r="A272" s="6"/>
      <c r="B272" s="95" t="str">
        <f t="shared" si="10"/>
        <v/>
      </c>
      <c r="C272" s="97"/>
      <c r="D272" s="96"/>
      <c r="E272" s="96"/>
      <c r="F272" s="99"/>
      <c r="G272" s="96"/>
      <c r="H272" s="95"/>
      <c r="I272" s="95"/>
      <c r="J272" s="42" t="str">
        <f t="shared" si="11"/>
        <v/>
      </c>
      <c r="K272" s="6" t="b">
        <f t="shared" si="12"/>
        <v>0</v>
      </c>
      <c r="L272" s="115"/>
      <c r="M272" s="6"/>
      <c r="N272" s="6"/>
      <c r="O272" s="6"/>
    </row>
    <row r="273" spans="1:15" ht="17">
      <c r="A273" s="6"/>
      <c r="B273" s="95" t="str">
        <f t="shared" si="10"/>
        <v/>
      </c>
      <c r="C273" s="97"/>
      <c r="D273" s="96"/>
      <c r="E273" s="96"/>
      <c r="F273" s="99"/>
      <c r="G273" s="96"/>
      <c r="H273" s="95"/>
      <c r="I273" s="95"/>
      <c r="J273" s="42" t="str">
        <f t="shared" si="11"/>
        <v/>
      </c>
      <c r="K273" s="6" t="b">
        <f t="shared" si="12"/>
        <v>0</v>
      </c>
      <c r="L273" s="115"/>
      <c r="M273" s="6"/>
      <c r="N273" s="6"/>
      <c r="O273" s="6"/>
    </row>
    <row r="274" spans="1:15" ht="17">
      <c r="A274" s="6"/>
      <c r="B274" s="95" t="str">
        <f t="shared" si="10"/>
        <v/>
      </c>
      <c r="C274" s="97"/>
      <c r="D274" s="96"/>
      <c r="E274" s="96"/>
      <c r="F274" s="99"/>
      <c r="G274" s="96"/>
      <c r="H274" s="95"/>
      <c r="I274" s="95"/>
      <c r="J274" s="42" t="str">
        <f t="shared" si="11"/>
        <v/>
      </c>
      <c r="K274" s="6" t="b">
        <f t="shared" si="12"/>
        <v>0</v>
      </c>
      <c r="L274" s="115"/>
      <c r="M274" s="6"/>
      <c r="N274" s="6"/>
      <c r="O274" s="6"/>
    </row>
    <row r="275" spans="1:15" ht="17">
      <c r="A275" s="6"/>
      <c r="B275" s="95" t="str">
        <f t="shared" si="10"/>
        <v/>
      </c>
      <c r="C275" s="97"/>
      <c r="D275" s="96"/>
      <c r="E275" s="96"/>
      <c r="F275" s="99"/>
      <c r="G275" s="96"/>
      <c r="H275" s="95"/>
      <c r="I275" s="95"/>
      <c r="J275" s="42" t="str">
        <f t="shared" si="11"/>
        <v/>
      </c>
      <c r="K275" s="6" t="b">
        <f t="shared" si="12"/>
        <v>0</v>
      </c>
      <c r="L275" s="115"/>
      <c r="M275" s="6"/>
      <c r="N275" s="6"/>
      <c r="O275" s="6"/>
    </row>
    <row r="276" spans="1:15" ht="17">
      <c r="A276" s="6"/>
      <c r="B276" s="95" t="str">
        <f t="shared" si="10"/>
        <v/>
      </c>
      <c r="C276" s="97"/>
      <c r="D276" s="96"/>
      <c r="E276" s="96"/>
      <c r="F276" s="99"/>
      <c r="G276" s="96"/>
      <c r="H276" s="95"/>
      <c r="I276" s="95"/>
      <c r="J276" s="42" t="str">
        <f t="shared" si="11"/>
        <v/>
      </c>
      <c r="K276" s="6" t="b">
        <f t="shared" si="12"/>
        <v>0</v>
      </c>
      <c r="L276" s="115"/>
      <c r="M276" s="6"/>
      <c r="N276" s="6"/>
      <c r="O276" s="6"/>
    </row>
    <row r="277" spans="1:15" ht="17">
      <c r="A277" s="6"/>
      <c r="B277" s="95" t="str">
        <f t="shared" si="10"/>
        <v/>
      </c>
      <c r="C277" s="97"/>
      <c r="D277" s="96"/>
      <c r="E277" s="96"/>
      <c r="F277" s="99"/>
      <c r="G277" s="96"/>
      <c r="H277" s="95"/>
      <c r="I277" s="95"/>
      <c r="J277" s="42" t="str">
        <f t="shared" si="11"/>
        <v/>
      </c>
      <c r="K277" s="6" t="b">
        <f t="shared" si="12"/>
        <v>0</v>
      </c>
      <c r="L277" s="115"/>
      <c r="M277" s="6"/>
      <c r="N277" s="6"/>
      <c r="O277" s="6"/>
    </row>
    <row r="278" spans="1:15" ht="17">
      <c r="A278" s="6"/>
      <c r="B278" s="95" t="str">
        <f t="shared" si="10"/>
        <v/>
      </c>
      <c r="C278" s="97"/>
      <c r="D278" s="96"/>
      <c r="E278" s="96"/>
      <c r="F278" s="99"/>
      <c r="G278" s="96"/>
      <c r="H278" s="95"/>
      <c r="I278" s="95"/>
      <c r="J278" s="42" t="str">
        <f t="shared" si="11"/>
        <v/>
      </c>
      <c r="K278" s="6" t="b">
        <f t="shared" si="12"/>
        <v>0</v>
      </c>
      <c r="L278" s="115"/>
      <c r="M278" s="6"/>
      <c r="N278" s="6"/>
      <c r="O278" s="6"/>
    </row>
    <row r="279" spans="1:15" ht="17">
      <c r="A279" s="6"/>
      <c r="B279" s="95" t="str">
        <f t="shared" si="10"/>
        <v/>
      </c>
      <c r="C279" s="97"/>
      <c r="D279" s="96"/>
      <c r="E279" s="96"/>
      <c r="F279" s="99"/>
      <c r="G279" s="96"/>
      <c r="H279" s="95"/>
      <c r="I279" s="95"/>
      <c r="J279" s="42" t="str">
        <f t="shared" si="11"/>
        <v/>
      </c>
      <c r="K279" s="6" t="b">
        <f t="shared" si="12"/>
        <v>0</v>
      </c>
      <c r="L279" s="115"/>
      <c r="M279" s="6"/>
      <c r="N279" s="6"/>
      <c r="O279" s="6"/>
    </row>
    <row r="280" spans="1:15" ht="17">
      <c r="A280" s="6"/>
      <c r="B280" s="95" t="str">
        <f t="shared" si="10"/>
        <v/>
      </c>
      <c r="C280" s="97"/>
      <c r="D280" s="96"/>
      <c r="E280" s="96"/>
      <c r="F280" s="99"/>
      <c r="G280" s="96"/>
      <c r="H280" s="95"/>
      <c r="I280" s="95"/>
      <c r="J280" s="42" t="str">
        <f t="shared" si="11"/>
        <v/>
      </c>
      <c r="K280" s="6" t="b">
        <f t="shared" si="12"/>
        <v>0</v>
      </c>
      <c r="L280" s="115"/>
      <c r="M280" s="6"/>
      <c r="N280" s="6"/>
      <c r="O280" s="6"/>
    </row>
    <row r="281" spans="1:15" ht="17">
      <c r="A281" s="6"/>
      <c r="B281" s="95" t="str">
        <f t="shared" si="10"/>
        <v/>
      </c>
      <c r="C281" s="97"/>
      <c r="D281" s="96"/>
      <c r="E281" s="96"/>
      <c r="F281" s="99"/>
      <c r="G281" s="96"/>
      <c r="H281" s="95"/>
      <c r="I281" s="95"/>
      <c r="J281" s="42" t="str">
        <f t="shared" si="11"/>
        <v/>
      </c>
      <c r="K281" s="6" t="b">
        <f t="shared" si="12"/>
        <v>0</v>
      </c>
      <c r="L281" s="115"/>
      <c r="M281" s="6"/>
      <c r="N281" s="6"/>
      <c r="O281" s="6"/>
    </row>
    <row r="282" spans="1:15" ht="17">
      <c r="A282" s="6"/>
      <c r="B282" s="95" t="str">
        <f t="shared" si="10"/>
        <v/>
      </c>
      <c r="C282" s="97"/>
      <c r="D282" s="96"/>
      <c r="E282" s="96"/>
      <c r="F282" s="99"/>
      <c r="G282" s="96"/>
      <c r="H282" s="95"/>
      <c r="I282" s="95"/>
      <c r="J282" s="42" t="str">
        <f t="shared" si="11"/>
        <v/>
      </c>
      <c r="K282" s="6" t="b">
        <f t="shared" si="12"/>
        <v>0</v>
      </c>
      <c r="L282" s="115"/>
      <c r="M282" s="6"/>
      <c r="N282" s="6"/>
      <c r="O282" s="6"/>
    </row>
    <row r="283" spans="1:15" ht="17">
      <c r="A283" s="6"/>
      <c r="B283" s="95" t="str">
        <f t="shared" si="10"/>
        <v/>
      </c>
      <c r="C283" s="97"/>
      <c r="D283" s="96"/>
      <c r="E283" s="96"/>
      <c r="F283" s="99"/>
      <c r="G283" s="96"/>
      <c r="H283" s="95"/>
      <c r="I283" s="95"/>
      <c r="J283" s="42" t="str">
        <f t="shared" si="11"/>
        <v/>
      </c>
      <c r="K283" s="6" t="b">
        <f t="shared" si="12"/>
        <v>0</v>
      </c>
      <c r="L283" s="115"/>
      <c r="M283" s="6"/>
      <c r="N283" s="6"/>
      <c r="O283" s="6"/>
    </row>
    <row r="284" spans="1:15" ht="17">
      <c r="A284" s="6"/>
      <c r="B284" s="95" t="str">
        <f t="shared" si="10"/>
        <v/>
      </c>
      <c r="C284" s="97"/>
      <c r="D284" s="96"/>
      <c r="E284" s="96"/>
      <c r="F284" s="99"/>
      <c r="G284" s="96"/>
      <c r="H284" s="95"/>
      <c r="I284" s="95"/>
      <c r="J284" s="42" t="str">
        <f t="shared" si="11"/>
        <v/>
      </c>
      <c r="K284" s="6" t="b">
        <f t="shared" si="12"/>
        <v>0</v>
      </c>
      <c r="L284" s="115"/>
      <c r="M284" s="6"/>
      <c r="N284" s="6"/>
      <c r="O284" s="6"/>
    </row>
    <row r="285" spans="1:15" ht="17">
      <c r="A285" s="6"/>
      <c r="B285" s="95" t="str">
        <f t="shared" si="10"/>
        <v/>
      </c>
      <c r="C285" s="97"/>
      <c r="D285" s="96"/>
      <c r="E285" s="96"/>
      <c r="F285" s="99"/>
      <c r="G285" s="96"/>
      <c r="H285" s="95"/>
      <c r="I285" s="95"/>
      <c r="J285" s="42" t="str">
        <f t="shared" si="11"/>
        <v/>
      </c>
      <c r="K285" s="6" t="b">
        <f t="shared" si="12"/>
        <v>0</v>
      </c>
      <c r="L285" s="115"/>
      <c r="M285" s="6"/>
      <c r="N285" s="6"/>
      <c r="O285" s="6"/>
    </row>
    <row r="286" spans="1:15" ht="17">
      <c r="A286" s="6"/>
      <c r="B286" s="95" t="str">
        <f t="shared" si="10"/>
        <v/>
      </c>
      <c r="C286" s="97"/>
      <c r="D286" s="96"/>
      <c r="E286" s="96"/>
      <c r="F286" s="99"/>
      <c r="G286" s="96"/>
      <c r="H286" s="95"/>
      <c r="I286" s="95"/>
      <c r="J286" s="42" t="str">
        <f t="shared" si="11"/>
        <v/>
      </c>
      <c r="K286" s="6" t="b">
        <f t="shared" si="12"/>
        <v>0</v>
      </c>
      <c r="L286" s="115"/>
      <c r="M286" s="6"/>
      <c r="N286" s="6"/>
      <c r="O286" s="6"/>
    </row>
    <row r="287" spans="1:15" ht="17">
      <c r="A287" s="6"/>
      <c r="B287" s="95" t="str">
        <f t="shared" si="10"/>
        <v/>
      </c>
      <c r="C287" s="97"/>
      <c r="D287" s="96"/>
      <c r="E287" s="96"/>
      <c r="F287" s="99"/>
      <c r="G287" s="96"/>
      <c r="H287" s="95"/>
      <c r="I287" s="95"/>
      <c r="J287" s="42" t="str">
        <f t="shared" si="11"/>
        <v/>
      </c>
      <c r="K287" s="6" t="b">
        <f t="shared" si="12"/>
        <v>0</v>
      </c>
      <c r="L287" s="115"/>
      <c r="M287" s="6"/>
      <c r="N287" s="6"/>
      <c r="O287" s="6"/>
    </row>
    <row r="288" spans="1:15" ht="17">
      <c r="A288" s="6"/>
      <c r="B288" s="95" t="str">
        <f t="shared" si="10"/>
        <v/>
      </c>
      <c r="C288" s="97"/>
      <c r="D288" s="96"/>
      <c r="E288" s="96"/>
      <c r="F288" s="99"/>
      <c r="G288" s="96"/>
      <c r="H288" s="95"/>
      <c r="I288" s="95"/>
      <c r="J288" s="42" t="str">
        <f t="shared" si="11"/>
        <v/>
      </c>
      <c r="K288" s="6" t="b">
        <f t="shared" si="12"/>
        <v>0</v>
      </c>
      <c r="L288" s="115"/>
      <c r="M288" s="6"/>
      <c r="N288" s="6"/>
      <c r="O288" s="6"/>
    </row>
    <row r="289" spans="1:15" ht="17">
      <c r="A289" s="6"/>
      <c r="B289" s="95" t="str">
        <f t="shared" si="10"/>
        <v/>
      </c>
      <c r="C289" s="97"/>
      <c r="D289" s="96"/>
      <c r="E289" s="96"/>
      <c r="F289" s="99"/>
      <c r="G289" s="96"/>
      <c r="H289" s="95"/>
      <c r="I289" s="95"/>
      <c r="J289" s="42" t="str">
        <f t="shared" si="11"/>
        <v/>
      </c>
      <c r="K289" s="6" t="b">
        <f t="shared" si="12"/>
        <v>0</v>
      </c>
      <c r="L289" s="115"/>
      <c r="M289" s="6"/>
      <c r="N289" s="6"/>
      <c r="O289" s="6"/>
    </row>
    <row r="290" spans="1:15" ht="17">
      <c r="A290" s="6"/>
      <c r="B290" s="95" t="str">
        <f t="shared" si="10"/>
        <v/>
      </c>
      <c r="C290" s="97"/>
      <c r="D290" s="96"/>
      <c r="E290" s="96"/>
      <c r="F290" s="99"/>
      <c r="G290" s="96"/>
      <c r="H290" s="95"/>
      <c r="I290" s="95"/>
      <c r="J290" s="42" t="str">
        <f t="shared" si="11"/>
        <v/>
      </c>
      <c r="K290" s="6" t="b">
        <f t="shared" si="12"/>
        <v>0</v>
      </c>
      <c r="L290" s="115"/>
      <c r="M290" s="6"/>
      <c r="N290" s="6"/>
      <c r="O290" s="6"/>
    </row>
    <row r="291" spans="1:15" ht="17">
      <c r="A291" s="6"/>
      <c r="B291" s="95" t="str">
        <f t="shared" si="10"/>
        <v/>
      </c>
      <c r="C291" s="97"/>
      <c r="D291" s="96"/>
      <c r="E291" s="96"/>
      <c r="F291" s="99"/>
      <c r="G291" s="96"/>
      <c r="H291" s="95"/>
      <c r="I291" s="95"/>
      <c r="J291" s="42" t="str">
        <f t="shared" si="11"/>
        <v/>
      </c>
      <c r="K291" s="6" t="b">
        <f t="shared" si="12"/>
        <v>0</v>
      </c>
      <c r="L291" s="115"/>
      <c r="M291" s="6"/>
      <c r="N291" s="6"/>
      <c r="O291" s="6"/>
    </row>
    <row r="292" spans="1:15" ht="17">
      <c r="A292" s="6"/>
      <c r="B292" s="95" t="str">
        <f t="shared" si="10"/>
        <v/>
      </c>
      <c r="C292" s="97"/>
      <c r="D292" s="96"/>
      <c r="E292" s="96"/>
      <c r="F292" s="99"/>
      <c r="G292" s="96"/>
      <c r="H292" s="95"/>
      <c r="I292" s="95"/>
      <c r="J292" s="42" t="str">
        <f t="shared" si="11"/>
        <v/>
      </c>
      <c r="K292" s="6" t="b">
        <f t="shared" si="12"/>
        <v>0</v>
      </c>
      <c r="L292" s="115"/>
      <c r="M292" s="6"/>
      <c r="N292" s="6"/>
      <c r="O292" s="6"/>
    </row>
    <row r="293" spans="1:15" ht="17">
      <c r="A293" s="6"/>
      <c r="B293" s="95" t="str">
        <f t="shared" ref="B293:B356" si="13">IF(C293="","","V"&amp;TEXT(ROW()-6,"00000"))</f>
        <v/>
      </c>
      <c r="C293" s="97"/>
      <c r="D293" s="96"/>
      <c r="E293" s="96"/>
      <c r="F293" s="99"/>
      <c r="G293" s="96"/>
      <c r="H293" s="95"/>
      <c r="I293" s="95"/>
      <c r="J293" s="42" t="str">
        <f t="shared" si="11"/>
        <v/>
      </c>
      <c r="K293" s="6" t="b">
        <f t="shared" si="12"/>
        <v>0</v>
      </c>
      <c r="L293" s="115"/>
      <c r="M293" s="6"/>
      <c r="N293" s="6"/>
      <c r="O293" s="6"/>
    </row>
    <row r="294" spans="1:15" ht="17">
      <c r="A294" s="6"/>
      <c r="B294" s="95" t="str">
        <f t="shared" si="13"/>
        <v/>
      </c>
      <c r="C294" s="97"/>
      <c r="D294" s="96"/>
      <c r="E294" s="96"/>
      <c r="F294" s="99"/>
      <c r="G294" s="96"/>
      <c r="H294" s="95"/>
      <c r="I294" s="95"/>
      <c r="J294" s="42" t="str">
        <f t="shared" si="11"/>
        <v/>
      </c>
      <c r="K294" s="6" t="b">
        <f t="shared" si="12"/>
        <v>0</v>
      </c>
      <c r="L294" s="115"/>
      <c r="M294" s="6"/>
      <c r="N294" s="6"/>
      <c r="O294" s="6"/>
    </row>
    <row r="295" spans="1:15" ht="17">
      <c r="A295" s="6"/>
      <c r="B295" s="95" t="str">
        <f t="shared" si="13"/>
        <v/>
      </c>
      <c r="C295" s="97"/>
      <c r="D295" s="96"/>
      <c r="E295" s="96"/>
      <c r="F295" s="99"/>
      <c r="G295" s="96"/>
      <c r="H295" s="95"/>
      <c r="I295" s="95"/>
      <c r="J295" s="42" t="str">
        <f t="shared" si="11"/>
        <v/>
      </c>
      <c r="K295" s="6" t="b">
        <f t="shared" si="12"/>
        <v>0</v>
      </c>
      <c r="L295" s="115"/>
      <c r="M295" s="6"/>
      <c r="N295" s="6"/>
      <c r="O295" s="6"/>
    </row>
    <row r="296" spans="1:15" ht="17">
      <c r="A296" s="6"/>
      <c r="B296" s="95" t="str">
        <f t="shared" si="13"/>
        <v/>
      </c>
      <c r="C296" s="97"/>
      <c r="D296" s="96"/>
      <c r="E296" s="96"/>
      <c r="F296" s="99"/>
      <c r="G296" s="96"/>
      <c r="H296" s="95"/>
      <c r="I296" s="95"/>
      <c r="J296" s="42" t="str">
        <f t="shared" si="11"/>
        <v/>
      </c>
      <c r="K296" s="6" t="b">
        <f t="shared" si="12"/>
        <v>0</v>
      </c>
      <c r="L296" s="115"/>
      <c r="M296" s="6"/>
      <c r="N296" s="6"/>
      <c r="O296" s="6"/>
    </row>
    <row r="297" spans="1:15" ht="17">
      <c r="A297" s="6"/>
      <c r="B297" s="95" t="str">
        <f t="shared" si="13"/>
        <v/>
      </c>
      <c r="C297" s="97"/>
      <c r="D297" s="96"/>
      <c r="E297" s="96"/>
      <c r="F297" s="99"/>
      <c r="G297" s="96"/>
      <c r="H297" s="95"/>
      <c r="I297" s="95"/>
      <c r="J297" s="42" t="str">
        <f t="shared" si="11"/>
        <v/>
      </c>
      <c r="K297" s="6" t="b">
        <f t="shared" si="12"/>
        <v>0</v>
      </c>
      <c r="L297" s="115"/>
      <c r="M297" s="6"/>
      <c r="N297" s="6"/>
      <c r="O297" s="6"/>
    </row>
    <row r="298" spans="1:15" ht="17">
      <c r="A298" s="6"/>
      <c r="B298" s="95" t="str">
        <f t="shared" si="13"/>
        <v/>
      </c>
      <c r="C298" s="97"/>
      <c r="D298" s="96"/>
      <c r="E298" s="96"/>
      <c r="F298" s="99"/>
      <c r="G298" s="96"/>
      <c r="H298" s="95"/>
      <c r="I298" s="95"/>
      <c r="J298" s="42" t="str">
        <f t="shared" si="11"/>
        <v/>
      </c>
      <c r="K298" s="6" t="b">
        <f t="shared" si="12"/>
        <v>0</v>
      </c>
      <c r="L298" s="115"/>
      <c r="M298" s="6"/>
      <c r="N298" s="6"/>
      <c r="O298" s="6"/>
    </row>
    <row r="299" spans="1:15" ht="17">
      <c r="A299" s="6"/>
      <c r="B299" s="95" t="str">
        <f t="shared" si="13"/>
        <v/>
      </c>
      <c r="C299" s="97"/>
      <c r="D299" s="96"/>
      <c r="E299" s="96"/>
      <c r="F299" s="99"/>
      <c r="G299" s="96"/>
      <c r="H299" s="95"/>
      <c r="I299" s="95"/>
      <c r="J299" s="42" t="str">
        <f t="shared" si="11"/>
        <v/>
      </c>
      <c r="K299" s="6" t="b">
        <f t="shared" si="12"/>
        <v>0</v>
      </c>
      <c r="L299" s="115"/>
      <c r="M299" s="6"/>
      <c r="N299" s="6"/>
      <c r="O299" s="6"/>
    </row>
    <row r="300" spans="1:15" ht="17">
      <c r="A300" s="6"/>
      <c r="B300" s="95" t="str">
        <f t="shared" si="13"/>
        <v/>
      </c>
      <c r="C300" s="97"/>
      <c r="D300" s="96"/>
      <c r="E300" s="96"/>
      <c r="F300" s="99"/>
      <c r="G300" s="96"/>
      <c r="H300" s="95"/>
      <c r="I300" s="95"/>
      <c r="J300" s="42" t="str">
        <f t="shared" si="11"/>
        <v/>
      </c>
      <c r="K300" s="6" t="b">
        <f t="shared" si="12"/>
        <v>0</v>
      </c>
      <c r="L300" s="115"/>
      <c r="M300" s="6"/>
      <c r="N300" s="6"/>
      <c r="O300" s="6"/>
    </row>
    <row r="301" spans="1:15" ht="17">
      <c r="A301" s="6"/>
      <c r="B301" s="95" t="str">
        <f t="shared" si="13"/>
        <v/>
      </c>
      <c r="C301" s="97"/>
      <c r="D301" s="96"/>
      <c r="E301" s="96"/>
      <c r="F301" s="99"/>
      <c r="G301" s="96"/>
      <c r="H301" s="95"/>
      <c r="I301" s="95"/>
      <c r="J301" s="42" t="str">
        <f t="shared" si="11"/>
        <v/>
      </c>
      <c r="K301" s="6" t="b">
        <f t="shared" si="12"/>
        <v>0</v>
      </c>
      <c r="L301" s="115"/>
      <c r="M301" s="6"/>
      <c r="N301" s="6"/>
      <c r="O301" s="6"/>
    </row>
    <row r="302" spans="1:15" ht="17">
      <c r="A302" s="6"/>
      <c r="B302" s="95" t="str">
        <f t="shared" si="13"/>
        <v/>
      </c>
      <c r="C302" s="97"/>
      <c r="D302" s="96"/>
      <c r="E302" s="96"/>
      <c r="F302" s="99"/>
      <c r="G302" s="96"/>
      <c r="H302" s="95"/>
      <c r="I302" s="95"/>
      <c r="J302" s="42" t="str">
        <f t="shared" si="11"/>
        <v/>
      </c>
      <c r="K302" s="6" t="b">
        <f t="shared" si="12"/>
        <v>0</v>
      </c>
      <c r="L302" s="115"/>
      <c r="M302" s="6"/>
      <c r="N302" s="6"/>
      <c r="O302" s="6"/>
    </row>
    <row r="303" spans="1:15" ht="17">
      <c r="A303" s="6"/>
      <c r="B303" s="95" t="str">
        <f t="shared" si="13"/>
        <v/>
      </c>
      <c r="C303" s="97"/>
      <c r="D303" s="96"/>
      <c r="E303" s="96"/>
      <c r="F303" s="99"/>
      <c r="G303" s="96"/>
      <c r="H303" s="95"/>
      <c r="I303" s="95"/>
      <c r="J303" s="42" t="str">
        <f t="shared" si="11"/>
        <v/>
      </c>
      <c r="K303" s="6" t="b">
        <f t="shared" si="12"/>
        <v>0</v>
      </c>
      <c r="L303" s="115"/>
      <c r="M303" s="6"/>
      <c r="N303" s="6"/>
      <c r="O303" s="6"/>
    </row>
    <row r="304" spans="1:15" ht="17">
      <c r="A304" s="6"/>
      <c r="B304" s="95" t="str">
        <f t="shared" si="13"/>
        <v/>
      </c>
      <c r="C304" s="97"/>
      <c r="D304" s="96"/>
      <c r="E304" s="96"/>
      <c r="F304" s="99"/>
      <c r="G304" s="96"/>
      <c r="H304" s="95"/>
      <c r="I304" s="95"/>
      <c r="J304" s="42" t="str">
        <f t="shared" si="11"/>
        <v/>
      </c>
      <c r="K304" s="6" t="b">
        <f t="shared" si="12"/>
        <v>0</v>
      </c>
      <c r="L304" s="115"/>
      <c r="M304" s="6"/>
      <c r="N304" s="6"/>
      <c r="O304" s="6"/>
    </row>
    <row r="305" spans="1:15" ht="17">
      <c r="A305" s="6"/>
      <c r="B305" s="95" t="str">
        <f t="shared" si="13"/>
        <v/>
      </c>
      <c r="C305" s="97"/>
      <c r="D305" s="96"/>
      <c r="E305" s="96"/>
      <c r="F305" s="99"/>
      <c r="G305" s="96"/>
      <c r="H305" s="95"/>
      <c r="I305" s="95"/>
      <c r="J305" s="42" t="str">
        <f t="shared" si="11"/>
        <v/>
      </c>
      <c r="K305" s="6" t="b">
        <f t="shared" si="12"/>
        <v>0</v>
      </c>
      <c r="L305" s="115"/>
      <c r="M305" s="6"/>
      <c r="N305" s="6"/>
      <c r="O305" s="6"/>
    </row>
    <row r="306" spans="1:15" ht="17">
      <c r="A306" s="6"/>
      <c r="B306" s="95" t="str">
        <f t="shared" si="13"/>
        <v/>
      </c>
      <c r="C306" s="97"/>
      <c r="D306" s="96"/>
      <c r="E306" s="96"/>
      <c r="F306" s="99"/>
      <c r="G306" s="96"/>
      <c r="H306" s="95"/>
      <c r="I306" s="95"/>
      <c r="J306" s="42" t="str">
        <f t="shared" si="11"/>
        <v/>
      </c>
      <c r="K306" s="6" t="b">
        <f t="shared" si="12"/>
        <v>0</v>
      </c>
      <c r="L306" s="115"/>
      <c r="M306" s="6"/>
      <c r="N306" s="6"/>
      <c r="O306" s="6"/>
    </row>
    <row r="307" spans="1:15" ht="17">
      <c r="A307" s="6"/>
      <c r="B307" s="95" t="str">
        <f t="shared" si="13"/>
        <v/>
      </c>
      <c r="C307" s="97"/>
      <c r="D307" s="96"/>
      <c r="E307" s="96"/>
      <c r="F307" s="99"/>
      <c r="G307" s="96"/>
      <c r="H307" s="95"/>
      <c r="I307" s="95"/>
      <c r="J307" s="42" t="str">
        <f t="shared" si="11"/>
        <v/>
      </c>
      <c r="K307" s="6" t="b">
        <f t="shared" si="12"/>
        <v>0</v>
      </c>
      <c r="L307" s="115"/>
      <c r="M307" s="6"/>
      <c r="N307" s="6"/>
      <c r="O307" s="6"/>
    </row>
    <row r="308" spans="1:15" ht="17">
      <c r="A308" s="6"/>
      <c r="B308" s="95" t="str">
        <f t="shared" si="13"/>
        <v/>
      </c>
      <c r="C308" s="97"/>
      <c r="D308" s="96"/>
      <c r="E308" s="96"/>
      <c r="F308" s="99"/>
      <c r="G308" s="96"/>
      <c r="H308" s="95"/>
      <c r="I308" s="95"/>
      <c r="J308" s="42" t="str">
        <f t="shared" si="11"/>
        <v/>
      </c>
      <c r="K308" s="6" t="b">
        <f t="shared" si="12"/>
        <v>0</v>
      </c>
      <c r="L308" s="115"/>
      <c r="M308" s="6"/>
      <c r="N308" s="6"/>
      <c r="O308" s="6"/>
    </row>
    <row r="309" spans="1:15" ht="17">
      <c r="A309" s="6"/>
      <c r="B309" s="95" t="str">
        <f t="shared" si="13"/>
        <v/>
      </c>
      <c r="C309" s="97"/>
      <c r="D309" s="96"/>
      <c r="E309" s="96"/>
      <c r="F309" s="99"/>
      <c r="G309" s="96"/>
      <c r="H309" s="95"/>
      <c r="I309" s="95"/>
      <c r="J309" s="42" t="str">
        <f t="shared" si="11"/>
        <v/>
      </c>
      <c r="K309" s="6" t="b">
        <f t="shared" si="12"/>
        <v>0</v>
      </c>
      <c r="L309" s="115"/>
      <c r="M309" s="6"/>
      <c r="N309" s="6"/>
      <c r="O309" s="6"/>
    </row>
    <row r="310" spans="1:15" ht="17">
      <c r="A310" s="6"/>
      <c r="B310" s="95" t="str">
        <f t="shared" si="13"/>
        <v/>
      </c>
      <c r="C310" s="97"/>
      <c r="D310" s="96"/>
      <c r="E310" s="96"/>
      <c r="F310" s="99"/>
      <c r="G310" s="96"/>
      <c r="H310" s="95"/>
      <c r="I310" s="95"/>
      <c r="J310" s="42" t="str">
        <f t="shared" si="11"/>
        <v/>
      </c>
      <c r="K310" s="6" t="b">
        <f t="shared" si="12"/>
        <v>0</v>
      </c>
      <c r="L310" s="115"/>
      <c r="M310" s="6"/>
      <c r="N310" s="6"/>
      <c r="O310" s="6"/>
    </row>
    <row r="311" spans="1:15" ht="17">
      <c r="A311" s="6"/>
      <c r="B311" s="95" t="str">
        <f t="shared" si="13"/>
        <v/>
      </c>
      <c r="C311" s="97"/>
      <c r="D311" s="96"/>
      <c r="E311" s="96"/>
      <c r="F311" s="99"/>
      <c r="G311" s="96"/>
      <c r="H311" s="95"/>
      <c r="I311" s="95"/>
      <c r="J311" s="42" t="str">
        <f t="shared" si="11"/>
        <v/>
      </c>
      <c r="K311" s="6" t="b">
        <f t="shared" si="12"/>
        <v>0</v>
      </c>
      <c r="L311" s="115"/>
      <c r="M311" s="6"/>
      <c r="N311" s="6"/>
      <c r="O311" s="6"/>
    </row>
    <row r="312" spans="1:15" ht="17">
      <c r="A312" s="6"/>
      <c r="B312" s="95" t="str">
        <f t="shared" si="13"/>
        <v/>
      </c>
      <c r="C312" s="97"/>
      <c r="D312" s="96"/>
      <c r="E312" s="96"/>
      <c r="F312" s="99"/>
      <c r="G312" s="96"/>
      <c r="H312" s="95"/>
      <c r="I312" s="95"/>
      <c r="J312" s="42" t="str">
        <f t="shared" si="11"/>
        <v/>
      </c>
      <c r="K312" s="6" t="b">
        <f t="shared" si="12"/>
        <v>0</v>
      </c>
      <c r="L312" s="115"/>
      <c r="M312" s="6"/>
      <c r="N312" s="6"/>
      <c r="O312" s="6"/>
    </row>
    <row r="313" spans="1:15" ht="17">
      <c r="A313" s="6"/>
      <c r="B313" s="95" t="str">
        <f t="shared" si="13"/>
        <v/>
      </c>
      <c r="C313" s="97"/>
      <c r="D313" s="96"/>
      <c r="E313" s="96"/>
      <c r="F313" s="99"/>
      <c r="G313" s="96"/>
      <c r="H313" s="95"/>
      <c r="I313" s="95"/>
      <c r="J313" s="42" t="str">
        <f t="shared" si="11"/>
        <v/>
      </c>
      <c r="K313" s="6" t="b">
        <f t="shared" si="12"/>
        <v>0</v>
      </c>
      <c r="L313" s="115"/>
      <c r="M313" s="6"/>
      <c r="N313" s="6"/>
      <c r="O313" s="6"/>
    </row>
    <row r="314" spans="1:15" ht="17">
      <c r="A314" s="6"/>
      <c r="B314" s="95" t="str">
        <f t="shared" si="13"/>
        <v/>
      </c>
      <c r="C314" s="97"/>
      <c r="D314" s="96"/>
      <c r="E314" s="96"/>
      <c r="F314" s="99"/>
      <c r="G314" s="96"/>
      <c r="H314" s="95"/>
      <c r="I314" s="95"/>
      <c r="J314" s="42" t="str">
        <f t="shared" si="11"/>
        <v/>
      </c>
      <c r="K314" s="6" t="b">
        <f t="shared" si="12"/>
        <v>0</v>
      </c>
      <c r="L314" s="115"/>
      <c r="M314" s="6"/>
      <c r="N314" s="6"/>
      <c r="O314" s="6"/>
    </row>
    <row r="315" spans="1:15" ht="17">
      <c r="A315" s="6"/>
      <c r="B315" s="95" t="str">
        <f t="shared" si="13"/>
        <v/>
      </c>
      <c r="C315" s="97"/>
      <c r="D315" s="96"/>
      <c r="E315" s="96"/>
      <c r="F315" s="99"/>
      <c r="G315" s="96"/>
      <c r="H315" s="95"/>
      <c r="I315" s="95"/>
      <c r="J315" s="42" t="str">
        <f t="shared" si="11"/>
        <v/>
      </c>
      <c r="K315" s="6" t="b">
        <f t="shared" si="12"/>
        <v>0</v>
      </c>
      <c r="L315" s="115"/>
      <c r="M315" s="6"/>
      <c r="N315" s="6"/>
      <c r="O315" s="6"/>
    </row>
    <row r="316" spans="1:15" ht="17">
      <c r="A316" s="6"/>
      <c r="B316" s="95" t="str">
        <f t="shared" si="13"/>
        <v/>
      </c>
      <c r="C316" s="97"/>
      <c r="D316" s="96"/>
      <c r="E316" s="96"/>
      <c r="F316" s="99"/>
      <c r="G316" s="96"/>
      <c r="H316" s="95"/>
      <c r="I316" s="95"/>
      <c r="J316" s="42" t="str">
        <f t="shared" si="11"/>
        <v/>
      </c>
      <c r="K316" s="6" t="b">
        <f t="shared" si="12"/>
        <v>0</v>
      </c>
      <c r="L316" s="115"/>
      <c r="M316" s="6"/>
      <c r="N316" s="6"/>
      <c r="O316" s="6"/>
    </row>
    <row r="317" spans="1:15" ht="17">
      <c r="A317" s="6"/>
      <c r="B317" s="95" t="str">
        <f t="shared" si="13"/>
        <v/>
      </c>
      <c r="C317" s="97"/>
      <c r="D317" s="96"/>
      <c r="E317" s="96"/>
      <c r="F317" s="99"/>
      <c r="G317" s="96"/>
      <c r="H317" s="95"/>
      <c r="I317" s="95"/>
      <c r="J317" s="42" t="str">
        <f t="shared" si="11"/>
        <v/>
      </c>
      <c r="K317" s="6" t="b">
        <f t="shared" si="12"/>
        <v>0</v>
      </c>
      <c r="L317" s="115"/>
      <c r="M317" s="6"/>
      <c r="N317" s="6"/>
      <c r="O317" s="6"/>
    </row>
    <row r="318" spans="1:15" ht="17">
      <c r="A318" s="6"/>
      <c r="B318" s="95" t="str">
        <f t="shared" si="13"/>
        <v/>
      </c>
      <c r="C318" s="97"/>
      <c r="D318" s="96"/>
      <c r="E318" s="96"/>
      <c r="F318" s="99"/>
      <c r="G318" s="96"/>
      <c r="H318" s="95"/>
      <c r="I318" s="95"/>
      <c r="J318" s="42" t="str">
        <f t="shared" si="11"/>
        <v/>
      </c>
      <c r="K318" s="6" t="b">
        <f t="shared" si="12"/>
        <v>0</v>
      </c>
      <c r="L318" s="115"/>
      <c r="M318" s="6"/>
      <c r="N318" s="6"/>
      <c r="O318" s="6"/>
    </row>
    <row r="319" spans="1:15" ht="17">
      <c r="A319" s="6"/>
      <c r="B319" s="95" t="str">
        <f t="shared" si="13"/>
        <v/>
      </c>
      <c r="C319" s="97"/>
      <c r="D319" s="96"/>
      <c r="E319" s="96"/>
      <c r="F319" s="99"/>
      <c r="G319" s="96"/>
      <c r="H319" s="95"/>
      <c r="I319" s="95"/>
      <c r="J319" s="42" t="str">
        <f t="shared" si="11"/>
        <v/>
      </c>
      <c r="K319" s="6" t="b">
        <f t="shared" si="12"/>
        <v>0</v>
      </c>
      <c r="L319" s="115"/>
      <c r="M319" s="6"/>
      <c r="N319" s="6"/>
      <c r="O319" s="6"/>
    </row>
    <row r="320" spans="1:15" ht="17">
      <c r="A320" s="6"/>
      <c r="B320" s="95" t="str">
        <f t="shared" si="13"/>
        <v/>
      </c>
      <c r="C320" s="97"/>
      <c r="D320" s="96"/>
      <c r="E320" s="96"/>
      <c r="F320" s="99"/>
      <c r="G320" s="96"/>
      <c r="H320" s="95"/>
      <c r="I320" s="95"/>
      <c r="J320" s="42" t="str">
        <f t="shared" si="11"/>
        <v/>
      </c>
      <c r="K320" s="6" t="b">
        <f t="shared" si="12"/>
        <v>0</v>
      </c>
      <c r="L320" s="115"/>
      <c r="M320" s="6"/>
      <c r="N320" s="6"/>
      <c r="O320" s="6"/>
    </row>
    <row r="321" spans="1:15" ht="17">
      <c r="A321" s="6"/>
      <c r="B321" s="95" t="str">
        <f t="shared" si="13"/>
        <v/>
      </c>
      <c r="C321" s="97"/>
      <c r="D321" s="96"/>
      <c r="E321" s="96"/>
      <c r="F321" s="99"/>
      <c r="G321" s="96"/>
      <c r="H321" s="95"/>
      <c r="I321" s="95"/>
      <c r="J321" s="42" t="str">
        <f t="shared" si="11"/>
        <v/>
      </c>
      <c r="K321" s="6" t="b">
        <f t="shared" si="12"/>
        <v>0</v>
      </c>
      <c r="L321" s="115"/>
      <c r="M321" s="6"/>
      <c r="N321" s="6"/>
      <c r="O321" s="6"/>
    </row>
    <row r="322" spans="1:15" ht="17">
      <c r="A322" s="6"/>
      <c r="B322" s="95" t="str">
        <f t="shared" si="13"/>
        <v/>
      </c>
      <c r="C322" s="97"/>
      <c r="D322" s="96"/>
      <c r="E322" s="96"/>
      <c r="F322" s="99"/>
      <c r="G322" s="96"/>
      <c r="H322" s="95"/>
      <c r="I322" s="95"/>
      <c r="J322" s="42" t="str">
        <f t="shared" si="11"/>
        <v/>
      </c>
      <c r="K322" s="6" t="b">
        <f t="shared" si="12"/>
        <v>0</v>
      </c>
      <c r="L322" s="115"/>
      <c r="M322" s="6"/>
      <c r="N322" s="6"/>
      <c r="O322" s="6"/>
    </row>
    <row r="323" spans="1:15" ht="17">
      <c r="A323" s="6"/>
      <c r="B323" s="95" t="str">
        <f t="shared" si="13"/>
        <v/>
      </c>
      <c r="C323" s="97"/>
      <c r="D323" s="96"/>
      <c r="E323" s="96"/>
      <c r="F323" s="99"/>
      <c r="G323" s="96"/>
      <c r="H323" s="95"/>
      <c r="I323" s="95"/>
      <c r="J323" s="42" t="str">
        <f t="shared" si="11"/>
        <v/>
      </c>
      <c r="K323" s="6" t="b">
        <f t="shared" si="12"/>
        <v>0</v>
      </c>
      <c r="L323" s="115"/>
      <c r="M323" s="6"/>
      <c r="N323" s="6"/>
      <c r="O323" s="6"/>
    </row>
    <row r="324" spans="1:15" ht="17">
      <c r="A324" s="6"/>
      <c r="B324" s="95" t="str">
        <f t="shared" si="13"/>
        <v/>
      </c>
      <c r="C324" s="97"/>
      <c r="D324" s="96"/>
      <c r="E324" s="96"/>
      <c r="F324" s="99"/>
      <c r="G324" s="96"/>
      <c r="H324" s="95"/>
      <c r="I324" s="95"/>
      <c r="J324" s="42" t="str">
        <f t="shared" si="11"/>
        <v/>
      </c>
      <c r="K324" s="6" t="b">
        <f t="shared" si="12"/>
        <v>0</v>
      </c>
      <c r="L324" s="115"/>
      <c r="M324" s="6"/>
      <c r="N324" s="6"/>
      <c r="O324" s="6"/>
    </row>
    <row r="325" spans="1:15" ht="17">
      <c r="A325" s="6"/>
      <c r="B325" s="95" t="str">
        <f t="shared" si="13"/>
        <v/>
      </c>
      <c r="C325" s="97"/>
      <c r="D325" s="96"/>
      <c r="E325" s="96"/>
      <c r="F325" s="99"/>
      <c r="G325" s="96"/>
      <c r="H325" s="95"/>
      <c r="I325" s="95"/>
      <c r="J325" s="42" t="str">
        <f t="shared" si="11"/>
        <v/>
      </c>
      <c r="K325" s="6" t="b">
        <f t="shared" si="12"/>
        <v>0</v>
      </c>
      <c r="L325" s="115"/>
      <c r="M325" s="6"/>
      <c r="N325" s="6"/>
      <c r="O325" s="6"/>
    </row>
    <row r="326" spans="1:15" ht="17">
      <c r="A326" s="6"/>
      <c r="B326" s="95" t="str">
        <f t="shared" si="13"/>
        <v/>
      </c>
      <c r="C326" s="97"/>
      <c r="D326" s="96"/>
      <c r="E326" s="96"/>
      <c r="F326" s="99"/>
      <c r="G326" s="96"/>
      <c r="H326" s="95"/>
      <c r="I326" s="95"/>
      <c r="J326" s="42" t="str">
        <f t="shared" si="11"/>
        <v/>
      </c>
      <c r="K326" s="6" t="b">
        <f t="shared" si="12"/>
        <v>0</v>
      </c>
      <c r="L326" s="115"/>
      <c r="M326" s="6"/>
      <c r="N326" s="6"/>
      <c r="O326" s="6"/>
    </row>
    <row r="327" spans="1:15" ht="17">
      <c r="A327" s="6"/>
      <c r="B327" s="95" t="str">
        <f t="shared" si="13"/>
        <v/>
      </c>
      <c r="C327" s="97"/>
      <c r="D327" s="96"/>
      <c r="E327" s="96"/>
      <c r="F327" s="99"/>
      <c r="G327" s="96"/>
      <c r="H327" s="95"/>
      <c r="I327" s="95"/>
      <c r="J327" s="42" t="str">
        <f t="shared" ref="J327:J390" si="14">IF(C327="","",IF(OR(D327="",E327="",F327=""),"EKSİK",IF(D327=E327,"AYNI HESAP OLAMAZ",IF(AND(D327="MERKEZ KASA",E327="ÖMER KARTAL",K327),"YANLIŞ VIRMAN","UYGUN"))))</f>
        <v/>
      </c>
      <c r="K327" s="6" t="b">
        <f t="shared" ref="K327:K390" si="15">OR(ISNUMBER(SEARCH("MUHASEBE ÜCRETİ",G327&amp;"")),ISNUMBER(SEARCH("SGK",G327&amp;"")),ISNUMBER(SEARCH("MENDERES MAHSUP",G327&amp;"")),ISNUMBER(SEARCH("GRAND 06 ÖMER BAKİYE",G327&amp;"")))</f>
        <v>0</v>
      </c>
      <c r="L327" s="115"/>
      <c r="M327" s="6"/>
      <c r="N327" s="6"/>
      <c r="O327" s="6"/>
    </row>
    <row r="328" spans="1:15" ht="17">
      <c r="A328" s="6"/>
      <c r="B328" s="95" t="str">
        <f t="shared" si="13"/>
        <v/>
      </c>
      <c r="C328" s="97"/>
      <c r="D328" s="96"/>
      <c r="E328" s="96"/>
      <c r="F328" s="99"/>
      <c r="G328" s="96"/>
      <c r="H328" s="95"/>
      <c r="I328" s="95"/>
      <c r="J328" s="42" t="str">
        <f t="shared" si="14"/>
        <v/>
      </c>
      <c r="K328" s="6" t="b">
        <f t="shared" si="15"/>
        <v>0</v>
      </c>
      <c r="L328" s="115"/>
      <c r="M328" s="6"/>
      <c r="N328" s="6"/>
      <c r="O328" s="6"/>
    </row>
    <row r="329" spans="1:15" ht="17">
      <c r="A329" s="6"/>
      <c r="B329" s="95" t="str">
        <f t="shared" si="13"/>
        <v/>
      </c>
      <c r="C329" s="97"/>
      <c r="D329" s="96"/>
      <c r="E329" s="96"/>
      <c r="F329" s="99"/>
      <c r="G329" s="96"/>
      <c r="H329" s="95"/>
      <c r="I329" s="95"/>
      <c r="J329" s="42" t="str">
        <f t="shared" si="14"/>
        <v/>
      </c>
      <c r="K329" s="6" t="b">
        <f t="shared" si="15"/>
        <v>0</v>
      </c>
      <c r="L329" s="115"/>
      <c r="M329" s="6"/>
      <c r="N329" s="6"/>
      <c r="O329" s="6"/>
    </row>
    <row r="330" spans="1:15" ht="17">
      <c r="A330" s="6"/>
      <c r="B330" s="95" t="str">
        <f t="shared" si="13"/>
        <v/>
      </c>
      <c r="C330" s="97"/>
      <c r="D330" s="96"/>
      <c r="E330" s="96"/>
      <c r="F330" s="99"/>
      <c r="G330" s="96"/>
      <c r="H330" s="95"/>
      <c r="I330" s="95"/>
      <c r="J330" s="42" t="str">
        <f t="shared" si="14"/>
        <v/>
      </c>
      <c r="K330" s="6" t="b">
        <f t="shared" si="15"/>
        <v>0</v>
      </c>
      <c r="L330" s="115"/>
      <c r="M330" s="6"/>
      <c r="N330" s="6"/>
      <c r="O330" s="6"/>
    </row>
    <row r="331" spans="1:15" ht="17">
      <c r="A331" s="6"/>
      <c r="B331" s="95" t="str">
        <f t="shared" si="13"/>
        <v/>
      </c>
      <c r="C331" s="97"/>
      <c r="D331" s="96"/>
      <c r="E331" s="96"/>
      <c r="F331" s="99"/>
      <c r="G331" s="96"/>
      <c r="H331" s="95"/>
      <c r="I331" s="95"/>
      <c r="J331" s="42" t="str">
        <f t="shared" si="14"/>
        <v/>
      </c>
      <c r="K331" s="6" t="b">
        <f t="shared" si="15"/>
        <v>0</v>
      </c>
      <c r="L331" s="115"/>
      <c r="M331" s="6"/>
      <c r="N331" s="6"/>
      <c r="O331" s="6"/>
    </row>
    <row r="332" spans="1:15" ht="17">
      <c r="A332" s="6"/>
      <c r="B332" s="95" t="str">
        <f t="shared" si="13"/>
        <v/>
      </c>
      <c r="C332" s="97"/>
      <c r="D332" s="96"/>
      <c r="E332" s="96"/>
      <c r="F332" s="99"/>
      <c r="G332" s="96"/>
      <c r="H332" s="95"/>
      <c r="I332" s="95"/>
      <c r="J332" s="42" t="str">
        <f t="shared" si="14"/>
        <v/>
      </c>
      <c r="K332" s="6" t="b">
        <f t="shared" si="15"/>
        <v>0</v>
      </c>
      <c r="L332" s="115"/>
      <c r="M332" s="6"/>
      <c r="N332" s="6"/>
      <c r="O332" s="6"/>
    </row>
    <row r="333" spans="1:15" ht="17">
      <c r="A333" s="6"/>
      <c r="B333" s="95" t="str">
        <f t="shared" si="13"/>
        <v/>
      </c>
      <c r="C333" s="97"/>
      <c r="D333" s="96"/>
      <c r="E333" s="96"/>
      <c r="F333" s="99"/>
      <c r="G333" s="96"/>
      <c r="H333" s="95"/>
      <c r="I333" s="95"/>
      <c r="J333" s="42" t="str">
        <f t="shared" si="14"/>
        <v/>
      </c>
      <c r="K333" s="6" t="b">
        <f t="shared" si="15"/>
        <v>0</v>
      </c>
      <c r="L333" s="115"/>
      <c r="M333" s="6"/>
      <c r="N333" s="6"/>
      <c r="O333" s="6"/>
    </row>
    <row r="334" spans="1:15" ht="17">
      <c r="A334" s="6"/>
      <c r="B334" s="95" t="str">
        <f t="shared" si="13"/>
        <v/>
      </c>
      <c r="C334" s="97"/>
      <c r="D334" s="96"/>
      <c r="E334" s="96"/>
      <c r="F334" s="99"/>
      <c r="G334" s="96"/>
      <c r="H334" s="95"/>
      <c r="I334" s="95"/>
      <c r="J334" s="42" t="str">
        <f t="shared" si="14"/>
        <v/>
      </c>
      <c r="K334" s="6" t="b">
        <f t="shared" si="15"/>
        <v>0</v>
      </c>
      <c r="L334" s="115"/>
      <c r="M334" s="6"/>
      <c r="N334" s="6"/>
      <c r="O334" s="6"/>
    </row>
    <row r="335" spans="1:15" ht="17">
      <c r="A335" s="6"/>
      <c r="B335" s="95" t="str">
        <f t="shared" si="13"/>
        <v/>
      </c>
      <c r="C335" s="97"/>
      <c r="D335" s="96"/>
      <c r="E335" s="96"/>
      <c r="F335" s="99"/>
      <c r="G335" s="96"/>
      <c r="H335" s="95"/>
      <c r="I335" s="95"/>
      <c r="J335" s="42" t="str">
        <f t="shared" si="14"/>
        <v/>
      </c>
      <c r="K335" s="6" t="b">
        <f t="shared" si="15"/>
        <v>0</v>
      </c>
      <c r="L335" s="115"/>
      <c r="M335" s="6"/>
      <c r="N335" s="6"/>
      <c r="O335" s="6"/>
    </row>
    <row r="336" spans="1:15" ht="17">
      <c r="A336" s="6"/>
      <c r="B336" s="95" t="str">
        <f t="shared" si="13"/>
        <v/>
      </c>
      <c r="C336" s="97"/>
      <c r="D336" s="96"/>
      <c r="E336" s="96"/>
      <c r="F336" s="99"/>
      <c r="G336" s="96"/>
      <c r="H336" s="95"/>
      <c r="I336" s="95"/>
      <c r="J336" s="42" t="str">
        <f t="shared" si="14"/>
        <v/>
      </c>
      <c r="K336" s="6" t="b">
        <f t="shared" si="15"/>
        <v>0</v>
      </c>
      <c r="L336" s="115"/>
      <c r="M336" s="6"/>
      <c r="N336" s="6"/>
      <c r="O336" s="6"/>
    </row>
    <row r="337" spans="1:15" ht="17">
      <c r="A337" s="6"/>
      <c r="B337" s="95" t="str">
        <f t="shared" si="13"/>
        <v/>
      </c>
      <c r="C337" s="97"/>
      <c r="D337" s="96"/>
      <c r="E337" s="96"/>
      <c r="F337" s="99"/>
      <c r="G337" s="96"/>
      <c r="H337" s="95"/>
      <c r="I337" s="95"/>
      <c r="J337" s="42" t="str">
        <f t="shared" si="14"/>
        <v/>
      </c>
      <c r="K337" s="6" t="b">
        <f t="shared" si="15"/>
        <v>0</v>
      </c>
      <c r="L337" s="115"/>
      <c r="M337" s="6"/>
      <c r="N337" s="6"/>
      <c r="O337" s="6"/>
    </row>
    <row r="338" spans="1:15" ht="17">
      <c r="A338" s="6"/>
      <c r="B338" s="95" t="str">
        <f t="shared" si="13"/>
        <v/>
      </c>
      <c r="C338" s="97"/>
      <c r="D338" s="96"/>
      <c r="E338" s="96"/>
      <c r="F338" s="99"/>
      <c r="G338" s="96"/>
      <c r="H338" s="95"/>
      <c r="I338" s="95"/>
      <c r="J338" s="42" t="str">
        <f t="shared" si="14"/>
        <v/>
      </c>
      <c r="K338" s="6" t="b">
        <f t="shared" si="15"/>
        <v>0</v>
      </c>
      <c r="L338" s="115"/>
      <c r="M338" s="6"/>
      <c r="N338" s="6"/>
      <c r="O338" s="6"/>
    </row>
    <row r="339" spans="1:15" ht="17">
      <c r="A339" s="6"/>
      <c r="B339" s="95" t="str">
        <f t="shared" si="13"/>
        <v/>
      </c>
      <c r="C339" s="97"/>
      <c r="D339" s="96"/>
      <c r="E339" s="96"/>
      <c r="F339" s="99"/>
      <c r="G339" s="96"/>
      <c r="H339" s="95"/>
      <c r="I339" s="95"/>
      <c r="J339" s="42" t="str">
        <f t="shared" si="14"/>
        <v/>
      </c>
      <c r="K339" s="6" t="b">
        <f t="shared" si="15"/>
        <v>0</v>
      </c>
      <c r="L339" s="115"/>
      <c r="M339" s="6"/>
      <c r="N339" s="6"/>
      <c r="O339" s="6"/>
    </row>
    <row r="340" spans="1:15" ht="17">
      <c r="A340" s="6"/>
      <c r="B340" s="95" t="str">
        <f t="shared" si="13"/>
        <v/>
      </c>
      <c r="C340" s="97"/>
      <c r="D340" s="96"/>
      <c r="E340" s="96"/>
      <c r="F340" s="99"/>
      <c r="G340" s="96"/>
      <c r="H340" s="95"/>
      <c r="I340" s="95"/>
      <c r="J340" s="42" t="str">
        <f t="shared" si="14"/>
        <v/>
      </c>
      <c r="K340" s="6" t="b">
        <f t="shared" si="15"/>
        <v>0</v>
      </c>
      <c r="L340" s="115"/>
      <c r="M340" s="6"/>
      <c r="N340" s="6"/>
      <c r="O340" s="6"/>
    </row>
    <row r="341" spans="1:15" ht="17">
      <c r="A341" s="6"/>
      <c r="B341" s="95" t="str">
        <f t="shared" si="13"/>
        <v/>
      </c>
      <c r="C341" s="97"/>
      <c r="D341" s="96"/>
      <c r="E341" s="96"/>
      <c r="F341" s="99"/>
      <c r="G341" s="96"/>
      <c r="H341" s="95"/>
      <c r="I341" s="95"/>
      <c r="J341" s="42" t="str">
        <f t="shared" si="14"/>
        <v/>
      </c>
      <c r="K341" s="6" t="b">
        <f t="shared" si="15"/>
        <v>0</v>
      </c>
      <c r="L341" s="115"/>
      <c r="M341" s="6"/>
      <c r="N341" s="6"/>
      <c r="O341" s="6"/>
    </row>
    <row r="342" spans="1:15" ht="17">
      <c r="A342" s="6"/>
      <c r="B342" s="95" t="str">
        <f t="shared" si="13"/>
        <v/>
      </c>
      <c r="C342" s="97"/>
      <c r="D342" s="96"/>
      <c r="E342" s="96"/>
      <c r="F342" s="99"/>
      <c r="G342" s="96"/>
      <c r="H342" s="95"/>
      <c r="I342" s="95"/>
      <c r="J342" s="42" t="str">
        <f t="shared" si="14"/>
        <v/>
      </c>
      <c r="K342" s="6" t="b">
        <f t="shared" si="15"/>
        <v>0</v>
      </c>
      <c r="L342" s="115"/>
      <c r="M342" s="6"/>
      <c r="N342" s="6"/>
      <c r="O342" s="6"/>
    </row>
    <row r="343" spans="1:15" ht="17">
      <c r="A343" s="6"/>
      <c r="B343" s="95" t="str">
        <f t="shared" si="13"/>
        <v/>
      </c>
      <c r="C343" s="97"/>
      <c r="D343" s="96"/>
      <c r="E343" s="96"/>
      <c r="F343" s="99"/>
      <c r="G343" s="96"/>
      <c r="H343" s="95"/>
      <c r="I343" s="95"/>
      <c r="J343" s="42" t="str">
        <f t="shared" si="14"/>
        <v/>
      </c>
      <c r="K343" s="6" t="b">
        <f t="shared" si="15"/>
        <v>0</v>
      </c>
      <c r="L343" s="115"/>
      <c r="M343" s="6"/>
      <c r="N343" s="6"/>
      <c r="O343" s="6"/>
    </row>
    <row r="344" spans="1:15" ht="17">
      <c r="A344" s="6"/>
      <c r="B344" s="95" t="str">
        <f t="shared" si="13"/>
        <v/>
      </c>
      <c r="C344" s="97"/>
      <c r="D344" s="96"/>
      <c r="E344" s="96"/>
      <c r="F344" s="99"/>
      <c r="G344" s="96"/>
      <c r="H344" s="95"/>
      <c r="I344" s="95"/>
      <c r="J344" s="42" t="str">
        <f t="shared" si="14"/>
        <v/>
      </c>
      <c r="K344" s="6" t="b">
        <f t="shared" si="15"/>
        <v>0</v>
      </c>
      <c r="L344" s="115"/>
      <c r="M344" s="6"/>
      <c r="N344" s="6"/>
      <c r="O344" s="6"/>
    </row>
    <row r="345" spans="1:15" ht="17">
      <c r="A345" s="6"/>
      <c r="B345" s="95" t="str">
        <f t="shared" si="13"/>
        <v/>
      </c>
      <c r="C345" s="97"/>
      <c r="D345" s="96"/>
      <c r="E345" s="96"/>
      <c r="F345" s="99"/>
      <c r="G345" s="96"/>
      <c r="H345" s="95"/>
      <c r="I345" s="95"/>
      <c r="J345" s="42" t="str">
        <f t="shared" si="14"/>
        <v/>
      </c>
      <c r="K345" s="6" t="b">
        <f t="shared" si="15"/>
        <v>0</v>
      </c>
      <c r="L345" s="115"/>
      <c r="M345" s="6"/>
      <c r="N345" s="6"/>
      <c r="O345" s="6"/>
    </row>
    <row r="346" spans="1:15" ht="17">
      <c r="A346" s="6"/>
      <c r="B346" s="95" t="str">
        <f t="shared" si="13"/>
        <v/>
      </c>
      <c r="C346" s="97"/>
      <c r="D346" s="96"/>
      <c r="E346" s="96"/>
      <c r="F346" s="99"/>
      <c r="G346" s="96"/>
      <c r="H346" s="95"/>
      <c r="I346" s="95"/>
      <c r="J346" s="42" t="str">
        <f t="shared" si="14"/>
        <v/>
      </c>
      <c r="K346" s="6" t="b">
        <f t="shared" si="15"/>
        <v>0</v>
      </c>
      <c r="L346" s="115"/>
      <c r="M346" s="6"/>
      <c r="N346" s="6"/>
      <c r="O346" s="6"/>
    </row>
    <row r="347" spans="1:15" ht="17">
      <c r="A347" s="6"/>
      <c r="B347" s="95" t="str">
        <f t="shared" si="13"/>
        <v/>
      </c>
      <c r="C347" s="97"/>
      <c r="D347" s="96"/>
      <c r="E347" s="96"/>
      <c r="F347" s="99"/>
      <c r="G347" s="96"/>
      <c r="H347" s="95"/>
      <c r="I347" s="95"/>
      <c r="J347" s="42" t="str">
        <f t="shared" si="14"/>
        <v/>
      </c>
      <c r="K347" s="6" t="b">
        <f t="shared" si="15"/>
        <v>0</v>
      </c>
      <c r="L347" s="115"/>
      <c r="M347" s="6"/>
      <c r="N347" s="6"/>
      <c r="O347" s="6"/>
    </row>
    <row r="348" spans="1:15" ht="17">
      <c r="A348" s="6"/>
      <c r="B348" s="95" t="str">
        <f t="shared" si="13"/>
        <v/>
      </c>
      <c r="C348" s="97"/>
      <c r="D348" s="96"/>
      <c r="E348" s="96"/>
      <c r="F348" s="99"/>
      <c r="G348" s="96"/>
      <c r="H348" s="95"/>
      <c r="I348" s="95"/>
      <c r="J348" s="42" t="str">
        <f t="shared" si="14"/>
        <v/>
      </c>
      <c r="K348" s="6" t="b">
        <f t="shared" si="15"/>
        <v>0</v>
      </c>
      <c r="L348" s="115"/>
      <c r="M348" s="6"/>
      <c r="N348" s="6"/>
      <c r="O348" s="6"/>
    </row>
    <row r="349" spans="1:15" ht="17">
      <c r="A349" s="6"/>
      <c r="B349" s="95" t="str">
        <f t="shared" si="13"/>
        <v/>
      </c>
      <c r="C349" s="97"/>
      <c r="D349" s="96"/>
      <c r="E349" s="96"/>
      <c r="F349" s="99"/>
      <c r="G349" s="96"/>
      <c r="H349" s="95"/>
      <c r="I349" s="95"/>
      <c r="J349" s="42" t="str">
        <f t="shared" si="14"/>
        <v/>
      </c>
      <c r="K349" s="6" t="b">
        <f t="shared" si="15"/>
        <v>0</v>
      </c>
      <c r="L349" s="115"/>
      <c r="M349" s="6"/>
      <c r="N349" s="6"/>
      <c r="O349" s="6"/>
    </row>
    <row r="350" spans="1:15" ht="17">
      <c r="A350" s="6"/>
      <c r="B350" s="95" t="str">
        <f t="shared" si="13"/>
        <v/>
      </c>
      <c r="C350" s="97"/>
      <c r="D350" s="96"/>
      <c r="E350" s="96"/>
      <c r="F350" s="99"/>
      <c r="G350" s="96"/>
      <c r="H350" s="95"/>
      <c r="I350" s="95"/>
      <c r="J350" s="42" t="str">
        <f t="shared" si="14"/>
        <v/>
      </c>
      <c r="K350" s="6" t="b">
        <f t="shared" si="15"/>
        <v>0</v>
      </c>
      <c r="L350" s="115"/>
      <c r="M350" s="6"/>
      <c r="N350" s="6"/>
      <c r="O350" s="6"/>
    </row>
    <row r="351" spans="1:15" ht="17">
      <c r="A351" s="6"/>
      <c r="B351" s="95" t="str">
        <f t="shared" si="13"/>
        <v/>
      </c>
      <c r="C351" s="97"/>
      <c r="D351" s="96"/>
      <c r="E351" s="96"/>
      <c r="F351" s="99"/>
      <c r="G351" s="96"/>
      <c r="H351" s="95"/>
      <c r="I351" s="95"/>
      <c r="J351" s="42" t="str">
        <f t="shared" si="14"/>
        <v/>
      </c>
      <c r="K351" s="6" t="b">
        <f t="shared" si="15"/>
        <v>0</v>
      </c>
      <c r="L351" s="115"/>
      <c r="M351" s="6"/>
      <c r="N351" s="6"/>
      <c r="O351" s="6"/>
    </row>
    <row r="352" spans="1:15" ht="17">
      <c r="A352" s="6"/>
      <c r="B352" s="95" t="str">
        <f t="shared" si="13"/>
        <v/>
      </c>
      <c r="C352" s="97"/>
      <c r="D352" s="96"/>
      <c r="E352" s="96"/>
      <c r="F352" s="99"/>
      <c r="G352" s="96"/>
      <c r="H352" s="95"/>
      <c r="I352" s="95"/>
      <c r="J352" s="42" t="str">
        <f t="shared" si="14"/>
        <v/>
      </c>
      <c r="K352" s="6" t="b">
        <f t="shared" si="15"/>
        <v>0</v>
      </c>
      <c r="L352" s="115"/>
      <c r="M352" s="6"/>
      <c r="N352" s="6"/>
      <c r="O352" s="6"/>
    </row>
    <row r="353" spans="1:15" ht="17">
      <c r="A353" s="6"/>
      <c r="B353" s="95" t="str">
        <f t="shared" si="13"/>
        <v/>
      </c>
      <c r="C353" s="97"/>
      <c r="D353" s="96"/>
      <c r="E353" s="96"/>
      <c r="F353" s="99"/>
      <c r="G353" s="96"/>
      <c r="H353" s="95"/>
      <c r="I353" s="95"/>
      <c r="J353" s="42" t="str">
        <f t="shared" si="14"/>
        <v/>
      </c>
      <c r="K353" s="6" t="b">
        <f t="shared" si="15"/>
        <v>0</v>
      </c>
      <c r="L353" s="115"/>
      <c r="M353" s="6"/>
      <c r="N353" s="6"/>
      <c r="O353" s="6"/>
    </row>
    <row r="354" spans="1:15" ht="17">
      <c r="A354" s="6"/>
      <c r="B354" s="95" t="str">
        <f t="shared" si="13"/>
        <v/>
      </c>
      <c r="C354" s="97"/>
      <c r="D354" s="96"/>
      <c r="E354" s="96"/>
      <c r="F354" s="99"/>
      <c r="G354" s="96"/>
      <c r="H354" s="95"/>
      <c r="I354" s="95"/>
      <c r="J354" s="42" t="str">
        <f t="shared" si="14"/>
        <v/>
      </c>
      <c r="K354" s="6" t="b">
        <f t="shared" si="15"/>
        <v>0</v>
      </c>
      <c r="L354" s="115"/>
      <c r="M354" s="6"/>
      <c r="N354" s="6"/>
      <c r="O354" s="6"/>
    </row>
    <row r="355" spans="1:15" ht="17">
      <c r="A355" s="6"/>
      <c r="B355" s="95" t="str">
        <f t="shared" si="13"/>
        <v/>
      </c>
      <c r="C355" s="97"/>
      <c r="D355" s="96"/>
      <c r="E355" s="96"/>
      <c r="F355" s="99"/>
      <c r="G355" s="96"/>
      <c r="H355" s="95"/>
      <c r="I355" s="95"/>
      <c r="J355" s="42" t="str">
        <f t="shared" si="14"/>
        <v/>
      </c>
      <c r="K355" s="6" t="b">
        <f t="shared" si="15"/>
        <v>0</v>
      </c>
      <c r="L355" s="115"/>
      <c r="M355" s="6"/>
      <c r="N355" s="6"/>
      <c r="O355" s="6"/>
    </row>
    <row r="356" spans="1:15" ht="17">
      <c r="A356" s="6"/>
      <c r="B356" s="95" t="str">
        <f t="shared" si="13"/>
        <v/>
      </c>
      <c r="C356" s="97"/>
      <c r="D356" s="96"/>
      <c r="E356" s="96"/>
      <c r="F356" s="99"/>
      <c r="G356" s="96"/>
      <c r="H356" s="95"/>
      <c r="I356" s="95"/>
      <c r="J356" s="42" t="str">
        <f t="shared" si="14"/>
        <v/>
      </c>
      <c r="K356" s="6" t="b">
        <f t="shared" si="15"/>
        <v>0</v>
      </c>
      <c r="L356" s="115"/>
      <c r="M356" s="6"/>
      <c r="N356" s="6"/>
      <c r="O356" s="6"/>
    </row>
    <row r="357" spans="1:15" ht="17">
      <c r="A357" s="6"/>
      <c r="B357" s="95" t="str">
        <f t="shared" ref="B357:B420" si="16">IF(C357="","","V"&amp;TEXT(ROW()-6,"00000"))</f>
        <v/>
      </c>
      <c r="C357" s="97"/>
      <c r="D357" s="96"/>
      <c r="E357" s="96"/>
      <c r="F357" s="99"/>
      <c r="G357" s="96"/>
      <c r="H357" s="95"/>
      <c r="I357" s="95"/>
      <c r="J357" s="42" t="str">
        <f t="shared" si="14"/>
        <v/>
      </c>
      <c r="K357" s="6" t="b">
        <f t="shared" si="15"/>
        <v>0</v>
      </c>
      <c r="L357" s="115"/>
      <c r="M357" s="6"/>
      <c r="N357" s="6"/>
      <c r="O357" s="6"/>
    </row>
    <row r="358" spans="1:15" ht="17">
      <c r="A358" s="6"/>
      <c r="B358" s="95" t="str">
        <f t="shared" si="16"/>
        <v/>
      </c>
      <c r="C358" s="97"/>
      <c r="D358" s="96"/>
      <c r="E358" s="96"/>
      <c r="F358" s="99"/>
      <c r="G358" s="96"/>
      <c r="H358" s="95"/>
      <c r="I358" s="95"/>
      <c r="J358" s="42" t="str">
        <f t="shared" si="14"/>
        <v/>
      </c>
      <c r="K358" s="6" t="b">
        <f t="shared" si="15"/>
        <v>0</v>
      </c>
      <c r="L358" s="115"/>
      <c r="M358" s="6"/>
      <c r="N358" s="6"/>
      <c r="O358" s="6"/>
    </row>
    <row r="359" spans="1:15" ht="17">
      <c r="A359" s="6"/>
      <c r="B359" s="95" t="str">
        <f t="shared" si="16"/>
        <v/>
      </c>
      <c r="C359" s="97"/>
      <c r="D359" s="96"/>
      <c r="E359" s="96"/>
      <c r="F359" s="99"/>
      <c r="G359" s="96"/>
      <c r="H359" s="95"/>
      <c r="I359" s="95"/>
      <c r="J359" s="42" t="str">
        <f t="shared" si="14"/>
        <v/>
      </c>
      <c r="K359" s="6" t="b">
        <f t="shared" si="15"/>
        <v>0</v>
      </c>
      <c r="L359" s="115"/>
      <c r="M359" s="6"/>
      <c r="N359" s="6"/>
      <c r="O359" s="6"/>
    </row>
    <row r="360" spans="1:15" ht="17">
      <c r="A360" s="6"/>
      <c r="B360" s="95" t="str">
        <f t="shared" si="16"/>
        <v/>
      </c>
      <c r="C360" s="97"/>
      <c r="D360" s="96"/>
      <c r="E360" s="96"/>
      <c r="F360" s="99"/>
      <c r="G360" s="96"/>
      <c r="H360" s="95"/>
      <c r="I360" s="95"/>
      <c r="J360" s="42" t="str">
        <f t="shared" si="14"/>
        <v/>
      </c>
      <c r="K360" s="6" t="b">
        <f t="shared" si="15"/>
        <v>0</v>
      </c>
      <c r="L360" s="115"/>
      <c r="M360" s="6"/>
      <c r="N360" s="6"/>
      <c r="O360" s="6"/>
    </row>
    <row r="361" spans="1:15" ht="17">
      <c r="A361" s="6"/>
      <c r="B361" s="95" t="str">
        <f t="shared" si="16"/>
        <v/>
      </c>
      <c r="C361" s="97"/>
      <c r="D361" s="96"/>
      <c r="E361" s="96"/>
      <c r="F361" s="99"/>
      <c r="G361" s="96"/>
      <c r="H361" s="95"/>
      <c r="I361" s="95"/>
      <c r="J361" s="42" t="str">
        <f t="shared" si="14"/>
        <v/>
      </c>
      <c r="K361" s="6" t="b">
        <f t="shared" si="15"/>
        <v>0</v>
      </c>
      <c r="L361" s="115"/>
      <c r="M361" s="6"/>
      <c r="N361" s="6"/>
      <c r="O361" s="6"/>
    </row>
    <row r="362" spans="1:15" ht="17">
      <c r="A362" s="6"/>
      <c r="B362" s="95" t="str">
        <f t="shared" si="16"/>
        <v/>
      </c>
      <c r="C362" s="97"/>
      <c r="D362" s="96"/>
      <c r="E362" s="96"/>
      <c r="F362" s="99"/>
      <c r="G362" s="96"/>
      <c r="H362" s="95"/>
      <c r="I362" s="95"/>
      <c r="J362" s="42" t="str">
        <f t="shared" si="14"/>
        <v/>
      </c>
      <c r="K362" s="6" t="b">
        <f t="shared" si="15"/>
        <v>0</v>
      </c>
      <c r="L362" s="115"/>
      <c r="M362" s="6"/>
      <c r="N362" s="6"/>
      <c r="O362" s="6"/>
    </row>
    <row r="363" spans="1:15" ht="17">
      <c r="A363" s="6"/>
      <c r="B363" s="95" t="str">
        <f t="shared" si="16"/>
        <v/>
      </c>
      <c r="C363" s="97"/>
      <c r="D363" s="96"/>
      <c r="E363" s="96"/>
      <c r="F363" s="99"/>
      <c r="G363" s="96"/>
      <c r="H363" s="95"/>
      <c r="I363" s="95"/>
      <c r="J363" s="42" t="str">
        <f t="shared" si="14"/>
        <v/>
      </c>
      <c r="K363" s="6" t="b">
        <f t="shared" si="15"/>
        <v>0</v>
      </c>
      <c r="L363" s="115"/>
      <c r="M363" s="6"/>
      <c r="N363" s="6"/>
      <c r="O363" s="6"/>
    </row>
    <row r="364" spans="1:15" ht="17">
      <c r="A364" s="6"/>
      <c r="B364" s="95" t="str">
        <f t="shared" si="16"/>
        <v/>
      </c>
      <c r="C364" s="97"/>
      <c r="D364" s="96"/>
      <c r="E364" s="96"/>
      <c r="F364" s="99"/>
      <c r="G364" s="96"/>
      <c r="H364" s="95"/>
      <c r="I364" s="95"/>
      <c r="J364" s="42" t="str">
        <f t="shared" si="14"/>
        <v/>
      </c>
      <c r="K364" s="6" t="b">
        <f t="shared" si="15"/>
        <v>0</v>
      </c>
      <c r="L364" s="115"/>
      <c r="M364" s="6"/>
      <c r="N364" s="6"/>
      <c r="O364" s="6"/>
    </row>
    <row r="365" spans="1:15" ht="17">
      <c r="A365" s="6"/>
      <c r="B365" s="95" t="str">
        <f t="shared" si="16"/>
        <v/>
      </c>
      <c r="C365" s="97"/>
      <c r="D365" s="96"/>
      <c r="E365" s="96"/>
      <c r="F365" s="99"/>
      <c r="G365" s="96"/>
      <c r="H365" s="95"/>
      <c r="I365" s="95"/>
      <c r="J365" s="42" t="str">
        <f t="shared" si="14"/>
        <v/>
      </c>
      <c r="K365" s="6" t="b">
        <f t="shared" si="15"/>
        <v>0</v>
      </c>
      <c r="L365" s="115"/>
      <c r="M365" s="6"/>
      <c r="N365" s="6"/>
      <c r="O365" s="6"/>
    </row>
    <row r="366" spans="1:15" ht="17">
      <c r="A366" s="6"/>
      <c r="B366" s="95" t="str">
        <f t="shared" si="16"/>
        <v/>
      </c>
      <c r="C366" s="97"/>
      <c r="D366" s="96"/>
      <c r="E366" s="96"/>
      <c r="F366" s="99"/>
      <c r="G366" s="96"/>
      <c r="H366" s="95"/>
      <c r="I366" s="95"/>
      <c r="J366" s="42" t="str">
        <f t="shared" si="14"/>
        <v/>
      </c>
      <c r="K366" s="6" t="b">
        <f t="shared" si="15"/>
        <v>0</v>
      </c>
      <c r="L366" s="115"/>
      <c r="M366" s="6"/>
      <c r="N366" s="6"/>
      <c r="O366" s="6"/>
    </row>
    <row r="367" spans="1:15" ht="17">
      <c r="A367" s="6"/>
      <c r="B367" s="95" t="str">
        <f t="shared" si="16"/>
        <v/>
      </c>
      <c r="C367" s="97"/>
      <c r="D367" s="96"/>
      <c r="E367" s="96"/>
      <c r="F367" s="99"/>
      <c r="G367" s="96"/>
      <c r="H367" s="95"/>
      <c r="I367" s="95"/>
      <c r="J367" s="42" t="str">
        <f t="shared" si="14"/>
        <v/>
      </c>
      <c r="K367" s="6" t="b">
        <f t="shared" si="15"/>
        <v>0</v>
      </c>
      <c r="L367" s="115"/>
      <c r="M367" s="6"/>
      <c r="N367" s="6"/>
      <c r="O367" s="6"/>
    </row>
    <row r="368" spans="1:15" ht="17">
      <c r="A368" s="6"/>
      <c r="B368" s="95" t="str">
        <f t="shared" si="16"/>
        <v/>
      </c>
      <c r="C368" s="97"/>
      <c r="D368" s="96"/>
      <c r="E368" s="96"/>
      <c r="F368" s="99"/>
      <c r="G368" s="96"/>
      <c r="H368" s="95"/>
      <c r="I368" s="95"/>
      <c r="J368" s="42" t="str">
        <f t="shared" si="14"/>
        <v/>
      </c>
      <c r="K368" s="6" t="b">
        <f t="shared" si="15"/>
        <v>0</v>
      </c>
      <c r="L368" s="115"/>
      <c r="M368" s="6"/>
      <c r="N368" s="6"/>
      <c r="O368" s="6"/>
    </row>
    <row r="369" spans="1:15" ht="17">
      <c r="A369" s="6"/>
      <c r="B369" s="95" t="str">
        <f t="shared" si="16"/>
        <v/>
      </c>
      <c r="C369" s="97"/>
      <c r="D369" s="96"/>
      <c r="E369" s="96"/>
      <c r="F369" s="99"/>
      <c r="G369" s="96"/>
      <c r="H369" s="95"/>
      <c r="I369" s="95"/>
      <c r="J369" s="42" t="str">
        <f t="shared" si="14"/>
        <v/>
      </c>
      <c r="K369" s="6" t="b">
        <f t="shared" si="15"/>
        <v>0</v>
      </c>
      <c r="L369" s="115"/>
      <c r="M369" s="6"/>
      <c r="N369" s="6"/>
      <c r="O369" s="6"/>
    </row>
    <row r="370" spans="1:15" ht="17">
      <c r="A370" s="6"/>
      <c r="B370" s="95" t="str">
        <f t="shared" si="16"/>
        <v/>
      </c>
      <c r="C370" s="97"/>
      <c r="D370" s="96"/>
      <c r="E370" s="96"/>
      <c r="F370" s="99"/>
      <c r="G370" s="96"/>
      <c r="H370" s="95"/>
      <c r="I370" s="95"/>
      <c r="J370" s="42" t="str">
        <f t="shared" si="14"/>
        <v/>
      </c>
      <c r="K370" s="6" t="b">
        <f t="shared" si="15"/>
        <v>0</v>
      </c>
      <c r="L370" s="115"/>
      <c r="M370" s="6"/>
      <c r="N370" s="6"/>
      <c r="O370" s="6"/>
    </row>
    <row r="371" spans="1:15" ht="17">
      <c r="A371" s="6"/>
      <c r="B371" s="95" t="str">
        <f t="shared" si="16"/>
        <v/>
      </c>
      <c r="C371" s="97"/>
      <c r="D371" s="96"/>
      <c r="E371" s="96"/>
      <c r="F371" s="99"/>
      <c r="G371" s="96"/>
      <c r="H371" s="95"/>
      <c r="I371" s="95"/>
      <c r="J371" s="42" t="str">
        <f t="shared" si="14"/>
        <v/>
      </c>
      <c r="K371" s="6" t="b">
        <f t="shared" si="15"/>
        <v>0</v>
      </c>
      <c r="L371" s="115"/>
      <c r="M371" s="6"/>
      <c r="N371" s="6"/>
      <c r="O371" s="6"/>
    </row>
    <row r="372" spans="1:15" ht="17">
      <c r="A372" s="6"/>
      <c r="B372" s="95" t="str">
        <f t="shared" si="16"/>
        <v/>
      </c>
      <c r="C372" s="97"/>
      <c r="D372" s="96"/>
      <c r="E372" s="96"/>
      <c r="F372" s="99"/>
      <c r="G372" s="96"/>
      <c r="H372" s="95"/>
      <c r="I372" s="95"/>
      <c r="J372" s="42" t="str">
        <f t="shared" si="14"/>
        <v/>
      </c>
      <c r="K372" s="6" t="b">
        <f t="shared" si="15"/>
        <v>0</v>
      </c>
      <c r="L372" s="115"/>
      <c r="M372" s="6"/>
      <c r="N372" s="6"/>
      <c r="O372" s="6"/>
    </row>
    <row r="373" spans="1:15" ht="17">
      <c r="A373" s="6"/>
      <c r="B373" s="95" t="str">
        <f t="shared" si="16"/>
        <v/>
      </c>
      <c r="C373" s="97"/>
      <c r="D373" s="96"/>
      <c r="E373" s="96"/>
      <c r="F373" s="99"/>
      <c r="G373" s="96"/>
      <c r="H373" s="95"/>
      <c r="I373" s="95"/>
      <c r="J373" s="42" t="str">
        <f t="shared" si="14"/>
        <v/>
      </c>
      <c r="K373" s="6" t="b">
        <f t="shared" si="15"/>
        <v>0</v>
      </c>
      <c r="L373" s="115"/>
      <c r="M373" s="6"/>
      <c r="N373" s="6"/>
      <c r="O373" s="6"/>
    </row>
    <row r="374" spans="1:15" ht="17">
      <c r="A374" s="6"/>
      <c r="B374" s="95" t="str">
        <f t="shared" si="16"/>
        <v/>
      </c>
      <c r="C374" s="97"/>
      <c r="D374" s="96"/>
      <c r="E374" s="96"/>
      <c r="F374" s="99"/>
      <c r="G374" s="96"/>
      <c r="H374" s="95"/>
      <c r="I374" s="95"/>
      <c r="J374" s="42" t="str">
        <f t="shared" si="14"/>
        <v/>
      </c>
      <c r="K374" s="6" t="b">
        <f t="shared" si="15"/>
        <v>0</v>
      </c>
      <c r="L374" s="115"/>
      <c r="M374" s="6"/>
      <c r="N374" s="6"/>
      <c r="O374" s="6"/>
    </row>
    <row r="375" spans="1:15" ht="17">
      <c r="A375" s="6"/>
      <c r="B375" s="95" t="str">
        <f t="shared" si="16"/>
        <v/>
      </c>
      <c r="C375" s="97"/>
      <c r="D375" s="96"/>
      <c r="E375" s="96"/>
      <c r="F375" s="99"/>
      <c r="G375" s="96"/>
      <c r="H375" s="95"/>
      <c r="I375" s="95"/>
      <c r="J375" s="42" t="str">
        <f t="shared" si="14"/>
        <v/>
      </c>
      <c r="K375" s="6" t="b">
        <f t="shared" si="15"/>
        <v>0</v>
      </c>
      <c r="L375" s="115"/>
      <c r="M375" s="6"/>
      <c r="N375" s="6"/>
      <c r="O375" s="6"/>
    </row>
    <row r="376" spans="1:15" ht="17">
      <c r="A376" s="6"/>
      <c r="B376" s="95" t="str">
        <f t="shared" si="16"/>
        <v/>
      </c>
      <c r="C376" s="97"/>
      <c r="D376" s="96"/>
      <c r="E376" s="96"/>
      <c r="F376" s="99"/>
      <c r="G376" s="96"/>
      <c r="H376" s="95"/>
      <c r="I376" s="95"/>
      <c r="J376" s="42" t="str">
        <f t="shared" si="14"/>
        <v/>
      </c>
      <c r="K376" s="6" t="b">
        <f t="shared" si="15"/>
        <v>0</v>
      </c>
      <c r="L376" s="115"/>
      <c r="M376" s="6"/>
      <c r="N376" s="6"/>
      <c r="O376" s="6"/>
    </row>
    <row r="377" spans="1:15" ht="17">
      <c r="A377" s="6"/>
      <c r="B377" s="95" t="str">
        <f t="shared" si="16"/>
        <v/>
      </c>
      <c r="C377" s="97"/>
      <c r="D377" s="96"/>
      <c r="E377" s="96"/>
      <c r="F377" s="99"/>
      <c r="G377" s="96"/>
      <c r="H377" s="95"/>
      <c r="I377" s="95"/>
      <c r="J377" s="42" t="str">
        <f t="shared" si="14"/>
        <v/>
      </c>
      <c r="K377" s="6" t="b">
        <f t="shared" si="15"/>
        <v>0</v>
      </c>
      <c r="L377" s="115"/>
      <c r="M377" s="6"/>
      <c r="N377" s="6"/>
      <c r="O377" s="6"/>
    </row>
    <row r="378" spans="1:15" ht="17">
      <c r="A378" s="6"/>
      <c r="B378" s="95" t="str">
        <f t="shared" si="16"/>
        <v/>
      </c>
      <c r="C378" s="97"/>
      <c r="D378" s="96"/>
      <c r="E378" s="96"/>
      <c r="F378" s="99"/>
      <c r="G378" s="96"/>
      <c r="H378" s="95"/>
      <c r="I378" s="95"/>
      <c r="J378" s="42" t="str">
        <f t="shared" si="14"/>
        <v/>
      </c>
      <c r="K378" s="6" t="b">
        <f t="shared" si="15"/>
        <v>0</v>
      </c>
      <c r="L378" s="115"/>
      <c r="M378" s="6"/>
      <c r="N378" s="6"/>
      <c r="O378" s="6"/>
    </row>
    <row r="379" spans="1:15" ht="17">
      <c r="A379" s="6"/>
      <c r="B379" s="95" t="str">
        <f t="shared" si="16"/>
        <v/>
      </c>
      <c r="C379" s="97"/>
      <c r="D379" s="96"/>
      <c r="E379" s="96"/>
      <c r="F379" s="99"/>
      <c r="G379" s="96"/>
      <c r="H379" s="95"/>
      <c r="I379" s="95"/>
      <c r="J379" s="42" t="str">
        <f t="shared" si="14"/>
        <v/>
      </c>
      <c r="K379" s="6" t="b">
        <f t="shared" si="15"/>
        <v>0</v>
      </c>
      <c r="L379" s="115"/>
      <c r="M379" s="6"/>
      <c r="N379" s="6"/>
      <c r="O379" s="6"/>
    </row>
    <row r="380" spans="1:15" ht="17">
      <c r="A380" s="6"/>
      <c r="B380" s="95" t="str">
        <f t="shared" si="16"/>
        <v/>
      </c>
      <c r="C380" s="97"/>
      <c r="D380" s="96"/>
      <c r="E380" s="96"/>
      <c r="F380" s="99"/>
      <c r="G380" s="96"/>
      <c r="H380" s="95"/>
      <c r="I380" s="95"/>
      <c r="J380" s="42" t="str">
        <f t="shared" si="14"/>
        <v/>
      </c>
      <c r="K380" s="6" t="b">
        <f t="shared" si="15"/>
        <v>0</v>
      </c>
      <c r="L380" s="115"/>
      <c r="M380" s="6"/>
      <c r="N380" s="6"/>
      <c r="O380" s="6"/>
    </row>
    <row r="381" spans="1:15" ht="17">
      <c r="A381" s="6"/>
      <c r="B381" s="95" t="str">
        <f t="shared" si="16"/>
        <v/>
      </c>
      <c r="C381" s="97"/>
      <c r="D381" s="96"/>
      <c r="E381" s="96"/>
      <c r="F381" s="99"/>
      <c r="G381" s="96"/>
      <c r="H381" s="95"/>
      <c r="I381" s="95"/>
      <c r="J381" s="42" t="str">
        <f t="shared" si="14"/>
        <v/>
      </c>
      <c r="K381" s="6" t="b">
        <f t="shared" si="15"/>
        <v>0</v>
      </c>
      <c r="L381" s="115"/>
      <c r="M381" s="6"/>
      <c r="N381" s="6"/>
      <c r="O381" s="6"/>
    </row>
    <row r="382" spans="1:15" ht="17">
      <c r="A382" s="6"/>
      <c r="B382" s="95" t="str">
        <f t="shared" si="16"/>
        <v/>
      </c>
      <c r="C382" s="97"/>
      <c r="D382" s="96"/>
      <c r="E382" s="96"/>
      <c r="F382" s="99"/>
      <c r="G382" s="96"/>
      <c r="H382" s="95"/>
      <c r="I382" s="95"/>
      <c r="J382" s="42" t="str">
        <f t="shared" si="14"/>
        <v/>
      </c>
      <c r="K382" s="6" t="b">
        <f t="shared" si="15"/>
        <v>0</v>
      </c>
      <c r="L382" s="115"/>
      <c r="M382" s="6"/>
      <c r="N382" s="6"/>
      <c r="O382" s="6"/>
    </row>
    <row r="383" spans="1:15" ht="17">
      <c r="A383" s="6"/>
      <c r="B383" s="95" t="str">
        <f t="shared" si="16"/>
        <v/>
      </c>
      <c r="C383" s="97"/>
      <c r="D383" s="96"/>
      <c r="E383" s="96"/>
      <c r="F383" s="99"/>
      <c r="G383" s="96"/>
      <c r="H383" s="95"/>
      <c r="I383" s="95"/>
      <c r="J383" s="42" t="str">
        <f t="shared" si="14"/>
        <v/>
      </c>
      <c r="K383" s="6" t="b">
        <f t="shared" si="15"/>
        <v>0</v>
      </c>
      <c r="L383" s="115"/>
      <c r="M383" s="6"/>
      <c r="N383" s="6"/>
      <c r="O383" s="6"/>
    </row>
    <row r="384" spans="1:15" ht="17">
      <c r="A384" s="6"/>
      <c r="B384" s="95" t="str">
        <f t="shared" si="16"/>
        <v/>
      </c>
      <c r="C384" s="97"/>
      <c r="D384" s="96"/>
      <c r="E384" s="96"/>
      <c r="F384" s="99"/>
      <c r="G384" s="96"/>
      <c r="H384" s="95"/>
      <c r="I384" s="95"/>
      <c r="J384" s="42" t="str">
        <f t="shared" si="14"/>
        <v/>
      </c>
      <c r="K384" s="6" t="b">
        <f t="shared" si="15"/>
        <v>0</v>
      </c>
      <c r="L384" s="115"/>
      <c r="M384" s="6"/>
      <c r="N384" s="6"/>
      <c r="O384" s="6"/>
    </row>
    <row r="385" spans="1:15" ht="17">
      <c r="A385" s="6"/>
      <c r="B385" s="95" t="str">
        <f t="shared" si="16"/>
        <v/>
      </c>
      <c r="C385" s="97"/>
      <c r="D385" s="96"/>
      <c r="E385" s="96"/>
      <c r="F385" s="99"/>
      <c r="G385" s="96"/>
      <c r="H385" s="95"/>
      <c r="I385" s="95"/>
      <c r="J385" s="42" t="str">
        <f t="shared" si="14"/>
        <v/>
      </c>
      <c r="K385" s="6" t="b">
        <f t="shared" si="15"/>
        <v>0</v>
      </c>
      <c r="L385" s="115"/>
      <c r="M385" s="6"/>
      <c r="N385" s="6"/>
      <c r="O385" s="6"/>
    </row>
    <row r="386" spans="1:15" ht="17">
      <c r="A386" s="6"/>
      <c r="B386" s="95" t="str">
        <f t="shared" si="16"/>
        <v/>
      </c>
      <c r="C386" s="97"/>
      <c r="D386" s="96"/>
      <c r="E386" s="96"/>
      <c r="F386" s="99"/>
      <c r="G386" s="96"/>
      <c r="H386" s="95"/>
      <c r="I386" s="95"/>
      <c r="J386" s="42" t="str">
        <f t="shared" si="14"/>
        <v/>
      </c>
      <c r="K386" s="6" t="b">
        <f t="shared" si="15"/>
        <v>0</v>
      </c>
      <c r="L386" s="115"/>
      <c r="M386" s="6"/>
      <c r="N386" s="6"/>
      <c r="O386" s="6"/>
    </row>
    <row r="387" spans="1:15" ht="17">
      <c r="A387" s="6"/>
      <c r="B387" s="95" t="str">
        <f t="shared" si="16"/>
        <v/>
      </c>
      <c r="C387" s="97"/>
      <c r="D387" s="96"/>
      <c r="E387" s="96"/>
      <c r="F387" s="99"/>
      <c r="G387" s="96"/>
      <c r="H387" s="95"/>
      <c r="I387" s="95"/>
      <c r="J387" s="42" t="str">
        <f t="shared" si="14"/>
        <v/>
      </c>
      <c r="K387" s="6" t="b">
        <f t="shared" si="15"/>
        <v>0</v>
      </c>
      <c r="L387" s="115"/>
      <c r="M387" s="6"/>
      <c r="N387" s="6"/>
      <c r="O387" s="6"/>
    </row>
    <row r="388" spans="1:15" ht="17">
      <c r="A388" s="6"/>
      <c r="B388" s="95" t="str">
        <f t="shared" si="16"/>
        <v/>
      </c>
      <c r="C388" s="97"/>
      <c r="D388" s="96"/>
      <c r="E388" s="96"/>
      <c r="F388" s="99"/>
      <c r="G388" s="96"/>
      <c r="H388" s="95"/>
      <c r="I388" s="95"/>
      <c r="J388" s="42" t="str">
        <f t="shared" si="14"/>
        <v/>
      </c>
      <c r="K388" s="6" t="b">
        <f t="shared" si="15"/>
        <v>0</v>
      </c>
      <c r="L388" s="115"/>
      <c r="M388" s="6"/>
      <c r="N388" s="6"/>
      <c r="O388" s="6"/>
    </row>
    <row r="389" spans="1:15" ht="17">
      <c r="A389" s="6"/>
      <c r="B389" s="95" t="str">
        <f t="shared" si="16"/>
        <v/>
      </c>
      <c r="C389" s="97"/>
      <c r="D389" s="96"/>
      <c r="E389" s="96"/>
      <c r="F389" s="99"/>
      <c r="G389" s="96"/>
      <c r="H389" s="95"/>
      <c r="I389" s="95"/>
      <c r="J389" s="42" t="str">
        <f t="shared" si="14"/>
        <v/>
      </c>
      <c r="K389" s="6" t="b">
        <f t="shared" si="15"/>
        <v>0</v>
      </c>
      <c r="L389" s="115"/>
      <c r="M389" s="6"/>
      <c r="N389" s="6"/>
      <c r="O389" s="6"/>
    </row>
    <row r="390" spans="1:15" ht="17">
      <c r="A390" s="6"/>
      <c r="B390" s="95" t="str">
        <f t="shared" si="16"/>
        <v/>
      </c>
      <c r="C390" s="97"/>
      <c r="D390" s="96"/>
      <c r="E390" s="96"/>
      <c r="F390" s="99"/>
      <c r="G390" s="96"/>
      <c r="H390" s="95"/>
      <c r="I390" s="95"/>
      <c r="J390" s="42" t="str">
        <f t="shared" si="14"/>
        <v/>
      </c>
      <c r="K390" s="6" t="b">
        <f t="shared" si="15"/>
        <v>0</v>
      </c>
      <c r="L390" s="115"/>
      <c r="M390" s="6"/>
      <c r="N390" s="6"/>
      <c r="O390" s="6"/>
    </row>
    <row r="391" spans="1:15" ht="17">
      <c r="A391" s="6"/>
      <c r="B391" s="95" t="str">
        <f t="shared" si="16"/>
        <v/>
      </c>
      <c r="C391" s="97"/>
      <c r="D391" s="96"/>
      <c r="E391" s="96"/>
      <c r="F391" s="99"/>
      <c r="G391" s="96"/>
      <c r="H391" s="95"/>
      <c r="I391" s="95"/>
      <c r="J391" s="42" t="str">
        <f t="shared" ref="J391:J454" si="17">IF(C391="","",IF(OR(D391="",E391="",F391=""),"EKSİK",IF(D391=E391,"AYNI HESAP OLAMAZ",IF(AND(D391="MERKEZ KASA",E391="ÖMER KARTAL",K391),"YANLIŞ VIRMAN","UYGUN"))))</f>
        <v/>
      </c>
      <c r="K391" s="6" t="b">
        <f t="shared" ref="K391:K454" si="18">OR(ISNUMBER(SEARCH("MUHASEBE ÜCRETİ",G391&amp;"")),ISNUMBER(SEARCH("SGK",G391&amp;"")),ISNUMBER(SEARCH("MENDERES MAHSUP",G391&amp;"")),ISNUMBER(SEARCH("GRAND 06 ÖMER BAKİYE",G391&amp;"")))</f>
        <v>0</v>
      </c>
      <c r="L391" s="115"/>
      <c r="M391" s="6"/>
      <c r="N391" s="6"/>
      <c r="O391" s="6"/>
    </row>
    <row r="392" spans="1:15" ht="17">
      <c r="A392" s="6"/>
      <c r="B392" s="95" t="str">
        <f t="shared" si="16"/>
        <v/>
      </c>
      <c r="C392" s="97"/>
      <c r="D392" s="96"/>
      <c r="E392" s="96"/>
      <c r="F392" s="99"/>
      <c r="G392" s="96"/>
      <c r="H392" s="95"/>
      <c r="I392" s="95"/>
      <c r="J392" s="42" t="str">
        <f t="shared" si="17"/>
        <v/>
      </c>
      <c r="K392" s="6" t="b">
        <f t="shared" si="18"/>
        <v>0</v>
      </c>
      <c r="L392" s="115"/>
      <c r="M392" s="6"/>
      <c r="N392" s="6"/>
      <c r="O392" s="6"/>
    </row>
    <row r="393" spans="1:15" ht="17">
      <c r="A393" s="6"/>
      <c r="B393" s="95" t="str">
        <f t="shared" si="16"/>
        <v/>
      </c>
      <c r="C393" s="97"/>
      <c r="D393" s="96"/>
      <c r="E393" s="96"/>
      <c r="F393" s="99"/>
      <c r="G393" s="96"/>
      <c r="H393" s="95"/>
      <c r="I393" s="95"/>
      <c r="J393" s="42" t="str">
        <f t="shared" si="17"/>
        <v/>
      </c>
      <c r="K393" s="6" t="b">
        <f t="shared" si="18"/>
        <v>0</v>
      </c>
      <c r="L393" s="115"/>
      <c r="M393" s="6"/>
      <c r="N393" s="6"/>
      <c r="O393" s="6"/>
    </row>
    <row r="394" spans="1:15" ht="17">
      <c r="A394" s="6"/>
      <c r="B394" s="95" t="str">
        <f t="shared" si="16"/>
        <v/>
      </c>
      <c r="C394" s="97"/>
      <c r="D394" s="96"/>
      <c r="E394" s="96"/>
      <c r="F394" s="99"/>
      <c r="G394" s="96"/>
      <c r="H394" s="95"/>
      <c r="I394" s="95"/>
      <c r="J394" s="42" t="str">
        <f t="shared" si="17"/>
        <v/>
      </c>
      <c r="K394" s="6" t="b">
        <f t="shared" si="18"/>
        <v>0</v>
      </c>
      <c r="L394" s="115"/>
      <c r="M394" s="6"/>
      <c r="N394" s="6"/>
      <c r="O394" s="6"/>
    </row>
    <row r="395" spans="1:15" ht="17">
      <c r="A395" s="6"/>
      <c r="B395" s="95" t="str">
        <f t="shared" si="16"/>
        <v/>
      </c>
      <c r="C395" s="97"/>
      <c r="D395" s="96"/>
      <c r="E395" s="96"/>
      <c r="F395" s="99"/>
      <c r="G395" s="96"/>
      <c r="H395" s="95"/>
      <c r="I395" s="95"/>
      <c r="J395" s="42" t="str">
        <f t="shared" si="17"/>
        <v/>
      </c>
      <c r="K395" s="6" t="b">
        <f t="shared" si="18"/>
        <v>0</v>
      </c>
      <c r="L395" s="115"/>
      <c r="M395" s="6"/>
      <c r="N395" s="6"/>
      <c r="O395" s="6"/>
    </row>
    <row r="396" spans="1:15" ht="17">
      <c r="A396" s="6"/>
      <c r="B396" s="95" t="str">
        <f t="shared" si="16"/>
        <v/>
      </c>
      <c r="C396" s="97"/>
      <c r="D396" s="96"/>
      <c r="E396" s="96"/>
      <c r="F396" s="99"/>
      <c r="G396" s="96"/>
      <c r="H396" s="95"/>
      <c r="I396" s="95"/>
      <c r="J396" s="42" t="str">
        <f t="shared" si="17"/>
        <v/>
      </c>
      <c r="K396" s="6" t="b">
        <f t="shared" si="18"/>
        <v>0</v>
      </c>
      <c r="L396" s="115"/>
      <c r="M396" s="6"/>
      <c r="N396" s="6"/>
      <c r="O396" s="6"/>
    </row>
    <row r="397" spans="1:15" ht="17">
      <c r="A397" s="6"/>
      <c r="B397" s="95" t="str">
        <f t="shared" si="16"/>
        <v/>
      </c>
      <c r="C397" s="97"/>
      <c r="D397" s="96"/>
      <c r="E397" s="96"/>
      <c r="F397" s="99"/>
      <c r="G397" s="96"/>
      <c r="H397" s="95"/>
      <c r="I397" s="95"/>
      <c r="J397" s="42" t="str">
        <f t="shared" si="17"/>
        <v/>
      </c>
      <c r="K397" s="6" t="b">
        <f t="shared" si="18"/>
        <v>0</v>
      </c>
      <c r="L397" s="115"/>
      <c r="M397" s="6"/>
      <c r="N397" s="6"/>
      <c r="O397" s="6"/>
    </row>
    <row r="398" spans="1:15" ht="17">
      <c r="A398" s="6"/>
      <c r="B398" s="95" t="str">
        <f t="shared" si="16"/>
        <v/>
      </c>
      <c r="C398" s="97"/>
      <c r="D398" s="96"/>
      <c r="E398" s="96"/>
      <c r="F398" s="99"/>
      <c r="G398" s="96"/>
      <c r="H398" s="95"/>
      <c r="I398" s="95"/>
      <c r="J398" s="42" t="str">
        <f t="shared" si="17"/>
        <v/>
      </c>
      <c r="K398" s="6" t="b">
        <f t="shared" si="18"/>
        <v>0</v>
      </c>
      <c r="L398" s="115"/>
      <c r="M398" s="6"/>
      <c r="N398" s="6"/>
      <c r="O398" s="6"/>
    </row>
    <row r="399" spans="1:15" ht="17">
      <c r="A399" s="6"/>
      <c r="B399" s="95" t="str">
        <f t="shared" si="16"/>
        <v/>
      </c>
      <c r="C399" s="97"/>
      <c r="D399" s="96"/>
      <c r="E399" s="96"/>
      <c r="F399" s="99"/>
      <c r="G399" s="96"/>
      <c r="H399" s="95"/>
      <c r="I399" s="95"/>
      <c r="J399" s="42" t="str">
        <f t="shared" si="17"/>
        <v/>
      </c>
      <c r="K399" s="6" t="b">
        <f t="shared" si="18"/>
        <v>0</v>
      </c>
      <c r="L399" s="115"/>
      <c r="M399" s="6"/>
      <c r="N399" s="6"/>
      <c r="O399" s="6"/>
    </row>
    <row r="400" spans="1:15" ht="17">
      <c r="A400" s="6"/>
      <c r="B400" s="95" t="str">
        <f t="shared" si="16"/>
        <v/>
      </c>
      <c r="C400" s="97"/>
      <c r="D400" s="96"/>
      <c r="E400" s="96"/>
      <c r="F400" s="99"/>
      <c r="G400" s="96"/>
      <c r="H400" s="95"/>
      <c r="I400" s="95"/>
      <c r="J400" s="42" t="str">
        <f t="shared" si="17"/>
        <v/>
      </c>
      <c r="K400" s="6" t="b">
        <f t="shared" si="18"/>
        <v>0</v>
      </c>
      <c r="L400" s="115"/>
      <c r="M400" s="6"/>
      <c r="N400" s="6"/>
      <c r="O400" s="6"/>
    </row>
    <row r="401" spans="1:15" ht="17">
      <c r="A401" s="6"/>
      <c r="B401" s="95" t="str">
        <f t="shared" si="16"/>
        <v/>
      </c>
      <c r="C401" s="97"/>
      <c r="D401" s="96"/>
      <c r="E401" s="96"/>
      <c r="F401" s="99"/>
      <c r="G401" s="96"/>
      <c r="H401" s="95"/>
      <c r="I401" s="95"/>
      <c r="J401" s="42" t="str">
        <f t="shared" si="17"/>
        <v/>
      </c>
      <c r="K401" s="6" t="b">
        <f t="shared" si="18"/>
        <v>0</v>
      </c>
      <c r="L401" s="115"/>
      <c r="M401" s="6"/>
      <c r="N401" s="6"/>
      <c r="O401" s="6"/>
    </row>
    <row r="402" spans="1:15" ht="17">
      <c r="A402" s="6"/>
      <c r="B402" s="95" t="str">
        <f t="shared" si="16"/>
        <v/>
      </c>
      <c r="C402" s="97"/>
      <c r="D402" s="96"/>
      <c r="E402" s="96"/>
      <c r="F402" s="99"/>
      <c r="G402" s="96"/>
      <c r="H402" s="95"/>
      <c r="I402" s="95"/>
      <c r="J402" s="42" t="str">
        <f t="shared" si="17"/>
        <v/>
      </c>
      <c r="K402" s="6" t="b">
        <f t="shared" si="18"/>
        <v>0</v>
      </c>
      <c r="L402" s="115"/>
      <c r="M402" s="6"/>
      <c r="N402" s="6"/>
      <c r="O402" s="6"/>
    </row>
    <row r="403" spans="1:15" ht="17">
      <c r="A403" s="6"/>
      <c r="B403" s="95" t="str">
        <f t="shared" si="16"/>
        <v/>
      </c>
      <c r="C403" s="97"/>
      <c r="D403" s="96"/>
      <c r="E403" s="96"/>
      <c r="F403" s="99"/>
      <c r="G403" s="96"/>
      <c r="H403" s="95"/>
      <c r="I403" s="95"/>
      <c r="J403" s="42" t="str">
        <f t="shared" si="17"/>
        <v/>
      </c>
      <c r="K403" s="6" t="b">
        <f t="shared" si="18"/>
        <v>0</v>
      </c>
      <c r="L403" s="115"/>
      <c r="M403" s="6"/>
      <c r="N403" s="6"/>
      <c r="O403" s="6"/>
    </row>
    <row r="404" spans="1:15" ht="17">
      <c r="A404" s="6"/>
      <c r="B404" s="95" t="str">
        <f t="shared" si="16"/>
        <v/>
      </c>
      <c r="C404" s="97"/>
      <c r="D404" s="96"/>
      <c r="E404" s="96"/>
      <c r="F404" s="99"/>
      <c r="G404" s="96"/>
      <c r="H404" s="95"/>
      <c r="I404" s="95"/>
      <c r="J404" s="42" t="str">
        <f t="shared" si="17"/>
        <v/>
      </c>
      <c r="K404" s="6" t="b">
        <f t="shared" si="18"/>
        <v>0</v>
      </c>
      <c r="L404" s="115"/>
      <c r="M404" s="6"/>
      <c r="N404" s="6"/>
      <c r="O404" s="6"/>
    </row>
    <row r="405" spans="1:15" ht="17">
      <c r="A405" s="6"/>
      <c r="B405" s="95" t="str">
        <f t="shared" si="16"/>
        <v/>
      </c>
      <c r="C405" s="97"/>
      <c r="D405" s="96"/>
      <c r="E405" s="96"/>
      <c r="F405" s="99"/>
      <c r="G405" s="96"/>
      <c r="H405" s="95"/>
      <c r="I405" s="95"/>
      <c r="J405" s="42" t="str">
        <f t="shared" si="17"/>
        <v/>
      </c>
      <c r="K405" s="6" t="b">
        <f t="shared" si="18"/>
        <v>0</v>
      </c>
      <c r="L405" s="115"/>
      <c r="M405" s="6"/>
      <c r="N405" s="6"/>
      <c r="O405" s="6"/>
    </row>
    <row r="406" spans="1:15" ht="17">
      <c r="A406" s="6"/>
      <c r="B406" s="95" t="str">
        <f t="shared" si="16"/>
        <v/>
      </c>
      <c r="C406" s="97"/>
      <c r="D406" s="96"/>
      <c r="E406" s="96"/>
      <c r="F406" s="99"/>
      <c r="G406" s="96"/>
      <c r="H406" s="95"/>
      <c r="I406" s="95"/>
      <c r="J406" s="42" t="str">
        <f t="shared" si="17"/>
        <v/>
      </c>
      <c r="K406" s="6" t="b">
        <f t="shared" si="18"/>
        <v>0</v>
      </c>
      <c r="L406" s="115"/>
      <c r="M406" s="6"/>
      <c r="N406" s="6"/>
      <c r="O406" s="6"/>
    </row>
    <row r="407" spans="1:15" ht="17">
      <c r="A407" s="6"/>
      <c r="B407" s="95" t="str">
        <f t="shared" si="16"/>
        <v/>
      </c>
      <c r="C407" s="97"/>
      <c r="D407" s="96"/>
      <c r="E407" s="96"/>
      <c r="F407" s="99"/>
      <c r="G407" s="96"/>
      <c r="H407" s="95"/>
      <c r="I407" s="95"/>
      <c r="J407" s="42" t="str">
        <f t="shared" si="17"/>
        <v/>
      </c>
      <c r="K407" s="6" t="b">
        <f t="shared" si="18"/>
        <v>0</v>
      </c>
      <c r="L407" s="115"/>
      <c r="M407" s="6"/>
      <c r="N407" s="6"/>
      <c r="O407" s="6"/>
    </row>
    <row r="408" spans="1:15" ht="17">
      <c r="A408" s="6"/>
      <c r="B408" s="95" t="str">
        <f t="shared" si="16"/>
        <v/>
      </c>
      <c r="C408" s="97"/>
      <c r="D408" s="96"/>
      <c r="E408" s="96"/>
      <c r="F408" s="99"/>
      <c r="G408" s="96"/>
      <c r="H408" s="95"/>
      <c r="I408" s="95"/>
      <c r="J408" s="42" t="str">
        <f t="shared" si="17"/>
        <v/>
      </c>
      <c r="K408" s="6" t="b">
        <f t="shared" si="18"/>
        <v>0</v>
      </c>
      <c r="L408" s="115"/>
      <c r="M408" s="6"/>
      <c r="N408" s="6"/>
      <c r="O408" s="6"/>
    </row>
    <row r="409" spans="1:15" ht="17">
      <c r="A409" s="6"/>
      <c r="B409" s="95" t="str">
        <f t="shared" si="16"/>
        <v/>
      </c>
      <c r="C409" s="97"/>
      <c r="D409" s="96"/>
      <c r="E409" s="96"/>
      <c r="F409" s="99"/>
      <c r="G409" s="96"/>
      <c r="H409" s="95"/>
      <c r="I409" s="95"/>
      <c r="J409" s="42" t="str">
        <f t="shared" si="17"/>
        <v/>
      </c>
      <c r="K409" s="6" t="b">
        <f t="shared" si="18"/>
        <v>0</v>
      </c>
      <c r="L409" s="115"/>
      <c r="M409" s="6"/>
      <c r="N409" s="6"/>
      <c r="O409" s="6"/>
    </row>
    <row r="410" spans="1:15" ht="17">
      <c r="A410" s="6"/>
      <c r="B410" s="95" t="str">
        <f t="shared" si="16"/>
        <v/>
      </c>
      <c r="C410" s="97"/>
      <c r="D410" s="96"/>
      <c r="E410" s="96"/>
      <c r="F410" s="99"/>
      <c r="G410" s="96"/>
      <c r="H410" s="95"/>
      <c r="I410" s="95"/>
      <c r="J410" s="42" t="str">
        <f t="shared" si="17"/>
        <v/>
      </c>
      <c r="K410" s="6" t="b">
        <f t="shared" si="18"/>
        <v>0</v>
      </c>
      <c r="L410" s="115"/>
      <c r="M410" s="6"/>
      <c r="N410" s="6"/>
      <c r="O410" s="6"/>
    </row>
    <row r="411" spans="1:15" ht="17">
      <c r="A411" s="6"/>
      <c r="B411" s="95" t="str">
        <f t="shared" si="16"/>
        <v/>
      </c>
      <c r="C411" s="97"/>
      <c r="D411" s="96"/>
      <c r="E411" s="96"/>
      <c r="F411" s="99"/>
      <c r="G411" s="96"/>
      <c r="H411" s="95"/>
      <c r="I411" s="95"/>
      <c r="J411" s="42" t="str">
        <f t="shared" si="17"/>
        <v/>
      </c>
      <c r="K411" s="6" t="b">
        <f t="shared" si="18"/>
        <v>0</v>
      </c>
      <c r="L411" s="115"/>
      <c r="M411" s="6"/>
      <c r="N411" s="6"/>
      <c r="O411" s="6"/>
    </row>
    <row r="412" spans="1:15" ht="17">
      <c r="A412" s="6"/>
      <c r="B412" s="95" t="str">
        <f t="shared" si="16"/>
        <v/>
      </c>
      <c r="C412" s="97"/>
      <c r="D412" s="96"/>
      <c r="E412" s="96"/>
      <c r="F412" s="99"/>
      <c r="G412" s="96"/>
      <c r="H412" s="95"/>
      <c r="I412" s="95"/>
      <c r="J412" s="42" t="str">
        <f t="shared" si="17"/>
        <v/>
      </c>
      <c r="K412" s="6" t="b">
        <f t="shared" si="18"/>
        <v>0</v>
      </c>
      <c r="L412" s="115"/>
      <c r="M412" s="6"/>
      <c r="N412" s="6"/>
      <c r="O412" s="6"/>
    </row>
    <row r="413" spans="1:15" ht="17">
      <c r="A413" s="6"/>
      <c r="B413" s="95" t="str">
        <f t="shared" si="16"/>
        <v/>
      </c>
      <c r="C413" s="97"/>
      <c r="D413" s="96"/>
      <c r="E413" s="96"/>
      <c r="F413" s="99"/>
      <c r="G413" s="96"/>
      <c r="H413" s="95"/>
      <c r="I413" s="95"/>
      <c r="J413" s="42" t="str">
        <f t="shared" si="17"/>
        <v/>
      </c>
      <c r="K413" s="6" t="b">
        <f t="shared" si="18"/>
        <v>0</v>
      </c>
      <c r="L413" s="115"/>
      <c r="M413" s="6"/>
      <c r="N413" s="6"/>
      <c r="O413" s="6"/>
    </row>
    <row r="414" spans="1:15" ht="17">
      <c r="A414" s="6"/>
      <c r="B414" s="95" t="str">
        <f t="shared" si="16"/>
        <v/>
      </c>
      <c r="C414" s="97"/>
      <c r="D414" s="96"/>
      <c r="E414" s="96"/>
      <c r="F414" s="99"/>
      <c r="G414" s="96"/>
      <c r="H414" s="95"/>
      <c r="I414" s="95"/>
      <c r="J414" s="42" t="str">
        <f t="shared" si="17"/>
        <v/>
      </c>
      <c r="K414" s="6" t="b">
        <f t="shared" si="18"/>
        <v>0</v>
      </c>
      <c r="L414" s="115"/>
      <c r="M414" s="6"/>
      <c r="N414" s="6"/>
      <c r="O414" s="6"/>
    </row>
    <row r="415" spans="1:15" ht="17">
      <c r="A415" s="6"/>
      <c r="B415" s="95" t="str">
        <f t="shared" si="16"/>
        <v/>
      </c>
      <c r="C415" s="97"/>
      <c r="D415" s="96"/>
      <c r="E415" s="96"/>
      <c r="F415" s="99"/>
      <c r="G415" s="96"/>
      <c r="H415" s="95"/>
      <c r="I415" s="95"/>
      <c r="J415" s="42" t="str">
        <f t="shared" si="17"/>
        <v/>
      </c>
      <c r="K415" s="6" t="b">
        <f t="shared" si="18"/>
        <v>0</v>
      </c>
      <c r="L415" s="115"/>
      <c r="M415" s="6"/>
      <c r="N415" s="6"/>
      <c r="O415" s="6"/>
    </row>
    <row r="416" spans="1:15" ht="17">
      <c r="A416" s="6"/>
      <c r="B416" s="95" t="str">
        <f t="shared" si="16"/>
        <v/>
      </c>
      <c r="C416" s="97"/>
      <c r="D416" s="96"/>
      <c r="E416" s="96"/>
      <c r="F416" s="99"/>
      <c r="G416" s="96"/>
      <c r="H416" s="95"/>
      <c r="I416" s="95"/>
      <c r="J416" s="42" t="str">
        <f t="shared" si="17"/>
        <v/>
      </c>
      <c r="K416" s="6" t="b">
        <f t="shared" si="18"/>
        <v>0</v>
      </c>
      <c r="L416" s="115"/>
      <c r="M416" s="6"/>
      <c r="N416" s="6"/>
      <c r="O416" s="6"/>
    </row>
    <row r="417" spans="1:15" ht="17">
      <c r="A417" s="6"/>
      <c r="B417" s="95" t="str">
        <f t="shared" si="16"/>
        <v/>
      </c>
      <c r="C417" s="97"/>
      <c r="D417" s="96"/>
      <c r="E417" s="96"/>
      <c r="F417" s="99"/>
      <c r="G417" s="96"/>
      <c r="H417" s="95"/>
      <c r="I417" s="95"/>
      <c r="J417" s="42" t="str">
        <f t="shared" si="17"/>
        <v/>
      </c>
      <c r="K417" s="6" t="b">
        <f t="shared" si="18"/>
        <v>0</v>
      </c>
      <c r="L417" s="115"/>
      <c r="M417" s="6"/>
      <c r="N417" s="6"/>
      <c r="O417" s="6"/>
    </row>
    <row r="418" spans="1:15" ht="17">
      <c r="A418" s="6"/>
      <c r="B418" s="95" t="str">
        <f t="shared" si="16"/>
        <v/>
      </c>
      <c r="C418" s="97"/>
      <c r="D418" s="96"/>
      <c r="E418" s="96"/>
      <c r="F418" s="99"/>
      <c r="G418" s="96"/>
      <c r="H418" s="95"/>
      <c r="I418" s="95"/>
      <c r="J418" s="42" t="str">
        <f t="shared" si="17"/>
        <v/>
      </c>
      <c r="K418" s="6" t="b">
        <f t="shared" si="18"/>
        <v>0</v>
      </c>
      <c r="L418" s="115"/>
      <c r="M418" s="6"/>
      <c r="N418" s="6"/>
      <c r="O418" s="6"/>
    </row>
    <row r="419" spans="1:15" ht="17">
      <c r="A419" s="6"/>
      <c r="B419" s="95" t="str">
        <f t="shared" si="16"/>
        <v/>
      </c>
      <c r="C419" s="97"/>
      <c r="D419" s="96"/>
      <c r="E419" s="96"/>
      <c r="F419" s="99"/>
      <c r="G419" s="96"/>
      <c r="H419" s="95"/>
      <c r="I419" s="95"/>
      <c r="J419" s="42" t="str">
        <f t="shared" si="17"/>
        <v/>
      </c>
      <c r="K419" s="6" t="b">
        <f t="shared" si="18"/>
        <v>0</v>
      </c>
      <c r="L419" s="115"/>
      <c r="M419" s="6"/>
      <c r="N419" s="6"/>
      <c r="O419" s="6"/>
    </row>
    <row r="420" spans="1:15" ht="17">
      <c r="A420" s="6"/>
      <c r="B420" s="95" t="str">
        <f t="shared" si="16"/>
        <v/>
      </c>
      <c r="C420" s="97"/>
      <c r="D420" s="96"/>
      <c r="E420" s="96"/>
      <c r="F420" s="99"/>
      <c r="G420" s="96"/>
      <c r="H420" s="95"/>
      <c r="I420" s="95"/>
      <c r="J420" s="42" t="str">
        <f t="shared" si="17"/>
        <v/>
      </c>
      <c r="K420" s="6" t="b">
        <f t="shared" si="18"/>
        <v>0</v>
      </c>
      <c r="L420" s="115"/>
      <c r="M420" s="6"/>
      <c r="N420" s="6"/>
      <c r="O420" s="6"/>
    </row>
    <row r="421" spans="1:15" ht="17">
      <c r="A421" s="6"/>
      <c r="B421" s="95" t="str">
        <f t="shared" ref="B421:B484" si="19">IF(C421="","","V"&amp;TEXT(ROW()-6,"00000"))</f>
        <v/>
      </c>
      <c r="C421" s="97"/>
      <c r="D421" s="96"/>
      <c r="E421" s="96"/>
      <c r="F421" s="99"/>
      <c r="G421" s="96"/>
      <c r="H421" s="95"/>
      <c r="I421" s="95"/>
      <c r="J421" s="42" t="str">
        <f t="shared" si="17"/>
        <v/>
      </c>
      <c r="K421" s="6" t="b">
        <f t="shared" si="18"/>
        <v>0</v>
      </c>
      <c r="L421" s="115"/>
      <c r="M421" s="6"/>
      <c r="N421" s="6"/>
      <c r="O421" s="6"/>
    </row>
    <row r="422" spans="1:15" ht="17">
      <c r="A422" s="6"/>
      <c r="B422" s="95" t="str">
        <f t="shared" si="19"/>
        <v/>
      </c>
      <c r="C422" s="97"/>
      <c r="D422" s="96"/>
      <c r="E422" s="96"/>
      <c r="F422" s="99"/>
      <c r="G422" s="96"/>
      <c r="H422" s="95"/>
      <c r="I422" s="95"/>
      <c r="J422" s="42" t="str">
        <f t="shared" si="17"/>
        <v/>
      </c>
      <c r="K422" s="6" t="b">
        <f t="shared" si="18"/>
        <v>0</v>
      </c>
      <c r="L422" s="115"/>
      <c r="M422" s="6"/>
      <c r="N422" s="6"/>
      <c r="O422" s="6"/>
    </row>
    <row r="423" spans="1:15" ht="17">
      <c r="A423" s="6"/>
      <c r="B423" s="95" t="str">
        <f t="shared" si="19"/>
        <v/>
      </c>
      <c r="C423" s="97"/>
      <c r="D423" s="96"/>
      <c r="E423" s="96"/>
      <c r="F423" s="99"/>
      <c r="G423" s="96"/>
      <c r="H423" s="95"/>
      <c r="I423" s="95"/>
      <c r="J423" s="42" t="str">
        <f t="shared" si="17"/>
        <v/>
      </c>
      <c r="K423" s="6" t="b">
        <f t="shared" si="18"/>
        <v>0</v>
      </c>
      <c r="L423" s="115"/>
      <c r="M423" s="6"/>
      <c r="N423" s="6"/>
      <c r="O423" s="6"/>
    </row>
    <row r="424" spans="1:15" ht="17">
      <c r="A424" s="6"/>
      <c r="B424" s="95" t="str">
        <f t="shared" si="19"/>
        <v/>
      </c>
      <c r="C424" s="97"/>
      <c r="D424" s="96"/>
      <c r="E424" s="96"/>
      <c r="F424" s="99"/>
      <c r="G424" s="96"/>
      <c r="H424" s="95"/>
      <c r="I424" s="95"/>
      <c r="J424" s="42" t="str">
        <f t="shared" si="17"/>
        <v/>
      </c>
      <c r="K424" s="6" t="b">
        <f t="shared" si="18"/>
        <v>0</v>
      </c>
      <c r="L424" s="115"/>
      <c r="M424" s="6"/>
      <c r="N424" s="6"/>
      <c r="O424" s="6"/>
    </row>
    <row r="425" spans="1:15" ht="17">
      <c r="A425" s="6"/>
      <c r="B425" s="95" t="str">
        <f t="shared" si="19"/>
        <v/>
      </c>
      <c r="C425" s="97"/>
      <c r="D425" s="96"/>
      <c r="E425" s="96"/>
      <c r="F425" s="99"/>
      <c r="G425" s="96"/>
      <c r="H425" s="95"/>
      <c r="I425" s="95"/>
      <c r="J425" s="42" t="str">
        <f t="shared" si="17"/>
        <v/>
      </c>
      <c r="K425" s="6" t="b">
        <f t="shared" si="18"/>
        <v>0</v>
      </c>
      <c r="L425" s="115"/>
      <c r="M425" s="6"/>
      <c r="N425" s="6"/>
      <c r="O425" s="6"/>
    </row>
    <row r="426" spans="1:15" ht="17">
      <c r="A426" s="6"/>
      <c r="B426" s="95" t="str">
        <f t="shared" si="19"/>
        <v/>
      </c>
      <c r="C426" s="97"/>
      <c r="D426" s="96"/>
      <c r="E426" s="96"/>
      <c r="F426" s="99"/>
      <c r="G426" s="96"/>
      <c r="H426" s="95"/>
      <c r="I426" s="95"/>
      <c r="J426" s="42" t="str">
        <f t="shared" si="17"/>
        <v/>
      </c>
      <c r="K426" s="6" t="b">
        <f t="shared" si="18"/>
        <v>0</v>
      </c>
      <c r="L426" s="115"/>
      <c r="M426" s="6"/>
      <c r="N426" s="6"/>
      <c r="O426" s="6"/>
    </row>
    <row r="427" spans="1:15" ht="17">
      <c r="A427" s="6"/>
      <c r="B427" s="95" t="str">
        <f t="shared" si="19"/>
        <v/>
      </c>
      <c r="C427" s="97"/>
      <c r="D427" s="96"/>
      <c r="E427" s="96"/>
      <c r="F427" s="99"/>
      <c r="G427" s="96"/>
      <c r="H427" s="95"/>
      <c r="I427" s="95"/>
      <c r="J427" s="42" t="str">
        <f t="shared" si="17"/>
        <v/>
      </c>
      <c r="K427" s="6" t="b">
        <f t="shared" si="18"/>
        <v>0</v>
      </c>
      <c r="L427" s="115"/>
      <c r="M427" s="6"/>
      <c r="N427" s="6"/>
      <c r="O427" s="6"/>
    </row>
    <row r="428" spans="1:15" ht="17">
      <c r="A428" s="6"/>
      <c r="B428" s="95" t="str">
        <f t="shared" si="19"/>
        <v/>
      </c>
      <c r="C428" s="97"/>
      <c r="D428" s="96"/>
      <c r="E428" s="96"/>
      <c r="F428" s="99"/>
      <c r="G428" s="96"/>
      <c r="H428" s="95"/>
      <c r="I428" s="95"/>
      <c r="J428" s="42" t="str">
        <f t="shared" si="17"/>
        <v/>
      </c>
      <c r="K428" s="6" t="b">
        <f t="shared" si="18"/>
        <v>0</v>
      </c>
      <c r="L428" s="115"/>
      <c r="M428" s="6"/>
      <c r="N428" s="6"/>
      <c r="O428" s="6"/>
    </row>
    <row r="429" spans="1:15" ht="17">
      <c r="A429" s="6"/>
      <c r="B429" s="95" t="str">
        <f t="shared" si="19"/>
        <v/>
      </c>
      <c r="C429" s="97"/>
      <c r="D429" s="96"/>
      <c r="E429" s="96"/>
      <c r="F429" s="99"/>
      <c r="G429" s="96"/>
      <c r="H429" s="95"/>
      <c r="I429" s="95"/>
      <c r="J429" s="42" t="str">
        <f t="shared" si="17"/>
        <v/>
      </c>
      <c r="K429" s="6" t="b">
        <f t="shared" si="18"/>
        <v>0</v>
      </c>
      <c r="L429" s="115"/>
      <c r="M429" s="6"/>
      <c r="N429" s="6"/>
      <c r="O429" s="6"/>
    </row>
    <row r="430" spans="1:15" ht="17">
      <c r="A430" s="6"/>
      <c r="B430" s="95" t="str">
        <f t="shared" si="19"/>
        <v/>
      </c>
      <c r="C430" s="97"/>
      <c r="D430" s="96"/>
      <c r="E430" s="96"/>
      <c r="F430" s="99"/>
      <c r="G430" s="96"/>
      <c r="H430" s="95"/>
      <c r="I430" s="95"/>
      <c r="J430" s="42" t="str">
        <f t="shared" si="17"/>
        <v/>
      </c>
      <c r="K430" s="6" t="b">
        <f t="shared" si="18"/>
        <v>0</v>
      </c>
      <c r="L430" s="115"/>
      <c r="M430" s="6"/>
      <c r="N430" s="6"/>
      <c r="O430" s="6"/>
    </row>
    <row r="431" spans="1:15" ht="17">
      <c r="A431" s="6"/>
      <c r="B431" s="95" t="str">
        <f t="shared" si="19"/>
        <v/>
      </c>
      <c r="C431" s="97"/>
      <c r="D431" s="96"/>
      <c r="E431" s="96"/>
      <c r="F431" s="99"/>
      <c r="G431" s="96"/>
      <c r="H431" s="95"/>
      <c r="I431" s="95"/>
      <c r="J431" s="42" t="str">
        <f t="shared" si="17"/>
        <v/>
      </c>
      <c r="K431" s="6" t="b">
        <f t="shared" si="18"/>
        <v>0</v>
      </c>
      <c r="L431" s="115"/>
      <c r="M431" s="6"/>
      <c r="N431" s="6"/>
      <c r="O431" s="6"/>
    </row>
    <row r="432" spans="1:15" ht="17">
      <c r="A432" s="6"/>
      <c r="B432" s="95" t="str">
        <f t="shared" si="19"/>
        <v/>
      </c>
      <c r="C432" s="97"/>
      <c r="D432" s="96"/>
      <c r="E432" s="96"/>
      <c r="F432" s="99"/>
      <c r="G432" s="96"/>
      <c r="H432" s="95"/>
      <c r="I432" s="95"/>
      <c r="J432" s="42" t="str">
        <f t="shared" si="17"/>
        <v/>
      </c>
      <c r="K432" s="6" t="b">
        <f t="shared" si="18"/>
        <v>0</v>
      </c>
      <c r="L432" s="115"/>
      <c r="M432" s="6"/>
      <c r="N432" s="6"/>
      <c r="O432" s="6"/>
    </row>
    <row r="433" spans="1:15" ht="17">
      <c r="A433" s="6"/>
      <c r="B433" s="95" t="str">
        <f t="shared" si="19"/>
        <v/>
      </c>
      <c r="C433" s="97"/>
      <c r="D433" s="96"/>
      <c r="E433" s="96"/>
      <c r="F433" s="99"/>
      <c r="G433" s="96"/>
      <c r="H433" s="95"/>
      <c r="I433" s="95"/>
      <c r="J433" s="42" t="str">
        <f t="shared" si="17"/>
        <v/>
      </c>
      <c r="K433" s="6" t="b">
        <f t="shared" si="18"/>
        <v>0</v>
      </c>
      <c r="L433" s="115"/>
      <c r="M433" s="6"/>
      <c r="N433" s="6"/>
      <c r="O433" s="6"/>
    </row>
    <row r="434" spans="1:15" ht="17">
      <c r="A434" s="6"/>
      <c r="B434" s="95" t="str">
        <f t="shared" si="19"/>
        <v/>
      </c>
      <c r="C434" s="97"/>
      <c r="D434" s="96"/>
      <c r="E434" s="96"/>
      <c r="F434" s="99"/>
      <c r="G434" s="96"/>
      <c r="H434" s="95"/>
      <c r="I434" s="95"/>
      <c r="J434" s="42" t="str">
        <f t="shared" si="17"/>
        <v/>
      </c>
      <c r="K434" s="6" t="b">
        <f t="shared" si="18"/>
        <v>0</v>
      </c>
      <c r="L434" s="115"/>
      <c r="M434" s="6"/>
      <c r="N434" s="6"/>
      <c r="O434" s="6"/>
    </row>
    <row r="435" spans="1:15" ht="17">
      <c r="A435" s="6"/>
      <c r="B435" s="95" t="str">
        <f t="shared" si="19"/>
        <v/>
      </c>
      <c r="C435" s="97"/>
      <c r="D435" s="96"/>
      <c r="E435" s="96"/>
      <c r="F435" s="99"/>
      <c r="G435" s="96"/>
      <c r="H435" s="95"/>
      <c r="I435" s="95"/>
      <c r="J435" s="42" t="str">
        <f t="shared" si="17"/>
        <v/>
      </c>
      <c r="K435" s="6" t="b">
        <f t="shared" si="18"/>
        <v>0</v>
      </c>
      <c r="L435" s="115"/>
      <c r="M435" s="6"/>
      <c r="N435" s="6"/>
      <c r="O435" s="6"/>
    </row>
    <row r="436" spans="1:15" ht="17">
      <c r="A436" s="6"/>
      <c r="B436" s="95" t="str">
        <f t="shared" si="19"/>
        <v/>
      </c>
      <c r="C436" s="97"/>
      <c r="D436" s="96"/>
      <c r="E436" s="96"/>
      <c r="F436" s="99"/>
      <c r="G436" s="96"/>
      <c r="H436" s="95"/>
      <c r="I436" s="95"/>
      <c r="J436" s="42" t="str">
        <f t="shared" si="17"/>
        <v/>
      </c>
      <c r="K436" s="6" t="b">
        <f t="shared" si="18"/>
        <v>0</v>
      </c>
      <c r="L436" s="115"/>
      <c r="M436" s="6"/>
      <c r="N436" s="6"/>
      <c r="O436" s="6"/>
    </row>
    <row r="437" spans="1:15" ht="17">
      <c r="A437" s="6"/>
      <c r="B437" s="95" t="str">
        <f t="shared" si="19"/>
        <v/>
      </c>
      <c r="C437" s="97"/>
      <c r="D437" s="96"/>
      <c r="E437" s="96"/>
      <c r="F437" s="99"/>
      <c r="G437" s="96"/>
      <c r="H437" s="95"/>
      <c r="I437" s="95"/>
      <c r="J437" s="42" t="str">
        <f t="shared" si="17"/>
        <v/>
      </c>
      <c r="K437" s="6" t="b">
        <f t="shared" si="18"/>
        <v>0</v>
      </c>
      <c r="L437" s="115"/>
      <c r="M437" s="6"/>
      <c r="N437" s="6"/>
      <c r="O437" s="6"/>
    </row>
    <row r="438" spans="1:15" ht="17">
      <c r="A438" s="6"/>
      <c r="B438" s="95" t="str">
        <f t="shared" si="19"/>
        <v/>
      </c>
      <c r="C438" s="97"/>
      <c r="D438" s="96"/>
      <c r="E438" s="96"/>
      <c r="F438" s="99"/>
      <c r="G438" s="96"/>
      <c r="H438" s="95"/>
      <c r="I438" s="95"/>
      <c r="J438" s="42" t="str">
        <f t="shared" si="17"/>
        <v/>
      </c>
      <c r="K438" s="6" t="b">
        <f t="shared" si="18"/>
        <v>0</v>
      </c>
      <c r="L438" s="115"/>
      <c r="M438" s="6"/>
      <c r="N438" s="6"/>
      <c r="O438" s="6"/>
    </row>
    <row r="439" spans="1:15" ht="17">
      <c r="A439" s="6"/>
      <c r="B439" s="95" t="str">
        <f t="shared" si="19"/>
        <v/>
      </c>
      <c r="C439" s="97"/>
      <c r="D439" s="96"/>
      <c r="E439" s="96"/>
      <c r="F439" s="99"/>
      <c r="G439" s="96"/>
      <c r="H439" s="95"/>
      <c r="I439" s="95"/>
      <c r="J439" s="42" t="str">
        <f t="shared" si="17"/>
        <v/>
      </c>
      <c r="K439" s="6" t="b">
        <f t="shared" si="18"/>
        <v>0</v>
      </c>
      <c r="L439" s="115"/>
      <c r="M439" s="6"/>
      <c r="N439" s="6"/>
      <c r="O439" s="6"/>
    </row>
    <row r="440" spans="1:15" ht="17">
      <c r="A440" s="6"/>
      <c r="B440" s="95" t="str">
        <f t="shared" si="19"/>
        <v/>
      </c>
      <c r="C440" s="97"/>
      <c r="D440" s="96"/>
      <c r="E440" s="96"/>
      <c r="F440" s="99"/>
      <c r="G440" s="96"/>
      <c r="H440" s="95"/>
      <c r="I440" s="95"/>
      <c r="J440" s="42" t="str">
        <f t="shared" si="17"/>
        <v/>
      </c>
      <c r="K440" s="6" t="b">
        <f t="shared" si="18"/>
        <v>0</v>
      </c>
      <c r="L440" s="115"/>
      <c r="M440" s="6"/>
      <c r="N440" s="6"/>
      <c r="O440" s="6"/>
    </row>
    <row r="441" spans="1:15" ht="17">
      <c r="A441" s="6"/>
      <c r="B441" s="95" t="str">
        <f t="shared" si="19"/>
        <v/>
      </c>
      <c r="C441" s="97"/>
      <c r="D441" s="96"/>
      <c r="E441" s="96"/>
      <c r="F441" s="99"/>
      <c r="G441" s="96"/>
      <c r="H441" s="95"/>
      <c r="I441" s="95"/>
      <c r="J441" s="42" t="str">
        <f t="shared" si="17"/>
        <v/>
      </c>
      <c r="K441" s="6" t="b">
        <f t="shared" si="18"/>
        <v>0</v>
      </c>
      <c r="L441" s="115"/>
      <c r="M441" s="6"/>
      <c r="N441" s="6"/>
      <c r="O441" s="6"/>
    </row>
    <row r="442" spans="1:15" ht="17">
      <c r="A442" s="6"/>
      <c r="B442" s="95" t="str">
        <f t="shared" si="19"/>
        <v/>
      </c>
      <c r="C442" s="97"/>
      <c r="D442" s="96"/>
      <c r="E442" s="96"/>
      <c r="F442" s="99"/>
      <c r="G442" s="96"/>
      <c r="H442" s="95"/>
      <c r="I442" s="95"/>
      <c r="J442" s="42" t="str">
        <f t="shared" si="17"/>
        <v/>
      </c>
      <c r="K442" s="6" t="b">
        <f t="shared" si="18"/>
        <v>0</v>
      </c>
      <c r="L442" s="115"/>
      <c r="M442" s="6"/>
      <c r="N442" s="6"/>
      <c r="O442" s="6"/>
    </row>
    <row r="443" spans="1:15" ht="17">
      <c r="A443" s="6"/>
      <c r="B443" s="95" t="str">
        <f t="shared" si="19"/>
        <v/>
      </c>
      <c r="C443" s="97"/>
      <c r="D443" s="96"/>
      <c r="E443" s="96"/>
      <c r="F443" s="99"/>
      <c r="G443" s="96"/>
      <c r="H443" s="95"/>
      <c r="I443" s="95"/>
      <c r="J443" s="42" t="str">
        <f t="shared" si="17"/>
        <v/>
      </c>
      <c r="K443" s="6" t="b">
        <f t="shared" si="18"/>
        <v>0</v>
      </c>
      <c r="L443" s="115"/>
      <c r="M443" s="6"/>
      <c r="N443" s="6"/>
      <c r="O443" s="6"/>
    </row>
    <row r="444" spans="1:15" ht="17">
      <c r="A444" s="6"/>
      <c r="B444" s="95" t="str">
        <f t="shared" si="19"/>
        <v/>
      </c>
      <c r="C444" s="97"/>
      <c r="D444" s="96"/>
      <c r="E444" s="96"/>
      <c r="F444" s="99"/>
      <c r="G444" s="96"/>
      <c r="H444" s="95"/>
      <c r="I444" s="95"/>
      <c r="J444" s="42" t="str">
        <f t="shared" si="17"/>
        <v/>
      </c>
      <c r="K444" s="6" t="b">
        <f t="shared" si="18"/>
        <v>0</v>
      </c>
      <c r="L444" s="115"/>
      <c r="M444" s="6"/>
      <c r="N444" s="6"/>
      <c r="O444" s="6"/>
    </row>
    <row r="445" spans="1:15" ht="17">
      <c r="A445" s="6"/>
      <c r="B445" s="95" t="str">
        <f t="shared" si="19"/>
        <v/>
      </c>
      <c r="C445" s="97"/>
      <c r="D445" s="96"/>
      <c r="E445" s="96"/>
      <c r="F445" s="99"/>
      <c r="G445" s="96"/>
      <c r="H445" s="95"/>
      <c r="I445" s="95"/>
      <c r="J445" s="42" t="str">
        <f t="shared" si="17"/>
        <v/>
      </c>
      <c r="K445" s="6" t="b">
        <f t="shared" si="18"/>
        <v>0</v>
      </c>
      <c r="L445" s="115"/>
      <c r="M445" s="6"/>
      <c r="N445" s="6"/>
      <c r="O445" s="6"/>
    </row>
    <row r="446" spans="1:15" ht="17">
      <c r="A446" s="6"/>
      <c r="B446" s="95" t="str">
        <f t="shared" si="19"/>
        <v/>
      </c>
      <c r="C446" s="97"/>
      <c r="D446" s="96"/>
      <c r="E446" s="96"/>
      <c r="F446" s="99"/>
      <c r="G446" s="96"/>
      <c r="H446" s="95"/>
      <c r="I446" s="95"/>
      <c r="J446" s="42" t="str">
        <f t="shared" si="17"/>
        <v/>
      </c>
      <c r="K446" s="6" t="b">
        <f t="shared" si="18"/>
        <v>0</v>
      </c>
      <c r="L446" s="115"/>
      <c r="M446" s="6"/>
      <c r="N446" s="6"/>
      <c r="O446" s="6"/>
    </row>
    <row r="447" spans="1:15" ht="17">
      <c r="A447" s="6"/>
      <c r="B447" s="95" t="str">
        <f t="shared" si="19"/>
        <v/>
      </c>
      <c r="C447" s="97"/>
      <c r="D447" s="96"/>
      <c r="E447" s="96"/>
      <c r="F447" s="99"/>
      <c r="G447" s="96"/>
      <c r="H447" s="95"/>
      <c r="I447" s="95"/>
      <c r="J447" s="42" t="str">
        <f t="shared" si="17"/>
        <v/>
      </c>
      <c r="K447" s="6" t="b">
        <f t="shared" si="18"/>
        <v>0</v>
      </c>
      <c r="L447" s="115"/>
      <c r="M447" s="6"/>
      <c r="N447" s="6"/>
      <c r="O447" s="6"/>
    </row>
    <row r="448" spans="1:15" ht="17">
      <c r="A448" s="6"/>
      <c r="B448" s="95" t="str">
        <f t="shared" si="19"/>
        <v/>
      </c>
      <c r="C448" s="97"/>
      <c r="D448" s="96"/>
      <c r="E448" s="96"/>
      <c r="F448" s="99"/>
      <c r="G448" s="96"/>
      <c r="H448" s="95"/>
      <c r="I448" s="95"/>
      <c r="J448" s="42" t="str">
        <f t="shared" si="17"/>
        <v/>
      </c>
      <c r="K448" s="6" t="b">
        <f t="shared" si="18"/>
        <v>0</v>
      </c>
      <c r="L448" s="115"/>
      <c r="M448" s="6"/>
      <c r="N448" s="6"/>
      <c r="O448" s="6"/>
    </row>
    <row r="449" spans="1:15" ht="17">
      <c r="A449" s="6"/>
      <c r="B449" s="95" t="str">
        <f t="shared" si="19"/>
        <v/>
      </c>
      <c r="C449" s="97"/>
      <c r="D449" s="96"/>
      <c r="E449" s="96"/>
      <c r="F449" s="99"/>
      <c r="G449" s="96"/>
      <c r="H449" s="95"/>
      <c r="I449" s="95"/>
      <c r="J449" s="42" t="str">
        <f t="shared" si="17"/>
        <v/>
      </c>
      <c r="K449" s="6" t="b">
        <f t="shared" si="18"/>
        <v>0</v>
      </c>
      <c r="L449" s="115"/>
      <c r="M449" s="6"/>
      <c r="N449" s="6"/>
      <c r="O449" s="6"/>
    </row>
    <row r="450" spans="1:15" ht="17">
      <c r="A450" s="6"/>
      <c r="B450" s="95" t="str">
        <f t="shared" si="19"/>
        <v/>
      </c>
      <c r="C450" s="97"/>
      <c r="D450" s="96"/>
      <c r="E450" s="96"/>
      <c r="F450" s="99"/>
      <c r="G450" s="96"/>
      <c r="H450" s="95"/>
      <c r="I450" s="95"/>
      <c r="J450" s="42" t="str">
        <f t="shared" si="17"/>
        <v/>
      </c>
      <c r="K450" s="6" t="b">
        <f t="shared" si="18"/>
        <v>0</v>
      </c>
      <c r="L450" s="115"/>
      <c r="M450" s="6"/>
      <c r="N450" s="6"/>
      <c r="O450" s="6"/>
    </row>
    <row r="451" spans="1:15" ht="17">
      <c r="A451" s="6"/>
      <c r="B451" s="95" t="str">
        <f t="shared" si="19"/>
        <v/>
      </c>
      <c r="C451" s="97"/>
      <c r="D451" s="96"/>
      <c r="E451" s="96"/>
      <c r="F451" s="99"/>
      <c r="G451" s="96"/>
      <c r="H451" s="95"/>
      <c r="I451" s="95"/>
      <c r="J451" s="42" t="str">
        <f t="shared" si="17"/>
        <v/>
      </c>
      <c r="K451" s="6" t="b">
        <f t="shared" si="18"/>
        <v>0</v>
      </c>
      <c r="L451" s="115"/>
      <c r="M451" s="6"/>
      <c r="N451" s="6"/>
      <c r="O451" s="6"/>
    </row>
    <row r="452" spans="1:15" ht="17">
      <c r="A452" s="6"/>
      <c r="B452" s="95" t="str">
        <f t="shared" si="19"/>
        <v/>
      </c>
      <c r="C452" s="97"/>
      <c r="D452" s="96"/>
      <c r="E452" s="96"/>
      <c r="F452" s="99"/>
      <c r="G452" s="96"/>
      <c r="H452" s="95"/>
      <c r="I452" s="95"/>
      <c r="J452" s="42" t="str">
        <f t="shared" si="17"/>
        <v/>
      </c>
      <c r="K452" s="6" t="b">
        <f t="shared" si="18"/>
        <v>0</v>
      </c>
      <c r="L452" s="115"/>
      <c r="M452" s="6"/>
      <c r="N452" s="6"/>
      <c r="O452" s="6"/>
    </row>
    <row r="453" spans="1:15" ht="17">
      <c r="A453" s="6"/>
      <c r="B453" s="95" t="str">
        <f t="shared" si="19"/>
        <v/>
      </c>
      <c r="C453" s="97"/>
      <c r="D453" s="96"/>
      <c r="E453" s="96"/>
      <c r="F453" s="99"/>
      <c r="G453" s="96"/>
      <c r="H453" s="95"/>
      <c r="I453" s="95"/>
      <c r="J453" s="42" t="str">
        <f t="shared" si="17"/>
        <v/>
      </c>
      <c r="K453" s="6" t="b">
        <f t="shared" si="18"/>
        <v>0</v>
      </c>
      <c r="L453" s="115"/>
      <c r="M453" s="6"/>
      <c r="N453" s="6"/>
      <c r="O453" s="6"/>
    </row>
    <row r="454" spans="1:15" ht="17">
      <c r="A454" s="6"/>
      <c r="B454" s="95" t="str">
        <f t="shared" si="19"/>
        <v/>
      </c>
      <c r="C454" s="97"/>
      <c r="D454" s="96"/>
      <c r="E454" s="96"/>
      <c r="F454" s="99"/>
      <c r="G454" s="96"/>
      <c r="H454" s="95"/>
      <c r="I454" s="95"/>
      <c r="J454" s="42" t="str">
        <f t="shared" si="17"/>
        <v/>
      </c>
      <c r="K454" s="6" t="b">
        <f t="shared" si="18"/>
        <v>0</v>
      </c>
      <c r="L454" s="115"/>
      <c r="M454" s="6"/>
      <c r="N454" s="6"/>
      <c r="O454" s="6"/>
    </row>
    <row r="455" spans="1:15" ht="17">
      <c r="A455" s="6"/>
      <c r="B455" s="95" t="str">
        <f t="shared" si="19"/>
        <v/>
      </c>
      <c r="C455" s="97"/>
      <c r="D455" s="96"/>
      <c r="E455" s="96"/>
      <c r="F455" s="99"/>
      <c r="G455" s="96"/>
      <c r="H455" s="95"/>
      <c r="I455" s="95"/>
      <c r="J455" s="42" t="str">
        <f t="shared" ref="J455:J518" si="20">IF(C455="","",IF(OR(D455="",E455="",F455=""),"EKSİK",IF(D455=E455,"AYNI HESAP OLAMAZ",IF(AND(D455="MERKEZ KASA",E455="ÖMER KARTAL",K455),"YANLIŞ VIRMAN","UYGUN"))))</f>
        <v/>
      </c>
      <c r="K455" s="6" t="b">
        <f t="shared" ref="K455:K500" si="21">OR(ISNUMBER(SEARCH("MUHASEBE ÜCRETİ",G455&amp;"")),ISNUMBER(SEARCH("SGK",G455&amp;"")),ISNUMBER(SEARCH("MENDERES MAHSUP",G455&amp;"")),ISNUMBER(SEARCH("GRAND 06 ÖMER BAKİYE",G455&amp;"")))</f>
        <v>0</v>
      </c>
      <c r="L455" s="115"/>
      <c r="M455" s="6"/>
      <c r="N455" s="6"/>
      <c r="O455" s="6"/>
    </row>
    <row r="456" spans="1:15" ht="17">
      <c r="A456" s="6"/>
      <c r="B456" s="95" t="str">
        <f t="shared" si="19"/>
        <v/>
      </c>
      <c r="C456" s="97"/>
      <c r="D456" s="96"/>
      <c r="E456" s="96"/>
      <c r="F456" s="99"/>
      <c r="G456" s="96"/>
      <c r="H456" s="95"/>
      <c r="I456" s="95"/>
      <c r="J456" s="42" t="str">
        <f t="shared" si="20"/>
        <v/>
      </c>
      <c r="K456" s="6" t="b">
        <f t="shared" si="21"/>
        <v>0</v>
      </c>
      <c r="L456" s="115"/>
      <c r="M456" s="6"/>
      <c r="N456" s="6"/>
      <c r="O456" s="6"/>
    </row>
    <row r="457" spans="1:15" ht="17">
      <c r="A457" s="6"/>
      <c r="B457" s="95" t="str">
        <f t="shared" si="19"/>
        <v/>
      </c>
      <c r="C457" s="97"/>
      <c r="D457" s="96"/>
      <c r="E457" s="96"/>
      <c r="F457" s="99"/>
      <c r="G457" s="96"/>
      <c r="H457" s="95"/>
      <c r="I457" s="95"/>
      <c r="J457" s="42" t="str">
        <f t="shared" si="20"/>
        <v/>
      </c>
      <c r="K457" s="6" t="b">
        <f t="shared" si="21"/>
        <v>0</v>
      </c>
      <c r="L457" s="115"/>
      <c r="M457" s="6"/>
      <c r="N457" s="6"/>
      <c r="O457" s="6"/>
    </row>
    <row r="458" spans="1:15" ht="17">
      <c r="A458" s="6"/>
      <c r="B458" s="95" t="str">
        <f t="shared" si="19"/>
        <v/>
      </c>
      <c r="C458" s="97"/>
      <c r="D458" s="96"/>
      <c r="E458" s="96"/>
      <c r="F458" s="99"/>
      <c r="G458" s="96"/>
      <c r="H458" s="95"/>
      <c r="I458" s="95"/>
      <c r="J458" s="42" t="str">
        <f t="shared" si="20"/>
        <v/>
      </c>
      <c r="K458" s="6" t="b">
        <f t="shared" si="21"/>
        <v>0</v>
      </c>
      <c r="L458" s="115"/>
      <c r="M458" s="6"/>
      <c r="N458" s="6"/>
      <c r="O458" s="6"/>
    </row>
    <row r="459" spans="1:15" ht="17">
      <c r="A459" s="6"/>
      <c r="B459" s="95" t="str">
        <f t="shared" si="19"/>
        <v/>
      </c>
      <c r="C459" s="97"/>
      <c r="D459" s="96"/>
      <c r="E459" s="96"/>
      <c r="F459" s="99"/>
      <c r="G459" s="96"/>
      <c r="H459" s="95"/>
      <c r="I459" s="95"/>
      <c r="J459" s="42" t="str">
        <f t="shared" si="20"/>
        <v/>
      </c>
      <c r="K459" s="6" t="b">
        <f t="shared" si="21"/>
        <v>0</v>
      </c>
      <c r="L459" s="115"/>
      <c r="M459" s="6"/>
      <c r="N459" s="6"/>
      <c r="O459" s="6"/>
    </row>
    <row r="460" spans="1:15" ht="17">
      <c r="A460" s="6"/>
      <c r="B460" s="95" t="str">
        <f t="shared" si="19"/>
        <v/>
      </c>
      <c r="C460" s="97"/>
      <c r="D460" s="96"/>
      <c r="E460" s="96"/>
      <c r="F460" s="99"/>
      <c r="G460" s="96"/>
      <c r="H460" s="95"/>
      <c r="I460" s="95"/>
      <c r="J460" s="42" t="str">
        <f t="shared" si="20"/>
        <v/>
      </c>
      <c r="K460" s="6" t="b">
        <f t="shared" si="21"/>
        <v>0</v>
      </c>
      <c r="L460" s="115"/>
      <c r="M460" s="6"/>
      <c r="N460" s="6"/>
      <c r="O460" s="6"/>
    </row>
    <row r="461" spans="1:15" ht="17">
      <c r="A461" s="6"/>
      <c r="B461" s="95" t="str">
        <f t="shared" si="19"/>
        <v/>
      </c>
      <c r="C461" s="97"/>
      <c r="D461" s="96"/>
      <c r="E461" s="96"/>
      <c r="F461" s="99"/>
      <c r="G461" s="96"/>
      <c r="H461" s="95"/>
      <c r="I461" s="95"/>
      <c r="J461" s="42" t="str">
        <f t="shared" si="20"/>
        <v/>
      </c>
      <c r="K461" s="6" t="b">
        <f t="shared" si="21"/>
        <v>0</v>
      </c>
      <c r="L461" s="115"/>
      <c r="M461" s="6"/>
      <c r="N461" s="6"/>
      <c r="O461" s="6"/>
    </row>
    <row r="462" spans="1:15" ht="17">
      <c r="A462" s="6"/>
      <c r="B462" s="95" t="str">
        <f t="shared" si="19"/>
        <v/>
      </c>
      <c r="C462" s="97"/>
      <c r="D462" s="96"/>
      <c r="E462" s="96"/>
      <c r="F462" s="99"/>
      <c r="G462" s="96"/>
      <c r="H462" s="95"/>
      <c r="I462" s="95"/>
      <c r="J462" s="42" t="str">
        <f t="shared" si="20"/>
        <v/>
      </c>
      <c r="K462" s="6" t="b">
        <f t="shared" si="21"/>
        <v>0</v>
      </c>
      <c r="L462" s="115"/>
      <c r="M462" s="6"/>
      <c r="N462" s="6"/>
      <c r="O462" s="6"/>
    </row>
    <row r="463" spans="1:15" ht="17">
      <c r="A463" s="6"/>
      <c r="B463" s="95" t="str">
        <f t="shared" si="19"/>
        <v/>
      </c>
      <c r="C463" s="97"/>
      <c r="D463" s="96"/>
      <c r="E463" s="96"/>
      <c r="F463" s="99"/>
      <c r="G463" s="96"/>
      <c r="H463" s="95"/>
      <c r="I463" s="95"/>
      <c r="J463" s="42" t="str">
        <f t="shared" si="20"/>
        <v/>
      </c>
      <c r="K463" s="6" t="b">
        <f t="shared" si="21"/>
        <v>0</v>
      </c>
      <c r="L463" s="115"/>
      <c r="M463" s="6"/>
      <c r="N463" s="6"/>
      <c r="O463" s="6"/>
    </row>
    <row r="464" spans="1:15" ht="17">
      <c r="A464" s="6"/>
      <c r="B464" s="95" t="str">
        <f t="shared" si="19"/>
        <v/>
      </c>
      <c r="C464" s="97"/>
      <c r="D464" s="96"/>
      <c r="E464" s="96"/>
      <c r="F464" s="99"/>
      <c r="G464" s="96"/>
      <c r="H464" s="95"/>
      <c r="I464" s="95"/>
      <c r="J464" s="42" t="str">
        <f t="shared" si="20"/>
        <v/>
      </c>
      <c r="K464" s="6" t="b">
        <f t="shared" si="21"/>
        <v>0</v>
      </c>
      <c r="L464" s="115"/>
      <c r="M464" s="6"/>
      <c r="N464" s="6"/>
      <c r="O464" s="6"/>
    </row>
    <row r="465" spans="1:15" ht="17">
      <c r="A465" s="6"/>
      <c r="B465" s="95" t="str">
        <f t="shared" si="19"/>
        <v/>
      </c>
      <c r="C465" s="97"/>
      <c r="D465" s="96"/>
      <c r="E465" s="96"/>
      <c r="F465" s="99"/>
      <c r="G465" s="96"/>
      <c r="H465" s="95"/>
      <c r="I465" s="95"/>
      <c r="J465" s="42" t="str">
        <f t="shared" si="20"/>
        <v/>
      </c>
      <c r="K465" s="6" t="b">
        <f t="shared" si="21"/>
        <v>0</v>
      </c>
      <c r="L465" s="115"/>
      <c r="M465" s="6"/>
      <c r="N465" s="6"/>
      <c r="O465" s="6"/>
    </row>
    <row r="466" spans="1:15" ht="17">
      <c r="A466" s="6"/>
      <c r="B466" s="95" t="str">
        <f t="shared" si="19"/>
        <v/>
      </c>
      <c r="C466" s="97"/>
      <c r="D466" s="96"/>
      <c r="E466" s="96"/>
      <c r="F466" s="99"/>
      <c r="G466" s="96"/>
      <c r="H466" s="95"/>
      <c r="I466" s="95"/>
      <c r="J466" s="42" t="str">
        <f t="shared" si="20"/>
        <v/>
      </c>
      <c r="K466" s="6" t="b">
        <f t="shared" si="21"/>
        <v>0</v>
      </c>
      <c r="L466" s="115"/>
      <c r="M466" s="6"/>
      <c r="N466" s="6"/>
      <c r="O466" s="6"/>
    </row>
    <row r="467" spans="1:15" ht="17">
      <c r="A467" s="6"/>
      <c r="B467" s="95" t="str">
        <f t="shared" si="19"/>
        <v/>
      </c>
      <c r="C467" s="97"/>
      <c r="D467" s="96"/>
      <c r="E467" s="96"/>
      <c r="F467" s="99"/>
      <c r="G467" s="96"/>
      <c r="H467" s="95"/>
      <c r="I467" s="95"/>
      <c r="J467" s="42" t="str">
        <f t="shared" si="20"/>
        <v/>
      </c>
      <c r="K467" s="6" t="b">
        <f t="shared" si="21"/>
        <v>0</v>
      </c>
      <c r="L467" s="115"/>
      <c r="M467" s="6"/>
      <c r="N467" s="6"/>
      <c r="O467" s="6"/>
    </row>
    <row r="468" spans="1:15" ht="17">
      <c r="A468" s="6"/>
      <c r="B468" s="95" t="str">
        <f t="shared" si="19"/>
        <v/>
      </c>
      <c r="C468" s="97"/>
      <c r="D468" s="96"/>
      <c r="E468" s="96"/>
      <c r="F468" s="99"/>
      <c r="G468" s="96"/>
      <c r="H468" s="95"/>
      <c r="I468" s="95"/>
      <c r="J468" s="42" t="str">
        <f t="shared" si="20"/>
        <v/>
      </c>
      <c r="K468" s="6" t="b">
        <f t="shared" si="21"/>
        <v>0</v>
      </c>
      <c r="L468" s="115"/>
      <c r="M468" s="6"/>
      <c r="N468" s="6"/>
      <c r="O468" s="6"/>
    </row>
    <row r="469" spans="1:15" ht="17">
      <c r="A469" s="6"/>
      <c r="B469" s="95" t="str">
        <f t="shared" si="19"/>
        <v/>
      </c>
      <c r="C469" s="97"/>
      <c r="D469" s="96"/>
      <c r="E469" s="96"/>
      <c r="F469" s="99"/>
      <c r="G469" s="96"/>
      <c r="H469" s="95"/>
      <c r="I469" s="95"/>
      <c r="J469" s="42" t="str">
        <f t="shared" si="20"/>
        <v/>
      </c>
      <c r="K469" s="6" t="b">
        <f t="shared" si="21"/>
        <v>0</v>
      </c>
      <c r="L469" s="115"/>
      <c r="M469" s="6"/>
      <c r="N469" s="6"/>
      <c r="O469" s="6"/>
    </row>
    <row r="470" spans="1:15" ht="17">
      <c r="A470" s="6"/>
      <c r="B470" s="95" t="str">
        <f t="shared" si="19"/>
        <v/>
      </c>
      <c r="C470" s="97"/>
      <c r="D470" s="96"/>
      <c r="E470" s="96"/>
      <c r="F470" s="99"/>
      <c r="G470" s="96"/>
      <c r="H470" s="95"/>
      <c r="I470" s="95"/>
      <c r="J470" s="42" t="str">
        <f t="shared" si="20"/>
        <v/>
      </c>
      <c r="K470" s="6" t="b">
        <f t="shared" si="21"/>
        <v>0</v>
      </c>
      <c r="L470" s="115"/>
      <c r="M470" s="6"/>
      <c r="N470" s="6"/>
      <c r="O470" s="6"/>
    </row>
    <row r="471" spans="1:15" ht="17">
      <c r="A471" s="6"/>
      <c r="B471" s="95" t="str">
        <f t="shared" si="19"/>
        <v/>
      </c>
      <c r="C471" s="97"/>
      <c r="D471" s="96"/>
      <c r="E471" s="96"/>
      <c r="F471" s="99"/>
      <c r="G471" s="96"/>
      <c r="H471" s="95"/>
      <c r="I471" s="95"/>
      <c r="J471" s="42" t="str">
        <f t="shared" si="20"/>
        <v/>
      </c>
      <c r="K471" s="6" t="b">
        <f t="shared" si="21"/>
        <v>0</v>
      </c>
      <c r="L471" s="115"/>
      <c r="M471" s="6"/>
      <c r="N471" s="6"/>
      <c r="O471" s="6"/>
    </row>
    <row r="472" spans="1:15" ht="17">
      <c r="A472" s="6"/>
      <c r="B472" s="95" t="str">
        <f t="shared" si="19"/>
        <v/>
      </c>
      <c r="C472" s="97"/>
      <c r="D472" s="96"/>
      <c r="E472" s="96"/>
      <c r="F472" s="99"/>
      <c r="G472" s="96"/>
      <c r="H472" s="95"/>
      <c r="I472" s="95"/>
      <c r="J472" s="42" t="str">
        <f t="shared" si="20"/>
        <v/>
      </c>
      <c r="K472" s="6" t="b">
        <f t="shared" si="21"/>
        <v>0</v>
      </c>
      <c r="L472" s="115"/>
      <c r="M472" s="6"/>
      <c r="N472" s="6"/>
      <c r="O472" s="6"/>
    </row>
    <row r="473" spans="1:15" ht="17">
      <c r="A473" s="6"/>
      <c r="B473" s="95" t="str">
        <f t="shared" si="19"/>
        <v/>
      </c>
      <c r="C473" s="97"/>
      <c r="D473" s="96"/>
      <c r="E473" s="96"/>
      <c r="F473" s="99"/>
      <c r="G473" s="96"/>
      <c r="H473" s="95"/>
      <c r="I473" s="95"/>
      <c r="J473" s="42" t="str">
        <f t="shared" si="20"/>
        <v/>
      </c>
      <c r="K473" s="6" t="b">
        <f t="shared" si="21"/>
        <v>0</v>
      </c>
      <c r="L473" s="115"/>
      <c r="M473" s="6"/>
      <c r="N473" s="6"/>
      <c r="O473" s="6"/>
    </row>
    <row r="474" spans="1:15" ht="17">
      <c r="A474" s="6"/>
      <c r="B474" s="95" t="str">
        <f t="shared" si="19"/>
        <v/>
      </c>
      <c r="C474" s="97"/>
      <c r="D474" s="96"/>
      <c r="E474" s="96"/>
      <c r="F474" s="99"/>
      <c r="G474" s="96"/>
      <c r="H474" s="95"/>
      <c r="I474" s="95"/>
      <c r="J474" s="42" t="str">
        <f t="shared" si="20"/>
        <v/>
      </c>
      <c r="K474" s="6" t="b">
        <f t="shared" si="21"/>
        <v>0</v>
      </c>
      <c r="L474" s="115"/>
      <c r="M474" s="6"/>
      <c r="N474" s="6"/>
      <c r="O474" s="6"/>
    </row>
    <row r="475" spans="1:15" ht="17">
      <c r="A475" s="6"/>
      <c r="B475" s="95" t="str">
        <f t="shared" si="19"/>
        <v/>
      </c>
      <c r="C475" s="97"/>
      <c r="D475" s="96"/>
      <c r="E475" s="96"/>
      <c r="F475" s="99"/>
      <c r="G475" s="96"/>
      <c r="H475" s="95"/>
      <c r="I475" s="95"/>
      <c r="J475" s="42" t="str">
        <f t="shared" si="20"/>
        <v/>
      </c>
      <c r="K475" s="6" t="b">
        <f t="shared" si="21"/>
        <v>0</v>
      </c>
      <c r="L475" s="115"/>
      <c r="M475" s="6"/>
      <c r="N475" s="6"/>
      <c r="O475" s="6"/>
    </row>
    <row r="476" spans="1:15" ht="17">
      <c r="A476" s="6"/>
      <c r="B476" s="95" t="str">
        <f t="shared" si="19"/>
        <v/>
      </c>
      <c r="C476" s="97"/>
      <c r="D476" s="96"/>
      <c r="E476" s="96"/>
      <c r="F476" s="99"/>
      <c r="G476" s="96"/>
      <c r="H476" s="95"/>
      <c r="I476" s="95"/>
      <c r="J476" s="42" t="str">
        <f t="shared" si="20"/>
        <v/>
      </c>
      <c r="K476" s="6" t="b">
        <f t="shared" si="21"/>
        <v>0</v>
      </c>
      <c r="L476" s="115"/>
      <c r="M476" s="6"/>
      <c r="N476" s="6"/>
      <c r="O476" s="6"/>
    </row>
    <row r="477" spans="1:15" ht="17">
      <c r="A477" s="6"/>
      <c r="B477" s="95" t="str">
        <f t="shared" si="19"/>
        <v/>
      </c>
      <c r="C477" s="97"/>
      <c r="D477" s="96"/>
      <c r="E477" s="96"/>
      <c r="F477" s="99"/>
      <c r="G477" s="96"/>
      <c r="H477" s="95"/>
      <c r="I477" s="95"/>
      <c r="J477" s="42" t="str">
        <f t="shared" si="20"/>
        <v/>
      </c>
      <c r="K477" s="6" t="b">
        <f t="shared" si="21"/>
        <v>0</v>
      </c>
      <c r="L477" s="115"/>
      <c r="M477" s="6"/>
      <c r="N477" s="6"/>
      <c r="O477" s="6"/>
    </row>
    <row r="478" spans="1:15" ht="17">
      <c r="A478" s="6"/>
      <c r="B478" s="95" t="str">
        <f t="shared" si="19"/>
        <v/>
      </c>
      <c r="C478" s="97"/>
      <c r="D478" s="96"/>
      <c r="E478" s="96"/>
      <c r="F478" s="99"/>
      <c r="G478" s="96"/>
      <c r="H478" s="95"/>
      <c r="I478" s="95"/>
      <c r="J478" s="42" t="str">
        <f t="shared" si="20"/>
        <v/>
      </c>
      <c r="K478" s="6" t="b">
        <f t="shared" si="21"/>
        <v>0</v>
      </c>
      <c r="L478" s="115"/>
      <c r="M478" s="6"/>
      <c r="N478" s="6"/>
      <c r="O478" s="6"/>
    </row>
    <row r="479" spans="1:15" ht="17">
      <c r="A479" s="6"/>
      <c r="B479" s="95" t="str">
        <f t="shared" si="19"/>
        <v/>
      </c>
      <c r="C479" s="97"/>
      <c r="D479" s="96"/>
      <c r="E479" s="96"/>
      <c r="F479" s="99"/>
      <c r="G479" s="96"/>
      <c r="H479" s="95"/>
      <c r="I479" s="95"/>
      <c r="J479" s="42" t="str">
        <f t="shared" si="20"/>
        <v/>
      </c>
      <c r="K479" s="6" t="b">
        <f t="shared" si="21"/>
        <v>0</v>
      </c>
      <c r="L479" s="115"/>
      <c r="M479" s="6"/>
      <c r="N479" s="6"/>
      <c r="O479" s="6"/>
    </row>
    <row r="480" spans="1:15" ht="17">
      <c r="A480" s="6"/>
      <c r="B480" s="95" t="str">
        <f t="shared" si="19"/>
        <v/>
      </c>
      <c r="C480" s="97"/>
      <c r="D480" s="96"/>
      <c r="E480" s="96"/>
      <c r="F480" s="99"/>
      <c r="G480" s="96"/>
      <c r="H480" s="95"/>
      <c r="I480" s="95"/>
      <c r="J480" s="42" t="str">
        <f t="shared" si="20"/>
        <v/>
      </c>
      <c r="K480" s="6" t="b">
        <f t="shared" si="21"/>
        <v>0</v>
      </c>
      <c r="L480" s="115"/>
      <c r="M480" s="6"/>
      <c r="N480" s="6"/>
      <c r="O480" s="6"/>
    </row>
    <row r="481" spans="1:15" ht="17">
      <c r="A481" s="6"/>
      <c r="B481" s="95" t="str">
        <f t="shared" si="19"/>
        <v/>
      </c>
      <c r="C481" s="97"/>
      <c r="D481" s="96"/>
      <c r="E481" s="96"/>
      <c r="F481" s="99"/>
      <c r="G481" s="96"/>
      <c r="H481" s="95"/>
      <c r="I481" s="95"/>
      <c r="J481" s="42" t="str">
        <f t="shared" si="20"/>
        <v/>
      </c>
      <c r="K481" s="6" t="b">
        <f t="shared" si="21"/>
        <v>0</v>
      </c>
      <c r="L481" s="115"/>
      <c r="M481" s="6"/>
      <c r="N481" s="6"/>
      <c r="O481" s="6"/>
    </row>
    <row r="482" spans="1:15" ht="17">
      <c r="A482" s="6"/>
      <c r="B482" s="95" t="str">
        <f t="shared" si="19"/>
        <v/>
      </c>
      <c r="C482" s="97"/>
      <c r="D482" s="96"/>
      <c r="E482" s="96"/>
      <c r="F482" s="99"/>
      <c r="G482" s="96"/>
      <c r="H482" s="95"/>
      <c r="I482" s="95"/>
      <c r="J482" s="42" t="str">
        <f t="shared" si="20"/>
        <v/>
      </c>
      <c r="K482" s="6" t="b">
        <f t="shared" si="21"/>
        <v>0</v>
      </c>
      <c r="L482" s="115"/>
      <c r="M482" s="6"/>
      <c r="N482" s="6"/>
      <c r="O482" s="6"/>
    </row>
    <row r="483" spans="1:15" ht="17">
      <c r="A483" s="6"/>
      <c r="B483" s="95" t="str">
        <f t="shared" si="19"/>
        <v/>
      </c>
      <c r="C483" s="97"/>
      <c r="D483" s="96"/>
      <c r="E483" s="96"/>
      <c r="F483" s="99"/>
      <c r="G483" s="96"/>
      <c r="H483" s="95"/>
      <c r="I483" s="95"/>
      <c r="J483" s="42" t="str">
        <f t="shared" si="20"/>
        <v/>
      </c>
      <c r="K483" s="6" t="b">
        <f t="shared" si="21"/>
        <v>0</v>
      </c>
      <c r="L483" s="115"/>
      <c r="M483" s="6"/>
      <c r="N483" s="6"/>
      <c r="O483" s="6"/>
    </row>
    <row r="484" spans="1:15" ht="17">
      <c r="A484" s="6"/>
      <c r="B484" s="95" t="str">
        <f t="shared" si="19"/>
        <v/>
      </c>
      <c r="C484" s="97"/>
      <c r="D484" s="96"/>
      <c r="E484" s="96"/>
      <c r="F484" s="99"/>
      <c r="G484" s="96"/>
      <c r="H484" s="95"/>
      <c r="I484" s="95"/>
      <c r="J484" s="42" t="str">
        <f t="shared" si="20"/>
        <v/>
      </c>
      <c r="K484" s="6" t="b">
        <f t="shared" si="21"/>
        <v>0</v>
      </c>
      <c r="L484" s="115"/>
      <c r="M484" s="6"/>
      <c r="N484" s="6"/>
      <c r="O484" s="6"/>
    </row>
    <row r="485" spans="1:15" ht="17">
      <c r="A485" s="6"/>
      <c r="B485" s="95" t="str">
        <f t="shared" ref="B485:B548" si="22">IF(C485="","","V"&amp;TEXT(ROW()-6,"00000"))</f>
        <v/>
      </c>
      <c r="C485" s="97"/>
      <c r="D485" s="96"/>
      <c r="E485" s="96"/>
      <c r="F485" s="99"/>
      <c r="G485" s="96"/>
      <c r="H485" s="95"/>
      <c r="I485" s="95"/>
      <c r="J485" s="42" t="str">
        <f t="shared" si="20"/>
        <v/>
      </c>
      <c r="K485" s="6" t="b">
        <f t="shared" si="21"/>
        <v>0</v>
      </c>
      <c r="L485" s="115"/>
      <c r="M485" s="6"/>
      <c r="N485" s="6"/>
      <c r="O485" s="6"/>
    </row>
    <row r="486" spans="1:15" ht="17">
      <c r="A486" s="6"/>
      <c r="B486" s="95" t="str">
        <f t="shared" si="22"/>
        <v/>
      </c>
      <c r="C486" s="97"/>
      <c r="D486" s="96"/>
      <c r="E486" s="96"/>
      <c r="F486" s="99"/>
      <c r="G486" s="96"/>
      <c r="H486" s="95"/>
      <c r="I486" s="95"/>
      <c r="J486" s="42" t="str">
        <f t="shared" si="20"/>
        <v/>
      </c>
      <c r="K486" s="6" t="b">
        <f t="shared" si="21"/>
        <v>0</v>
      </c>
      <c r="L486" s="115"/>
      <c r="M486" s="6"/>
      <c r="N486" s="6"/>
      <c r="O486" s="6"/>
    </row>
    <row r="487" spans="1:15" ht="17">
      <c r="A487" s="6"/>
      <c r="B487" s="95" t="str">
        <f t="shared" si="22"/>
        <v/>
      </c>
      <c r="C487" s="97"/>
      <c r="D487" s="96"/>
      <c r="E487" s="96"/>
      <c r="F487" s="99"/>
      <c r="G487" s="96"/>
      <c r="H487" s="95"/>
      <c r="I487" s="95"/>
      <c r="J487" s="42" t="str">
        <f t="shared" si="20"/>
        <v/>
      </c>
      <c r="K487" s="6" t="b">
        <f t="shared" si="21"/>
        <v>0</v>
      </c>
      <c r="L487" s="115"/>
      <c r="M487" s="6"/>
      <c r="N487" s="6"/>
      <c r="O487" s="6"/>
    </row>
    <row r="488" spans="1:15" ht="17">
      <c r="A488" s="6"/>
      <c r="B488" s="95" t="str">
        <f t="shared" si="22"/>
        <v/>
      </c>
      <c r="C488" s="97"/>
      <c r="D488" s="96"/>
      <c r="E488" s="96"/>
      <c r="F488" s="99"/>
      <c r="G488" s="96"/>
      <c r="H488" s="95"/>
      <c r="I488" s="95"/>
      <c r="J488" s="42" t="str">
        <f t="shared" si="20"/>
        <v/>
      </c>
      <c r="K488" s="6" t="b">
        <f t="shared" si="21"/>
        <v>0</v>
      </c>
      <c r="L488" s="115"/>
      <c r="M488" s="6"/>
      <c r="N488" s="6"/>
      <c r="O488" s="6"/>
    </row>
    <row r="489" spans="1:15" ht="17">
      <c r="A489" s="6"/>
      <c r="B489" s="95" t="str">
        <f t="shared" si="22"/>
        <v/>
      </c>
      <c r="C489" s="97"/>
      <c r="D489" s="96"/>
      <c r="E489" s="96"/>
      <c r="F489" s="99"/>
      <c r="G489" s="96"/>
      <c r="H489" s="95"/>
      <c r="I489" s="95"/>
      <c r="J489" s="42" t="str">
        <f t="shared" si="20"/>
        <v/>
      </c>
      <c r="K489" s="6" t="b">
        <f t="shared" si="21"/>
        <v>0</v>
      </c>
      <c r="L489" s="115"/>
      <c r="M489" s="6"/>
      <c r="N489" s="6"/>
      <c r="O489" s="6"/>
    </row>
    <row r="490" spans="1:15" ht="17">
      <c r="A490" s="6"/>
      <c r="B490" s="95" t="str">
        <f t="shared" si="22"/>
        <v/>
      </c>
      <c r="C490" s="97"/>
      <c r="D490" s="96"/>
      <c r="E490" s="96"/>
      <c r="F490" s="99"/>
      <c r="G490" s="96"/>
      <c r="H490" s="95"/>
      <c r="I490" s="95"/>
      <c r="J490" s="42" t="str">
        <f t="shared" si="20"/>
        <v/>
      </c>
      <c r="K490" s="6" t="b">
        <f t="shared" si="21"/>
        <v>0</v>
      </c>
      <c r="L490" s="115"/>
      <c r="M490" s="6"/>
      <c r="N490" s="6"/>
      <c r="O490" s="6"/>
    </row>
    <row r="491" spans="1:15" ht="17">
      <c r="A491" s="6"/>
      <c r="B491" s="95" t="str">
        <f t="shared" si="22"/>
        <v/>
      </c>
      <c r="C491" s="97"/>
      <c r="D491" s="96"/>
      <c r="E491" s="96"/>
      <c r="F491" s="99"/>
      <c r="G491" s="96"/>
      <c r="H491" s="95"/>
      <c r="I491" s="95"/>
      <c r="J491" s="42" t="str">
        <f t="shared" si="20"/>
        <v/>
      </c>
      <c r="K491" s="6" t="b">
        <f t="shared" si="21"/>
        <v>0</v>
      </c>
      <c r="L491" s="115"/>
      <c r="M491" s="6"/>
      <c r="N491" s="6"/>
      <c r="O491" s="6"/>
    </row>
    <row r="492" spans="1:15" ht="17">
      <c r="A492" s="6"/>
      <c r="B492" s="95" t="str">
        <f t="shared" si="22"/>
        <v/>
      </c>
      <c r="C492" s="97"/>
      <c r="D492" s="96"/>
      <c r="E492" s="96"/>
      <c r="F492" s="99"/>
      <c r="G492" s="96"/>
      <c r="H492" s="95"/>
      <c r="I492" s="95"/>
      <c r="J492" s="42" t="str">
        <f t="shared" si="20"/>
        <v/>
      </c>
      <c r="K492" s="6" t="b">
        <f t="shared" si="21"/>
        <v>0</v>
      </c>
      <c r="L492" s="115"/>
      <c r="M492" s="6"/>
      <c r="N492" s="6"/>
      <c r="O492" s="6"/>
    </row>
    <row r="493" spans="1:15" ht="17">
      <c r="A493" s="6"/>
      <c r="B493" s="95" t="str">
        <f t="shared" si="22"/>
        <v/>
      </c>
      <c r="C493" s="97"/>
      <c r="D493" s="96"/>
      <c r="E493" s="96"/>
      <c r="F493" s="99"/>
      <c r="G493" s="96"/>
      <c r="H493" s="95"/>
      <c r="I493" s="95"/>
      <c r="J493" s="42" t="str">
        <f t="shared" si="20"/>
        <v/>
      </c>
      <c r="K493" s="6" t="b">
        <f t="shared" si="21"/>
        <v>0</v>
      </c>
      <c r="L493" s="115"/>
      <c r="M493" s="6"/>
      <c r="N493" s="6"/>
      <c r="O493" s="6"/>
    </row>
    <row r="494" spans="1:15" ht="17">
      <c r="A494" s="6"/>
      <c r="B494" s="95" t="str">
        <f t="shared" si="22"/>
        <v/>
      </c>
      <c r="C494" s="97"/>
      <c r="D494" s="96"/>
      <c r="E494" s="96"/>
      <c r="F494" s="99"/>
      <c r="G494" s="96"/>
      <c r="H494" s="95"/>
      <c r="I494" s="95"/>
      <c r="J494" s="42" t="str">
        <f t="shared" si="20"/>
        <v/>
      </c>
      <c r="K494" s="6" t="b">
        <f t="shared" si="21"/>
        <v>0</v>
      </c>
      <c r="L494" s="115"/>
      <c r="M494" s="6"/>
      <c r="N494" s="6"/>
      <c r="O494" s="6"/>
    </row>
    <row r="495" spans="1:15" ht="17">
      <c r="A495" s="6"/>
      <c r="B495" s="95" t="str">
        <f t="shared" si="22"/>
        <v/>
      </c>
      <c r="C495" s="97"/>
      <c r="D495" s="96"/>
      <c r="E495" s="96"/>
      <c r="F495" s="99"/>
      <c r="G495" s="96"/>
      <c r="H495" s="95"/>
      <c r="I495" s="95"/>
      <c r="J495" s="42" t="str">
        <f t="shared" si="20"/>
        <v/>
      </c>
      <c r="K495" s="6" t="b">
        <f t="shared" si="21"/>
        <v>0</v>
      </c>
      <c r="L495" s="115"/>
      <c r="M495" s="6"/>
      <c r="N495" s="6"/>
      <c r="O495" s="6"/>
    </row>
    <row r="496" spans="1:15" ht="17">
      <c r="A496" s="6"/>
      <c r="B496" s="95" t="str">
        <f t="shared" si="22"/>
        <v/>
      </c>
      <c r="C496" s="97"/>
      <c r="D496" s="96"/>
      <c r="E496" s="96"/>
      <c r="F496" s="99"/>
      <c r="G496" s="96"/>
      <c r="H496" s="95"/>
      <c r="I496" s="95"/>
      <c r="J496" s="42" t="str">
        <f t="shared" si="20"/>
        <v/>
      </c>
      <c r="K496" s="6" t="b">
        <f t="shared" si="21"/>
        <v>0</v>
      </c>
      <c r="L496" s="115"/>
      <c r="M496" s="6"/>
      <c r="N496" s="6"/>
      <c r="O496" s="6"/>
    </row>
    <row r="497" spans="1:15" ht="17">
      <c r="A497" s="6"/>
      <c r="B497" s="95" t="str">
        <f t="shared" si="22"/>
        <v/>
      </c>
      <c r="C497" s="97"/>
      <c r="D497" s="96"/>
      <c r="E497" s="96"/>
      <c r="F497" s="99"/>
      <c r="G497" s="96"/>
      <c r="H497" s="95"/>
      <c r="I497" s="95"/>
      <c r="J497" s="42" t="str">
        <f t="shared" si="20"/>
        <v/>
      </c>
      <c r="K497" s="6" t="b">
        <f t="shared" si="21"/>
        <v>0</v>
      </c>
      <c r="L497" s="115"/>
      <c r="M497" s="6"/>
      <c r="N497" s="6"/>
      <c r="O497" s="6"/>
    </row>
    <row r="498" spans="1:15" ht="17">
      <c r="A498" s="6"/>
      <c r="B498" s="95" t="str">
        <f t="shared" si="22"/>
        <v/>
      </c>
      <c r="C498" s="97"/>
      <c r="D498" s="96"/>
      <c r="E498" s="96"/>
      <c r="F498" s="99"/>
      <c r="G498" s="96"/>
      <c r="H498" s="95"/>
      <c r="I498" s="95"/>
      <c r="J498" s="42" t="str">
        <f t="shared" si="20"/>
        <v/>
      </c>
      <c r="K498" s="6" t="b">
        <f t="shared" si="21"/>
        <v>0</v>
      </c>
      <c r="L498" s="115"/>
      <c r="M498" s="6"/>
      <c r="N498" s="6"/>
      <c r="O498" s="6"/>
    </row>
    <row r="499" spans="1:15" ht="17">
      <c r="A499" s="6"/>
      <c r="B499" s="95" t="str">
        <f t="shared" si="22"/>
        <v/>
      </c>
      <c r="C499" s="97"/>
      <c r="D499" s="96"/>
      <c r="E499" s="96"/>
      <c r="F499" s="99"/>
      <c r="G499" s="96"/>
      <c r="H499" s="95"/>
      <c r="I499" s="95"/>
      <c r="J499" s="42" t="str">
        <f t="shared" si="20"/>
        <v/>
      </c>
      <c r="K499" s="6" t="b">
        <f t="shared" si="21"/>
        <v>0</v>
      </c>
      <c r="L499" s="115"/>
      <c r="M499" s="6"/>
      <c r="N499" s="6"/>
      <c r="O499" s="6"/>
    </row>
    <row r="500" spans="1:15" ht="17">
      <c r="A500" s="6"/>
      <c r="B500" s="95" t="str">
        <f t="shared" si="22"/>
        <v/>
      </c>
      <c r="C500" s="97"/>
      <c r="D500" s="96"/>
      <c r="E500" s="96"/>
      <c r="F500" s="99"/>
      <c r="G500" s="96"/>
      <c r="H500" s="95"/>
      <c r="I500" s="95"/>
      <c r="J500" s="42" t="str">
        <f t="shared" si="20"/>
        <v/>
      </c>
      <c r="K500" s="6" t="b">
        <f t="shared" si="21"/>
        <v>0</v>
      </c>
      <c r="L500" s="115"/>
      <c r="M500" s="6"/>
      <c r="N500" s="6"/>
      <c r="O500" s="6"/>
    </row>
  </sheetData>
  <mergeCells count="6">
    <mergeCell ref="A2:B2"/>
    <mergeCell ref="A4:G4"/>
    <mergeCell ref="C1:O1"/>
    <mergeCell ref="G5:J5"/>
    <mergeCell ref="A3:O3"/>
    <mergeCell ref="C2:O2"/>
  </mergeCells>
  <conditionalFormatting sqref="J7:J500">
    <cfRule type="expression" dxfId="43" priority="1">
      <formula>AND(J7&lt;&gt;"",J7&lt;&gt;"UYGUN")</formula>
    </cfRule>
  </conditionalFormatting>
  <dataValidations count="3">
    <dataValidation type="list" sqref="D7:E200" xr:uid="{00000000-0002-0000-0800-000001000000}">
      <formula1>LST_HESAP</formula1>
    </dataValidation>
    <dataValidation type="list" sqref="L7:L500" xr:uid="{00000000-0002-0000-0800-000002000000}">
      <formula1>"NORMAL CARİ TRANSFER,KÂR PAYI / AVANS"</formula1>
    </dataValidation>
    <dataValidation type="list" allowBlank="1" errorTitle="Geçersiz işlem sınıfı" error="İşlem sınıfını listeden seçin." promptTitle="VİRMAN sınıflandırması" prompt="Normal cari, ofise geri ödeme, kâr payı/avans veya diğer gerçek transfer." sqref="L7:L500" xr:uid="{00000000-0002-0000-0800-000003000000}">
      <formula1>LST_VIRMAN_SINIF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800-000000000000}">
          <x14:formula1>
            <xm:f>SISTEM!$N$7:$N$12</xm:f>
          </x14:formula1>
          <xm:sqref>D7:E500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47857"/>
  </sheetPr>
  <dimension ref="A1:O61"/>
  <sheetViews>
    <sheetView showGridLines="0" workbookViewId="0"/>
  </sheetViews>
  <sheetFormatPr baseColWidth="10" defaultColWidth="8.83203125" defaultRowHeight="14"/>
  <cols>
    <col min="1" max="1" width="10" customWidth="1"/>
    <col min="2" max="2" width="4" customWidth="1"/>
    <col min="3" max="12" width="18" customWidth="1"/>
    <col min="13" max="13" width="28" customWidth="1"/>
  </cols>
  <sheetData>
    <row r="1" spans="1:15" ht="38" customHeight="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32" t="s">
        <v>1700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28" customHeight="1">
      <c r="A2" s="222" t="s">
        <v>17</v>
      </c>
      <c r="B2" s="223"/>
      <c r="C2" s="213" t="s">
        <v>1701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1:15" ht="28" customHeight="1">
      <c r="A3" s="213" t="s">
        <v>1702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5" ht="24" customHeight="1">
      <c r="A4" s="207" t="str">
        <f>IFERROR(HYPERLINK("#MENU!A1","← MENÜ   │   MÜŞTERİ 360"),"← MENÜ   │   MÜŞTERİ 360")</f>
        <v>← MENÜ   │   MÜŞTERİ 360</v>
      </c>
      <c r="B4" s="208"/>
      <c r="C4" s="208"/>
      <c r="D4" s="208"/>
      <c r="E4" s="208"/>
      <c r="F4" s="208"/>
      <c r="G4" s="209"/>
      <c r="H4" s="79" t="str">
        <f>IFERROR(HYPERLINK("#TAHSILAT!A1","TAHSİLAT"),"TAHSİLAT")</f>
        <v>TAHSİLAT</v>
      </c>
      <c r="I4" s="80"/>
      <c r="J4" s="79" t="str">
        <f>IFERROR(HYPERLINK("#GELIR_GIDER!A1","GELİR / GİDER"),"GELİR / GİDER")</f>
        <v>GELİR / GİDER</v>
      </c>
      <c r="K4" s="80"/>
      <c r="L4" s="79" t="str">
        <f>IFERROR(HYPERLINK("#VIRMAN!A1","VİRMAN"),"VİRMAN")</f>
        <v>VİRMAN</v>
      </c>
      <c r="M4" s="80"/>
      <c r="N4" s="79" t="str">
        <f>IFERROR(HYPERLINK("#RAPOR!A1","RAPOR"),"RAPOR")</f>
        <v>RAPOR</v>
      </c>
      <c r="O4" s="21"/>
    </row>
    <row r="5" spans="1:15" ht="1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60">
      <c r="A6" s="6"/>
      <c r="B6" s="87" t="s">
        <v>445</v>
      </c>
      <c r="C6" s="87" t="s">
        <v>578</v>
      </c>
      <c r="D6" s="87" t="s">
        <v>1703</v>
      </c>
      <c r="E6" s="87" t="s">
        <v>1704</v>
      </c>
      <c r="F6" s="87" t="s">
        <v>453</v>
      </c>
      <c r="G6" s="87" t="s">
        <v>1705</v>
      </c>
      <c r="H6" s="87" t="s">
        <v>1706</v>
      </c>
      <c r="I6" s="87" t="s">
        <v>1707</v>
      </c>
      <c r="J6" s="87" t="s">
        <v>1708</v>
      </c>
      <c r="K6" s="87" t="s">
        <v>1709</v>
      </c>
      <c r="L6" s="87" t="s">
        <v>1710</v>
      </c>
      <c r="M6" s="87" t="s">
        <v>1711</v>
      </c>
      <c r="N6" s="91"/>
      <c r="O6" s="20"/>
    </row>
    <row r="7" spans="1:15" ht="16">
      <c r="A7" s="6"/>
      <c r="B7" s="6" t="str">
        <f>MUSTERILER!B7</f>
        <v>M019</v>
      </c>
      <c r="C7" s="6" t="str">
        <f>MUSTERILER!C7</f>
        <v>AC OTEL LTD.ŞTİ.</v>
      </c>
      <c r="D7" s="13">
        <f>SUMIFS(UCRETLER!$G$7:$G$306,UCRETLER!$B$7:$B$306,B7,UCRETLER!$F$7:$F$306,"Haftalık")</f>
        <v>0</v>
      </c>
      <c r="E7" s="13">
        <f>SUMIFS(UCRETLER!$G$7:$G$306,UCRETLER!$B$7:$B$306,B7,UCRETLER!$F$7:$F$306,"Aylık")</f>
        <v>4000</v>
      </c>
      <c r="F7" s="13">
        <f>MUSTERILER!J7</f>
        <v>0</v>
      </c>
      <c r="G7" s="13">
        <f>SUMIFS(UCRETLER!$I$7:$I$306,UCRETLER!$B$7:$B$306,B7)+SUMIFS(GELIR_GIDER!$G$7:$G$1000,GELIR_GIDER!$L$7:$L$1000,C7,GELIR_GIDER!$D$7:$D$1000,"Gelir",GELIR_GIDER!$I$7:$I$1000,"Hayır")</f>
        <v>32000</v>
      </c>
      <c r="H7" s="13">
        <f t="shared" ref="H7:H38" si="0">F7+G7</f>
        <v>32000</v>
      </c>
      <c r="I7" s="13">
        <f>SUMIFS(TAHSILAT!$F$7:$F$1006,TAHSILAT!$C$7:$C$1006,B7)</f>
        <v>18000</v>
      </c>
      <c r="J7" s="13">
        <f t="shared" ref="J7:J38" si="1">H7-I7</f>
        <v>14000</v>
      </c>
      <c r="K7" s="15">
        <f t="shared" ref="K7:K38" si="2">IF(H7=0,0,I7/H7)</f>
        <v>0.5625</v>
      </c>
      <c r="L7" s="6" t="str">
        <f t="shared" ref="L7:L38" si="3">IF(J7&lt;=0,"KAPALI",IF(K7&lt;0.25,"KRİTİK",IF(K7&lt;0.6,"TAKİP","NORMAL")))</f>
        <v>TAKİP</v>
      </c>
      <c r="M7" s="6" t="str">
        <f t="shared" ref="M7:M38" si="4">IF(L7="KRİTİK","Acil tahsilat görüşmesi",IF(L7="TAKİP","Tahsilat planı oluştur","Rutin takip"))</f>
        <v>Tahsilat planı oluştur</v>
      </c>
      <c r="N7" s="6"/>
      <c r="O7" s="6"/>
    </row>
    <row r="8" spans="1:15" ht="16">
      <c r="A8" s="6"/>
      <c r="B8" s="6" t="str">
        <f>MUSTERILER!B8</f>
        <v>M022</v>
      </c>
      <c r="C8" s="6" t="str">
        <f>MUSTERILER!C8</f>
        <v>ADEM KARABENLİ</v>
      </c>
      <c r="D8" s="13">
        <f>SUMIFS(UCRETLER!$G$7:$G$306,UCRETLER!$B$7:$B$306,B8,UCRETLER!$F$7:$F$306,"Haftalık")</f>
        <v>0</v>
      </c>
      <c r="E8" s="13">
        <f>SUMIFS(UCRETLER!$G$7:$G$306,UCRETLER!$B$7:$B$306,B8,UCRETLER!$F$7:$F$306,"Aylık")</f>
        <v>3000</v>
      </c>
      <c r="F8" s="13">
        <f>MUSTERILER!J8</f>
        <v>0</v>
      </c>
      <c r="G8" s="13">
        <f>SUMIFS(UCRETLER!$I$7:$I$306,UCRETLER!$B$7:$B$306,B8)+SUMIFS(GELIR_GIDER!$G$7:$G$1000,GELIR_GIDER!$L$7:$L$1000,C8,GELIR_GIDER!$D$7:$D$1000,"Gelir",GELIR_GIDER!$I$7:$I$1000,"Hayır")</f>
        <v>24000</v>
      </c>
      <c r="H8" s="13">
        <f t="shared" si="0"/>
        <v>24000</v>
      </c>
      <c r="I8" s="13">
        <f>SUMIFS(TAHSILAT!$F$7:$F$1006,TAHSILAT!$C$7:$C$1006,B8)</f>
        <v>3000</v>
      </c>
      <c r="J8" s="13">
        <f t="shared" si="1"/>
        <v>21000</v>
      </c>
      <c r="K8" s="15">
        <f t="shared" si="2"/>
        <v>0.125</v>
      </c>
      <c r="L8" s="6" t="str">
        <f t="shared" si="3"/>
        <v>KRİTİK</v>
      </c>
      <c r="M8" s="6" t="str">
        <f t="shared" si="4"/>
        <v>Acil tahsilat görüşmesi</v>
      </c>
      <c r="N8" s="6"/>
      <c r="O8" s="6"/>
    </row>
    <row r="9" spans="1:15" ht="16">
      <c r="A9" s="6"/>
      <c r="B9" s="6" t="str">
        <f>MUSTERILER!B9</f>
        <v>M023</v>
      </c>
      <c r="C9" s="6" t="str">
        <f>MUSTERILER!C9</f>
        <v>ALTINEL LTD.ŞTİ.</v>
      </c>
      <c r="D9" s="13">
        <f>SUMIFS(UCRETLER!$G$7:$G$306,UCRETLER!$B$7:$B$306,B9,UCRETLER!$F$7:$F$306,"Haftalık")</f>
        <v>0</v>
      </c>
      <c r="E9" s="13">
        <f>SUMIFS(UCRETLER!$G$7:$G$306,UCRETLER!$B$7:$B$306,B9,UCRETLER!$F$7:$F$306,"Aylık")</f>
        <v>10000</v>
      </c>
      <c r="F9" s="13">
        <f>MUSTERILER!J9</f>
        <v>0</v>
      </c>
      <c r="G9" s="13">
        <f>SUMIFS(UCRETLER!$I$7:$I$306,UCRETLER!$B$7:$B$306,B9)+SUMIFS(GELIR_GIDER!$G$7:$G$1000,GELIR_GIDER!$L$7:$L$1000,C9,GELIR_GIDER!$D$7:$D$1000,"Gelir",GELIR_GIDER!$I$7:$I$1000,"Hayır")</f>
        <v>0</v>
      </c>
      <c r="H9" s="13">
        <f t="shared" si="0"/>
        <v>0</v>
      </c>
      <c r="I9" s="13">
        <f>SUMIFS(TAHSILAT!$F$7:$F$1006,TAHSILAT!$C$7:$C$1006,B9)</f>
        <v>84000</v>
      </c>
      <c r="J9" s="13">
        <f t="shared" si="1"/>
        <v>-84000</v>
      </c>
      <c r="K9" s="15">
        <f t="shared" si="2"/>
        <v>0</v>
      </c>
      <c r="L9" s="6" t="str">
        <f t="shared" si="3"/>
        <v>KAPALI</v>
      </c>
      <c r="M9" s="6" t="str">
        <f t="shared" si="4"/>
        <v>Rutin takip</v>
      </c>
      <c r="N9" s="6"/>
      <c r="O9" s="6"/>
    </row>
    <row r="10" spans="1:15" ht="16">
      <c r="A10" s="6"/>
      <c r="B10" s="6" t="str">
        <f>MUSTERILER!B10</f>
        <v>M001</v>
      </c>
      <c r="C10" s="6" t="str">
        <f>MUSTERILER!C10</f>
        <v>ANKARA HAVANA LTD.ŞTİ.</v>
      </c>
      <c r="D10" s="13">
        <f>SUMIFS(UCRETLER!$G$7:$G$306,UCRETLER!$B$7:$B$306,B10,UCRETLER!$F$7:$F$306,"Haftalık")</f>
        <v>4000</v>
      </c>
      <c r="E10" s="13">
        <f>SUMIFS(UCRETLER!$G$7:$G$306,UCRETLER!$B$7:$B$306,B10,UCRETLER!$F$7:$F$306,"Aylık")</f>
        <v>0</v>
      </c>
      <c r="F10" s="13">
        <f>MUSTERILER!J10</f>
        <v>0</v>
      </c>
      <c r="G10" s="13">
        <f>SUMIFS(UCRETLER!$I$7:$I$306,UCRETLER!$B$7:$B$306,B10)+SUMIFS(GELIR_GIDER!$G$7:$G$1000,GELIR_GIDER!$L$7:$L$1000,C10,GELIR_GIDER!$D$7:$D$1000,"Gelir",GELIR_GIDER!$I$7:$I$1000,"Hayır")</f>
        <v>136000</v>
      </c>
      <c r="H10" s="13">
        <f t="shared" si="0"/>
        <v>136000</v>
      </c>
      <c r="I10" s="13">
        <f>SUMIFS(TAHSILAT!$F$7:$F$1006,TAHSILAT!$C$7:$C$1006,B10)</f>
        <v>116000</v>
      </c>
      <c r="J10" s="13">
        <f t="shared" si="1"/>
        <v>20000</v>
      </c>
      <c r="K10" s="15">
        <f t="shared" si="2"/>
        <v>0.8529411764705882</v>
      </c>
      <c r="L10" s="6" t="str">
        <f t="shared" si="3"/>
        <v>NORMAL</v>
      </c>
      <c r="M10" s="6" t="str">
        <f t="shared" si="4"/>
        <v>Rutin takip</v>
      </c>
      <c r="N10" s="6"/>
      <c r="O10" s="6"/>
    </row>
    <row r="11" spans="1:15" ht="16">
      <c r="A11" s="6"/>
      <c r="B11" s="6" t="str">
        <f>MUSTERILER!B11</f>
        <v>M024</v>
      </c>
      <c r="C11" s="6" t="str">
        <f>MUSTERILER!C11</f>
        <v>ARMAN DİK</v>
      </c>
      <c r="D11" s="13">
        <f>SUMIFS(UCRETLER!$G$7:$G$306,UCRETLER!$B$7:$B$306,B11,UCRETLER!$F$7:$F$306,"Haftalık")</f>
        <v>0</v>
      </c>
      <c r="E11" s="13">
        <f>SUMIFS(UCRETLER!$G$7:$G$306,UCRETLER!$B$7:$B$306,B11,UCRETLER!$F$7:$F$306,"Aylık")</f>
        <v>3000</v>
      </c>
      <c r="F11" s="13">
        <f>MUSTERILER!J11</f>
        <v>0</v>
      </c>
      <c r="G11" s="13">
        <f>SUMIFS(UCRETLER!$I$7:$I$306,UCRETLER!$B$7:$B$306,B11)+SUMIFS(GELIR_GIDER!$G$7:$G$1000,GELIR_GIDER!$L$7:$L$1000,C11,GELIR_GIDER!$D$7:$D$1000,"Gelir",GELIR_GIDER!$I$7:$I$1000,"Hayır")</f>
        <v>24000</v>
      </c>
      <c r="H11" s="13">
        <f t="shared" si="0"/>
        <v>24000</v>
      </c>
      <c r="I11" s="13">
        <f>SUMIFS(TAHSILAT!$F$7:$F$1006,TAHSILAT!$C$7:$C$1006,B11)</f>
        <v>33000</v>
      </c>
      <c r="J11" s="13">
        <f t="shared" si="1"/>
        <v>-9000</v>
      </c>
      <c r="K11" s="15">
        <f t="shared" si="2"/>
        <v>1.375</v>
      </c>
      <c r="L11" s="6" t="str">
        <f t="shared" si="3"/>
        <v>KAPALI</v>
      </c>
      <c r="M11" s="6" t="str">
        <f t="shared" si="4"/>
        <v>Rutin takip</v>
      </c>
      <c r="N11" s="6"/>
      <c r="O11" s="6"/>
    </row>
    <row r="12" spans="1:15" ht="16">
      <c r="A12" s="6"/>
      <c r="B12" s="6" t="str">
        <f>MUSTERILER!B12</f>
        <v>M021</v>
      </c>
      <c r="C12" s="6" t="str">
        <f>MUSTERILER!C12</f>
        <v>ARON TOPTAN LTD.ŞTİ.</v>
      </c>
      <c r="D12" s="13">
        <f>SUMIFS(UCRETLER!$G$7:$G$306,UCRETLER!$B$7:$B$306,B12,UCRETLER!$F$7:$F$306,"Haftalık")</f>
        <v>0</v>
      </c>
      <c r="E12" s="13">
        <f>SUMIFS(UCRETLER!$G$7:$G$306,UCRETLER!$B$7:$B$306,B12,UCRETLER!$F$7:$F$306,"Aylık")</f>
        <v>10000</v>
      </c>
      <c r="F12" s="13">
        <f>MUSTERILER!J12</f>
        <v>0</v>
      </c>
      <c r="G12" s="13">
        <f>SUMIFS(UCRETLER!$I$7:$I$306,UCRETLER!$B$7:$B$306,B12)+SUMIFS(GELIR_GIDER!$G$7:$G$1000,GELIR_GIDER!$L$7:$L$1000,C12,GELIR_GIDER!$D$7:$D$1000,"Gelir",GELIR_GIDER!$I$7:$I$1000,"Hayır")</f>
        <v>80000</v>
      </c>
      <c r="H12" s="13">
        <f t="shared" si="0"/>
        <v>80000</v>
      </c>
      <c r="I12" s="13">
        <f>SUMIFS(TAHSILAT!$F$7:$F$1006,TAHSILAT!$C$7:$C$1006,B12)</f>
        <v>70000</v>
      </c>
      <c r="J12" s="13">
        <f t="shared" si="1"/>
        <v>10000</v>
      </c>
      <c r="K12" s="15">
        <f t="shared" si="2"/>
        <v>0.875</v>
      </c>
      <c r="L12" s="6" t="str">
        <f t="shared" si="3"/>
        <v>NORMAL</v>
      </c>
      <c r="M12" s="6" t="str">
        <f t="shared" si="4"/>
        <v>Rutin takip</v>
      </c>
      <c r="N12" s="6"/>
      <c r="O12" s="6"/>
    </row>
    <row r="13" spans="1:15" ht="16">
      <c r="A13" s="6"/>
      <c r="B13" s="6" t="str">
        <f>MUSTERILER!B13</f>
        <v>M025</v>
      </c>
      <c r="C13" s="6" t="str">
        <f>MUSTERILER!C13</f>
        <v>ASIM AÇIKGÖZ</v>
      </c>
      <c r="D13" s="13">
        <f>SUMIFS(UCRETLER!$G$7:$G$306,UCRETLER!$B$7:$B$306,B13,UCRETLER!$F$7:$F$306,"Haftalık")</f>
        <v>2000</v>
      </c>
      <c r="E13" s="13">
        <f>SUMIFS(UCRETLER!$G$7:$G$306,UCRETLER!$B$7:$B$306,B13,UCRETLER!$F$7:$F$306,"Aylık")</f>
        <v>0</v>
      </c>
      <c r="F13" s="13">
        <f>MUSTERILER!J13</f>
        <v>0</v>
      </c>
      <c r="G13" s="13">
        <f>SUMIFS(UCRETLER!$I$7:$I$306,UCRETLER!$B$7:$B$306,B13)+SUMIFS(GELIR_GIDER!$G$7:$G$1000,GELIR_GIDER!$L$7:$L$1000,C13,GELIR_GIDER!$D$7:$D$1000,"Gelir",GELIR_GIDER!$I$7:$I$1000,"Hayır")</f>
        <v>68000</v>
      </c>
      <c r="H13" s="13">
        <f t="shared" si="0"/>
        <v>68000</v>
      </c>
      <c r="I13" s="13">
        <f>SUMIFS(TAHSILAT!$F$7:$F$1006,TAHSILAT!$C$7:$C$1006,B13)</f>
        <v>68000</v>
      </c>
      <c r="J13" s="13">
        <f t="shared" si="1"/>
        <v>0</v>
      </c>
      <c r="K13" s="15">
        <f t="shared" si="2"/>
        <v>1</v>
      </c>
      <c r="L13" s="6" t="str">
        <f t="shared" si="3"/>
        <v>KAPALI</v>
      </c>
      <c r="M13" s="6" t="str">
        <f t="shared" si="4"/>
        <v>Rutin takip</v>
      </c>
      <c r="N13" s="6"/>
      <c r="O13" s="6"/>
    </row>
    <row r="14" spans="1:15" ht="16">
      <c r="A14" s="6"/>
      <c r="B14" s="6" t="str">
        <f>MUSTERILER!B14</f>
        <v>M017</v>
      </c>
      <c r="C14" s="6" t="str">
        <f>MUSTERILER!C14</f>
        <v>ASM EĞLENCE LTD.ŞTİ.</v>
      </c>
      <c r="D14" s="13">
        <f>SUMIFS(UCRETLER!$G$7:$G$306,UCRETLER!$B$7:$B$306,B14,UCRETLER!$F$7:$F$306,"Haftalık")</f>
        <v>2500</v>
      </c>
      <c r="E14" s="13">
        <f>SUMIFS(UCRETLER!$G$7:$G$306,UCRETLER!$B$7:$B$306,B14,UCRETLER!$F$7:$F$306,"Aylık")</f>
        <v>0</v>
      </c>
      <c r="F14" s="13">
        <f>MUSTERILER!J14</f>
        <v>0</v>
      </c>
      <c r="G14" s="13">
        <f>SUMIFS(UCRETLER!$I$7:$I$306,UCRETLER!$B$7:$B$306,B14)+SUMIFS(GELIR_GIDER!$G$7:$G$1000,GELIR_GIDER!$L$7:$L$1000,C14,GELIR_GIDER!$D$7:$D$1000,"Gelir",GELIR_GIDER!$I$7:$I$1000,"Hayır")</f>
        <v>85000</v>
      </c>
      <c r="H14" s="13">
        <f t="shared" si="0"/>
        <v>85000</v>
      </c>
      <c r="I14" s="13">
        <f>SUMIFS(TAHSILAT!$F$7:$F$1006,TAHSILAT!$C$7:$C$1006,B14)</f>
        <v>85000</v>
      </c>
      <c r="J14" s="13">
        <f t="shared" si="1"/>
        <v>0</v>
      </c>
      <c r="K14" s="15">
        <f t="shared" si="2"/>
        <v>1</v>
      </c>
      <c r="L14" s="6" t="str">
        <f t="shared" si="3"/>
        <v>KAPALI</v>
      </c>
      <c r="M14" s="6" t="str">
        <f t="shared" si="4"/>
        <v>Rutin takip</v>
      </c>
      <c r="N14" s="6"/>
      <c r="O14" s="6"/>
    </row>
    <row r="15" spans="1:15" ht="16">
      <c r="A15" s="6"/>
      <c r="B15" s="6" t="str">
        <f>MUSTERILER!B15</f>
        <v>M026</v>
      </c>
      <c r="C15" s="6" t="str">
        <f>MUSTERILER!C15</f>
        <v>AYDES LTD.ŞTİ.</v>
      </c>
      <c r="D15" s="13">
        <f>SUMIFS(UCRETLER!$G$7:$G$306,UCRETLER!$B$7:$B$306,B15,UCRETLER!$F$7:$F$306,"Haftalık")</f>
        <v>0</v>
      </c>
      <c r="E15" s="13">
        <f>SUMIFS(UCRETLER!$G$7:$G$306,UCRETLER!$B$7:$B$306,B15,UCRETLER!$F$7:$F$306,"Aylık")</f>
        <v>7500</v>
      </c>
      <c r="F15" s="13">
        <f>MUSTERILER!J15</f>
        <v>0</v>
      </c>
      <c r="G15" s="13">
        <f>SUMIFS(UCRETLER!$I$7:$I$306,UCRETLER!$B$7:$B$306,B15)+SUMIFS(GELIR_GIDER!$G$7:$G$1000,GELIR_GIDER!$L$7:$L$1000,C15,GELIR_GIDER!$D$7:$D$1000,"Gelir",GELIR_GIDER!$I$7:$I$1000,"Hayır")</f>
        <v>60000</v>
      </c>
      <c r="H15" s="13">
        <f t="shared" si="0"/>
        <v>60000</v>
      </c>
      <c r="I15" s="13">
        <f>SUMIFS(TAHSILAT!$F$7:$F$1006,TAHSILAT!$C$7:$C$1006,B15)</f>
        <v>0</v>
      </c>
      <c r="J15" s="13">
        <f t="shared" si="1"/>
        <v>60000</v>
      </c>
      <c r="K15" s="15">
        <f t="shared" si="2"/>
        <v>0</v>
      </c>
      <c r="L15" s="6" t="str">
        <f t="shared" si="3"/>
        <v>KRİTİK</v>
      </c>
      <c r="M15" s="6" t="str">
        <f t="shared" si="4"/>
        <v>Acil tahsilat görüşmesi</v>
      </c>
      <c r="N15" s="6"/>
      <c r="O15" s="6"/>
    </row>
    <row r="16" spans="1:15" ht="16">
      <c r="A16" s="6"/>
      <c r="B16" s="6" t="str">
        <f>MUSTERILER!B16</f>
        <v>M015</v>
      </c>
      <c r="C16" s="6" t="str">
        <f>MUSTERILER!C16</f>
        <v>ÇAYIRALAN LTD.ŞTİ.</v>
      </c>
      <c r="D16" s="13">
        <f>SUMIFS(UCRETLER!$G$7:$G$306,UCRETLER!$B$7:$B$306,B16,UCRETLER!$F$7:$F$306,"Haftalık")</f>
        <v>3000</v>
      </c>
      <c r="E16" s="13">
        <f>SUMIFS(UCRETLER!$G$7:$G$306,UCRETLER!$B$7:$B$306,B16,UCRETLER!$F$7:$F$306,"Aylık")</f>
        <v>0</v>
      </c>
      <c r="F16" s="13">
        <f>MUSTERILER!J16</f>
        <v>0</v>
      </c>
      <c r="G16" s="13">
        <f>SUMIFS(UCRETLER!$I$7:$I$306,UCRETLER!$B$7:$B$306,B16)+SUMIFS(GELIR_GIDER!$G$7:$G$1000,GELIR_GIDER!$L$7:$L$1000,C16,GELIR_GIDER!$D$7:$D$1000,"Gelir",GELIR_GIDER!$I$7:$I$1000,"Hayır")</f>
        <v>102000</v>
      </c>
      <c r="H16" s="13">
        <f t="shared" si="0"/>
        <v>102000</v>
      </c>
      <c r="I16" s="13">
        <f>SUMIFS(TAHSILAT!$F$7:$F$1006,TAHSILAT!$C$7:$C$1006,B16)</f>
        <v>102000</v>
      </c>
      <c r="J16" s="13">
        <f t="shared" si="1"/>
        <v>0</v>
      </c>
      <c r="K16" s="15">
        <f t="shared" si="2"/>
        <v>1</v>
      </c>
      <c r="L16" s="6" t="str">
        <f t="shared" si="3"/>
        <v>KAPALI</v>
      </c>
      <c r="M16" s="6" t="str">
        <f t="shared" si="4"/>
        <v>Rutin takip</v>
      </c>
      <c r="N16" s="6"/>
      <c r="O16" s="6"/>
    </row>
    <row r="17" spans="1:15" ht="16">
      <c r="A17" s="6"/>
      <c r="B17" s="6" t="str">
        <f>MUSTERILER!B17</f>
        <v>M027</v>
      </c>
      <c r="C17" s="6" t="str">
        <f>MUSTERILER!C17</f>
        <v>CEREN DEMİRCİ</v>
      </c>
      <c r="D17" s="13">
        <f>SUMIFS(UCRETLER!$G$7:$G$306,UCRETLER!$B$7:$B$306,B17,UCRETLER!$F$7:$F$306,"Haftalık")</f>
        <v>0</v>
      </c>
      <c r="E17" s="13">
        <f>SUMIFS(UCRETLER!$G$7:$G$306,UCRETLER!$B$7:$B$306,B17,UCRETLER!$F$7:$F$306,"Aylık")</f>
        <v>4000</v>
      </c>
      <c r="F17" s="13">
        <f>MUSTERILER!J17</f>
        <v>0</v>
      </c>
      <c r="G17" s="13">
        <f>SUMIFS(UCRETLER!$I$7:$I$306,UCRETLER!$B$7:$B$306,B17)+SUMIFS(GELIR_GIDER!$G$7:$G$1000,GELIR_GIDER!$L$7:$L$1000,C17,GELIR_GIDER!$D$7:$D$1000,"Gelir",GELIR_GIDER!$I$7:$I$1000,"Hayır")</f>
        <v>32000</v>
      </c>
      <c r="H17" s="13">
        <f t="shared" si="0"/>
        <v>32000</v>
      </c>
      <c r="I17" s="13">
        <f>SUMIFS(TAHSILAT!$F$7:$F$1006,TAHSILAT!$C$7:$C$1006,B17)</f>
        <v>20000</v>
      </c>
      <c r="J17" s="13">
        <f t="shared" si="1"/>
        <v>12000</v>
      </c>
      <c r="K17" s="15">
        <f t="shared" si="2"/>
        <v>0.625</v>
      </c>
      <c r="L17" s="6" t="str">
        <f t="shared" si="3"/>
        <v>NORMAL</v>
      </c>
      <c r="M17" s="6" t="str">
        <f t="shared" si="4"/>
        <v>Rutin takip</v>
      </c>
      <c r="N17" s="6"/>
      <c r="O17" s="6"/>
    </row>
    <row r="18" spans="1:15" ht="16">
      <c r="A18" s="6"/>
      <c r="B18" s="6" t="str">
        <f>MUSTERILER!B18</f>
        <v>M018</v>
      </c>
      <c r="C18" s="6" t="str">
        <f>MUSTERILER!C18</f>
        <v>ÇINARHAN LTD.ŞTİ.</v>
      </c>
      <c r="D18" s="13">
        <f>SUMIFS(UCRETLER!$G$7:$G$306,UCRETLER!$B$7:$B$306,B18,UCRETLER!$F$7:$F$306,"Haftalık")</f>
        <v>6500</v>
      </c>
      <c r="E18" s="13">
        <f>SUMIFS(UCRETLER!$G$7:$G$306,UCRETLER!$B$7:$B$306,B18,UCRETLER!$F$7:$F$306,"Aylık")</f>
        <v>0</v>
      </c>
      <c r="F18" s="13">
        <f>MUSTERILER!J18</f>
        <v>0</v>
      </c>
      <c r="G18" s="13">
        <f>SUMIFS(UCRETLER!$I$7:$I$306,UCRETLER!$B$7:$B$306,B18)+SUMIFS(GELIR_GIDER!$G$7:$G$1000,GELIR_GIDER!$L$7:$L$1000,C18,GELIR_GIDER!$D$7:$D$1000,"Gelir",GELIR_GIDER!$I$7:$I$1000,"Hayır")</f>
        <v>88000</v>
      </c>
      <c r="H18" s="13">
        <f t="shared" si="0"/>
        <v>88000</v>
      </c>
      <c r="I18" s="13">
        <f>SUMIFS(TAHSILAT!$F$7:$F$1006,TAHSILAT!$C$7:$C$1006,B18)</f>
        <v>88000</v>
      </c>
      <c r="J18" s="13">
        <f t="shared" si="1"/>
        <v>0</v>
      </c>
      <c r="K18" s="15">
        <f t="shared" si="2"/>
        <v>1</v>
      </c>
      <c r="L18" s="6" t="str">
        <f t="shared" si="3"/>
        <v>KAPALI</v>
      </c>
      <c r="M18" s="6" t="str">
        <f t="shared" si="4"/>
        <v>Rutin takip</v>
      </c>
      <c r="N18" s="6"/>
      <c r="O18" s="6"/>
    </row>
    <row r="19" spans="1:15" ht="16">
      <c r="A19" s="6"/>
      <c r="B19" s="6" t="str">
        <f>MUSTERILER!B19</f>
        <v>M028</v>
      </c>
      <c r="C19" s="6" t="str">
        <f>MUSTERILER!C19</f>
        <v>DERVİŞHAN LTD.ŞTİ.</v>
      </c>
      <c r="D19" s="13">
        <f>SUMIFS(UCRETLER!$G$7:$G$306,UCRETLER!$B$7:$B$306,B19,UCRETLER!$F$7:$F$306,"Haftalık")</f>
        <v>0</v>
      </c>
      <c r="E19" s="13">
        <f>SUMIFS(UCRETLER!$G$7:$G$306,UCRETLER!$B$7:$B$306,B19,UCRETLER!$F$7:$F$306,"Aylık")</f>
        <v>10000</v>
      </c>
      <c r="F19" s="13">
        <f>MUSTERILER!J19</f>
        <v>0</v>
      </c>
      <c r="G19" s="13">
        <f>SUMIFS(UCRETLER!$I$7:$I$306,UCRETLER!$B$7:$B$306,B19)+SUMIFS(GELIR_GIDER!$G$7:$G$1000,GELIR_GIDER!$L$7:$L$1000,C19,GELIR_GIDER!$D$7:$D$1000,"Gelir",GELIR_GIDER!$I$7:$I$1000,"Hayır")</f>
        <v>80000</v>
      </c>
      <c r="H19" s="13">
        <f t="shared" si="0"/>
        <v>80000</v>
      </c>
      <c r="I19" s="13">
        <f>SUMIFS(TAHSILAT!$F$7:$F$1006,TAHSILAT!$C$7:$C$1006,B19)</f>
        <v>0</v>
      </c>
      <c r="J19" s="13">
        <f t="shared" si="1"/>
        <v>80000</v>
      </c>
      <c r="K19" s="15">
        <f t="shared" si="2"/>
        <v>0</v>
      </c>
      <c r="L19" s="6" t="str">
        <f t="shared" si="3"/>
        <v>KRİTİK</v>
      </c>
      <c r="M19" s="6" t="str">
        <f t="shared" si="4"/>
        <v>Acil tahsilat görüşmesi</v>
      </c>
      <c r="N19" s="6"/>
      <c r="O19" s="6"/>
    </row>
    <row r="20" spans="1:15" ht="16">
      <c r="A20" s="6"/>
      <c r="B20" s="6" t="str">
        <f>MUSTERILER!B20</f>
        <v>M011</v>
      </c>
      <c r="C20" s="6" t="str">
        <f>MUSTERILER!C20</f>
        <v>EĞLENGÖR LTD.ŞTİ.</v>
      </c>
      <c r="D20" s="13">
        <f>SUMIFS(UCRETLER!$G$7:$G$306,UCRETLER!$B$7:$B$306,B20,UCRETLER!$F$7:$F$306,"Haftalık")</f>
        <v>7000</v>
      </c>
      <c r="E20" s="13">
        <f>SUMIFS(UCRETLER!$G$7:$G$306,UCRETLER!$B$7:$B$306,B20,UCRETLER!$F$7:$F$306,"Aylık")</f>
        <v>0</v>
      </c>
      <c r="F20" s="13">
        <f>MUSTERILER!J20</f>
        <v>0</v>
      </c>
      <c r="G20" s="13">
        <f>SUMIFS(UCRETLER!$I$7:$I$306,UCRETLER!$B$7:$B$306,B20)+SUMIFS(GELIR_GIDER!$G$7:$G$1000,GELIR_GIDER!$L$7:$L$1000,C20,GELIR_GIDER!$D$7:$D$1000,"Gelir",GELIR_GIDER!$I$7:$I$1000,"Hayır")</f>
        <v>117000</v>
      </c>
      <c r="H20" s="13">
        <f t="shared" si="0"/>
        <v>117000</v>
      </c>
      <c r="I20" s="13">
        <f>SUMIFS(TAHSILAT!$F$7:$F$1006,TAHSILAT!$C$7:$C$1006,B20)</f>
        <v>117000</v>
      </c>
      <c r="J20" s="13">
        <f t="shared" si="1"/>
        <v>0</v>
      </c>
      <c r="K20" s="15">
        <f t="shared" si="2"/>
        <v>1</v>
      </c>
      <c r="L20" s="6" t="str">
        <f t="shared" si="3"/>
        <v>KAPALI</v>
      </c>
      <c r="M20" s="6" t="str">
        <f t="shared" si="4"/>
        <v>Rutin takip</v>
      </c>
      <c r="N20" s="6"/>
      <c r="O20" s="6"/>
    </row>
    <row r="21" spans="1:15" ht="16">
      <c r="A21" s="6"/>
      <c r="B21" s="6" t="str">
        <f>MUSTERILER!B21</f>
        <v>M029</v>
      </c>
      <c r="C21" s="6" t="str">
        <f>MUSTERILER!C21</f>
        <v>EMRAH SAVURKAN</v>
      </c>
      <c r="D21" s="13">
        <f>SUMIFS(UCRETLER!$G$7:$G$306,UCRETLER!$B$7:$B$306,B21,UCRETLER!$F$7:$F$306,"Haftalık")</f>
        <v>0</v>
      </c>
      <c r="E21" s="13">
        <f>SUMIFS(UCRETLER!$G$7:$G$306,UCRETLER!$B$7:$B$306,B21,UCRETLER!$F$7:$F$306,"Aylık")</f>
        <v>2000</v>
      </c>
      <c r="F21" s="13">
        <f>MUSTERILER!J21</f>
        <v>0</v>
      </c>
      <c r="G21" s="13">
        <f>SUMIFS(UCRETLER!$I$7:$I$306,UCRETLER!$B$7:$B$306,B21)+SUMIFS(GELIR_GIDER!$G$7:$G$1000,GELIR_GIDER!$L$7:$L$1000,C21,GELIR_GIDER!$D$7:$D$1000,"Gelir",GELIR_GIDER!$I$7:$I$1000,"Hayır")</f>
        <v>16000</v>
      </c>
      <c r="H21" s="13">
        <f t="shared" si="0"/>
        <v>16000</v>
      </c>
      <c r="I21" s="13">
        <f>SUMIFS(TAHSILAT!$F$7:$F$1006,TAHSILAT!$C$7:$C$1006,B21)</f>
        <v>6000</v>
      </c>
      <c r="J21" s="13">
        <f t="shared" si="1"/>
        <v>10000</v>
      </c>
      <c r="K21" s="15">
        <f t="shared" si="2"/>
        <v>0.375</v>
      </c>
      <c r="L21" s="6" t="str">
        <f t="shared" si="3"/>
        <v>TAKİP</v>
      </c>
      <c r="M21" s="6" t="str">
        <f t="shared" si="4"/>
        <v>Tahsilat planı oluştur</v>
      </c>
      <c r="N21" s="6"/>
      <c r="O21" s="6"/>
    </row>
    <row r="22" spans="1:15" ht="16">
      <c r="A22" s="6"/>
      <c r="B22" s="6" t="str">
        <f>MUSTERILER!B22</f>
        <v>M002</v>
      </c>
      <c r="C22" s="6" t="str">
        <f>MUSTERILER!C22</f>
        <v>ESERLİ LTD.ŞTİ.</v>
      </c>
      <c r="D22" s="13">
        <f>SUMIFS(UCRETLER!$G$7:$G$306,UCRETLER!$B$7:$B$306,B22,UCRETLER!$F$7:$F$306,"Haftalık")</f>
        <v>3500</v>
      </c>
      <c r="E22" s="13">
        <f>SUMIFS(UCRETLER!$G$7:$G$306,UCRETLER!$B$7:$B$306,B22,UCRETLER!$F$7:$F$306,"Aylık")</f>
        <v>0</v>
      </c>
      <c r="F22" s="13">
        <f>MUSTERILER!J22</f>
        <v>0</v>
      </c>
      <c r="G22" s="13">
        <f>SUMIFS(UCRETLER!$I$7:$I$306,UCRETLER!$B$7:$B$306,B22)+SUMIFS(GELIR_GIDER!$G$7:$G$1000,GELIR_GIDER!$L$7:$L$1000,C22,GELIR_GIDER!$D$7:$D$1000,"Gelir",GELIR_GIDER!$I$7:$I$1000,"Hayır")</f>
        <v>119000</v>
      </c>
      <c r="H22" s="13">
        <f t="shared" si="0"/>
        <v>119000</v>
      </c>
      <c r="I22" s="13">
        <f>SUMIFS(TAHSILAT!$F$7:$F$1006,TAHSILAT!$C$7:$C$1006,B22)</f>
        <v>10500</v>
      </c>
      <c r="J22" s="13">
        <f t="shared" si="1"/>
        <v>108500</v>
      </c>
      <c r="K22" s="15">
        <f t="shared" si="2"/>
        <v>8.8235294117647065E-2</v>
      </c>
      <c r="L22" s="6" t="str">
        <f t="shared" si="3"/>
        <v>KRİTİK</v>
      </c>
      <c r="M22" s="6" t="str">
        <f t="shared" si="4"/>
        <v>Acil tahsilat görüşmesi</v>
      </c>
      <c r="N22" s="6"/>
      <c r="O22" s="6"/>
    </row>
    <row r="23" spans="1:15" ht="16">
      <c r="A23" s="6"/>
      <c r="B23" s="6" t="str">
        <f>MUSTERILER!B23</f>
        <v>M030</v>
      </c>
      <c r="C23" s="6" t="str">
        <f>MUSTERILER!C23</f>
        <v>FARUK DEMİRCİ</v>
      </c>
      <c r="D23" s="13">
        <f>SUMIFS(UCRETLER!$G$7:$G$306,UCRETLER!$B$7:$B$306,B23,UCRETLER!$F$7:$F$306,"Haftalık")</f>
        <v>0</v>
      </c>
      <c r="E23" s="13">
        <f>SUMIFS(UCRETLER!$G$7:$G$306,UCRETLER!$B$7:$B$306,B23,UCRETLER!$F$7:$F$306,"Aylık")</f>
        <v>2000</v>
      </c>
      <c r="F23" s="13">
        <f>MUSTERILER!J23</f>
        <v>0</v>
      </c>
      <c r="G23" s="13">
        <f>SUMIFS(UCRETLER!$I$7:$I$306,UCRETLER!$B$7:$B$306,B23)+SUMIFS(GELIR_GIDER!$G$7:$G$1000,GELIR_GIDER!$L$7:$L$1000,C23,GELIR_GIDER!$D$7:$D$1000,"Gelir",GELIR_GIDER!$I$7:$I$1000,"Hayır")</f>
        <v>16000</v>
      </c>
      <c r="H23" s="13">
        <f t="shared" si="0"/>
        <v>16000</v>
      </c>
      <c r="I23" s="13">
        <f>SUMIFS(TAHSILAT!$F$7:$F$1006,TAHSILAT!$C$7:$C$1006,B23)</f>
        <v>8000</v>
      </c>
      <c r="J23" s="13">
        <f t="shared" si="1"/>
        <v>8000</v>
      </c>
      <c r="K23" s="15">
        <f t="shared" si="2"/>
        <v>0.5</v>
      </c>
      <c r="L23" s="6" t="str">
        <f t="shared" si="3"/>
        <v>TAKİP</v>
      </c>
      <c r="M23" s="6" t="str">
        <f t="shared" si="4"/>
        <v>Tahsilat planı oluştur</v>
      </c>
      <c r="N23" s="6"/>
      <c r="O23" s="6"/>
    </row>
    <row r="24" spans="1:15" ht="16">
      <c r="A24" s="6"/>
      <c r="B24" s="6" t="str">
        <f>MUSTERILER!B24</f>
        <v>M014</v>
      </c>
      <c r="C24" s="6" t="str">
        <f>MUSTERILER!C24</f>
        <v>FİNAL SİYAH BEYAZ LTD.ŞTİ.</v>
      </c>
      <c r="D24" s="13">
        <f>SUMIFS(UCRETLER!$G$7:$G$306,UCRETLER!$B$7:$B$306,B24,UCRETLER!$F$7:$F$306,"Haftalık")</f>
        <v>6000</v>
      </c>
      <c r="E24" s="13">
        <f>SUMIFS(UCRETLER!$G$7:$G$306,UCRETLER!$B$7:$B$306,B24,UCRETLER!$F$7:$F$306,"Aylık")</f>
        <v>0</v>
      </c>
      <c r="F24" s="13">
        <f>MUSTERILER!J24</f>
        <v>0</v>
      </c>
      <c r="G24" s="13">
        <f>SUMIFS(UCRETLER!$I$7:$I$306,UCRETLER!$B$7:$B$306,B24)+SUMIFS(GELIR_GIDER!$G$7:$G$1000,GELIR_GIDER!$L$7:$L$1000,C24,GELIR_GIDER!$D$7:$D$1000,"Gelir",GELIR_GIDER!$I$7:$I$1000,"Hayır")</f>
        <v>110000</v>
      </c>
      <c r="H24" s="13">
        <f t="shared" si="0"/>
        <v>110000</v>
      </c>
      <c r="I24" s="13">
        <f>SUMIFS(TAHSILAT!$F$7:$F$1006,TAHSILAT!$C$7:$C$1006,B24)</f>
        <v>110000</v>
      </c>
      <c r="J24" s="13">
        <f t="shared" si="1"/>
        <v>0</v>
      </c>
      <c r="K24" s="15">
        <f t="shared" si="2"/>
        <v>1</v>
      </c>
      <c r="L24" s="6" t="str">
        <f t="shared" si="3"/>
        <v>KAPALI</v>
      </c>
      <c r="M24" s="6" t="str">
        <f t="shared" si="4"/>
        <v>Rutin takip</v>
      </c>
      <c r="N24" s="6"/>
      <c r="O24" s="6"/>
    </row>
    <row r="25" spans="1:15" ht="16">
      <c r="A25" s="6"/>
      <c r="B25" s="6" t="str">
        <f>MUSTERILER!B25</f>
        <v>M031</v>
      </c>
      <c r="C25" s="6" t="str">
        <f>MUSTERILER!C25</f>
        <v>HALİL AVŞAR</v>
      </c>
      <c r="D25" s="13">
        <f>SUMIFS(UCRETLER!$G$7:$G$306,UCRETLER!$B$7:$B$306,B25,UCRETLER!$F$7:$F$306,"Haftalık")</f>
        <v>0</v>
      </c>
      <c r="E25" s="13">
        <f>SUMIFS(UCRETLER!$G$7:$G$306,UCRETLER!$B$7:$B$306,B25,UCRETLER!$F$7:$F$306,"Aylık")</f>
        <v>3000</v>
      </c>
      <c r="F25" s="13">
        <f>MUSTERILER!J25</f>
        <v>0</v>
      </c>
      <c r="G25" s="13">
        <f>SUMIFS(UCRETLER!$I$7:$I$306,UCRETLER!$B$7:$B$306,B25)+SUMIFS(GELIR_GIDER!$G$7:$G$1000,GELIR_GIDER!$L$7:$L$1000,C25,GELIR_GIDER!$D$7:$D$1000,"Gelir",GELIR_GIDER!$I$7:$I$1000,"Hayır")</f>
        <v>24000</v>
      </c>
      <c r="H25" s="13">
        <f t="shared" si="0"/>
        <v>24000</v>
      </c>
      <c r="I25" s="13">
        <f>SUMIFS(TAHSILAT!$F$7:$F$1006,TAHSILAT!$C$7:$C$1006,B25)</f>
        <v>18000</v>
      </c>
      <c r="J25" s="13">
        <f t="shared" si="1"/>
        <v>6000</v>
      </c>
      <c r="K25" s="15">
        <f t="shared" si="2"/>
        <v>0.75</v>
      </c>
      <c r="L25" s="6" t="str">
        <f t="shared" si="3"/>
        <v>NORMAL</v>
      </c>
      <c r="M25" s="6" t="str">
        <f t="shared" si="4"/>
        <v>Rutin takip</v>
      </c>
      <c r="N25" s="6"/>
      <c r="O25" s="6"/>
    </row>
    <row r="26" spans="1:15" ht="16">
      <c r="A26" s="6"/>
      <c r="B26" s="6" t="str">
        <f>MUSTERILER!B26</f>
        <v>M032</v>
      </c>
      <c r="C26" s="6" t="str">
        <f>MUSTERILER!C26</f>
        <v>HAYDAR KAYA</v>
      </c>
      <c r="D26" s="13">
        <f>SUMIFS(UCRETLER!$G$7:$G$306,UCRETLER!$B$7:$B$306,B26,UCRETLER!$F$7:$F$306,"Haftalık")</f>
        <v>0</v>
      </c>
      <c r="E26" s="13">
        <f>SUMIFS(UCRETLER!$G$7:$G$306,UCRETLER!$B$7:$B$306,B26,UCRETLER!$F$7:$F$306,"Aylık")</f>
        <v>1000</v>
      </c>
      <c r="F26" s="13">
        <f>MUSTERILER!J26</f>
        <v>0</v>
      </c>
      <c r="G26" s="13">
        <f>SUMIFS(UCRETLER!$I$7:$I$306,UCRETLER!$B$7:$B$306,B26)+SUMIFS(GELIR_GIDER!$G$7:$G$1000,GELIR_GIDER!$L$7:$L$1000,C26,GELIR_GIDER!$D$7:$D$1000,"Gelir",GELIR_GIDER!$I$7:$I$1000,"Hayır")</f>
        <v>8000</v>
      </c>
      <c r="H26" s="13">
        <f t="shared" si="0"/>
        <v>8000</v>
      </c>
      <c r="I26" s="13">
        <f>SUMIFS(TAHSILAT!$F$7:$F$1006,TAHSILAT!$C$7:$C$1006,B26)</f>
        <v>0</v>
      </c>
      <c r="J26" s="13">
        <f t="shared" si="1"/>
        <v>8000</v>
      </c>
      <c r="K26" s="15">
        <f t="shared" si="2"/>
        <v>0</v>
      </c>
      <c r="L26" s="6" t="str">
        <f t="shared" si="3"/>
        <v>KRİTİK</v>
      </c>
      <c r="M26" s="6" t="str">
        <f t="shared" si="4"/>
        <v>Acil tahsilat görüşmesi</v>
      </c>
      <c r="N26" s="6"/>
      <c r="O26" s="6"/>
    </row>
    <row r="27" spans="1:15" ht="16">
      <c r="A27" s="6"/>
      <c r="B27" s="6" t="str">
        <f>MUSTERILER!B27</f>
        <v>M034</v>
      </c>
      <c r="C27" s="6" t="str">
        <f>MUSTERILER!C27</f>
        <v>İBRAHİM MALDAN</v>
      </c>
      <c r="D27" s="13">
        <f>SUMIFS(UCRETLER!$G$7:$G$306,UCRETLER!$B$7:$B$306,B27,UCRETLER!$F$7:$F$306,"Haftalık")</f>
        <v>5500</v>
      </c>
      <c r="E27" s="13">
        <f>SUMIFS(UCRETLER!$G$7:$G$306,UCRETLER!$B$7:$B$306,B27,UCRETLER!$F$7:$F$306,"Aylık")</f>
        <v>0</v>
      </c>
      <c r="F27" s="13">
        <f>MUSTERILER!J27</f>
        <v>0</v>
      </c>
      <c r="G27" s="13">
        <f>SUMIFS(UCRETLER!$I$7:$I$306,UCRETLER!$B$7:$B$306,B27)+SUMIFS(GELIR_GIDER!$G$7:$G$1000,GELIR_GIDER!$L$7:$L$1000,C27,GELIR_GIDER!$D$7:$D$1000,"Gelir",GELIR_GIDER!$I$7:$I$1000,"Hayır")</f>
        <v>113500</v>
      </c>
      <c r="H27" s="13">
        <f t="shared" si="0"/>
        <v>113500</v>
      </c>
      <c r="I27" s="13">
        <f>SUMIFS(TAHSILAT!$F$7:$F$1006,TAHSILAT!$C$7:$C$1006,B27)</f>
        <v>46500</v>
      </c>
      <c r="J27" s="13">
        <f t="shared" si="1"/>
        <v>67000</v>
      </c>
      <c r="K27" s="15">
        <f t="shared" si="2"/>
        <v>0.40969162995594716</v>
      </c>
      <c r="L27" s="6" t="str">
        <f t="shared" si="3"/>
        <v>TAKİP</v>
      </c>
      <c r="M27" s="6" t="str">
        <f t="shared" si="4"/>
        <v>Tahsilat planı oluştur</v>
      </c>
      <c r="N27" s="6"/>
      <c r="O27" s="6"/>
    </row>
    <row r="28" spans="1:15" ht="16">
      <c r="A28" s="6"/>
      <c r="B28" s="6" t="str">
        <f>MUSTERILER!B28</f>
        <v>M012</v>
      </c>
      <c r="C28" s="6" t="str">
        <f>MUSTERILER!C28</f>
        <v>İLDEŞ LTD.ŞTİ.</v>
      </c>
      <c r="D28" s="13">
        <f>SUMIFS(UCRETLER!$G$7:$G$306,UCRETLER!$B$7:$B$306,B28,UCRETLER!$F$7:$F$306,"Haftalık")</f>
        <v>11000</v>
      </c>
      <c r="E28" s="13">
        <f>SUMIFS(UCRETLER!$G$7:$G$306,UCRETLER!$B$7:$B$306,B28,UCRETLER!$F$7:$F$306,"Aylık")</f>
        <v>0</v>
      </c>
      <c r="F28" s="13">
        <f>MUSTERILER!J28</f>
        <v>0</v>
      </c>
      <c r="G28" s="13">
        <f>SUMIFS(UCRETLER!$I$7:$I$306,UCRETLER!$B$7:$B$306,B28)+SUMIFS(GELIR_GIDER!$G$7:$G$1000,GELIR_GIDER!$L$7:$L$1000,C28,GELIR_GIDER!$D$7:$D$1000,"Gelir",GELIR_GIDER!$I$7:$I$1000,"Hayır")</f>
        <v>122000</v>
      </c>
      <c r="H28" s="13">
        <f t="shared" si="0"/>
        <v>122000</v>
      </c>
      <c r="I28" s="13">
        <f>SUMIFS(TAHSILAT!$F$7:$F$1006,TAHSILAT!$C$7:$C$1006,B28)</f>
        <v>122000</v>
      </c>
      <c r="J28" s="13">
        <f t="shared" si="1"/>
        <v>0</v>
      </c>
      <c r="K28" s="15">
        <f t="shared" si="2"/>
        <v>1</v>
      </c>
      <c r="L28" s="6" t="str">
        <f t="shared" si="3"/>
        <v>KAPALI</v>
      </c>
      <c r="M28" s="6" t="str">
        <f t="shared" si="4"/>
        <v>Rutin takip</v>
      </c>
      <c r="N28" s="6"/>
      <c r="O28" s="6"/>
    </row>
    <row r="29" spans="1:15" ht="16">
      <c r="A29" s="6"/>
      <c r="B29" s="6" t="str">
        <f>MUSTERILER!B29</f>
        <v>M035</v>
      </c>
      <c r="C29" s="6" t="str">
        <f>MUSTERILER!C29</f>
        <v>İSA DEMİRCİ</v>
      </c>
      <c r="D29" s="13">
        <f>SUMIFS(UCRETLER!$G$7:$G$306,UCRETLER!$B$7:$B$306,B29,UCRETLER!$F$7:$F$306,"Haftalık")</f>
        <v>0</v>
      </c>
      <c r="E29" s="13">
        <f>SUMIFS(UCRETLER!$G$7:$G$306,UCRETLER!$B$7:$B$306,B29,UCRETLER!$F$7:$F$306,"Aylık")</f>
        <v>3500</v>
      </c>
      <c r="F29" s="13">
        <f>MUSTERILER!J29</f>
        <v>0</v>
      </c>
      <c r="G29" s="13">
        <f>SUMIFS(UCRETLER!$I$7:$I$306,UCRETLER!$B$7:$B$306,B29)+SUMIFS(GELIR_GIDER!$G$7:$G$1000,GELIR_GIDER!$L$7:$L$1000,C29,GELIR_GIDER!$D$7:$D$1000,"Gelir",GELIR_GIDER!$I$7:$I$1000,"Hayır")</f>
        <v>28000</v>
      </c>
      <c r="H29" s="13">
        <f t="shared" si="0"/>
        <v>28000</v>
      </c>
      <c r="I29" s="13">
        <f>SUMIFS(TAHSILAT!$F$7:$F$1006,TAHSILAT!$C$7:$C$1006,B29)</f>
        <v>24500</v>
      </c>
      <c r="J29" s="13">
        <f t="shared" si="1"/>
        <v>3500</v>
      </c>
      <c r="K29" s="15">
        <f t="shared" si="2"/>
        <v>0.875</v>
      </c>
      <c r="L29" s="6" t="str">
        <f t="shared" si="3"/>
        <v>NORMAL</v>
      </c>
      <c r="M29" s="6" t="str">
        <f t="shared" si="4"/>
        <v>Rutin takip</v>
      </c>
      <c r="N29" s="6"/>
      <c r="O29" s="6"/>
    </row>
    <row r="30" spans="1:15" ht="16">
      <c r="A30" s="6"/>
      <c r="B30" s="6" t="str">
        <f>MUSTERILER!B30</f>
        <v>M033</v>
      </c>
      <c r="C30" s="6" t="str">
        <f>MUSTERILER!C30</f>
        <v>IŞIL GRUP LTD.ŞTİ.</v>
      </c>
      <c r="D30" s="13">
        <f>SUMIFS(UCRETLER!$G$7:$G$306,UCRETLER!$B$7:$B$306,B30,UCRETLER!$F$7:$F$306,"Haftalık")</f>
        <v>0</v>
      </c>
      <c r="E30" s="13">
        <f>SUMIFS(UCRETLER!$G$7:$G$306,UCRETLER!$B$7:$B$306,B30,UCRETLER!$F$7:$F$306,"Aylık")</f>
        <v>7500</v>
      </c>
      <c r="F30" s="13">
        <f>MUSTERILER!J30</f>
        <v>0</v>
      </c>
      <c r="G30" s="13">
        <f>SUMIFS(UCRETLER!$I$7:$I$306,UCRETLER!$B$7:$B$306,B30)+SUMIFS(GELIR_GIDER!$G$7:$G$1000,GELIR_GIDER!$L$7:$L$1000,C30,GELIR_GIDER!$D$7:$D$1000,"Gelir",GELIR_GIDER!$I$7:$I$1000,"Hayır")</f>
        <v>60000</v>
      </c>
      <c r="H30" s="13">
        <f t="shared" si="0"/>
        <v>60000</v>
      </c>
      <c r="I30" s="13">
        <f>SUMIFS(TAHSILAT!$F$7:$F$1006,TAHSILAT!$C$7:$C$1006,B30)</f>
        <v>5000</v>
      </c>
      <c r="J30" s="13">
        <f t="shared" si="1"/>
        <v>55000</v>
      </c>
      <c r="K30" s="15">
        <f t="shared" si="2"/>
        <v>8.3333333333333329E-2</v>
      </c>
      <c r="L30" s="6" t="str">
        <f t="shared" si="3"/>
        <v>KRİTİK</v>
      </c>
      <c r="M30" s="6" t="str">
        <f t="shared" si="4"/>
        <v>Acil tahsilat görüşmesi</v>
      </c>
      <c r="N30" s="6"/>
      <c r="O30" s="6"/>
    </row>
    <row r="31" spans="1:15" ht="16">
      <c r="A31" s="6"/>
      <c r="B31" s="6" t="str">
        <f>MUSTERILER!B31</f>
        <v>M036</v>
      </c>
      <c r="C31" s="6" t="str">
        <f>MUSTERILER!C31</f>
        <v>İSMAİL AKPINAR</v>
      </c>
      <c r="D31" s="13">
        <f>SUMIFS(UCRETLER!$G$7:$G$306,UCRETLER!$B$7:$B$306,B31,UCRETLER!$F$7:$F$306,"Haftalık")</f>
        <v>0</v>
      </c>
      <c r="E31" s="13">
        <f>SUMIFS(UCRETLER!$G$7:$G$306,UCRETLER!$B$7:$B$306,B31,UCRETLER!$F$7:$F$306,"Aylık")</f>
        <v>4000</v>
      </c>
      <c r="F31" s="13">
        <f>MUSTERILER!J31</f>
        <v>0</v>
      </c>
      <c r="G31" s="13">
        <f>SUMIFS(UCRETLER!$I$7:$I$306,UCRETLER!$B$7:$B$306,B31)+SUMIFS(GELIR_GIDER!$G$7:$G$1000,GELIR_GIDER!$L$7:$L$1000,C31,GELIR_GIDER!$D$7:$D$1000,"Gelir",GELIR_GIDER!$I$7:$I$1000,"Hayır")</f>
        <v>32000</v>
      </c>
      <c r="H31" s="13">
        <f t="shared" si="0"/>
        <v>32000</v>
      </c>
      <c r="I31" s="13">
        <f>SUMIFS(TAHSILAT!$F$7:$F$1006,TAHSILAT!$C$7:$C$1006,B31)</f>
        <v>10000</v>
      </c>
      <c r="J31" s="13">
        <f t="shared" si="1"/>
        <v>22000</v>
      </c>
      <c r="K31" s="15">
        <f t="shared" si="2"/>
        <v>0.3125</v>
      </c>
      <c r="L31" s="6" t="str">
        <f t="shared" si="3"/>
        <v>TAKİP</v>
      </c>
      <c r="M31" s="6" t="str">
        <f t="shared" si="4"/>
        <v>Tahsilat planı oluştur</v>
      </c>
      <c r="N31" s="6"/>
      <c r="O31" s="6"/>
    </row>
    <row r="32" spans="1:15" ht="16">
      <c r="A32" s="6"/>
      <c r="B32" s="6" t="str">
        <f>MUSTERILER!B32</f>
        <v>M008</v>
      </c>
      <c r="C32" s="6" t="str">
        <f>MUSTERILER!C32</f>
        <v>KÖŞK YÜKSELEN LTD.ŞTİ.</v>
      </c>
      <c r="D32" s="13">
        <f>SUMIFS(UCRETLER!$G$7:$G$306,UCRETLER!$B$7:$B$306,B32,UCRETLER!$F$7:$F$306,"Haftalık")</f>
        <v>2500</v>
      </c>
      <c r="E32" s="13">
        <f>SUMIFS(UCRETLER!$G$7:$G$306,UCRETLER!$B$7:$B$306,B32,UCRETLER!$F$7:$F$306,"Aylık")</f>
        <v>0</v>
      </c>
      <c r="F32" s="13">
        <f>MUSTERILER!J32</f>
        <v>0</v>
      </c>
      <c r="G32" s="13">
        <f>SUMIFS(UCRETLER!$I$7:$I$306,UCRETLER!$B$7:$B$306,B32)+SUMIFS(GELIR_GIDER!$G$7:$G$1000,GELIR_GIDER!$L$7:$L$1000,C32,GELIR_GIDER!$D$7:$D$1000,"Gelir",GELIR_GIDER!$I$7:$I$1000,"Hayır")</f>
        <v>85000</v>
      </c>
      <c r="H32" s="13">
        <f t="shared" si="0"/>
        <v>85000</v>
      </c>
      <c r="I32" s="13">
        <f>SUMIFS(TAHSILAT!$F$7:$F$1006,TAHSILAT!$C$7:$C$1006,B32)</f>
        <v>6000</v>
      </c>
      <c r="J32" s="13">
        <f t="shared" si="1"/>
        <v>79000</v>
      </c>
      <c r="K32" s="15">
        <f t="shared" si="2"/>
        <v>7.0588235294117646E-2</v>
      </c>
      <c r="L32" s="6" t="str">
        <f t="shared" si="3"/>
        <v>KRİTİK</v>
      </c>
      <c r="M32" s="6" t="str">
        <f t="shared" si="4"/>
        <v>Acil tahsilat görüşmesi</v>
      </c>
      <c r="N32" s="6"/>
      <c r="O32" s="6"/>
    </row>
    <row r="33" spans="1:15" ht="16">
      <c r="A33" s="6"/>
      <c r="B33" s="6" t="str">
        <f>MUSTERILER!B33</f>
        <v>M020</v>
      </c>
      <c r="C33" s="6" t="str">
        <f>MUSTERILER!C33</f>
        <v>KRİSTAL LTD.ŞTİ.</v>
      </c>
      <c r="D33" s="13">
        <f>SUMIFS(UCRETLER!$G$7:$G$306,UCRETLER!$B$7:$B$306,B33,UCRETLER!$F$7:$F$306,"Haftalık")</f>
        <v>3000</v>
      </c>
      <c r="E33" s="13">
        <f>SUMIFS(UCRETLER!$G$7:$G$306,UCRETLER!$B$7:$B$306,B33,UCRETLER!$F$7:$F$306,"Aylık")</f>
        <v>0</v>
      </c>
      <c r="F33" s="13">
        <f>MUSTERILER!J33</f>
        <v>0</v>
      </c>
      <c r="G33" s="13">
        <f>SUMIFS(UCRETLER!$I$7:$I$306,UCRETLER!$B$7:$B$306,B33)+SUMIFS(GELIR_GIDER!$G$7:$G$1000,GELIR_GIDER!$L$7:$L$1000,C33,GELIR_GIDER!$D$7:$D$1000,"Gelir",GELIR_GIDER!$I$7:$I$1000,"Hayır")</f>
        <v>102000</v>
      </c>
      <c r="H33" s="13">
        <f t="shared" si="0"/>
        <v>102000</v>
      </c>
      <c r="I33" s="13">
        <f>SUMIFS(TAHSILAT!$F$7:$F$1006,TAHSILAT!$C$7:$C$1006,B33)</f>
        <v>102000</v>
      </c>
      <c r="J33" s="13">
        <f t="shared" si="1"/>
        <v>0</v>
      </c>
      <c r="K33" s="15">
        <f t="shared" si="2"/>
        <v>1</v>
      </c>
      <c r="L33" s="6" t="str">
        <f t="shared" si="3"/>
        <v>KAPALI</v>
      </c>
      <c r="M33" s="6" t="str">
        <f t="shared" si="4"/>
        <v>Rutin takip</v>
      </c>
      <c r="N33" s="6"/>
      <c r="O33" s="6"/>
    </row>
    <row r="34" spans="1:15" ht="16">
      <c r="A34" s="6"/>
      <c r="B34" s="6" t="str">
        <f>MUSTERILER!B34</f>
        <v>M037</v>
      </c>
      <c r="C34" s="6" t="str">
        <f>MUSTERILER!C34</f>
        <v>MEHMET EVREN KILINÇ</v>
      </c>
      <c r="D34" s="13">
        <f>SUMIFS(UCRETLER!$G$7:$G$306,UCRETLER!$B$7:$B$306,B34,UCRETLER!$F$7:$F$306,"Haftalık")</f>
        <v>0</v>
      </c>
      <c r="E34" s="13">
        <f>SUMIFS(UCRETLER!$G$7:$G$306,UCRETLER!$B$7:$B$306,B34,UCRETLER!$F$7:$F$306,"Aylık")</f>
        <v>2000</v>
      </c>
      <c r="F34" s="13">
        <f>MUSTERILER!J34</f>
        <v>0</v>
      </c>
      <c r="G34" s="13">
        <f>SUMIFS(UCRETLER!$I$7:$I$306,UCRETLER!$B$7:$B$306,B34)+SUMIFS(GELIR_GIDER!$G$7:$G$1000,GELIR_GIDER!$L$7:$L$1000,C34,GELIR_GIDER!$D$7:$D$1000,"Gelir",GELIR_GIDER!$I$7:$I$1000,"Hayır")</f>
        <v>16000</v>
      </c>
      <c r="H34" s="13">
        <f t="shared" si="0"/>
        <v>16000</v>
      </c>
      <c r="I34" s="13">
        <f>SUMIFS(TAHSILAT!$F$7:$F$1006,TAHSILAT!$C$7:$C$1006,B34)</f>
        <v>14000</v>
      </c>
      <c r="J34" s="13">
        <f t="shared" si="1"/>
        <v>2000</v>
      </c>
      <c r="K34" s="15">
        <f t="shared" si="2"/>
        <v>0.875</v>
      </c>
      <c r="L34" s="6" t="str">
        <f t="shared" si="3"/>
        <v>NORMAL</v>
      </c>
      <c r="M34" s="6" t="str">
        <f t="shared" si="4"/>
        <v>Rutin takip</v>
      </c>
      <c r="N34" s="6"/>
      <c r="O34" s="6"/>
    </row>
    <row r="35" spans="1:15" ht="16">
      <c r="A35" s="6"/>
      <c r="B35" s="6" t="str">
        <f>MUSTERILER!B35</f>
        <v>M038</v>
      </c>
      <c r="C35" s="6" t="str">
        <f>MUSTERILER!C35</f>
        <v>MELEK GÜLER</v>
      </c>
      <c r="D35" s="13">
        <f>SUMIFS(UCRETLER!$G$7:$G$306,UCRETLER!$B$7:$B$306,B35,UCRETLER!$F$7:$F$306,"Haftalık")</f>
        <v>0</v>
      </c>
      <c r="E35" s="13">
        <f>SUMIFS(UCRETLER!$G$7:$G$306,UCRETLER!$B$7:$B$306,B35,UCRETLER!$F$7:$F$306,"Aylık")</f>
        <v>3000</v>
      </c>
      <c r="F35" s="13">
        <f>MUSTERILER!J35</f>
        <v>0</v>
      </c>
      <c r="G35" s="13">
        <f>SUMIFS(UCRETLER!$I$7:$I$306,UCRETLER!$B$7:$B$306,B35)+SUMIFS(GELIR_GIDER!$G$7:$G$1000,GELIR_GIDER!$L$7:$L$1000,C35,GELIR_GIDER!$D$7:$D$1000,"Gelir",GELIR_GIDER!$I$7:$I$1000,"Hayır")</f>
        <v>24000</v>
      </c>
      <c r="H35" s="13">
        <f t="shared" si="0"/>
        <v>24000</v>
      </c>
      <c r="I35" s="13">
        <f>SUMIFS(TAHSILAT!$F$7:$F$1006,TAHSILAT!$C$7:$C$1006,B35)</f>
        <v>18000</v>
      </c>
      <c r="J35" s="13">
        <f t="shared" si="1"/>
        <v>6000</v>
      </c>
      <c r="K35" s="15">
        <f t="shared" si="2"/>
        <v>0.75</v>
      </c>
      <c r="L35" s="6" t="str">
        <f t="shared" si="3"/>
        <v>NORMAL</v>
      </c>
      <c r="M35" s="6" t="str">
        <f t="shared" si="4"/>
        <v>Rutin takip</v>
      </c>
      <c r="N35" s="6"/>
      <c r="O35" s="6"/>
    </row>
    <row r="36" spans="1:15" ht="16">
      <c r="A36" s="6"/>
      <c r="B36" s="6" t="str">
        <f>MUSTERILER!B36</f>
        <v>M039</v>
      </c>
      <c r="C36" s="6" t="str">
        <f>MUSTERILER!C36</f>
        <v>MELİSA BEDİR</v>
      </c>
      <c r="D36" s="13">
        <f>SUMIFS(UCRETLER!$G$7:$G$306,UCRETLER!$B$7:$B$306,B36,UCRETLER!$F$7:$F$306,"Haftalık")</f>
        <v>0</v>
      </c>
      <c r="E36" s="13">
        <f>SUMIFS(UCRETLER!$G$7:$G$306,UCRETLER!$B$7:$B$306,B36,UCRETLER!$F$7:$F$306,"Aylık")</f>
        <v>3000</v>
      </c>
      <c r="F36" s="13">
        <f>MUSTERILER!J36</f>
        <v>0</v>
      </c>
      <c r="G36" s="13">
        <f>SUMIFS(UCRETLER!$I$7:$I$306,UCRETLER!$B$7:$B$306,B36)+SUMIFS(GELIR_GIDER!$G$7:$G$1000,GELIR_GIDER!$L$7:$L$1000,C36,GELIR_GIDER!$D$7:$D$1000,"Gelir",GELIR_GIDER!$I$7:$I$1000,"Hayır")</f>
        <v>24000</v>
      </c>
      <c r="H36" s="13">
        <f t="shared" si="0"/>
        <v>24000</v>
      </c>
      <c r="I36" s="13">
        <f>SUMIFS(TAHSILAT!$F$7:$F$1006,TAHSILAT!$C$7:$C$1006,B36)</f>
        <v>0</v>
      </c>
      <c r="J36" s="13">
        <f t="shared" si="1"/>
        <v>24000</v>
      </c>
      <c r="K36" s="15">
        <f t="shared" si="2"/>
        <v>0</v>
      </c>
      <c r="L36" s="6" t="str">
        <f t="shared" si="3"/>
        <v>KRİTİK</v>
      </c>
      <c r="M36" s="6" t="str">
        <f t="shared" si="4"/>
        <v>Acil tahsilat görüşmesi</v>
      </c>
      <c r="N36" s="6"/>
      <c r="O36" s="6"/>
    </row>
    <row r="37" spans="1:15" ht="16">
      <c r="A37" s="6"/>
      <c r="B37" s="6" t="str">
        <f>MUSTERILER!B37</f>
        <v>M040</v>
      </c>
      <c r="C37" s="6" t="str">
        <f>MUSTERILER!C37</f>
        <v>MENEKŞE AKAN</v>
      </c>
      <c r="D37" s="13">
        <f>SUMIFS(UCRETLER!$G$7:$G$306,UCRETLER!$B$7:$B$306,B37,UCRETLER!$F$7:$F$306,"Haftalık")</f>
        <v>0</v>
      </c>
      <c r="E37" s="13">
        <f>SUMIFS(UCRETLER!$G$7:$G$306,UCRETLER!$B$7:$B$306,B37,UCRETLER!$F$7:$F$306,"Aylık")</f>
        <v>1500</v>
      </c>
      <c r="F37" s="13">
        <f>MUSTERILER!J37</f>
        <v>0</v>
      </c>
      <c r="G37" s="13">
        <f>SUMIFS(UCRETLER!$I$7:$I$306,UCRETLER!$B$7:$B$306,B37)+SUMIFS(GELIR_GIDER!$G$7:$G$1000,GELIR_GIDER!$L$7:$L$1000,C37,GELIR_GIDER!$D$7:$D$1000,"Gelir",GELIR_GIDER!$I$7:$I$1000,"Hayır")</f>
        <v>12000</v>
      </c>
      <c r="H37" s="13">
        <f t="shared" si="0"/>
        <v>12000</v>
      </c>
      <c r="I37" s="13">
        <f>SUMIFS(TAHSILAT!$F$7:$F$1006,TAHSILAT!$C$7:$C$1006,B37)</f>
        <v>18500</v>
      </c>
      <c r="J37" s="13">
        <f t="shared" si="1"/>
        <v>-6500</v>
      </c>
      <c r="K37" s="15">
        <f t="shared" si="2"/>
        <v>1.5416666666666667</v>
      </c>
      <c r="L37" s="6" t="str">
        <f t="shared" si="3"/>
        <v>KAPALI</v>
      </c>
      <c r="M37" s="6" t="str">
        <f t="shared" si="4"/>
        <v>Rutin takip</v>
      </c>
      <c r="N37" s="6"/>
      <c r="O37" s="6"/>
    </row>
    <row r="38" spans="1:15" ht="16">
      <c r="A38" s="6"/>
      <c r="B38" s="6" t="str">
        <f>MUSTERILER!B38</f>
        <v>M041</v>
      </c>
      <c r="C38" s="6" t="str">
        <f>MUSTERILER!C38</f>
        <v>MESUT KÖKLÜ</v>
      </c>
      <c r="D38" s="13">
        <f>SUMIFS(UCRETLER!$G$7:$G$306,UCRETLER!$B$7:$B$306,B38,UCRETLER!$F$7:$F$306,"Haftalık")</f>
        <v>0</v>
      </c>
      <c r="E38" s="13">
        <f>SUMIFS(UCRETLER!$G$7:$G$306,UCRETLER!$B$7:$B$306,B38,UCRETLER!$F$7:$F$306,"Aylık")</f>
        <v>5000</v>
      </c>
      <c r="F38" s="13">
        <f>MUSTERILER!J38</f>
        <v>0</v>
      </c>
      <c r="G38" s="13">
        <f>SUMIFS(UCRETLER!$I$7:$I$306,UCRETLER!$B$7:$B$306,B38)+SUMIFS(GELIR_GIDER!$G$7:$G$1000,GELIR_GIDER!$L$7:$L$1000,C38,GELIR_GIDER!$D$7:$D$1000,"Gelir",GELIR_GIDER!$I$7:$I$1000,"Hayır")</f>
        <v>15000</v>
      </c>
      <c r="H38" s="13">
        <f t="shared" si="0"/>
        <v>15000</v>
      </c>
      <c r="I38" s="13">
        <f>SUMIFS(TAHSILAT!$F$7:$F$1006,TAHSILAT!$C$7:$C$1006,B38)</f>
        <v>10000</v>
      </c>
      <c r="J38" s="13">
        <f t="shared" si="1"/>
        <v>5000</v>
      </c>
      <c r="K38" s="15">
        <f t="shared" si="2"/>
        <v>0.66666666666666663</v>
      </c>
      <c r="L38" s="6" t="str">
        <f t="shared" si="3"/>
        <v>NORMAL</v>
      </c>
      <c r="M38" s="6" t="str">
        <f t="shared" si="4"/>
        <v>Rutin takip</v>
      </c>
      <c r="N38" s="6"/>
      <c r="O38" s="6"/>
    </row>
    <row r="39" spans="1:15" ht="16">
      <c r="A39" s="6"/>
      <c r="B39" s="6" t="str">
        <f>MUSTERILER!B39</f>
        <v>M007</v>
      </c>
      <c r="C39" s="6" t="str">
        <f>MUSTERILER!C39</f>
        <v>MONAMOUR LTD.ŞTİ.</v>
      </c>
      <c r="D39" s="13">
        <f>SUMIFS(UCRETLER!$G$7:$G$306,UCRETLER!$B$7:$B$306,B39,UCRETLER!$F$7:$F$306,"Haftalık")</f>
        <v>3500</v>
      </c>
      <c r="E39" s="13">
        <f>SUMIFS(UCRETLER!$G$7:$G$306,UCRETLER!$B$7:$B$306,B39,UCRETLER!$F$7:$F$306,"Aylık")</f>
        <v>0</v>
      </c>
      <c r="F39" s="13">
        <f>MUSTERILER!J39</f>
        <v>0</v>
      </c>
      <c r="G39" s="13">
        <f>SUMIFS(UCRETLER!$I$7:$I$306,UCRETLER!$B$7:$B$306,B39)+SUMIFS(GELIR_GIDER!$G$7:$G$1000,GELIR_GIDER!$L$7:$L$1000,C39,GELIR_GIDER!$D$7:$D$1000,"Gelir",GELIR_GIDER!$I$7:$I$1000,"Hayır")</f>
        <v>119000</v>
      </c>
      <c r="H39" s="13">
        <f t="shared" ref="H39:H70" si="5">F39+G39</f>
        <v>119000</v>
      </c>
      <c r="I39" s="13">
        <f>SUMIFS(TAHSILAT!$F$7:$F$1006,TAHSILAT!$C$7:$C$1006,B39)</f>
        <v>89500</v>
      </c>
      <c r="J39" s="13">
        <f t="shared" ref="J39:J70" si="6">H39-I39</f>
        <v>29500</v>
      </c>
      <c r="K39" s="15">
        <f t="shared" ref="K39:K61" si="7">IF(H39=0,0,I39/H39)</f>
        <v>0.75210084033613445</v>
      </c>
      <c r="L39" s="6" t="str">
        <f t="shared" ref="L39:L70" si="8">IF(J39&lt;=0,"KAPALI",IF(K39&lt;0.25,"KRİTİK",IF(K39&lt;0.6,"TAKİP","NORMAL")))</f>
        <v>NORMAL</v>
      </c>
      <c r="M39" s="6" t="str">
        <f t="shared" ref="M39:M70" si="9">IF(L39="KRİTİK","Acil tahsilat görüşmesi",IF(L39="TAKİP","Tahsilat planı oluştur","Rutin takip"))</f>
        <v>Rutin takip</v>
      </c>
      <c r="N39" s="6"/>
      <c r="O39" s="6"/>
    </row>
    <row r="40" spans="1:15" ht="16">
      <c r="A40" s="6"/>
      <c r="B40" s="6" t="str">
        <f>MUSTERILER!B40</f>
        <v>M042</v>
      </c>
      <c r="C40" s="6" t="str">
        <f>MUSTERILER!C40</f>
        <v>MS TOPTAN LTD.ŞTİ.</v>
      </c>
      <c r="D40" s="13">
        <f>SUMIFS(UCRETLER!$G$7:$G$306,UCRETLER!$B$7:$B$306,B40,UCRETLER!$F$7:$F$306,"Haftalık")</f>
        <v>0</v>
      </c>
      <c r="E40" s="13">
        <f>SUMIFS(UCRETLER!$G$7:$G$306,UCRETLER!$B$7:$B$306,B40,UCRETLER!$F$7:$F$306,"Aylık")</f>
        <v>1</v>
      </c>
      <c r="F40" s="13">
        <f>MUSTERILER!J40</f>
        <v>0</v>
      </c>
      <c r="G40" s="13">
        <f>SUMIFS(UCRETLER!$I$7:$I$306,UCRETLER!$B$7:$B$306,B40)+SUMIFS(GELIR_GIDER!$G$7:$G$1000,GELIR_GIDER!$L$7:$L$1000,C40,GELIR_GIDER!$D$7:$D$1000,"Gelir",GELIR_GIDER!$I$7:$I$1000,"Hayır")</f>
        <v>8</v>
      </c>
      <c r="H40" s="13">
        <f t="shared" si="5"/>
        <v>8</v>
      </c>
      <c r="I40" s="13">
        <f>SUMIFS(TAHSILAT!$F$7:$F$1006,TAHSILAT!$C$7:$C$1006,B40)</f>
        <v>0</v>
      </c>
      <c r="J40" s="13">
        <f t="shared" si="6"/>
        <v>8</v>
      </c>
      <c r="K40" s="15">
        <f t="shared" si="7"/>
        <v>0</v>
      </c>
      <c r="L40" s="6" t="str">
        <f t="shared" si="8"/>
        <v>KRİTİK</v>
      </c>
      <c r="M40" s="6" t="str">
        <f t="shared" si="9"/>
        <v>Acil tahsilat görüşmesi</v>
      </c>
      <c r="N40" s="6"/>
      <c r="O40" s="6"/>
    </row>
    <row r="41" spans="1:15" ht="16">
      <c r="A41" s="6"/>
      <c r="B41" s="6" t="str">
        <f>MUSTERILER!B41</f>
        <v>M044</v>
      </c>
      <c r="C41" s="6" t="str">
        <f>MUSTERILER!C41</f>
        <v>MUSTAFA KOLBAŞI</v>
      </c>
      <c r="D41" s="13">
        <f>SUMIFS(UCRETLER!$G$7:$G$306,UCRETLER!$B$7:$B$306,B41,UCRETLER!$F$7:$F$306,"Haftalık")</f>
        <v>0</v>
      </c>
      <c r="E41" s="13">
        <f>SUMIFS(UCRETLER!$G$7:$G$306,UCRETLER!$B$7:$B$306,B41,UCRETLER!$F$7:$F$306,"Aylık")</f>
        <v>3000</v>
      </c>
      <c r="F41" s="13">
        <f>MUSTERILER!J41</f>
        <v>0</v>
      </c>
      <c r="G41" s="13">
        <f>SUMIFS(UCRETLER!$I$7:$I$306,UCRETLER!$B$7:$B$306,B41)+SUMIFS(GELIR_GIDER!$G$7:$G$1000,GELIR_GIDER!$L$7:$L$1000,C41,GELIR_GIDER!$D$7:$D$1000,"Gelir",GELIR_GIDER!$I$7:$I$1000,"Hayır")</f>
        <v>24000</v>
      </c>
      <c r="H41" s="13">
        <f t="shared" si="5"/>
        <v>24000</v>
      </c>
      <c r="I41" s="13">
        <f>SUMIFS(TAHSILAT!$F$7:$F$1006,TAHSILAT!$C$7:$C$1006,B41)</f>
        <v>15000</v>
      </c>
      <c r="J41" s="13">
        <f t="shared" si="6"/>
        <v>9000</v>
      </c>
      <c r="K41" s="15">
        <f t="shared" si="7"/>
        <v>0.625</v>
      </c>
      <c r="L41" s="6" t="str">
        <f t="shared" si="8"/>
        <v>NORMAL</v>
      </c>
      <c r="M41" s="6" t="str">
        <f t="shared" si="9"/>
        <v>Rutin takip</v>
      </c>
      <c r="N41" s="6"/>
      <c r="O41" s="6"/>
    </row>
    <row r="42" spans="1:15" ht="16">
      <c r="A42" s="6"/>
      <c r="B42" s="6" t="str">
        <f>MUSTERILER!B42</f>
        <v>M043</v>
      </c>
      <c r="C42" s="6" t="str">
        <f>MUSTERILER!C42</f>
        <v>MUSTAFA UMUT KOYUN</v>
      </c>
      <c r="D42" s="13">
        <f>SUMIFS(UCRETLER!$G$7:$G$306,UCRETLER!$B$7:$B$306,B42,UCRETLER!$F$7:$F$306,"Haftalık")</f>
        <v>0</v>
      </c>
      <c r="E42" s="13">
        <f>SUMIFS(UCRETLER!$G$7:$G$306,UCRETLER!$B$7:$B$306,B42,UCRETLER!$F$7:$F$306,"Aylık")</f>
        <v>2000</v>
      </c>
      <c r="F42" s="13">
        <f>MUSTERILER!J42</f>
        <v>0</v>
      </c>
      <c r="G42" s="13">
        <f>SUMIFS(UCRETLER!$I$7:$I$306,UCRETLER!$B$7:$B$306,B42)+SUMIFS(GELIR_GIDER!$G$7:$G$1000,GELIR_GIDER!$L$7:$L$1000,C42,GELIR_GIDER!$D$7:$D$1000,"Gelir",GELIR_GIDER!$I$7:$I$1000,"Hayır")</f>
        <v>16000</v>
      </c>
      <c r="H42" s="13">
        <f t="shared" si="5"/>
        <v>16000</v>
      </c>
      <c r="I42" s="13">
        <f>SUMIFS(TAHSILAT!$F$7:$F$1006,TAHSILAT!$C$7:$C$1006,B42)</f>
        <v>6000</v>
      </c>
      <c r="J42" s="13">
        <f t="shared" si="6"/>
        <v>10000</v>
      </c>
      <c r="K42" s="15">
        <f t="shared" si="7"/>
        <v>0.375</v>
      </c>
      <c r="L42" s="6" t="str">
        <f t="shared" si="8"/>
        <v>TAKİP</v>
      </c>
      <c r="M42" s="6" t="str">
        <f t="shared" si="9"/>
        <v>Tahsilat planı oluştur</v>
      </c>
      <c r="N42" s="6"/>
      <c r="O42" s="6"/>
    </row>
    <row r="43" spans="1:15" ht="16">
      <c r="A43" s="6"/>
      <c r="B43" s="6" t="str">
        <f>MUSTERILER!B43</f>
        <v>M013</v>
      </c>
      <c r="C43" s="6" t="str">
        <f>MUSTERILER!C43</f>
        <v>NAZ 1 GIDA LTD.ŞTİ.</v>
      </c>
      <c r="D43" s="13">
        <f>SUMIFS(UCRETLER!$G$7:$G$306,UCRETLER!$B$7:$B$306,B43,UCRETLER!$F$7:$F$306,"Haftalık")</f>
        <v>2000</v>
      </c>
      <c r="E43" s="13">
        <f>SUMIFS(UCRETLER!$G$7:$G$306,UCRETLER!$B$7:$B$306,B43,UCRETLER!$F$7:$F$306,"Aylık")</f>
        <v>0</v>
      </c>
      <c r="F43" s="13">
        <f>MUSTERILER!J43</f>
        <v>0</v>
      </c>
      <c r="G43" s="13">
        <f>SUMIFS(UCRETLER!$I$7:$I$306,UCRETLER!$B$7:$B$306,B43)+SUMIFS(GELIR_GIDER!$G$7:$G$1000,GELIR_GIDER!$L$7:$L$1000,C43,GELIR_GIDER!$D$7:$D$1000,"Gelir",GELIR_GIDER!$I$7:$I$1000,"Hayır")</f>
        <v>68000</v>
      </c>
      <c r="H43" s="13">
        <f t="shared" si="5"/>
        <v>68000</v>
      </c>
      <c r="I43" s="13">
        <f>SUMIFS(TAHSILAT!$F$7:$F$1006,TAHSILAT!$C$7:$C$1006,B43)</f>
        <v>68000</v>
      </c>
      <c r="J43" s="13">
        <f t="shared" si="6"/>
        <v>0</v>
      </c>
      <c r="K43" s="15">
        <f t="shared" si="7"/>
        <v>1</v>
      </c>
      <c r="L43" s="6" t="str">
        <f t="shared" si="8"/>
        <v>KAPALI</v>
      </c>
      <c r="M43" s="6" t="str">
        <f t="shared" si="9"/>
        <v>Rutin takip</v>
      </c>
      <c r="N43" s="6"/>
      <c r="O43" s="6"/>
    </row>
    <row r="44" spans="1:15" ht="16">
      <c r="A44" s="6"/>
      <c r="B44" s="6" t="str">
        <f>MUSTERILER!B44</f>
        <v>M045</v>
      </c>
      <c r="C44" s="6" t="str">
        <f>MUSTERILER!C44</f>
        <v>NERO E TİCARET LTD.ŞTİ.</v>
      </c>
      <c r="D44" s="13">
        <f>SUMIFS(UCRETLER!$G$7:$G$306,UCRETLER!$B$7:$B$306,B44,UCRETLER!$F$7:$F$306,"Haftalık")</f>
        <v>0</v>
      </c>
      <c r="E44" s="13">
        <f>SUMIFS(UCRETLER!$G$7:$G$306,UCRETLER!$B$7:$B$306,B44,UCRETLER!$F$7:$F$306,"Aylık")</f>
        <v>7500</v>
      </c>
      <c r="F44" s="13">
        <f>MUSTERILER!J44</f>
        <v>0</v>
      </c>
      <c r="G44" s="13">
        <f>SUMIFS(UCRETLER!$I$7:$I$306,UCRETLER!$B$7:$B$306,B44)+SUMIFS(GELIR_GIDER!$G$7:$G$1000,GELIR_GIDER!$L$7:$L$1000,C44,GELIR_GIDER!$D$7:$D$1000,"Gelir",GELIR_GIDER!$I$7:$I$1000,"Hayır")</f>
        <v>60000</v>
      </c>
      <c r="H44" s="13">
        <f t="shared" si="5"/>
        <v>60000</v>
      </c>
      <c r="I44" s="13">
        <f>SUMIFS(TAHSILAT!$F$7:$F$1006,TAHSILAT!$C$7:$C$1006,B44)</f>
        <v>7500</v>
      </c>
      <c r="J44" s="13">
        <f t="shared" si="6"/>
        <v>52500</v>
      </c>
      <c r="K44" s="15">
        <f t="shared" si="7"/>
        <v>0.125</v>
      </c>
      <c r="L44" s="6" t="str">
        <f t="shared" si="8"/>
        <v>KRİTİK</v>
      </c>
      <c r="M44" s="6" t="str">
        <f t="shared" si="9"/>
        <v>Acil tahsilat görüşmesi</v>
      </c>
      <c r="N44" s="6"/>
      <c r="O44" s="6"/>
    </row>
    <row r="45" spans="1:15" ht="16">
      <c r="A45" s="6"/>
      <c r="B45" s="6" t="str">
        <f>MUSTERILER!B45</f>
        <v>M046</v>
      </c>
      <c r="C45" s="6" t="str">
        <f>MUSTERILER!C45</f>
        <v>ÖMER DEMİRCİ</v>
      </c>
      <c r="D45" s="13">
        <f>SUMIFS(UCRETLER!$G$7:$G$306,UCRETLER!$B$7:$B$306,B45,UCRETLER!$F$7:$F$306,"Haftalık")</f>
        <v>0</v>
      </c>
      <c r="E45" s="13">
        <f>SUMIFS(UCRETLER!$G$7:$G$306,UCRETLER!$B$7:$B$306,B45,UCRETLER!$F$7:$F$306,"Aylık")</f>
        <v>3500</v>
      </c>
      <c r="F45" s="13">
        <f>MUSTERILER!J45</f>
        <v>0</v>
      </c>
      <c r="G45" s="13">
        <f>SUMIFS(UCRETLER!$I$7:$I$306,UCRETLER!$B$7:$B$306,B45)+SUMIFS(GELIR_GIDER!$G$7:$G$1000,GELIR_GIDER!$L$7:$L$1000,C45,GELIR_GIDER!$D$7:$D$1000,"Gelir",GELIR_GIDER!$I$7:$I$1000,"Hayır")</f>
        <v>14000</v>
      </c>
      <c r="H45" s="13">
        <f t="shared" si="5"/>
        <v>14000</v>
      </c>
      <c r="I45" s="13">
        <f>SUMIFS(TAHSILAT!$F$7:$F$1006,TAHSILAT!$C$7:$C$1006,B45)</f>
        <v>7000</v>
      </c>
      <c r="J45" s="13">
        <f t="shared" si="6"/>
        <v>7000</v>
      </c>
      <c r="K45" s="15">
        <f t="shared" si="7"/>
        <v>0.5</v>
      </c>
      <c r="L45" s="6" t="str">
        <f t="shared" si="8"/>
        <v>TAKİP</v>
      </c>
      <c r="M45" s="6" t="str">
        <f t="shared" si="9"/>
        <v>Tahsilat planı oluştur</v>
      </c>
      <c r="N45" s="6"/>
      <c r="O45" s="6"/>
    </row>
    <row r="46" spans="1:15" ht="16">
      <c r="A46" s="6"/>
      <c r="B46" s="6" t="str">
        <f>MUSTERILER!B46</f>
        <v>M010</v>
      </c>
      <c r="C46" s="6" t="str">
        <f>MUSTERILER!C46</f>
        <v>ÖZFİDANLAR LTD.ŞTİ.</v>
      </c>
      <c r="D46" s="13">
        <f>SUMIFS(UCRETLER!$G$7:$G$306,UCRETLER!$B$7:$B$306,B46,UCRETLER!$F$7:$F$306,"Haftalık")</f>
        <v>4000</v>
      </c>
      <c r="E46" s="13">
        <f>SUMIFS(UCRETLER!$G$7:$G$306,UCRETLER!$B$7:$B$306,B46,UCRETLER!$F$7:$F$306,"Aylık")</f>
        <v>0</v>
      </c>
      <c r="F46" s="13">
        <f>MUSTERILER!J46</f>
        <v>0</v>
      </c>
      <c r="G46" s="13">
        <f>SUMIFS(UCRETLER!$I$7:$I$306,UCRETLER!$B$7:$B$306,B46)+SUMIFS(GELIR_GIDER!$G$7:$G$1000,GELIR_GIDER!$L$7:$L$1000,C46,GELIR_GIDER!$D$7:$D$1000,"Gelir",GELIR_GIDER!$I$7:$I$1000,"Hayır")</f>
        <v>136000</v>
      </c>
      <c r="H46" s="13">
        <f t="shared" si="5"/>
        <v>136000</v>
      </c>
      <c r="I46" s="13">
        <f>SUMIFS(TAHSILAT!$F$7:$F$1006,TAHSILAT!$C$7:$C$1006,B46)</f>
        <v>28000</v>
      </c>
      <c r="J46" s="13">
        <f t="shared" si="6"/>
        <v>108000</v>
      </c>
      <c r="K46" s="15">
        <f t="shared" si="7"/>
        <v>0.20588235294117646</v>
      </c>
      <c r="L46" s="6" t="str">
        <f t="shared" si="8"/>
        <v>KRİTİK</v>
      </c>
      <c r="M46" s="6" t="str">
        <f t="shared" si="9"/>
        <v>Acil tahsilat görüşmesi</v>
      </c>
      <c r="N46" s="6"/>
      <c r="O46" s="6"/>
    </row>
    <row r="47" spans="1:15" ht="16">
      <c r="A47" s="6"/>
      <c r="B47" s="6" t="str">
        <f>MUSTERILER!B47</f>
        <v>M009</v>
      </c>
      <c r="C47" s="6" t="str">
        <f>MUSTERILER!C47</f>
        <v>PAKYILDIZ LTD.ŞTİ.</v>
      </c>
      <c r="D47" s="13">
        <f>SUMIFS(UCRETLER!$G$7:$G$306,UCRETLER!$B$7:$B$306,B47,UCRETLER!$F$7:$F$306,"Haftalık")</f>
        <v>4000</v>
      </c>
      <c r="E47" s="13">
        <f>SUMIFS(UCRETLER!$G$7:$G$306,UCRETLER!$B$7:$B$306,B47,UCRETLER!$F$7:$F$306,"Aylık")</f>
        <v>0</v>
      </c>
      <c r="F47" s="13">
        <f>MUSTERILER!J47</f>
        <v>0</v>
      </c>
      <c r="G47" s="13">
        <f>SUMIFS(UCRETLER!$I$7:$I$306,UCRETLER!$B$7:$B$306,B47)+SUMIFS(GELIR_GIDER!$G$7:$G$1000,GELIR_GIDER!$L$7:$L$1000,C47,GELIR_GIDER!$D$7:$D$1000,"Gelir",GELIR_GIDER!$I$7:$I$1000,"Hayır")</f>
        <v>136000</v>
      </c>
      <c r="H47" s="13">
        <f t="shared" si="5"/>
        <v>136000</v>
      </c>
      <c r="I47" s="13">
        <f>SUMIFS(TAHSILAT!$F$7:$F$1006,TAHSILAT!$C$7:$C$1006,B47)</f>
        <v>136000</v>
      </c>
      <c r="J47" s="13">
        <f t="shared" si="6"/>
        <v>0</v>
      </c>
      <c r="K47" s="15">
        <f t="shared" si="7"/>
        <v>1</v>
      </c>
      <c r="L47" s="6" t="str">
        <f t="shared" si="8"/>
        <v>KAPALI</v>
      </c>
      <c r="M47" s="6" t="str">
        <f t="shared" si="9"/>
        <v>Rutin takip</v>
      </c>
      <c r="N47" s="6"/>
      <c r="O47" s="6"/>
    </row>
    <row r="48" spans="1:15" ht="16">
      <c r="A48" s="6"/>
      <c r="B48" s="6" t="str">
        <f>MUSTERILER!B48</f>
        <v>M047</v>
      </c>
      <c r="C48" s="6" t="str">
        <f>MUSTERILER!C48</f>
        <v>PALAOĞULLARI LTD.ŞTİ.</v>
      </c>
      <c r="D48" s="13">
        <f>SUMIFS(UCRETLER!$G$7:$G$306,UCRETLER!$B$7:$B$306,B48,UCRETLER!$F$7:$F$306,"Haftalık")</f>
        <v>9000</v>
      </c>
      <c r="E48" s="13">
        <f>SUMIFS(UCRETLER!$G$7:$G$306,UCRETLER!$B$7:$B$306,B48,UCRETLER!$F$7:$F$306,"Aylık")</f>
        <v>0</v>
      </c>
      <c r="F48" s="13">
        <f>MUSTERILER!J48</f>
        <v>0</v>
      </c>
      <c r="G48" s="13">
        <f>SUMIFS(UCRETLER!$I$7:$I$306,UCRETLER!$B$7:$B$306,B48)+SUMIFS(GELIR_GIDER!$G$7:$G$1000,GELIR_GIDER!$L$7:$L$1000,C48,GELIR_GIDER!$D$7:$D$1000,"Gelir",GELIR_GIDER!$I$7:$I$1000,"Hayır")</f>
        <v>148000</v>
      </c>
      <c r="H48" s="13">
        <f t="shared" si="5"/>
        <v>148000</v>
      </c>
      <c r="I48" s="13">
        <f>SUMIFS(TAHSILAT!$F$7:$F$1006,TAHSILAT!$C$7:$C$1006,B48)</f>
        <v>148000</v>
      </c>
      <c r="J48" s="13">
        <f t="shared" si="6"/>
        <v>0</v>
      </c>
      <c r="K48" s="15">
        <f t="shared" si="7"/>
        <v>1</v>
      </c>
      <c r="L48" s="6" t="str">
        <f t="shared" si="8"/>
        <v>KAPALI</v>
      </c>
      <c r="M48" s="6" t="str">
        <f t="shared" si="9"/>
        <v>Rutin takip</v>
      </c>
      <c r="N48" s="6"/>
      <c r="O48" s="6"/>
    </row>
    <row r="49" spans="1:15" ht="16">
      <c r="A49" s="6"/>
      <c r="B49" s="6" t="str">
        <f>MUSTERILER!B49</f>
        <v>M048</v>
      </c>
      <c r="C49" s="6" t="str">
        <f>MUSTERILER!C49</f>
        <v>RASİM DEMİRCİ</v>
      </c>
      <c r="D49" s="13">
        <f>SUMIFS(UCRETLER!$G$7:$G$306,UCRETLER!$B$7:$B$306,B49,UCRETLER!$F$7:$F$306,"Haftalık")</f>
        <v>0</v>
      </c>
      <c r="E49" s="13">
        <f>SUMIFS(UCRETLER!$G$7:$G$306,UCRETLER!$B$7:$B$306,B49,UCRETLER!$F$7:$F$306,"Aylık")</f>
        <v>3000</v>
      </c>
      <c r="F49" s="13">
        <f>MUSTERILER!J49</f>
        <v>0</v>
      </c>
      <c r="G49" s="13">
        <f>SUMIFS(UCRETLER!$I$7:$I$306,UCRETLER!$B$7:$B$306,B49)+SUMIFS(GELIR_GIDER!$G$7:$G$1000,GELIR_GIDER!$L$7:$L$1000,C49,GELIR_GIDER!$D$7:$D$1000,"Gelir",GELIR_GIDER!$I$7:$I$1000,"Hayır")</f>
        <v>24000</v>
      </c>
      <c r="H49" s="13">
        <f t="shared" si="5"/>
        <v>24000</v>
      </c>
      <c r="I49" s="13">
        <f>SUMIFS(TAHSILAT!$F$7:$F$1006,TAHSILAT!$C$7:$C$1006,B49)</f>
        <v>16000</v>
      </c>
      <c r="J49" s="13">
        <f t="shared" si="6"/>
        <v>8000</v>
      </c>
      <c r="K49" s="15">
        <f t="shared" si="7"/>
        <v>0.66666666666666663</v>
      </c>
      <c r="L49" s="6" t="str">
        <f t="shared" si="8"/>
        <v>NORMAL</v>
      </c>
      <c r="M49" s="6" t="str">
        <f t="shared" si="9"/>
        <v>Rutin takip</v>
      </c>
      <c r="N49" s="6"/>
      <c r="O49" s="6"/>
    </row>
    <row r="50" spans="1:15" ht="16">
      <c r="A50" s="6"/>
      <c r="B50" s="6" t="str">
        <f>MUSTERILER!B50</f>
        <v>M016</v>
      </c>
      <c r="C50" s="6" t="str">
        <f>MUSTERILER!C50</f>
        <v>RİX ŞOW LTD.ŞTİ.</v>
      </c>
      <c r="D50" s="13">
        <f>SUMIFS(UCRETLER!$G$7:$G$306,UCRETLER!$B$7:$B$306,B50,UCRETLER!$F$7:$F$306,"Haftalık")</f>
        <v>3000</v>
      </c>
      <c r="E50" s="13">
        <f>SUMIFS(UCRETLER!$G$7:$G$306,UCRETLER!$B$7:$B$306,B50,UCRETLER!$F$7:$F$306,"Aylık")</f>
        <v>0</v>
      </c>
      <c r="F50" s="13">
        <f>MUSTERILER!J50</f>
        <v>0</v>
      </c>
      <c r="G50" s="13">
        <f>SUMIFS(UCRETLER!$I$7:$I$306,UCRETLER!$B$7:$B$306,B50)+SUMIFS(GELIR_GIDER!$G$7:$G$1000,GELIR_GIDER!$L$7:$L$1000,C50,GELIR_GIDER!$D$7:$D$1000,"Gelir",GELIR_GIDER!$I$7:$I$1000,"Hayır")</f>
        <v>102000</v>
      </c>
      <c r="H50" s="13">
        <f t="shared" si="5"/>
        <v>102000</v>
      </c>
      <c r="I50" s="13">
        <f>SUMIFS(TAHSILAT!$F$7:$F$1006,TAHSILAT!$C$7:$C$1006,B50)</f>
        <v>102000</v>
      </c>
      <c r="J50" s="13">
        <f t="shared" si="6"/>
        <v>0</v>
      </c>
      <c r="K50" s="15">
        <f t="shared" si="7"/>
        <v>1</v>
      </c>
      <c r="L50" s="6" t="str">
        <f t="shared" si="8"/>
        <v>KAPALI</v>
      </c>
      <c r="M50" s="6" t="str">
        <f t="shared" si="9"/>
        <v>Rutin takip</v>
      </c>
      <c r="N50" s="6"/>
      <c r="O50" s="6"/>
    </row>
    <row r="51" spans="1:15" ht="16">
      <c r="A51" s="6"/>
      <c r="B51" s="6" t="str">
        <f>MUSTERILER!B51</f>
        <v>M055</v>
      </c>
      <c r="C51" s="6" t="str">
        <f>MUSTERILER!C51</f>
        <v>SEMRA GÜMÜŞ</v>
      </c>
      <c r="D51" s="13">
        <f>SUMIFS(UCRETLER!$G$7:$G$306,UCRETLER!$B$7:$B$306,B51,UCRETLER!$F$7:$F$306,"Haftalık")</f>
        <v>0</v>
      </c>
      <c r="E51" s="13">
        <f>SUMIFS(UCRETLER!$G$7:$G$306,UCRETLER!$B$7:$B$306,B51,UCRETLER!$F$7:$F$306,"Aylık")</f>
        <v>2000</v>
      </c>
      <c r="F51" s="13">
        <f>MUSTERILER!J51</f>
        <v>0</v>
      </c>
      <c r="G51" s="13">
        <f>SUMIFS(UCRETLER!$I$7:$I$306,UCRETLER!$B$7:$B$306,B51)+SUMIFS(GELIR_GIDER!$G$7:$G$1000,GELIR_GIDER!$L$7:$L$1000,C51,GELIR_GIDER!$D$7:$D$1000,"Gelir",GELIR_GIDER!$I$7:$I$1000,"Hayır")</f>
        <v>10000</v>
      </c>
      <c r="H51" s="13">
        <f t="shared" si="5"/>
        <v>10000</v>
      </c>
      <c r="I51" s="13">
        <f>SUMIFS(TAHSILAT!$F$7:$F$1006,TAHSILAT!$C$7:$C$1006,B51)</f>
        <v>10000</v>
      </c>
      <c r="J51" s="13">
        <f t="shared" si="6"/>
        <v>0</v>
      </c>
      <c r="K51" s="15">
        <f t="shared" si="7"/>
        <v>1</v>
      </c>
      <c r="L51" s="6" t="str">
        <f t="shared" si="8"/>
        <v>KAPALI</v>
      </c>
      <c r="M51" s="6" t="str">
        <f t="shared" si="9"/>
        <v>Rutin takip</v>
      </c>
      <c r="N51" s="6"/>
      <c r="O51" s="6"/>
    </row>
    <row r="52" spans="1:15" ht="16">
      <c r="A52" s="6"/>
      <c r="B52" s="6" t="str">
        <f>MUSTERILER!B52</f>
        <v>M049</v>
      </c>
      <c r="C52" s="6" t="str">
        <f>MUSTERILER!C52</f>
        <v>STAR ŞOW LTD.ŞTİ.</v>
      </c>
      <c r="D52" s="13">
        <f>SUMIFS(UCRETLER!$G$7:$G$306,UCRETLER!$B$7:$B$306,B52,UCRETLER!$F$7:$F$306,"Haftalık")</f>
        <v>3000</v>
      </c>
      <c r="E52" s="13">
        <f>SUMIFS(UCRETLER!$G$7:$G$306,UCRETLER!$B$7:$B$306,B52,UCRETLER!$F$7:$F$306,"Aylık")</f>
        <v>0</v>
      </c>
      <c r="F52" s="13">
        <f>MUSTERILER!J52</f>
        <v>0</v>
      </c>
      <c r="G52" s="13">
        <f>SUMIFS(UCRETLER!$I$7:$I$306,UCRETLER!$B$7:$B$306,B52)+SUMIFS(GELIR_GIDER!$G$7:$G$1000,GELIR_GIDER!$L$7:$L$1000,C52,GELIR_GIDER!$D$7:$D$1000,"Gelir",GELIR_GIDER!$I$7:$I$1000,"Hayır")</f>
        <v>12000</v>
      </c>
      <c r="H52" s="13">
        <f t="shared" si="5"/>
        <v>12000</v>
      </c>
      <c r="I52" s="13">
        <f>SUMIFS(TAHSILAT!$F$7:$F$1006,TAHSILAT!$C$7:$C$1006,B52)</f>
        <v>12000</v>
      </c>
      <c r="J52" s="13">
        <f t="shared" si="6"/>
        <v>0</v>
      </c>
      <c r="K52" s="15">
        <f t="shared" si="7"/>
        <v>1</v>
      </c>
      <c r="L52" s="6" t="str">
        <f t="shared" si="8"/>
        <v>KAPALI</v>
      </c>
      <c r="M52" s="6" t="str">
        <f t="shared" si="9"/>
        <v>Rutin takip</v>
      </c>
      <c r="N52" s="6"/>
      <c r="O52" s="6"/>
    </row>
    <row r="53" spans="1:15" ht="16">
      <c r="A53" s="6"/>
      <c r="B53" s="6" t="str">
        <f>MUSTERILER!B53</f>
        <v>M050</v>
      </c>
      <c r="C53" s="6" t="str">
        <f>MUSTERILER!C53</f>
        <v>TANAK LTD.ŞTİ.</v>
      </c>
      <c r="D53" s="13">
        <f>SUMIFS(UCRETLER!$G$7:$G$306,UCRETLER!$B$7:$B$306,B53,UCRETLER!$F$7:$F$306,"Haftalık")</f>
        <v>4000</v>
      </c>
      <c r="E53" s="13">
        <f>SUMIFS(UCRETLER!$G$7:$G$306,UCRETLER!$B$7:$B$306,B53,UCRETLER!$F$7:$F$306,"Aylık")</f>
        <v>0</v>
      </c>
      <c r="F53" s="13">
        <f>MUSTERILER!J53</f>
        <v>0</v>
      </c>
      <c r="G53" s="13">
        <f>SUMIFS(UCRETLER!$I$7:$I$306,UCRETLER!$B$7:$B$306,B53)+SUMIFS(GELIR_GIDER!$G$7:$G$1000,GELIR_GIDER!$L$7:$L$1000,C53,GELIR_GIDER!$D$7:$D$1000,"Gelir",GELIR_GIDER!$I$7:$I$1000,"Hayır")</f>
        <v>136000</v>
      </c>
      <c r="H53" s="13">
        <f t="shared" si="5"/>
        <v>136000</v>
      </c>
      <c r="I53" s="13">
        <f>SUMIFS(TAHSILAT!$F$7:$F$1006,TAHSILAT!$C$7:$C$1006,B53)</f>
        <v>0</v>
      </c>
      <c r="J53" s="13">
        <f t="shared" si="6"/>
        <v>136000</v>
      </c>
      <c r="K53" s="15">
        <f t="shared" si="7"/>
        <v>0</v>
      </c>
      <c r="L53" s="6" t="str">
        <f t="shared" si="8"/>
        <v>KRİTİK</v>
      </c>
      <c r="M53" s="6" t="str">
        <f t="shared" si="9"/>
        <v>Acil tahsilat görüşmesi</v>
      </c>
      <c r="N53" s="6"/>
      <c r="O53" s="6"/>
    </row>
    <row r="54" spans="1:15" ht="16">
      <c r="A54" s="6"/>
      <c r="B54" s="6" t="str">
        <f>MUSTERILER!B54</f>
        <v>M003</v>
      </c>
      <c r="C54" s="6" t="str">
        <f>MUSTERILER!C54</f>
        <v>TYANA LTD.ŞTİ.</v>
      </c>
      <c r="D54" s="13">
        <f>SUMIFS(UCRETLER!$G$7:$G$306,UCRETLER!$B$7:$B$306,B54,UCRETLER!$F$7:$F$306,"Haftalık")</f>
        <v>4000</v>
      </c>
      <c r="E54" s="13">
        <f>SUMIFS(UCRETLER!$G$7:$G$306,UCRETLER!$B$7:$B$306,B54,UCRETLER!$F$7:$F$306,"Aylık")</f>
        <v>0</v>
      </c>
      <c r="F54" s="13">
        <f>MUSTERILER!J54</f>
        <v>0</v>
      </c>
      <c r="G54" s="13">
        <f>SUMIFS(UCRETLER!$I$7:$I$306,UCRETLER!$B$7:$B$306,B54)+SUMIFS(GELIR_GIDER!$G$7:$G$1000,GELIR_GIDER!$L$7:$L$1000,C54,GELIR_GIDER!$D$7:$D$1000,"Gelir",GELIR_GIDER!$I$7:$I$1000,"Hayır")</f>
        <v>136000</v>
      </c>
      <c r="H54" s="13">
        <f t="shared" si="5"/>
        <v>136000</v>
      </c>
      <c r="I54" s="13">
        <f>SUMIFS(TAHSILAT!$F$7:$F$1006,TAHSILAT!$C$7:$C$1006,B54)</f>
        <v>37000</v>
      </c>
      <c r="J54" s="13">
        <f t="shared" si="6"/>
        <v>99000</v>
      </c>
      <c r="K54" s="15">
        <f t="shared" si="7"/>
        <v>0.27205882352941174</v>
      </c>
      <c r="L54" s="6" t="str">
        <f t="shared" si="8"/>
        <v>TAKİP</v>
      </c>
      <c r="M54" s="6" t="str">
        <f t="shared" si="9"/>
        <v>Tahsilat planı oluştur</v>
      </c>
      <c r="N54" s="6"/>
      <c r="O54" s="6"/>
    </row>
    <row r="55" spans="1:15" ht="16">
      <c r="A55" s="6"/>
      <c r="B55" s="6" t="str">
        <f>MUSTERILER!B55</f>
        <v>M051</v>
      </c>
      <c r="C55" s="6" t="str">
        <f>MUSTERILER!C55</f>
        <v>UFUK YILMAZ</v>
      </c>
      <c r="D55" s="13">
        <f>SUMIFS(UCRETLER!$G$7:$G$306,UCRETLER!$B$7:$B$306,B55,UCRETLER!$F$7:$F$306,"Haftalık")</f>
        <v>0</v>
      </c>
      <c r="E55" s="13">
        <f>SUMIFS(UCRETLER!$G$7:$G$306,UCRETLER!$B$7:$B$306,B55,UCRETLER!$F$7:$F$306,"Aylık")</f>
        <v>3000</v>
      </c>
      <c r="F55" s="13">
        <f>MUSTERILER!J55</f>
        <v>0</v>
      </c>
      <c r="G55" s="13">
        <f>SUMIFS(UCRETLER!$I$7:$I$306,UCRETLER!$B$7:$B$306,B55)+SUMIFS(GELIR_GIDER!$G$7:$G$1000,GELIR_GIDER!$L$7:$L$1000,C55,GELIR_GIDER!$D$7:$D$1000,"Gelir",GELIR_GIDER!$I$7:$I$1000,"Hayır")</f>
        <v>24000</v>
      </c>
      <c r="H55" s="13">
        <f t="shared" si="5"/>
        <v>24000</v>
      </c>
      <c r="I55" s="13">
        <f>SUMIFS(TAHSILAT!$F$7:$F$1006,TAHSILAT!$C$7:$C$1006,B55)</f>
        <v>24000</v>
      </c>
      <c r="J55" s="13">
        <f t="shared" si="6"/>
        <v>0</v>
      </c>
      <c r="K55" s="15">
        <f t="shared" si="7"/>
        <v>1</v>
      </c>
      <c r="L55" s="6" t="str">
        <f t="shared" si="8"/>
        <v>KAPALI</v>
      </c>
      <c r="M55" s="6" t="str">
        <f t="shared" si="9"/>
        <v>Rutin takip</v>
      </c>
      <c r="N55" s="6"/>
      <c r="O55" s="6"/>
    </row>
    <row r="56" spans="1:15" ht="16">
      <c r="A56" s="6"/>
      <c r="B56" s="6" t="str">
        <f>MUSTERILER!B56</f>
        <v>M052</v>
      </c>
      <c r="C56" s="6" t="str">
        <f>MUSTERILER!C56</f>
        <v>VANOLYA SU LTD.ŞTİ.</v>
      </c>
      <c r="D56" s="13">
        <f>SUMIFS(UCRETLER!$G$7:$G$306,UCRETLER!$B$7:$B$306,B56,UCRETLER!$F$7:$F$306,"Haftalık")</f>
        <v>0</v>
      </c>
      <c r="E56" s="13">
        <f>SUMIFS(UCRETLER!$G$7:$G$306,UCRETLER!$B$7:$B$306,B56,UCRETLER!$F$7:$F$306,"Aylık")</f>
        <v>10000</v>
      </c>
      <c r="F56" s="13">
        <f>MUSTERILER!J56</f>
        <v>0</v>
      </c>
      <c r="G56" s="13">
        <f>SUMIFS(UCRETLER!$I$7:$I$306,UCRETLER!$B$7:$B$306,B56)+SUMIFS(GELIR_GIDER!$G$7:$G$1000,GELIR_GIDER!$L$7:$L$1000,C56,GELIR_GIDER!$D$7:$D$1000,"Gelir",GELIR_GIDER!$I$7:$I$1000,"Hayır")</f>
        <v>20000</v>
      </c>
      <c r="H56" s="13">
        <f t="shared" si="5"/>
        <v>20000</v>
      </c>
      <c r="I56" s="13">
        <f>SUMIFS(TAHSILAT!$F$7:$F$1006,TAHSILAT!$C$7:$C$1006,B56)</f>
        <v>0</v>
      </c>
      <c r="J56" s="13">
        <f t="shared" si="6"/>
        <v>20000</v>
      </c>
      <c r="K56" s="15">
        <f t="shared" si="7"/>
        <v>0</v>
      </c>
      <c r="L56" s="6" t="str">
        <f t="shared" si="8"/>
        <v>KRİTİK</v>
      </c>
      <c r="M56" s="6" t="str">
        <f t="shared" si="9"/>
        <v>Acil tahsilat görüşmesi</v>
      </c>
      <c r="N56" s="6"/>
      <c r="O56" s="6"/>
    </row>
    <row r="57" spans="1:15" ht="16">
      <c r="A57" s="6"/>
      <c r="B57" s="6" t="str">
        <f>MUSTERILER!B57</f>
        <v>M006</v>
      </c>
      <c r="C57" s="6" t="str">
        <f>MUSTERILER!C57</f>
        <v>VOLKAN AÇIK</v>
      </c>
      <c r="D57" s="13">
        <f>SUMIFS(UCRETLER!$G$7:$G$306,UCRETLER!$B$7:$B$306,B57,UCRETLER!$F$7:$F$306,"Haftalık")</f>
        <v>1000</v>
      </c>
      <c r="E57" s="13">
        <f>SUMIFS(UCRETLER!$G$7:$G$306,UCRETLER!$B$7:$B$306,B57,UCRETLER!$F$7:$F$306,"Aylık")</f>
        <v>0</v>
      </c>
      <c r="F57" s="13">
        <f>MUSTERILER!J57</f>
        <v>0</v>
      </c>
      <c r="G57" s="13">
        <f>SUMIFS(UCRETLER!$I$7:$I$306,UCRETLER!$B$7:$B$306,B57)+SUMIFS(GELIR_GIDER!$G$7:$G$1000,GELIR_GIDER!$L$7:$L$1000,C57,GELIR_GIDER!$D$7:$D$1000,"Gelir",GELIR_GIDER!$I$7:$I$1000,"Hayır")</f>
        <v>34000</v>
      </c>
      <c r="H57" s="13">
        <f t="shared" si="5"/>
        <v>34000</v>
      </c>
      <c r="I57" s="13">
        <f>SUMIFS(TAHSILAT!$F$7:$F$1006,TAHSILAT!$C$7:$C$1006,B57)</f>
        <v>15000</v>
      </c>
      <c r="J57" s="13">
        <f t="shared" si="6"/>
        <v>19000</v>
      </c>
      <c r="K57" s="15">
        <f t="shared" si="7"/>
        <v>0.44117647058823528</v>
      </c>
      <c r="L57" s="6" t="str">
        <f t="shared" si="8"/>
        <v>TAKİP</v>
      </c>
      <c r="M57" s="6" t="str">
        <f t="shared" si="9"/>
        <v>Tahsilat planı oluştur</v>
      </c>
      <c r="N57" s="6"/>
      <c r="O57" s="6"/>
    </row>
    <row r="58" spans="1:15" ht="16">
      <c r="A58" s="6"/>
      <c r="B58" s="6" t="str">
        <f>MUSTERILER!B58</f>
        <v>M054</v>
      </c>
      <c r="C58" s="6" t="str">
        <f>MUSTERILER!C58</f>
        <v>YALIKENT LTD.ŞTİ.</v>
      </c>
      <c r="D58" s="13">
        <f>SUMIFS(UCRETLER!$G$7:$G$306,UCRETLER!$B$7:$B$306,B58,UCRETLER!$F$7:$F$306,"Haftalık")</f>
        <v>4000</v>
      </c>
      <c r="E58" s="13">
        <f>SUMIFS(UCRETLER!$G$7:$G$306,UCRETLER!$B$7:$B$306,B58,UCRETLER!$F$7:$F$306,"Aylık")</f>
        <v>0</v>
      </c>
      <c r="F58" s="13">
        <f>MUSTERILER!J58</f>
        <v>0</v>
      </c>
      <c r="G58" s="13">
        <f>SUMIFS(UCRETLER!$I$7:$I$306,UCRETLER!$B$7:$B$306,B58)+SUMIFS(GELIR_GIDER!$G$7:$G$1000,GELIR_GIDER!$L$7:$L$1000,C58,GELIR_GIDER!$D$7:$D$1000,"Gelir",GELIR_GIDER!$I$7:$I$1000,"Hayır")</f>
        <v>104000</v>
      </c>
      <c r="H58" s="13">
        <f t="shared" si="5"/>
        <v>104000</v>
      </c>
      <c r="I58" s="13">
        <f>SUMIFS(TAHSILAT!$F$7:$F$1006,TAHSILAT!$C$7:$C$1006,B58)</f>
        <v>104000</v>
      </c>
      <c r="J58" s="13">
        <f t="shared" si="6"/>
        <v>0</v>
      </c>
      <c r="K58" s="15">
        <f t="shared" si="7"/>
        <v>1</v>
      </c>
      <c r="L58" s="6" t="str">
        <f t="shared" si="8"/>
        <v>KAPALI</v>
      </c>
      <c r="M58" s="6" t="str">
        <f t="shared" si="9"/>
        <v>Rutin takip</v>
      </c>
      <c r="N58" s="6"/>
      <c r="O58" s="6"/>
    </row>
    <row r="59" spans="1:15" ht="16">
      <c r="A59" s="6"/>
      <c r="B59" s="6" t="str">
        <f>MUSTERILER!B59</f>
        <v>M053</v>
      </c>
      <c r="C59" s="6" t="str">
        <f>MUSTERILER!C59</f>
        <v>YEDİYİRMİDÖRT LTD.ŞTİ.</v>
      </c>
      <c r="D59" s="13">
        <f>SUMIFS(UCRETLER!$G$7:$G$306,UCRETLER!$B$7:$B$306,B59,UCRETLER!$F$7:$F$306,"Haftalık")</f>
        <v>0</v>
      </c>
      <c r="E59" s="13">
        <f>SUMIFS(UCRETLER!$G$7:$G$306,UCRETLER!$B$7:$B$306,B59,UCRETLER!$F$7:$F$306,"Aylık")</f>
        <v>10000</v>
      </c>
      <c r="F59" s="13">
        <f>MUSTERILER!J59</f>
        <v>0</v>
      </c>
      <c r="G59" s="13">
        <f>SUMIFS(UCRETLER!$I$7:$I$306,UCRETLER!$B$7:$B$306,B59)+SUMIFS(GELIR_GIDER!$G$7:$G$1000,GELIR_GIDER!$L$7:$L$1000,C59,GELIR_GIDER!$D$7:$D$1000,"Gelir",GELIR_GIDER!$I$7:$I$1000,"Hayır")</f>
        <v>80000</v>
      </c>
      <c r="H59" s="13">
        <f t="shared" si="5"/>
        <v>80000</v>
      </c>
      <c r="I59" s="13">
        <f>SUMIFS(TAHSILAT!$F$7:$F$1006,TAHSILAT!$C$7:$C$1006,B59)</f>
        <v>46000</v>
      </c>
      <c r="J59" s="13">
        <f t="shared" si="6"/>
        <v>34000</v>
      </c>
      <c r="K59" s="15">
        <f t="shared" si="7"/>
        <v>0.57499999999999996</v>
      </c>
      <c r="L59" s="6" t="str">
        <f t="shared" si="8"/>
        <v>TAKİP</v>
      </c>
      <c r="M59" s="6" t="str">
        <f t="shared" si="9"/>
        <v>Tahsilat planı oluştur</v>
      </c>
      <c r="N59" s="6"/>
      <c r="O59" s="6"/>
    </row>
    <row r="60" spans="1:15" ht="16">
      <c r="A60" s="6"/>
      <c r="B60" s="6" t="str">
        <f>MUSTERILER!B60</f>
        <v>M004</v>
      </c>
      <c r="C60" s="6" t="str">
        <f>MUSTERILER!C60</f>
        <v>ZÜMRÜT EĞLENCE LTD.ŞTİ.</v>
      </c>
      <c r="D60" s="13">
        <f>SUMIFS(UCRETLER!$G$7:$G$306,UCRETLER!$B$7:$B$306,B60,UCRETLER!$F$7:$F$306,"Haftalık")</f>
        <v>3000</v>
      </c>
      <c r="E60" s="13">
        <f>SUMIFS(UCRETLER!$G$7:$G$306,UCRETLER!$B$7:$B$306,B60,UCRETLER!$F$7:$F$306,"Aylık")</f>
        <v>0</v>
      </c>
      <c r="F60" s="13">
        <f>MUSTERILER!J60</f>
        <v>0</v>
      </c>
      <c r="G60" s="13">
        <f>SUMIFS(UCRETLER!$I$7:$I$306,UCRETLER!$B$7:$B$306,B60)+SUMIFS(GELIR_GIDER!$G$7:$G$1000,GELIR_GIDER!$L$7:$L$1000,C60,GELIR_GIDER!$D$7:$D$1000,"Gelir",GELIR_GIDER!$I$7:$I$1000,"Hayır")</f>
        <v>102000</v>
      </c>
      <c r="H60" s="13">
        <f t="shared" si="5"/>
        <v>102000</v>
      </c>
      <c r="I60" s="13">
        <f>SUMIFS(TAHSILAT!$F$7:$F$1006,TAHSILAT!$C$7:$C$1006,B60)</f>
        <v>36000</v>
      </c>
      <c r="J60" s="13">
        <f t="shared" si="6"/>
        <v>66000</v>
      </c>
      <c r="K60" s="15">
        <f t="shared" si="7"/>
        <v>0.35294117647058826</v>
      </c>
      <c r="L60" s="6" t="str">
        <f t="shared" si="8"/>
        <v>TAKİP</v>
      </c>
      <c r="M60" s="6" t="str">
        <f t="shared" si="9"/>
        <v>Tahsilat planı oluştur</v>
      </c>
      <c r="N60" s="6"/>
      <c r="O60" s="6"/>
    </row>
    <row r="61" spans="1:15" ht="16">
      <c r="A61" s="6"/>
      <c r="B61" s="6" t="str">
        <f>MUSTERILER!B61</f>
        <v>M005</v>
      </c>
      <c r="C61" s="6" t="str">
        <f>MUSTERILER!C61</f>
        <v>ZÜMRÜT GRUP LTD.ŞTİ.</v>
      </c>
      <c r="D61" s="13">
        <f>SUMIFS(UCRETLER!$G$7:$G$306,UCRETLER!$B$7:$B$306,B61,UCRETLER!$F$7:$F$306,"Haftalık")</f>
        <v>1750</v>
      </c>
      <c r="E61" s="13">
        <f>SUMIFS(UCRETLER!$G$7:$G$306,UCRETLER!$B$7:$B$306,B61,UCRETLER!$F$7:$F$306,"Aylık")</f>
        <v>0</v>
      </c>
      <c r="F61" s="13">
        <f>MUSTERILER!J61</f>
        <v>0</v>
      </c>
      <c r="G61" s="13">
        <f>SUMIFS(UCRETLER!$I$7:$I$306,UCRETLER!$B$7:$B$306,B61)+SUMIFS(GELIR_GIDER!$G$7:$G$1000,GELIR_GIDER!$L$7:$L$1000,C61,GELIR_GIDER!$D$7:$D$1000,"Gelir",GELIR_GIDER!$I$7:$I$1000,"Hayır")</f>
        <v>59500</v>
      </c>
      <c r="H61" s="13">
        <f t="shared" si="5"/>
        <v>59500</v>
      </c>
      <c r="I61" s="13">
        <f>SUMIFS(TAHSILAT!$F$7:$F$1006,TAHSILAT!$C$7:$C$1006,B61)</f>
        <v>59500</v>
      </c>
      <c r="J61" s="13">
        <f t="shared" si="6"/>
        <v>0</v>
      </c>
      <c r="K61" s="15">
        <f t="shared" si="7"/>
        <v>1</v>
      </c>
      <c r="L61" s="6" t="str">
        <f t="shared" si="8"/>
        <v>KAPALI</v>
      </c>
      <c r="M61" s="6" t="str">
        <f t="shared" si="9"/>
        <v>Rutin takip</v>
      </c>
      <c r="N61" s="6"/>
      <c r="O61" s="6"/>
    </row>
  </sheetData>
  <sheetProtection password="CC3D" sheet="1"/>
  <mergeCells count="5">
    <mergeCell ref="A2:B2"/>
    <mergeCell ref="A4:G4"/>
    <mergeCell ref="C1:O1"/>
    <mergeCell ref="A3:O3"/>
    <mergeCell ref="C2:O2"/>
  </mergeCells>
  <conditionalFormatting sqref="K7:K61">
    <cfRule type="dataBar" priority="1">
      <dataBar>
        <cfvo type="min"/>
        <cfvo type="max"/>
        <color rgb="FF2563EB"/>
      </dataBar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47857"/>
  </sheetPr>
  <dimension ref="A1:O300"/>
  <sheetViews>
    <sheetView showGridLines="0" workbookViewId="0">
      <selection activeCell="D14" sqref="D14"/>
    </sheetView>
  </sheetViews>
  <sheetFormatPr baseColWidth="10" defaultColWidth="8.83203125" defaultRowHeight="14"/>
  <cols>
    <col min="1" max="1" width="18" customWidth="1"/>
    <col min="2" max="2" width="13.6640625" bestFit="1" customWidth="1"/>
    <col min="3" max="3" width="28" customWidth="1"/>
    <col min="4" max="4" width="18" customWidth="1"/>
    <col min="5" max="5" width="4" customWidth="1"/>
    <col min="6" max="6" width="14" customWidth="1"/>
    <col min="7" max="7" width="44" customWidth="1"/>
    <col min="8" max="9" width="16" customWidth="1"/>
    <col min="10" max="10" width="20" customWidth="1"/>
    <col min="11" max="11" width="12" customWidth="1"/>
    <col min="12" max="12" width="10" customWidth="1"/>
    <col min="13" max="13" width="16" customWidth="1"/>
    <col min="14" max="14" width="10" customWidth="1"/>
    <col min="15" max="15" width="2.5" hidden="1" customWidth="1"/>
  </cols>
  <sheetData>
    <row r="1" spans="1:15" ht="38" customHeight="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53" t="s">
        <v>1712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49" customHeight="1">
      <c r="A2" s="222" t="s">
        <v>1713</v>
      </c>
      <c r="B2" s="223"/>
      <c r="C2" s="213" t="s">
        <v>1714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1:15" ht="28" customHeight="1">
      <c r="A3" s="213" t="s">
        <v>1715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5" ht="30">
      <c r="A4" s="78" t="str">
        <f>IFERROR(HYPERLINK("#MENU!A1","← MENÜ   │   CARİ EKSTRE"),"← MENÜ   │   CARİ EKSTRE")</f>
        <v>← MENÜ   │   CARİ EKSTRE</v>
      </c>
      <c r="B4" s="81" t="s">
        <v>1716</v>
      </c>
      <c r="C4" s="266" t="s">
        <v>468</v>
      </c>
      <c r="D4" s="75"/>
      <c r="E4" s="75"/>
      <c r="F4" s="75"/>
      <c r="G4" s="75"/>
      <c r="H4" s="79" t="str">
        <f>IFERROR(HYPERLINK("#TAHSILAT!A1","TAHSİLAT"),"TAHSİLAT")</f>
        <v>TAHSİLAT</v>
      </c>
      <c r="I4" s="82"/>
      <c r="J4" s="79" t="str">
        <f>IFERROR(HYPERLINK("#GELIR_GIDER!A1","GELİR / GİDER"),"GELİR / GİDER")</f>
        <v>GELİR / GİDER</v>
      </c>
      <c r="K4" s="77"/>
      <c r="L4" s="79" t="str">
        <f>IFERROR(HYPERLINK("#VIRMAN!A1","VİRMAN"),"VİRMAN")</f>
        <v>VİRMAN</v>
      </c>
      <c r="M4" s="77"/>
      <c r="N4" s="79" t="str">
        <f>IFERROR(HYPERLINK("#RAPOR!A1","RAPOR"),"RAPOR")</f>
        <v>RAPOR</v>
      </c>
      <c r="O4" s="44"/>
    </row>
    <row r="5" spans="1:15" ht="16">
      <c r="A5" s="36"/>
      <c r="B5" s="36"/>
      <c r="C5" s="36"/>
      <c r="D5" s="36"/>
      <c r="E5" s="36"/>
      <c r="F5" s="45"/>
      <c r="G5" s="45"/>
      <c r="H5" s="45"/>
      <c r="I5" s="45"/>
      <c r="J5" s="45"/>
      <c r="K5" s="36"/>
      <c r="L5" s="36"/>
      <c r="M5" s="36"/>
      <c r="N5" s="36"/>
      <c r="O5" s="36"/>
    </row>
    <row r="6" spans="1:15" ht="22" customHeight="1">
      <c r="A6" s="36"/>
      <c r="B6" s="39" t="s">
        <v>1706</v>
      </c>
      <c r="C6" s="39" t="s">
        <v>1717</v>
      </c>
      <c r="D6" s="39" t="s">
        <v>1718</v>
      </c>
      <c r="E6" s="46"/>
      <c r="F6" s="47" t="s">
        <v>602</v>
      </c>
      <c r="G6" s="47" t="s">
        <v>607</v>
      </c>
      <c r="H6" s="47" t="s">
        <v>601</v>
      </c>
      <c r="I6" s="47" t="s">
        <v>603</v>
      </c>
      <c r="J6" s="47" t="s">
        <v>604</v>
      </c>
      <c r="K6" s="46"/>
      <c r="L6" s="46"/>
      <c r="M6" s="46"/>
      <c r="N6" s="46"/>
      <c r="O6" s="46"/>
    </row>
    <row r="7" spans="1:15" ht="22" customHeight="1">
      <c r="A7" s="36"/>
      <c r="B7" s="48">
        <f>IF($C$4="","",SUMIFS(MUSTERI_360!$H$7:$H$61,MUSTERI_360!$C$7:$C$61,$C$4))</f>
        <v>136000</v>
      </c>
      <c r="C7" s="48">
        <f>IF($C$4="","",SUMIFS(MUSTERI_360!$I$7:$I$61,MUSTERI_360!$C$7:$C$61,$C$4))</f>
        <v>116000</v>
      </c>
      <c r="D7" s="48">
        <f>IF(OR($B$7="",$C$7=""),"",$B$7-$C$7)</f>
        <v>20000</v>
      </c>
      <c r="E7" s="36"/>
      <c r="F7" s="49">
        <f>IF($O7="","",INDEX(TAHSILAT!$E$7:$E$650,$O7))</f>
        <v>46032</v>
      </c>
      <c r="G7" s="50" t="str">
        <f>IF($O7="","",INDEX(TAHSILAT!$J$7:$J$650,$O7))</f>
        <v>ÖMER KARTALA ÖDENEN</v>
      </c>
      <c r="H7" s="51" t="str">
        <f>IF($O7="","",INDEX(TAHSILAT!$B$7:$B$650,$O7))</f>
        <v>T00013</v>
      </c>
      <c r="I7" s="52">
        <f>IF($O7="","",INDEX(TAHSILAT!$F$7:$F$650,$O7))</f>
        <v>4000</v>
      </c>
      <c r="J7" s="51" t="str">
        <f>IF($O7="","",INDEX(TAHSILAT!$G$7:$G$650,$O7))</f>
        <v>ÖMER KARTAL</v>
      </c>
      <c r="K7" s="36"/>
      <c r="L7" s="36"/>
      <c r="M7" s="36"/>
      <c r="N7" s="36"/>
      <c r="O7" s="53">
        <f>IF($C$4="","",IFERROR(MATCH($C$4&amp;"|"&amp;TEXT(ROWS($O$7:O7),"000"),TAHSILAT!$N$7:$N$650,0),""))</f>
        <v>13</v>
      </c>
    </row>
    <row r="8" spans="1:15" ht="22" customHeight="1">
      <c r="A8" s="36"/>
      <c r="B8" s="36"/>
      <c r="C8" s="36"/>
      <c r="D8" s="36"/>
      <c r="E8" s="36"/>
      <c r="F8" s="49">
        <f>IF($O8="","",INDEX(TAHSILAT!$E$7:$E$650,$O8))</f>
        <v>46046</v>
      </c>
      <c r="G8" s="50" t="str">
        <f>IF($O8="","",INDEX(TAHSILAT!$J$7:$J$650,$O8))</f>
        <v>NAKİT ÖDENEN</v>
      </c>
      <c r="H8" s="51" t="str">
        <f>IF($O8="","",INDEX(TAHSILAT!$B$7:$B$650,$O8))</f>
        <v>T00045</v>
      </c>
      <c r="I8" s="52">
        <f>IF($O8="","",INDEX(TAHSILAT!$F$7:$F$650,$O8))</f>
        <v>8000</v>
      </c>
      <c r="J8" s="51" t="str">
        <f>IF($O8="","",INDEX(TAHSILAT!$G$7:$G$650,$O8))</f>
        <v>MERKEZ KASA</v>
      </c>
      <c r="K8" s="36"/>
      <c r="L8" s="36"/>
      <c r="M8" s="36"/>
      <c r="N8" s="36"/>
      <c r="O8" s="53">
        <f>IF($C$4="","",IFERROR(MATCH($C$4&amp;"|"&amp;TEXT(ROWS($O$7:O8),"000"),TAHSILAT!$N$7:$N$650,0),""))</f>
        <v>45</v>
      </c>
    </row>
    <row r="9" spans="1:15" ht="22" customHeight="1">
      <c r="A9" s="36"/>
      <c r="B9" s="36"/>
      <c r="C9" s="36"/>
      <c r="D9" s="36"/>
      <c r="E9" s="36"/>
      <c r="F9" s="49">
        <f>IF($O9="","",INDEX(TAHSILAT!$E$7:$E$650,$O9))</f>
        <v>46053</v>
      </c>
      <c r="G9" s="50" t="str">
        <f>IF($O9="","",INDEX(TAHSILAT!$J$7:$J$650,$O9))</f>
        <v>NAKİT ÖDENEN</v>
      </c>
      <c r="H9" s="51" t="str">
        <f>IF($O9="","",INDEX(TAHSILAT!$B$7:$B$650,$O9))</f>
        <v>T00068</v>
      </c>
      <c r="I9" s="52">
        <f>IF($O9="","",INDEX(TAHSILAT!$F$7:$F$650,$O9))</f>
        <v>8000</v>
      </c>
      <c r="J9" s="51" t="str">
        <f>IF($O9="","",INDEX(TAHSILAT!$G$7:$G$650,$O9))</f>
        <v>MERKEZ KASA</v>
      </c>
      <c r="K9" s="36"/>
      <c r="L9" s="36"/>
      <c r="M9" s="36"/>
      <c r="N9" s="36"/>
      <c r="O9" s="53">
        <f>IF($C$4="","",IFERROR(MATCH($C$4&amp;"|"&amp;TEXT(ROWS($O$7:O9),"000"),TAHSILAT!$N$7:$N$650,0),""))</f>
        <v>68</v>
      </c>
    </row>
    <row r="10" spans="1:15" ht="22" customHeight="1">
      <c r="A10" s="36"/>
      <c r="B10" s="36"/>
      <c r="C10" s="36"/>
      <c r="D10" s="36"/>
      <c r="E10" s="36"/>
      <c r="F10" s="49">
        <f>IF($O10="","",INDEX(TAHSILAT!$E$7:$E$650,$O10))</f>
        <v>46060</v>
      </c>
      <c r="G10" s="50" t="str">
        <f>IF($O10="","",INDEX(TAHSILAT!$J$7:$J$650,$O10))</f>
        <v>NAKİT ÖDENEN</v>
      </c>
      <c r="H10" s="51" t="str">
        <f>IF($O10="","",INDEX(TAHSILAT!$B$7:$B$650,$O10))</f>
        <v>T00084</v>
      </c>
      <c r="I10" s="52">
        <f>IF($O10="","",INDEX(TAHSILAT!$F$7:$F$650,$O10))</f>
        <v>4000</v>
      </c>
      <c r="J10" s="51" t="str">
        <f>IF($O10="","",INDEX(TAHSILAT!$G$7:$G$650,$O10))</f>
        <v>MERKEZ KASA</v>
      </c>
      <c r="K10" s="36"/>
      <c r="L10" s="36"/>
      <c r="M10" s="36"/>
      <c r="N10" s="36"/>
      <c r="O10" s="53">
        <f>IF($C$4="","",IFERROR(MATCH($C$4&amp;"|"&amp;TEXT(ROWS($O$7:O10),"000"),TAHSILAT!$N$7:$N$650,0),""))</f>
        <v>84</v>
      </c>
    </row>
    <row r="11" spans="1:15" ht="22" customHeight="1">
      <c r="A11" s="36"/>
      <c r="B11" s="36"/>
      <c r="C11" s="36"/>
      <c r="D11" s="36"/>
      <c r="E11" s="36"/>
      <c r="F11" s="49">
        <f>IF($O11="","",INDEX(TAHSILAT!$E$7:$E$650,$O11))</f>
        <v>46067</v>
      </c>
      <c r="G11" s="50" t="str">
        <f>IF($O11="","",INDEX(TAHSILAT!$J$7:$J$650,$O11))</f>
        <v>NAKİT ÖDENEN</v>
      </c>
      <c r="H11" s="51" t="str">
        <f>IF($O11="","",INDEX(TAHSILAT!$B$7:$B$650,$O11))</f>
        <v>T00102</v>
      </c>
      <c r="I11" s="52">
        <f>IF($O11="","",INDEX(TAHSILAT!$F$7:$F$650,$O11))</f>
        <v>4000</v>
      </c>
      <c r="J11" s="51" t="str">
        <f>IF($O11="","",INDEX(TAHSILAT!$G$7:$G$650,$O11))</f>
        <v>MERKEZ KASA</v>
      </c>
      <c r="K11" s="36"/>
      <c r="L11" s="36"/>
      <c r="M11" s="36"/>
      <c r="N11" s="36"/>
      <c r="O11" s="53">
        <f>IF($C$4="","",IFERROR(MATCH($C$4&amp;"|"&amp;TEXT(ROWS($O$7:O11),"000"),TAHSILAT!$N$7:$N$650,0),""))</f>
        <v>102</v>
      </c>
    </row>
    <row r="12" spans="1:15" ht="22" customHeight="1">
      <c r="A12" s="36"/>
      <c r="B12" s="36"/>
      <c r="C12" s="36"/>
      <c r="D12" s="36"/>
      <c r="E12" s="36"/>
      <c r="F12" s="49">
        <f>IF($O12="","",INDEX(TAHSILAT!$E$7:$E$650,$O12))</f>
        <v>46137</v>
      </c>
      <c r="G12" s="50" t="str">
        <f>IF($O12="","",INDEX(TAHSILAT!$J$7:$J$650,$O12))</f>
        <v>NAKİT ÖDENEN</v>
      </c>
      <c r="H12" s="51" t="str">
        <f>IF($O12="","",INDEX(TAHSILAT!$B$7:$B$650,$O12))</f>
        <v>T00254</v>
      </c>
      <c r="I12" s="52">
        <f>IF($O12="","",INDEX(TAHSILAT!$F$7:$F$650,$O12))</f>
        <v>4000</v>
      </c>
      <c r="J12" s="51" t="str">
        <f>IF($O12="","",INDEX(TAHSILAT!$G$7:$G$650,$O12))</f>
        <v>MERKEZ KASA</v>
      </c>
      <c r="K12" s="36"/>
      <c r="L12" s="36"/>
      <c r="M12" s="36"/>
      <c r="N12" s="36"/>
      <c r="O12" s="53">
        <f>IF($C$4="","",IFERROR(MATCH($C$4&amp;"|"&amp;TEXT(ROWS($O$7:O12),"000"),TAHSILAT!$N$7:$N$650,0),""))</f>
        <v>254</v>
      </c>
    </row>
    <row r="13" spans="1:15" ht="22" customHeight="1">
      <c r="A13" s="36"/>
      <c r="B13" s="36"/>
      <c r="C13" s="36"/>
      <c r="D13" s="36"/>
      <c r="E13" s="36"/>
      <c r="F13" s="49">
        <f>IF($O13="","",INDEX(TAHSILAT!$E$7:$E$650,$O13))</f>
        <v>46144</v>
      </c>
      <c r="G13" s="50" t="str">
        <f>IF($O13="","",INDEX(TAHSILAT!$J$7:$J$650,$O13))</f>
        <v>NAKİT ÖDENEN</v>
      </c>
      <c r="H13" s="51" t="str">
        <f>IF($O13="","",INDEX(TAHSILAT!$B$7:$B$650,$O13))</f>
        <v>T00277</v>
      </c>
      <c r="I13" s="52">
        <f>IF($O13="","",INDEX(TAHSILAT!$F$7:$F$650,$O13))</f>
        <v>14000</v>
      </c>
      <c r="J13" s="51" t="str">
        <f>IF($O13="","",INDEX(TAHSILAT!$G$7:$G$650,$O13))</f>
        <v>MERKEZ KASA</v>
      </c>
      <c r="K13" s="36"/>
      <c r="L13" s="36"/>
      <c r="M13" s="36"/>
      <c r="N13" s="36"/>
      <c r="O13" s="53">
        <f>IF($C$4="","",IFERROR(MATCH($C$4&amp;"|"&amp;TEXT(ROWS($O$7:O13),"000"),TAHSILAT!$N$7:$N$650,0),""))</f>
        <v>277</v>
      </c>
    </row>
    <row r="14" spans="1:15" ht="22" customHeight="1">
      <c r="A14" s="36"/>
      <c r="B14" s="36"/>
      <c r="C14" s="36"/>
      <c r="D14" s="36"/>
      <c r="E14" s="36"/>
      <c r="F14" s="49">
        <f>IF($O14="","",INDEX(TAHSILAT!$E$7:$E$650,$O14))</f>
        <v>46151</v>
      </c>
      <c r="G14" s="50" t="str">
        <f>IF($O14="","",INDEX(TAHSILAT!$J$7:$J$650,$O14))</f>
        <v>NAKİT ÖDENEN</v>
      </c>
      <c r="H14" s="51" t="str">
        <f>IF($O14="","",INDEX(TAHSILAT!$B$7:$B$650,$O14))</f>
        <v>T00295</v>
      </c>
      <c r="I14" s="52">
        <f>IF($O14="","",INDEX(TAHSILAT!$F$7:$F$650,$O14))</f>
        <v>14000</v>
      </c>
      <c r="J14" s="51" t="str">
        <f>IF($O14="","",INDEX(TAHSILAT!$G$7:$G$650,$O14))</f>
        <v>MERKEZ KASA</v>
      </c>
      <c r="K14" s="36"/>
      <c r="L14" s="36"/>
      <c r="M14" s="36"/>
      <c r="N14" s="36"/>
      <c r="O14" s="53">
        <f>IF($C$4="","",IFERROR(MATCH($C$4&amp;"|"&amp;TEXT(ROWS($O$7:O14),"000"),TAHSILAT!$N$7:$N$650,0),""))</f>
        <v>295</v>
      </c>
    </row>
    <row r="15" spans="1:15" ht="22" customHeight="1">
      <c r="A15" s="36"/>
      <c r="B15" s="36"/>
      <c r="C15" s="36"/>
      <c r="D15" s="36"/>
      <c r="E15" s="36"/>
      <c r="F15" s="49">
        <f>IF($O15="","",INDEX(TAHSILAT!$E$7:$E$650,$O15))</f>
        <v>46158</v>
      </c>
      <c r="G15" s="50" t="str">
        <f>IF($O15="","",INDEX(TAHSILAT!$J$7:$J$650,$O15))</f>
        <v>NAKİT ÖDENEN</v>
      </c>
      <c r="H15" s="51" t="str">
        <f>IF($O15="","",INDEX(TAHSILAT!$B$7:$B$650,$O15))</f>
        <v>T00311</v>
      </c>
      <c r="I15" s="52">
        <f>IF($O15="","",INDEX(TAHSILAT!$F$7:$F$650,$O15))</f>
        <v>14000</v>
      </c>
      <c r="J15" s="51" t="str">
        <f>IF($O15="","",INDEX(TAHSILAT!$G$7:$G$650,$O15))</f>
        <v>MERKEZ KASA</v>
      </c>
      <c r="K15" s="36"/>
      <c r="L15" s="36"/>
      <c r="M15" s="36"/>
      <c r="N15" s="36"/>
      <c r="O15" s="53">
        <f>IF($C$4="","",IFERROR(MATCH($C$4&amp;"|"&amp;TEXT(ROWS($O$7:O15),"000"),TAHSILAT!$N$7:$N$650,0),""))</f>
        <v>311</v>
      </c>
    </row>
    <row r="16" spans="1:15" ht="22" customHeight="1">
      <c r="A16" s="36"/>
      <c r="B16" s="36"/>
      <c r="C16" s="36"/>
      <c r="D16" s="36"/>
      <c r="E16" s="36"/>
      <c r="F16" s="49">
        <f>IF($O16="","",INDEX(TAHSILAT!$E$7:$E$650,$O16))</f>
        <v>46172</v>
      </c>
      <c r="G16" s="50" t="str">
        <f>IF($O16="","",INDEX(TAHSILAT!$J$7:$J$650,$O16))</f>
        <v>NAKİT ÖDENEN</v>
      </c>
      <c r="H16" s="51" t="str">
        <f>IF($O16="","",INDEX(TAHSILAT!$B$7:$B$650,$O16))</f>
        <v>T00341</v>
      </c>
      <c r="I16" s="52">
        <f>IF($O16="","",INDEX(TAHSILAT!$F$7:$F$650,$O16))</f>
        <v>4000</v>
      </c>
      <c r="J16" s="51" t="str">
        <f>IF($O16="","",INDEX(TAHSILAT!$G$7:$G$650,$O16))</f>
        <v>MERKEZ KASA</v>
      </c>
      <c r="K16" s="36"/>
      <c r="L16" s="36"/>
      <c r="M16" s="36"/>
      <c r="N16" s="36"/>
      <c r="O16" s="53">
        <f>IF($C$4="","",IFERROR(MATCH($C$4&amp;"|"&amp;TEXT(ROWS($O$7:O16),"000"),TAHSILAT!$N$7:$N$650,0),""))</f>
        <v>341</v>
      </c>
    </row>
    <row r="17" spans="1:15" ht="22" customHeight="1">
      <c r="A17" s="36"/>
      <c r="B17" s="36"/>
      <c r="C17" s="36"/>
      <c r="D17" s="36"/>
      <c r="E17" s="36"/>
      <c r="F17" s="49">
        <f>IF($O17="","",INDEX(TAHSILAT!$E$7:$E$650,$O17))</f>
        <v>46179</v>
      </c>
      <c r="G17" s="50" t="str">
        <f>IF($O17="","",INDEX(TAHSILAT!$J$7:$J$650,$O17))</f>
        <v>NAKİT ÖDENEN</v>
      </c>
      <c r="H17" s="51" t="str">
        <f>IF($O17="","",INDEX(TAHSILAT!$B$7:$B$650,$O17))</f>
        <v>T00359</v>
      </c>
      <c r="I17" s="52">
        <f>IF($O17="","",INDEX(TAHSILAT!$F$7:$F$650,$O17))</f>
        <v>4000</v>
      </c>
      <c r="J17" s="51" t="str">
        <f>IF($O17="","",INDEX(TAHSILAT!$G$7:$G$650,$O17))</f>
        <v>MERKEZ KASA</v>
      </c>
      <c r="K17" s="36"/>
      <c r="L17" s="36"/>
      <c r="M17" s="36"/>
      <c r="N17" s="36"/>
      <c r="O17" s="53">
        <f>IF($C$4="","",IFERROR(MATCH($C$4&amp;"|"&amp;TEXT(ROWS($O$7:O17),"000"),TAHSILAT!$N$7:$N$650,0),""))</f>
        <v>359</v>
      </c>
    </row>
    <row r="18" spans="1:15" ht="22" customHeight="1">
      <c r="A18" s="36"/>
      <c r="B18" s="36"/>
      <c r="C18" s="36"/>
      <c r="D18" s="36"/>
      <c r="E18" s="36"/>
      <c r="F18" s="49">
        <f>IF($O18="","",INDEX(TAHSILAT!$E$7:$E$650,$O18))</f>
        <v>46200</v>
      </c>
      <c r="G18" s="50" t="str">
        <f>IF($O18="","",INDEX(TAHSILAT!$J$7:$J$650,$O18))</f>
        <v>NAKİT ÖDENEN</v>
      </c>
      <c r="H18" s="51" t="str">
        <f>IF($O18="","",INDEX(TAHSILAT!$B$7:$B$650,$O18))</f>
        <v>T00410</v>
      </c>
      <c r="I18" s="52">
        <f>IF($O18="","",INDEX(TAHSILAT!$F$7:$F$650,$O18))</f>
        <v>4000</v>
      </c>
      <c r="J18" s="51" t="str">
        <f>IF($O18="","",INDEX(TAHSILAT!$G$7:$G$650,$O18))</f>
        <v>MERKEZ KASA</v>
      </c>
      <c r="K18" s="36"/>
      <c r="L18" s="36"/>
      <c r="M18" s="36"/>
      <c r="N18" s="36"/>
      <c r="O18" s="53">
        <f>IF($C$4="","",IFERROR(MATCH($C$4&amp;"|"&amp;TEXT(ROWS($O$7:O18),"000"),TAHSILAT!$N$7:$N$650,0),""))</f>
        <v>410</v>
      </c>
    </row>
    <row r="19" spans="1:15" ht="22" customHeight="1">
      <c r="A19" s="36"/>
      <c r="B19" s="36"/>
      <c r="C19" s="36"/>
      <c r="D19" s="36"/>
      <c r="E19" s="36"/>
      <c r="F19" s="49">
        <f>IF($O19="","",INDEX(TAHSILAT!$E$7:$E$650,$O19))</f>
        <v>46221</v>
      </c>
      <c r="G19" s="50" t="str">
        <f>IF($O19="","",INDEX(TAHSILAT!$J$7:$J$650,$O19))</f>
        <v>NAKİT ÖDENEN</v>
      </c>
      <c r="H19" s="51" t="str">
        <f>IF($O19="","",INDEX(TAHSILAT!$B$7:$B$650,$O19))</f>
        <v>T00450</v>
      </c>
      <c r="I19" s="52">
        <f>IF($O19="","",INDEX(TAHSILAT!$F$7:$F$650,$O19))</f>
        <v>4000</v>
      </c>
      <c r="J19" s="51" t="str">
        <f>IF($O19="","",INDEX(TAHSILAT!$G$7:$G$650,$O19))</f>
        <v>MERKEZ KASA</v>
      </c>
      <c r="K19" s="36"/>
      <c r="L19" s="36"/>
      <c r="M19" s="36"/>
      <c r="N19" s="36"/>
      <c r="O19" s="53">
        <f>IF($C$4="","",IFERROR(MATCH($C$4&amp;"|"&amp;TEXT(ROWS($O$7:O19),"000"),TAHSILAT!$N$7:$N$650,0),""))</f>
        <v>450</v>
      </c>
    </row>
    <row r="20" spans="1:15" ht="22" customHeight="1">
      <c r="A20" s="36"/>
      <c r="B20" s="36"/>
      <c r="C20" s="36"/>
      <c r="D20" s="36"/>
      <c r="E20" s="36"/>
      <c r="F20" s="49">
        <f>IF($O20="","",INDEX(TAHSILAT!$E$7:$E$650,$O20))</f>
        <v>46228</v>
      </c>
      <c r="G20" s="50" t="str">
        <f>IF($O20="","",INDEX(TAHSILAT!$J$7:$J$650,$O20))</f>
        <v>NAKİT ÖDENEN</v>
      </c>
      <c r="H20" s="51" t="str">
        <f>IF($O20="","",INDEX(TAHSILAT!$B$7:$B$650,$O20))</f>
        <v>T00469</v>
      </c>
      <c r="I20" s="52">
        <f>IF($O20="","",INDEX(TAHSILAT!$F$7:$F$650,$O20))</f>
        <v>4000</v>
      </c>
      <c r="J20" s="51" t="str">
        <f>IF($O20="","",INDEX(TAHSILAT!$G$7:$G$650,$O20))</f>
        <v>MERKEZ KASA</v>
      </c>
      <c r="K20" s="36"/>
      <c r="L20" s="36"/>
      <c r="M20" s="36"/>
      <c r="N20" s="36"/>
      <c r="O20" s="53">
        <f>IF($C$4="","",IFERROR(MATCH($C$4&amp;"|"&amp;TEXT(ROWS($O$7:O20),"000"),TAHSILAT!$N$7:$N$650,0),""))</f>
        <v>469</v>
      </c>
    </row>
    <row r="21" spans="1:15" ht="22" customHeight="1">
      <c r="A21" s="36"/>
      <c r="B21" s="36"/>
      <c r="C21" s="36"/>
      <c r="D21" s="36"/>
      <c r="E21" s="36"/>
      <c r="F21" s="49">
        <f>IF($O21="","",INDEX(TAHSILAT!$E$7:$E$650,$O21))</f>
        <v>46235</v>
      </c>
      <c r="G21" s="50" t="str">
        <f>IF($O21="","",INDEX(TAHSILAT!$J$7:$J$650,$O21))</f>
        <v>NAKİT ÖDENEN</v>
      </c>
      <c r="H21" s="51" t="str">
        <f>IF($O21="","",INDEX(TAHSILAT!$B$7:$B$650,$O21))</f>
        <v>T00482</v>
      </c>
      <c r="I21" s="52">
        <f>IF($O21="","",INDEX(TAHSILAT!$F$7:$F$650,$O21))</f>
        <v>14000</v>
      </c>
      <c r="J21" s="51" t="str">
        <f>IF($O21="","",INDEX(TAHSILAT!$G$7:$G$650,$O21))</f>
        <v>MERKEZ KASA</v>
      </c>
      <c r="K21" s="36"/>
      <c r="L21" s="36"/>
      <c r="M21" s="36"/>
      <c r="N21" s="36"/>
      <c r="O21" s="53">
        <f>IF($C$4="","",IFERROR(MATCH($C$4&amp;"|"&amp;TEXT(ROWS($O$7:O21),"000"),TAHSILAT!$N$7:$N$650,0),""))</f>
        <v>482</v>
      </c>
    </row>
    <row r="22" spans="1:15" ht="22" customHeight="1">
      <c r="A22" s="36"/>
      <c r="B22" s="36"/>
      <c r="C22" s="36"/>
      <c r="D22" s="36"/>
      <c r="E22" s="36"/>
      <c r="F22" s="49">
        <f>IF($O22="","",INDEX(TAHSILAT!$E$7:$E$650,$O22))</f>
        <v>46249</v>
      </c>
      <c r="G22" s="50" t="str">
        <f>IF($O22="","",INDEX(TAHSILAT!$J$7:$J$650,$O22))</f>
        <v>NAKİT ÖDENEN</v>
      </c>
      <c r="H22" s="51" t="str">
        <f>IF($O22="","",INDEX(TAHSILAT!$B$7:$B$650,$O22))</f>
        <v>T00510</v>
      </c>
      <c r="I22" s="52">
        <f>IF($O22="","",INDEX(TAHSILAT!$F$7:$F$650,$O22))</f>
        <v>4000</v>
      </c>
      <c r="J22" s="51" t="str">
        <f>IF($O22="","",INDEX(TAHSILAT!$G$7:$G$650,$O22))</f>
        <v>MERKEZ KASA</v>
      </c>
      <c r="K22" s="36"/>
      <c r="L22" s="36"/>
      <c r="M22" s="36"/>
      <c r="N22" s="36"/>
      <c r="O22" s="53">
        <f>IF($C$4="","",IFERROR(MATCH($C$4&amp;"|"&amp;TEXT(ROWS($O$7:O22),"000"),TAHSILAT!$N$7:$N$650,0),""))</f>
        <v>510</v>
      </c>
    </row>
    <row r="23" spans="1:15" ht="22" customHeight="1">
      <c r="A23" s="36"/>
      <c r="B23" s="36"/>
      <c r="C23" s="36"/>
      <c r="D23" s="36"/>
      <c r="E23" s="36"/>
      <c r="F23" s="49">
        <f>IF($O23="","",INDEX(TAHSILAT!$E$7:$E$650,$O23))</f>
        <v>46256</v>
      </c>
      <c r="G23" s="50" t="str">
        <f>IF($O23="","",INDEX(TAHSILAT!$J$7:$J$650,$O23))</f>
        <v>NAKİT ÖDENEN</v>
      </c>
      <c r="H23" s="51" t="str">
        <f>IF($O23="","",INDEX(TAHSILAT!$B$7:$B$650,$O23))</f>
        <v>T00539</v>
      </c>
      <c r="I23" s="52">
        <f>IF($O23="","",INDEX(TAHSILAT!$F$7:$F$650,$O23))</f>
        <v>4000</v>
      </c>
      <c r="J23" s="51" t="str">
        <f>IF($O23="","",INDEX(TAHSILAT!$G$7:$G$650,$O23))</f>
        <v>MERKEZ KASA</v>
      </c>
      <c r="K23" s="36"/>
      <c r="L23" s="36"/>
      <c r="M23" s="36"/>
      <c r="N23" s="36"/>
      <c r="O23" s="53">
        <f>IF($C$4="","",IFERROR(MATCH($C$4&amp;"|"&amp;TEXT(ROWS($O$7:O23),"000"),TAHSILAT!$N$7:$N$650,0),""))</f>
        <v>539</v>
      </c>
    </row>
    <row r="24" spans="1:15" ht="22" customHeight="1">
      <c r="A24" s="36"/>
      <c r="B24" s="36"/>
      <c r="C24" s="36"/>
      <c r="D24" s="36"/>
      <c r="E24" s="36"/>
      <c r="F24" s="49" t="str">
        <f>IF($O24="","",INDEX(TAHSILAT!$E$7:$E$650,$O24))</f>
        <v/>
      </c>
      <c r="G24" s="50" t="str">
        <f>IF($O24="","",INDEX(TAHSILAT!$J$7:$J$650,$O24))</f>
        <v/>
      </c>
      <c r="H24" s="51" t="str">
        <f>IF($O24="","",INDEX(TAHSILAT!$B$7:$B$650,$O24))</f>
        <v/>
      </c>
      <c r="I24" s="52" t="str">
        <f>IF($O24="","",INDEX(TAHSILAT!$F$7:$F$650,$O24))</f>
        <v/>
      </c>
      <c r="J24" s="51" t="str">
        <f>IF($O24="","",INDEX(TAHSILAT!$G$7:$G$650,$O24))</f>
        <v/>
      </c>
      <c r="K24" s="36"/>
      <c r="L24" s="36"/>
      <c r="M24" s="36"/>
      <c r="N24" s="36"/>
      <c r="O24" s="53" t="str">
        <f>IF($C$4="","",IFERROR(MATCH($C$4&amp;"|"&amp;TEXT(ROWS($O$7:O24),"000"),TAHSILAT!$N$7:$N$650,0),""))</f>
        <v/>
      </c>
    </row>
    <row r="25" spans="1:15" ht="22" customHeight="1">
      <c r="A25" s="36"/>
      <c r="B25" s="36"/>
      <c r="C25" s="36"/>
      <c r="D25" s="36"/>
      <c r="E25" s="36"/>
      <c r="F25" s="49" t="str">
        <f>IF($O25="","",INDEX(TAHSILAT!$E$7:$E$650,$O25))</f>
        <v/>
      </c>
      <c r="G25" s="50" t="str">
        <f>IF($O25="","",INDEX(TAHSILAT!$J$7:$J$650,$O25))</f>
        <v/>
      </c>
      <c r="H25" s="51" t="str">
        <f>IF($O25="","",INDEX(TAHSILAT!$B$7:$B$650,$O25))</f>
        <v/>
      </c>
      <c r="I25" s="52" t="str">
        <f>IF($O25="","",INDEX(TAHSILAT!$F$7:$F$650,$O25))</f>
        <v/>
      </c>
      <c r="J25" s="51" t="str">
        <f>IF($O25="","",INDEX(TAHSILAT!$G$7:$G$650,$O25))</f>
        <v/>
      </c>
      <c r="K25" s="36"/>
      <c r="L25" s="36"/>
      <c r="M25" s="36"/>
      <c r="N25" s="36"/>
      <c r="O25" s="53" t="str">
        <f>IF($C$4="","",IFERROR(MATCH($C$4&amp;"|"&amp;TEXT(ROWS($O$7:O25),"000"),TAHSILAT!$N$7:$N$650,0),""))</f>
        <v/>
      </c>
    </row>
    <row r="26" spans="1:15" ht="22" customHeight="1">
      <c r="A26" s="36"/>
      <c r="B26" s="36"/>
      <c r="C26" s="36"/>
      <c r="D26" s="36"/>
      <c r="E26" s="36"/>
      <c r="F26" s="49" t="str">
        <f>IF($O26="","",INDEX(TAHSILAT!$E$7:$E$650,$O26))</f>
        <v/>
      </c>
      <c r="G26" s="50" t="str">
        <f>IF($O26="","",INDEX(TAHSILAT!$J$7:$J$650,$O26))</f>
        <v/>
      </c>
      <c r="H26" s="51" t="str">
        <f>IF($O26="","",INDEX(TAHSILAT!$B$7:$B$650,$O26))</f>
        <v/>
      </c>
      <c r="I26" s="52" t="str">
        <f>IF($O26="","",INDEX(TAHSILAT!$F$7:$F$650,$O26))</f>
        <v/>
      </c>
      <c r="J26" s="51" t="str">
        <f>IF($O26="","",INDEX(TAHSILAT!$G$7:$G$650,$O26))</f>
        <v/>
      </c>
      <c r="K26" s="36"/>
      <c r="L26" s="36"/>
      <c r="M26" s="36"/>
      <c r="N26" s="36"/>
      <c r="O26" s="53" t="str">
        <f>IF($C$4="","",IFERROR(MATCH($C$4&amp;"|"&amp;TEXT(ROWS($O$7:O26),"000"),TAHSILAT!$N$7:$N$650,0),""))</f>
        <v/>
      </c>
    </row>
    <row r="27" spans="1:15" ht="22" customHeight="1">
      <c r="A27" s="36"/>
      <c r="B27" s="36"/>
      <c r="C27" s="36"/>
      <c r="D27" s="36"/>
      <c r="E27" s="36"/>
      <c r="F27" s="49" t="str">
        <f>IF($O27="","",INDEX(TAHSILAT!$E$7:$E$650,$O27))</f>
        <v/>
      </c>
      <c r="G27" s="50" t="str">
        <f>IF($O27="","",INDEX(TAHSILAT!$J$7:$J$650,$O27))</f>
        <v/>
      </c>
      <c r="H27" s="51" t="str">
        <f>IF($O27="","",INDEX(TAHSILAT!$B$7:$B$650,$O27))</f>
        <v/>
      </c>
      <c r="I27" s="52" t="str">
        <f>IF($O27="","",INDEX(TAHSILAT!$F$7:$F$650,$O27))</f>
        <v/>
      </c>
      <c r="J27" s="51" t="str">
        <f>IF($O27="","",INDEX(TAHSILAT!$G$7:$G$650,$O27))</f>
        <v/>
      </c>
      <c r="K27" s="36"/>
      <c r="L27" s="36"/>
      <c r="M27" s="36"/>
      <c r="N27" s="36"/>
      <c r="O27" s="53" t="str">
        <f>IF($C$4="","",IFERROR(MATCH($C$4&amp;"|"&amp;TEXT(ROWS($O$7:O27),"000"),TAHSILAT!$N$7:$N$650,0),""))</f>
        <v/>
      </c>
    </row>
    <row r="28" spans="1:15" ht="22" customHeight="1">
      <c r="A28" s="36"/>
      <c r="B28" s="36"/>
      <c r="C28" s="36"/>
      <c r="D28" s="36"/>
      <c r="E28" s="36"/>
      <c r="F28" s="49" t="str">
        <f>IF($O28="","",INDEX(TAHSILAT!$E$7:$E$650,$O28))</f>
        <v/>
      </c>
      <c r="G28" s="50" t="str">
        <f>IF($O28="","",INDEX(TAHSILAT!$J$7:$J$650,$O28))</f>
        <v/>
      </c>
      <c r="H28" s="51" t="str">
        <f>IF($O28="","",INDEX(TAHSILAT!$B$7:$B$650,$O28))</f>
        <v/>
      </c>
      <c r="I28" s="52" t="str">
        <f>IF($O28="","",INDEX(TAHSILAT!$F$7:$F$650,$O28))</f>
        <v/>
      </c>
      <c r="J28" s="51" t="str">
        <f>IF($O28="","",INDEX(TAHSILAT!$G$7:$G$650,$O28))</f>
        <v/>
      </c>
      <c r="K28" s="36"/>
      <c r="L28" s="36"/>
      <c r="M28" s="36"/>
      <c r="N28" s="36"/>
      <c r="O28" s="53" t="str">
        <f>IF($C$4="","",IFERROR(MATCH($C$4&amp;"|"&amp;TEXT(ROWS($O$7:O28),"000"),TAHSILAT!$N$7:$N$650,0),""))</f>
        <v/>
      </c>
    </row>
    <row r="29" spans="1:15" ht="22" customHeight="1">
      <c r="A29" s="36"/>
      <c r="B29" s="36"/>
      <c r="C29" s="36"/>
      <c r="D29" s="36"/>
      <c r="E29" s="36"/>
      <c r="F29" s="49" t="str">
        <f>IF($O29="","",INDEX(TAHSILAT!$E$7:$E$650,$O29))</f>
        <v/>
      </c>
      <c r="G29" s="50" t="str">
        <f>IF($O29="","",INDEX(TAHSILAT!$J$7:$J$650,$O29))</f>
        <v/>
      </c>
      <c r="H29" s="51" t="str">
        <f>IF($O29="","",INDEX(TAHSILAT!$B$7:$B$650,$O29))</f>
        <v/>
      </c>
      <c r="I29" s="52" t="str">
        <f>IF($O29="","",INDEX(TAHSILAT!$F$7:$F$650,$O29))</f>
        <v/>
      </c>
      <c r="J29" s="51" t="str">
        <f>IF($O29="","",INDEX(TAHSILAT!$G$7:$G$650,$O29))</f>
        <v/>
      </c>
      <c r="K29" s="36"/>
      <c r="L29" s="36"/>
      <c r="M29" s="36"/>
      <c r="N29" s="36"/>
      <c r="O29" s="53" t="str">
        <f>IF($C$4="","",IFERROR(MATCH($C$4&amp;"|"&amp;TEXT(ROWS($O$7:O29),"000"),TAHSILAT!$N$7:$N$650,0),""))</f>
        <v/>
      </c>
    </row>
    <row r="30" spans="1:15" ht="22" customHeight="1">
      <c r="A30" s="36"/>
      <c r="B30" s="36"/>
      <c r="C30" s="36"/>
      <c r="D30" s="36"/>
      <c r="E30" s="36"/>
      <c r="F30" s="49" t="str">
        <f>IF($O30="","",INDEX(TAHSILAT!$E$7:$E$650,$O30))</f>
        <v/>
      </c>
      <c r="G30" s="50" t="str">
        <f>IF($O30="","",INDEX(TAHSILAT!$J$7:$J$650,$O30))</f>
        <v/>
      </c>
      <c r="H30" s="51" t="str">
        <f>IF($O30="","",INDEX(TAHSILAT!$B$7:$B$650,$O30))</f>
        <v/>
      </c>
      <c r="I30" s="52" t="str">
        <f>IF($O30="","",INDEX(TAHSILAT!$F$7:$F$650,$O30))</f>
        <v/>
      </c>
      <c r="J30" s="51" t="str">
        <f>IF($O30="","",INDEX(TAHSILAT!$G$7:$G$650,$O30))</f>
        <v/>
      </c>
      <c r="K30" s="36"/>
      <c r="L30" s="36"/>
      <c r="M30" s="36"/>
      <c r="N30" s="36"/>
      <c r="O30" s="53" t="str">
        <f>IF($C$4="","",IFERROR(MATCH($C$4&amp;"|"&amp;TEXT(ROWS($O$7:O30),"000"),TAHSILAT!$N$7:$N$650,0),""))</f>
        <v/>
      </c>
    </row>
    <row r="31" spans="1:15" ht="22" customHeight="1">
      <c r="A31" s="36"/>
      <c r="B31" s="36"/>
      <c r="C31" s="36"/>
      <c r="D31" s="36"/>
      <c r="E31" s="36"/>
      <c r="F31" s="49" t="str">
        <f>IF($O31="","",INDEX(TAHSILAT!$E$7:$E$650,$O31))</f>
        <v/>
      </c>
      <c r="G31" s="50" t="str">
        <f>IF($O31="","",INDEX(TAHSILAT!$J$7:$J$650,$O31))</f>
        <v/>
      </c>
      <c r="H31" s="51" t="str">
        <f>IF($O31="","",INDEX(TAHSILAT!$B$7:$B$650,$O31))</f>
        <v/>
      </c>
      <c r="I31" s="52" t="str">
        <f>IF($O31="","",INDEX(TAHSILAT!$F$7:$F$650,$O31))</f>
        <v/>
      </c>
      <c r="J31" s="51" t="str">
        <f>IF($O31="","",INDEX(TAHSILAT!$G$7:$G$650,$O31))</f>
        <v/>
      </c>
      <c r="K31" s="36"/>
      <c r="L31" s="36"/>
      <c r="M31" s="36"/>
      <c r="N31" s="36"/>
      <c r="O31" s="53" t="str">
        <f>IF($C$4="","",IFERROR(MATCH($C$4&amp;"|"&amp;TEXT(ROWS($O$7:O31),"000"),TAHSILAT!$N$7:$N$650,0),""))</f>
        <v/>
      </c>
    </row>
    <row r="32" spans="1:15" ht="22" customHeight="1">
      <c r="A32" s="36"/>
      <c r="B32" s="36"/>
      <c r="C32" s="36"/>
      <c r="D32" s="36"/>
      <c r="E32" s="36"/>
      <c r="F32" s="49" t="str">
        <f>IF($O32="","",INDEX(TAHSILAT!$E$7:$E$650,$O32))</f>
        <v/>
      </c>
      <c r="G32" s="50" t="str">
        <f>IF($O32="","",INDEX(TAHSILAT!$J$7:$J$650,$O32))</f>
        <v/>
      </c>
      <c r="H32" s="51" t="str">
        <f>IF($O32="","",INDEX(TAHSILAT!$B$7:$B$650,$O32))</f>
        <v/>
      </c>
      <c r="I32" s="52" t="str">
        <f>IF($O32="","",INDEX(TAHSILAT!$F$7:$F$650,$O32))</f>
        <v/>
      </c>
      <c r="J32" s="51" t="str">
        <f>IF($O32="","",INDEX(TAHSILAT!$G$7:$G$650,$O32))</f>
        <v/>
      </c>
      <c r="K32" s="36"/>
      <c r="L32" s="36"/>
      <c r="M32" s="36"/>
      <c r="N32" s="36"/>
      <c r="O32" s="53" t="str">
        <f>IF($C$4="","",IFERROR(MATCH($C$4&amp;"|"&amp;TEXT(ROWS($O$7:O32),"000"),TAHSILAT!$N$7:$N$650,0),""))</f>
        <v/>
      </c>
    </row>
    <row r="33" spans="1:15" ht="22" customHeight="1">
      <c r="A33" s="36"/>
      <c r="B33" s="36"/>
      <c r="C33" s="36"/>
      <c r="D33" s="36"/>
      <c r="E33" s="36"/>
      <c r="F33" s="49" t="str">
        <f>IF($O33="","",INDEX(TAHSILAT!$E$7:$E$650,$O33))</f>
        <v/>
      </c>
      <c r="G33" s="50" t="str">
        <f>IF($O33="","",INDEX(TAHSILAT!$J$7:$J$650,$O33))</f>
        <v/>
      </c>
      <c r="H33" s="51" t="str">
        <f>IF($O33="","",INDEX(TAHSILAT!$B$7:$B$650,$O33))</f>
        <v/>
      </c>
      <c r="I33" s="52" t="str">
        <f>IF($O33="","",INDEX(TAHSILAT!$F$7:$F$650,$O33))</f>
        <v/>
      </c>
      <c r="J33" s="51" t="str">
        <f>IF($O33="","",INDEX(TAHSILAT!$G$7:$G$650,$O33))</f>
        <v/>
      </c>
      <c r="K33" s="36"/>
      <c r="L33" s="36"/>
      <c r="M33" s="36"/>
      <c r="N33" s="36"/>
      <c r="O33" s="53" t="str">
        <f>IF($C$4="","",IFERROR(MATCH($C$4&amp;"|"&amp;TEXT(ROWS($O$7:O33),"000"),TAHSILAT!$N$7:$N$650,0),""))</f>
        <v/>
      </c>
    </row>
    <row r="34" spans="1:15" ht="22" customHeight="1">
      <c r="A34" s="36"/>
      <c r="B34" s="36"/>
      <c r="C34" s="36"/>
      <c r="D34" s="36"/>
      <c r="E34" s="36"/>
      <c r="F34" s="49" t="str">
        <f>IF($O34="","",INDEX(TAHSILAT!$E$7:$E$650,$O34))</f>
        <v/>
      </c>
      <c r="G34" s="50" t="str">
        <f>IF($O34="","",INDEX(TAHSILAT!$J$7:$J$650,$O34))</f>
        <v/>
      </c>
      <c r="H34" s="51" t="str">
        <f>IF($O34="","",INDEX(TAHSILAT!$B$7:$B$650,$O34))</f>
        <v/>
      </c>
      <c r="I34" s="52" t="str">
        <f>IF($O34="","",INDEX(TAHSILAT!$F$7:$F$650,$O34))</f>
        <v/>
      </c>
      <c r="J34" s="51" t="str">
        <f>IF($O34="","",INDEX(TAHSILAT!$G$7:$G$650,$O34))</f>
        <v/>
      </c>
      <c r="K34" s="36"/>
      <c r="L34" s="36"/>
      <c r="M34" s="36"/>
      <c r="N34" s="36"/>
      <c r="O34" s="53" t="str">
        <f>IF($C$4="","",IFERROR(MATCH($C$4&amp;"|"&amp;TEXT(ROWS($O$7:O34),"000"),TAHSILAT!$N$7:$N$650,0),""))</f>
        <v/>
      </c>
    </row>
    <row r="35" spans="1:15" ht="22" customHeight="1">
      <c r="A35" s="36"/>
      <c r="B35" s="36"/>
      <c r="C35" s="36"/>
      <c r="D35" s="36"/>
      <c r="E35" s="36"/>
      <c r="F35" s="49" t="str">
        <f>IF($O35="","",INDEX(TAHSILAT!$E$7:$E$650,$O35))</f>
        <v/>
      </c>
      <c r="G35" s="50" t="str">
        <f>IF($O35="","",INDEX(TAHSILAT!$J$7:$J$650,$O35))</f>
        <v/>
      </c>
      <c r="H35" s="51" t="str">
        <f>IF($O35="","",INDEX(TAHSILAT!$B$7:$B$650,$O35))</f>
        <v/>
      </c>
      <c r="I35" s="52" t="str">
        <f>IF($O35="","",INDEX(TAHSILAT!$F$7:$F$650,$O35))</f>
        <v/>
      </c>
      <c r="J35" s="51" t="str">
        <f>IF($O35="","",INDEX(TAHSILAT!$G$7:$G$650,$O35))</f>
        <v/>
      </c>
      <c r="K35" s="36"/>
      <c r="L35" s="36"/>
      <c r="M35" s="36"/>
      <c r="N35" s="36"/>
      <c r="O35" s="53" t="str">
        <f>IF($C$4="","",IFERROR(MATCH($C$4&amp;"|"&amp;TEXT(ROWS($O$7:O35),"000"),TAHSILAT!$N$7:$N$650,0),""))</f>
        <v/>
      </c>
    </row>
    <row r="36" spans="1:15" ht="22" customHeight="1">
      <c r="A36" s="36"/>
      <c r="B36" s="36"/>
      <c r="C36" s="36"/>
      <c r="D36" s="36"/>
      <c r="E36" s="36"/>
      <c r="F36" s="49" t="str">
        <f>IF($O36="","",INDEX(TAHSILAT!$E$7:$E$650,$O36))</f>
        <v/>
      </c>
      <c r="G36" s="50" t="str">
        <f>IF($O36="","",INDEX(TAHSILAT!$J$7:$J$650,$O36))</f>
        <v/>
      </c>
      <c r="H36" s="51" t="str">
        <f>IF($O36="","",INDEX(TAHSILAT!$B$7:$B$650,$O36))</f>
        <v/>
      </c>
      <c r="I36" s="52" t="str">
        <f>IF($O36="","",INDEX(TAHSILAT!$F$7:$F$650,$O36))</f>
        <v/>
      </c>
      <c r="J36" s="51" t="str">
        <f>IF($O36="","",INDEX(TAHSILAT!$G$7:$G$650,$O36))</f>
        <v/>
      </c>
      <c r="K36" s="36"/>
      <c r="L36" s="36"/>
      <c r="M36" s="36"/>
      <c r="N36" s="36"/>
      <c r="O36" s="53" t="str">
        <f>IF($C$4="","",IFERROR(MATCH($C$4&amp;"|"&amp;TEXT(ROWS($O$7:O36),"000"),TAHSILAT!$N$7:$N$650,0),""))</f>
        <v/>
      </c>
    </row>
    <row r="37" spans="1:15" ht="22" customHeight="1">
      <c r="A37" s="36"/>
      <c r="B37" s="36"/>
      <c r="C37" s="36"/>
      <c r="D37" s="36"/>
      <c r="E37" s="36"/>
      <c r="F37" s="49" t="str">
        <f>IF($O37="","",INDEX(TAHSILAT!$E$7:$E$650,$O37))</f>
        <v/>
      </c>
      <c r="G37" s="50" t="str">
        <f>IF($O37="","",INDEX(TAHSILAT!$J$7:$J$650,$O37))</f>
        <v/>
      </c>
      <c r="H37" s="51" t="str">
        <f>IF($O37="","",INDEX(TAHSILAT!$B$7:$B$650,$O37))</f>
        <v/>
      </c>
      <c r="I37" s="52" t="str">
        <f>IF($O37="","",INDEX(TAHSILAT!$F$7:$F$650,$O37))</f>
        <v/>
      </c>
      <c r="J37" s="51" t="str">
        <f>IF($O37="","",INDEX(TAHSILAT!$G$7:$G$650,$O37))</f>
        <v/>
      </c>
      <c r="K37" s="36"/>
      <c r="L37" s="36"/>
      <c r="M37" s="36"/>
      <c r="N37" s="36"/>
      <c r="O37" s="53" t="str">
        <f>IF($C$4="","",IFERROR(MATCH($C$4&amp;"|"&amp;TEXT(ROWS($O$7:O37),"000"),TAHSILAT!$N$7:$N$650,0),""))</f>
        <v/>
      </c>
    </row>
    <row r="38" spans="1:15" ht="22" customHeight="1">
      <c r="A38" s="36"/>
      <c r="B38" s="36"/>
      <c r="C38" s="36"/>
      <c r="D38" s="36"/>
      <c r="E38" s="36"/>
      <c r="F38" s="49" t="str">
        <f>IF($O38="","",INDEX(TAHSILAT!$E$7:$E$650,$O38))</f>
        <v/>
      </c>
      <c r="G38" s="50" t="str">
        <f>IF($O38="","",INDEX(TAHSILAT!$J$7:$J$650,$O38))</f>
        <v/>
      </c>
      <c r="H38" s="51" t="str">
        <f>IF($O38="","",INDEX(TAHSILAT!$B$7:$B$650,$O38))</f>
        <v/>
      </c>
      <c r="I38" s="52" t="str">
        <f>IF($O38="","",INDEX(TAHSILAT!$F$7:$F$650,$O38))</f>
        <v/>
      </c>
      <c r="J38" s="51" t="str">
        <f>IF($O38="","",INDEX(TAHSILAT!$G$7:$G$650,$O38))</f>
        <v/>
      </c>
      <c r="K38" s="36"/>
      <c r="L38" s="36"/>
      <c r="M38" s="36"/>
      <c r="N38" s="36"/>
      <c r="O38" s="53" t="str">
        <f>IF($C$4="","",IFERROR(MATCH($C$4&amp;"|"&amp;TEXT(ROWS($O$7:O38),"000"),TAHSILAT!$N$7:$N$650,0),""))</f>
        <v/>
      </c>
    </row>
    <row r="39" spans="1:15" ht="22" customHeight="1">
      <c r="A39" s="36"/>
      <c r="B39" s="36"/>
      <c r="C39" s="36"/>
      <c r="D39" s="36"/>
      <c r="E39" s="36"/>
      <c r="F39" s="49" t="str">
        <f>IF($O39="","",INDEX(TAHSILAT!$E$7:$E$650,$O39))</f>
        <v/>
      </c>
      <c r="G39" s="50" t="str">
        <f>IF($O39="","",INDEX(TAHSILAT!$J$7:$J$650,$O39))</f>
        <v/>
      </c>
      <c r="H39" s="51" t="str">
        <f>IF($O39="","",INDEX(TAHSILAT!$B$7:$B$650,$O39))</f>
        <v/>
      </c>
      <c r="I39" s="52" t="str">
        <f>IF($O39="","",INDEX(TAHSILAT!$F$7:$F$650,$O39))</f>
        <v/>
      </c>
      <c r="J39" s="51" t="str">
        <f>IF($O39="","",INDEX(TAHSILAT!$G$7:$G$650,$O39))</f>
        <v/>
      </c>
      <c r="K39" s="36"/>
      <c r="L39" s="36"/>
      <c r="M39" s="36"/>
      <c r="N39" s="36"/>
      <c r="O39" s="53" t="str">
        <f>IF($C$4="","",IFERROR(MATCH($C$4&amp;"|"&amp;TEXT(ROWS($O$7:O39),"000"),TAHSILAT!$N$7:$N$650,0),""))</f>
        <v/>
      </c>
    </row>
    <row r="40" spans="1:15" ht="22" customHeight="1">
      <c r="A40" s="36"/>
      <c r="B40" s="36"/>
      <c r="C40" s="36"/>
      <c r="D40" s="36"/>
      <c r="E40" s="36"/>
      <c r="F40" s="49" t="str">
        <f>IF($O40="","",INDEX(TAHSILAT!$E$7:$E$650,$O40))</f>
        <v/>
      </c>
      <c r="G40" s="50" t="str">
        <f>IF($O40="","",INDEX(TAHSILAT!$J$7:$J$650,$O40))</f>
        <v/>
      </c>
      <c r="H40" s="51" t="str">
        <f>IF($O40="","",INDEX(TAHSILAT!$B$7:$B$650,$O40))</f>
        <v/>
      </c>
      <c r="I40" s="52" t="str">
        <f>IF($O40="","",INDEX(TAHSILAT!$F$7:$F$650,$O40))</f>
        <v/>
      </c>
      <c r="J40" s="51" t="str">
        <f>IF($O40="","",INDEX(TAHSILAT!$G$7:$G$650,$O40))</f>
        <v/>
      </c>
      <c r="K40" s="36"/>
      <c r="L40" s="36"/>
      <c r="M40" s="36"/>
      <c r="N40" s="36"/>
      <c r="O40" s="53" t="str">
        <f>IF($C$4="","",IFERROR(MATCH($C$4&amp;"|"&amp;TEXT(ROWS($O$7:O40),"000"),TAHSILAT!$N$7:$N$650,0),""))</f>
        <v/>
      </c>
    </row>
    <row r="41" spans="1:15" ht="22" customHeight="1">
      <c r="A41" s="36"/>
      <c r="B41" s="36"/>
      <c r="C41" s="36"/>
      <c r="D41" s="36"/>
      <c r="E41" s="36"/>
      <c r="F41" s="49" t="str">
        <f>IF($O41="","",INDEX(TAHSILAT!$E$7:$E$650,$O41))</f>
        <v/>
      </c>
      <c r="G41" s="50" t="str">
        <f>IF($O41="","",INDEX(TAHSILAT!$J$7:$J$650,$O41))</f>
        <v/>
      </c>
      <c r="H41" s="51" t="str">
        <f>IF($O41="","",INDEX(TAHSILAT!$B$7:$B$650,$O41))</f>
        <v/>
      </c>
      <c r="I41" s="52" t="str">
        <f>IF($O41="","",INDEX(TAHSILAT!$F$7:$F$650,$O41))</f>
        <v/>
      </c>
      <c r="J41" s="51" t="str">
        <f>IF($O41="","",INDEX(TAHSILAT!$G$7:$G$650,$O41))</f>
        <v/>
      </c>
      <c r="K41" s="36"/>
      <c r="L41" s="36"/>
      <c r="M41" s="36"/>
      <c r="N41" s="36"/>
      <c r="O41" s="53" t="str">
        <f>IF($C$4="","",IFERROR(MATCH($C$4&amp;"|"&amp;TEXT(ROWS($O$7:O41),"000"),TAHSILAT!$N$7:$N$650,0),""))</f>
        <v/>
      </c>
    </row>
    <row r="42" spans="1:15" ht="22" customHeight="1">
      <c r="A42" s="36"/>
      <c r="B42" s="36"/>
      <c r="C42" s="36"/>
      <c r="D42" s="36"/>
      <c r="E42" s="36"/>
      <c r="F42" s="49" t="str">
        <f>IF($O42="","",INDEX(TAHSILAT!$E$7:$E$650,$O42))</f>
        <v/>
      </c>
      <c r="G42" s="50" t="str">
        <f>IF($O42="","",INDEX(TAHSILAT!$J$7:$J$650,$O42))</f>
        <v/>
      </c>
      <c r="H42" s="51" t="str">
        <f>IF($O42="","",INDEX(TAHSILAT!$B$7:$B$650,$O42))</f>
        <v/>
      </c>
      <c r="I42" s="52" t="str">
        <f>IF($O42="","",INDEX(TAHSILAT!$F$7:$F$650,$O42))</f>
        <v/>
      </c>
      <c r="J42" s="51" t="str">
        <f>IF($O42="","",INDEX(TAHSILAT!$G$7:$G$650,$O42))</f>
        <v/>
      </c>
      <c r="K42" s="36"/>
      <c r="L42" s="36"/>
      <c r="M42" s="36"/>
      <c r="N42" s="36"/>
      <c r="O42" s="53" t="str">
        <f>IF($C$4="","",IFERROR(MATCH($C$4&amp;"|"&amp;TEXT(ROWS($O$7:O42),"000"),TAHSILAT!$N$7:$N$650,0),""))</f>
        <v/>
      </c>
    </row>
    <row r="43" spans="1:15" ht="22" customHeight="1">
      <c r="A43" s="36"/>
      <c r="B43" s="36"/>
      <c r="C43" s="36"/>
      <c r="D43" s="36"/>
      <c r="E43" s="36"/>
      <c r="F43" s="49" t="str">
        <f>IF($O43="","",INDEX(TAHSILAT!$E$7:$E$650,$O43))</f>
        <v/>
      </c>
      <c r="G43" s="50" t="str">
        <f>IF($O43="","",INDEX(TAHSILAT!$J$7:$J$650,$O43))</f>
        <v/>
      </c>
      <c r="H43" s="51" t="str">
        <f>IF($O43="","",INDEX(TAHSILAT!$B$7:$B$650,$O43))</f>
        <v/>
      </c>
      <c r="I43" s="52" t="str">
        <f>IF($O43="","",INDEX(TAHSILAT!$F$7:$F$650,$O43))</f>
        <v/>
      </c>
      <c r="J43" s="51" t="str">
        <f>IF($O43="","",INDEX(TAHSILAT!$G$7:$G$650,$O43))</f>
        <v/>
      </c>
      <c r="K43" s="36"/>
      <c r="L43" s="36"/>
      <c r="M43" s="36"/>
      <c r="N43" s="36"/>
      <c r="O43" s="53" t="str">
        <f>IF($C$4="","",IFERROR(MATCH($C$4&amp;"|"&amp;TEXT(ROWS($O$7:O43),"000"),TAHSILAT!$N$7:$N$650,0),""))</f>
        <v/>
      </c>
    </row>
    <row r="44" spans="1:15" ht="22" customHeight="1">
      <c r="A44" s="36"/>
      <c r="B44" s="36"/>
      <c r="C44" s="36"/>
      <c r="D44" s="36"/>
      <c r="E44" s="36"/>
      <c r="F44" s="49" t="str">
        <f>IF($O44="","",INDEX(TAHSILAT!$E$7:$E$650,$O44))</f>
        <v/>
      </c>
      <c r="G44" s="50" t="str">
        <f>IF($O44="","",INDEX(TAHSILAT!$J$7:$J$650,$O44))</f>
        <v/>
      </c>
      <c r="H44" s="51" t="str">
        <f>IF($O44="","",INDEX(TAHSILAT!$B$7:$B$650,$O44))</f>
        <v/>
      </c>
      <c r="I44" s="52" t="str">
        <f>IF($O44="","",INDEX(TAHSILAT!$F$7:$F$650,$O44))</f>
        <v/>
      </c>
      <c r="J44" s="51" t="str">
        <f>IF($O44="","",INDEX(TAHSILAT!$G$7:$G$650,$O44))</f>
        <v/>
      </c>
      <c r="K44" s="36"/>
      <c r="L44" s="36"/>
      <c r="M44" s="36"/>
      <c r="N44" s="36"/>
      <c r="O44" s="53" t="str">
        <f>IF($C$4="","",IFERROR(MATCH($C$4&amp;"|"&amp;TEXT(ROWS($O$7:O44),"000"),TAHSILAT!$N$7:$N$650,0),""))</f>
        <v/>
      </c>
    </row>
    <row r="45" spans="1:15" ht="22" customHeight="1">
      <c r="A45" s="36"/>
      <c r="B45" s="36"/>
      <c r="C45" s="36"/>
      <c r="D45" s="36"/>
      <c r="E45" s="36"/>
      <c r="F45" s="49" t="str">
        <f>IF($O45="","",INDEX(TAHSILAT!$E$7:$E$650,$O45))</f>
        <v/>
      </c>
      <c r="G45" s="50" t="str">
        <f>IF($O45="","",INDEX(TAHSILAT!$J$7:$J$650,$O45))</f>
        <v/>
      </c>
      <c r="H45" s="51" t="str">
        <f>IF($O45="","",INDEX(TAHSILAT!$B$7:$B$650,$O45))</f>
        <v/>
      </c>
      <c r="I45" s="52" t="str">
        <f>IF($O45="","",INDEX(TAHSILAT!$F$7:$F$650,$O45))</f>
        <v/>
      </c>
      <c r="J45" s="51" t="str">
        <f>IF($O45="","",INDEX(TAHSILAT!$G$7:$G$650,$O45))</f>
        <v/>
      </c>
      <c r="K45" s="36"/>
      <c r="L45" s="36"/>
      <c r="M45" s="36"/>
      <c r="N45" s="36"/>
      <c r="O45" s="53" t="str">
        <f>IF($C$4="","",IFERROR(MATCH($C$4&amp;"|"&amp;TEXT(ROWS($O$7:O45),"000"),TAHSILAT!$N$7:$N$650,0),""))</f>
        <v/>
      </c>
    </row>
    <row r="46" spans="1:15" ht="22" customHeight="1">
      <c r="A46" s="36"/>
      <c r="B46" s="36"/>
      <c r="C46" s="36"/>
      <c r="D46" s="36"/>
      <c r="E46" s="36"/>
      <c r="F46" s="49" t="str">
        <f>IF($O46="","",INDEX(TAHSILAT!$E$7:$E$650,$O46))</f>
        <v/>
      </c>
      <c r="G46" s="50" t="str">
        <f>IF($O46="","",INDEX(TAHSILAT!$J$7:$J$650,$O46))</f>
        <v/>
      </c>
      <c r="H46" s="51" t="str">
        <f>IF($O46="","",INDEX(TAHSILAT!$B$7:$B$650,$O46))</f>
        <v/>
      </c>
      <c r="I46" s="52" t="str">
        <f>IF($O46="","",INDEX(TAHSILAT!$F$7:$F$650,$O46))</f>
        <v/>
      </c>
      <c r="J46" s="51" t="str">
        <f>IF($O46="","",INDEX(TAHSILAT!$G$7:$G$650,$O46))</f>
        <v/>
      </c>
      <c r="K46" s="36"/>
      <c r="L46" s="36"/>
      <c r="M46" s="36"/>
      <c r="N46" s="36"/>
      <c r="O46" s="53" t="str">
        <f>IF($C$4="","",IFERROR(MATCH($C$4&amp;"|"&amp;TEXT(ROWS($O$7:O46),"000"),TAHSILAT!$N$7:$N$650,0),""))</f>
        <v/>
      </c>
    </row>
    <row r="47" spans="1:15" ht="22" customHeight="1">
      <c r="A47" s="36"/>
      <c r="B47" s="36"/>
      <c r="C47" s="36"/>
      <c r="D47" s="36"/>
      <c r="E47" s="36"/>
      <c r="F47" s="49" t="str">
        <f>IF($O47="","",INDEX(TAHSILAT!$E$7:$E$650,$O47))</f>
        <v/>
      </c>
      <c r="G47" s="50" t="str">
        <f>IF($O47="","",INDEX(TAHSILAT!$J$7:$J$650,$O47))</f>
        <v/>
      </c>
      <c r="H47" s="51" t="str">
        <f>IF($O47="","",INDEX(TAHSILAT!$B$7:$B$650,$O47))</f>
        <v/>
      </c>
      <c r="I47" s="52" t="str">
        <f>IF($O47="","",INDEX(TAHSILAT!$F$7:$F$650,$O47))</f>
        <v/>
      </c>
      <c r="J47" s="51" t="str">
        <f>IF($O47="","",INDEX(TAHSILAT!$G$7:$G$650,$O47))</f>
        <v/>
      </c>
      <c r="K47" s="36"/>
      <c r="L47" s="36"/>
      <c r="M47" s="36"/>
      <c r="N47" s="36"/>
      <c r="O47" s="53" t="str">
        <f>IF($C$4="","",IFERROR(MATCH($C$4&amp;"|"&amp;TEXT(ROWS($O$7:O47),"000"),TAHSILAT!$N$7:$N$650,0),""))</f>
        <v/>
      </c>
    </row>
    <row r="48" spans="1:15" ht="22" customHeight="1">
      <c r="A48" s="36"/>
      <c r="B48" s="36"/>
      <c r="C48" s="36"/>
      <c r="D48" s="36"/>
      <c r="E48" s="36"/>
      <c r="F48" s="49" t="str">
        <f>IF($O48="","",INDEX(TAHSILAT!$E$7:$E$650,$O48))</f>
        <v/>
      </c>
      <c r="G48" s="50" t="str">
        <f>IF($O48="","",INDEX(TAHSILAT!$J$7:$J$650,$O48))</f>
        <v/>
      </c>
      <c r="H48" s="51" t="str">
        <f>IF($O48="","",INDEX(TAHSILAT!$B$7:$B$650,$O48))</f>
        <v/>
      </c>
      <c r="I48" s="52" t="str">
        <f>IF($O48="","",INDEX(TAHSILAT!$F$7:$F$650,$O48))</f>
        <v/>
      </c>
      <c r="J48" s="51" t="str">
        <f>IF($O48="","",INDEX(TAHSILAT!$G$7:$G$650,$O48))</f>
        <v/>
      </c>
      <c r="K48" s="36"/>
      <c r="L48" s="36"/>
      <c r="M48" s="36"/>
      <c r="N48" s="36"/>
      <c r="O48" s="53" t="str">
        <f>IF($C$4="","",IFERROR(MATCH($C$4&amp;"|"&amp;TEXT(ROWS($O$7:O48),"000"),TAHSILAT!$N$7:$N$650,0),""))</f>
        <v/>
      </c>
    </row>
    <row r="49" spans="1:15" ht="22" customHeight="1">
      <c r="A49" s="36"/>
      <c r="B49" s="36"/>
      <c r="C49" s="36"/>
      <c r="D49" s="36"/>
      <c r="E49" s="36"/>
      <c r="F49" s="49" t="str">
        <f>IF($O49="","",INDEX(TAHSILAT!$E$7:$E$650,$O49))</f>
        <v/>
      </c>
      <c r="G49" s="50" t="str">
        <f>IF($O49="","",INDEX(TAHSILAT!$J$7:$J$650,$O49))</f>
        <v/>
      </c>
      <c r="H49" s="51" t="str">
        <f>IF($O49="","",INDEX(TAHSILAT!$B$7:$B$650,$O49))</f>
        <v/>
      </c>
      <c r="I49" s="52" t="str">
        <f>IF($O49="","",INDEX(TAHSILAT!$F$7:$F$650,$O49))</f>
        <v/>
      </c>
      <c r="J49" s="51" t="str">
        <f>IF($O49="","",INDEX(TAHSILAT!$G$7:$G$650,$O49))</f>
        <v/>
      </c>
      <c r="K49" s="36"/>
      <c r="L49" s="36"/>
      <c r="M49" s="36"/>
      <c r="N49" s="36"/>
      <c r="O49" s="53" t="str">
        <f>IF($C$4="","",IFERROR(MATCH($C$4&amp;"|"&amp;TEXT(ROWS($O$7:O49),"000"),TAHSILAT!$N$7:$N$650,0),""))</f>
        <v/>
      </c>
    </row>
    <row r="50" spans="1:15" ht="22" customHeight="1">
      <c r="A50" s="36"/>
      <c r="B50" s="36"/>
      <c r="C50" s="36"/>
      <c r="D50" s="36"/>
      <c r="E50" s="36"/>
      <c r="F50" s="49" t="str">
        <f>IF($O50="","",INDEX(TAHSILAT!$E$7:$E$650,$O50))</f>
        <v/>
      </c>
      <c r="G50" s="50" t="str">
        <f>IF($O50="","",INDEX(TAHSILAT!$J$7:$J$650,$O50))</f>
        <v/>
      </c>
      <c r="H50" s="51" t="str">
        <f>IF($O50="","",INDEX(TAHSILAT!$B$7:$B$650,$O50))</f>
        <v/>
      </c>
      <c r="I50" s="52" t="str">
        <f>IF($O50="","",INDEX(TAHSILAT!$F$7:$F$650,$O50))</f>
        <v/>
      </c>
      <c r="J50" s="51" t="str">
        <f>IF($O50="","",INDEX(TAHSILAT!$G$7:$G$650,$O50))</f>
        <v/>
      </c>
      <c r="K50" s="36"/>
      <c r="L50" s="36"/>
      <c r="M50" s="36"/>
      <c r="N50" s="36"/>
      <c r="O50" s="53" t="str">
        <f>IF($C$4="","",IFERROR(MATCH($C$4&amp;"|"&amp;TEXT(ROWS($O$7:O50),"000"),TAHSILAT!$N$7:$N$650,0),""))</f>
        <v/>
      </c>
    </row>
    <row r="51" spans="1:15" ht="22" customHeight="1">
      <c r="A51" s="36"/>
      <c r="B51" s="36"/>
      <c r="C51" s="36"/>
      <c r="D51" s="36"/>
      <c r="E51" s="36"/>
      <c r="F51" s="49" t="str">
        <f>IF($O51="","",INDEX(TAHSILAT!$E$7:$E$650,$O51))</f>
        <v/>
      </c>
      <c r="G51" s="50" t="str">
        <f>IF($O51="","",INDEX(TAHSILAT!$J$7:$J$650,$O51))</f>
        <v/>
      </c>
      <c r="H51" s="51" t="str">
        <f>IF($O51="","",INDEX(TAHSILAT!$B$7:$B$650,$O51))</f>
        <v/>
      </c>
      <c r="I51" s="52" t="str">
        <f>IF($O51="","",INDEX(TAHSILAT!$F$7:$F$650,$O51))</f>
        <v/>
      </c>
      <c r="J51" s="51" t="str">
        <f>IF($O51="","",INDEX(TAHSILAT!$G$7:$G$650,$O51))</f>
        <v/>
      </c>
      <c r="K51" s="36"/>
      <c r="L51" s="36"/>
      <c r="M51" s="36"/>
      <c r="N51" s="36"/>
      <c r="O51" s="53" t="str">
        <f>IF($C$4="","",IFERROR(MATCH($C$4&amp;"|"&amp;TEXT(ROWS($O$7:O51),"000"),TAHSILAT!$N$7:$N$650,0),""))</f>
        <v/>
      </c>
    </row>
    <row r="52" spans="1:15" ht="22" customHeight="1">
      <c r="A52" s="36"/>
      <c r="B52" s="36"/>
      <c r="C52" s="36"/>
      <c r="D52" s="36"/>
      <c r="E52" s="36"/>
      <c r="F52" s="49" t="str">
        <f>IF($O52="","",INDEX(TAHSILAT!$E$7:$E$650,$O52))</f>
        <v/>
      </c>
      <c r="G52" s="50" t="str">
        <f>IF($O52="","",INDEX(TAHSILAT!$J$7:$J$650,$O52))</f>
        <v/>
      </c>
      <c r="H52" s="51" t="str">
        <f>IF($O52="","",INDEX(TAHSILAT!$B$7:$B$650,$O52))</f>
        <v/>
      </c>
      <c r="I52" s="52" t="str">
        <f>IF($O52="","",INDEX(TAHSILAT!$F$7:$F$650,$O52))</f>
        <v/>
      </c>
      <c r="J52" s="51" t="str">
        <f>IF($O52="","",INDEX(TAHSILAT!$G$7:$G$650,$O52))</f>
        <v/>
      </c>
      <c r="K52" s="36"/>
      <c r="L52" s="36"/>
      <c r="M52" s="36"/>
      <c r="N52" s="36"/>
      <c r="O52" s="53" t="str">
        <f>IF($C$4="","",IFERROR(MATCH($C$4&amp;"|"&amp;TEXT(ROWS($O$7:O52),"000"),TAHSILAT!$N$7:$N$650,0),""))</f>
        <v/>
      </c>
    </row>
    <row r="53" spans="1:15" ht="22" customHeight="1">
      <c r="A53" s="36"/>
      <c r="B53" s="36"/>
      <c r="C53" s="36"/>
      <c r="D53" s="36"/>
      <c r="E53" s="36"/>
      <c r="F53" s="49" t="str">
        <f>IF($O53="","",INDEX(TAHSILAT!$E$7:$E$650,$O53))</f>
        <v/>
      </c>
      <c r="G53" s="50" t="str">
        <f>IF($O53="","",INDEX(TAHSILAT!$J$7:$J$650,$O53))</f>
        <v/>
      </c>
      <c r="H53" s="51" t="str">
        <f>IF($O53="","",INDEX(TAHSILAT!$B$7:$B$650,$O53))</f>
        <v/>
      </c>
      <c r="I53" s="52" t="str">
        <f>IF($O53="","",INDEX(TAHSILAT!$F$7:$F$650,$O53))</f>
        <v/>
      </c>
      <c r="J53" s="51" t="str">
        <f>IF($O53="","",INDEX(TAHSILAT!$G$7:$G$650,$O53))</f>
        <v/>
      </c>
      <c r="K53" s="36"/>
      <c r="L53" s="36"/>
      <c r="M53" s="36"/>
      <c r="N53" s="36"/>
      <c r="O53" s="53" t="str">
        <f>IF($C$4="","",IFERROR(MATCH($C$4&amp;"|"&amp;TEXT(ROWS($O$7:O53),"000"),TAHSILAT!$N$7:$N$650,0),""))</f>
        <v/>
      </c>
    </row>
    <row r="54" spans="1:15" ht="22" customHeight="1">
      <c r="A54" s="36"/>
      <c r="B54" s="36"/>
      <c r="C54" s="36"/>
      <c r="D54" s="36"/>
      <c r="E54" s="36"/>
      <c r="F54" s="49" t="str">
        <f>IF($O54="","",INDEX(TAHSILAT!$E$7:$E$650,$O54))</f>
        <v/>
      </c>
      <c r="G54" s="50" t="str">
        <f>IF($O54="","",INDEX(TAHSILAT!$J$7:$J$650,$O54))</f>
        <v/>
      </c>
      <c r="H54" s="51" t="str">
        <f>IF($O54="","",INDEX(TAHSILAT!$B$7:$B$650,$O54))</f>
        <v/>
      </c>
      <c r="I54" s="52" t="str">
        <f>IF($O54="","",INDEX(TAHSILAT!$F$7:$F$650,$O54))</f>
        <v/>
      </c>
      <c r="J54" s="51" t="str">
        <f>IF($O54="","",INDEX(TAHSILAT!$G$7:$G$650,$O54))</f>
        <v/>
      </c>
      <c r="K54" s="36"/>
      <c r="L54" s="36"/>
      <c r="M54" s="36"/>
      <c r="N54" s="36"/>
      <c r="O54" s="53" t="str">
        <f>IF($C$4="","",IFERROR(MATCH($C$4&amp;"|"&amp;TEXT(ROWS($O$7:O54),"000"),TAHSILAT!$N$7:$N$650,0),""))</f>
        <v/>
      </c>
    </row>
    <row r="55" spans="1:15" ht="22" customHeight="1">
      <c r="A55" s="36"/>
      <c r="B55" s="36"/>
      <c r="C55" s="36"/>
      <c r="D55" s="36"/>
      <c r="E55" s="36"/>
      <c r="F55" s="49" t="str">
        <f>IF($O55="","",INDEX(TAHSILAT!$E$7:$E$650,$O55))</f>
        <v/>
      </c>
      <c r="G55" s="50" t="str">
        <f>IF($O55="","",INDEX(TAHSILAT!$J$7:$J$650,$O55))</f>
        <v/>
      </c>
      <c r="H55" s="51" t="str">
        <f>IF($O55="","",INDEX(TAHSILAT!$B$7:$B$650,$O55))</f>
        <v/>
      </c>
      <c r="I55" s="52" t="str">
        <f>IF($O55="","",INDEX(TAHSILAT!$F$7:$F$650,$O55))</f>
        <v/>
      </c>
      <c r="J55" s="51" t="str">
        <f>IF($O55="","",INDEX(TAHSILAT!$G$7:$G$650,$O55))</f>
        <v/>
      </c>
      <c r="K55" s="36"/>
      <c r="L55" s="36"/>
      <c r="M55" s="36"/>
      <c r="N55" s="36"/>
      <c r="O55" s="53" t="str">
        <f>IF($C$4="","",IFERROR(MATCH($C$4&amp;"|"&amp;TEXT(ROWS($O$7:O55),"000"),TAHSILAT!$N$7:$N$650,0),""))</f>
        <v/>
      </c>
    </row>
    <row r="56" spans="1:15" ht="22" customHeight="1">
      <c r="A56" s="36"/>
      <c r="B56" s="36"/>
      <c r="C56" s="36"/>
      <c r="D56" s="36"/>
      <c r="E56" s="36"/>
      <c r="F56" s="49" t="str">
        <f>IF($O56="","",INDEX(TAHSILAT!$E$7:$E$650,$O56))</f>
        <v/>
      </c>
      <c r="G56" s="50" t="str">
        <f>IF($O56="","",INDEX(TAHSILAT!$J$7:$J$650,$O56))</f>
        <v/>
      </c>
      <c r="H56" s="51" t="str">
        <f>IF($O56="","",INDEX(TAHSILAT!$B$7:$B$650,$O56))</f>
        <v/>
      </c>
      <c r="I56" s="52" t="str">
        <f>IF($O56="","",INDEX(TAHSILAT!$F$7:$F$650,$O56))</f>
        <v/>
      </c>
      <c r="J56" s="51" t="str">
        <f>IF($O56="","",INDEX(TAHSILAT!$G$7:$G$650,$O56))</f>
        <v/>
      </c>
      <c r="K56" s="36"/>
      <c r="L56" s="36"/>
      <c r="M56" s="36"/>
      <c r="N56" s="36"/>
      <c r="O56" s="53" t="str">
        <f>IF($C$4="","",IFERROR(MATCH($C$4&amp;"|"&amp;TEXT(ROWS($O$7:O56),"000"),TAHSILAT!$N$7:$N$650,0),""))</f>
        <v/>
      </c>
    </row>
    <row r="57" spans="1:15" ht="22" customHeight="1">
      <c r="A57" s="36"/>
      <c r="B57" s="36"/>
      <c r="C57" s="36"/>
      <c r="D57" s="36"/>
      <c r="E57" s="36"/>
      <c r="F57" s="49" t="str">
        <f>IF($O57="","",INDEX(TAHSILAT!$E$7:$E$650,$O57))</f>
        <v/>
      </c>
      <c r="G57" s="50" t="str">
        <f>IF($O57="","",INDEX(TAHSILAT!$J$7:$J$650,$O57))</f>
        <v/>
      </c>
      <c r="H57" s="51" t="str">
        <f>IF($O57="","",INDEX(TAHSILAT!$B$7:$B$650,$O57))</f>
        <v/>
      </c>
      <c r="I57" s="52" t="str">
        <f>IF($O57="","",INDEX(TAHSILAT!$F$7:$F$650,$O57))</f>
        <v/>
      </c>
      <c r="J57" s="51" t="str">
        <f>IF($O57="","",INDEX(TAHSILAT!$G$7:$G$650,$O57))</f>
        <v/>
      </c>
      <c r="K57" s="36"/>
      <c r="L57" s="36"/>
      <c r="M57" s="36"/>
      <c r="N57" s="36"/>
      <c r="O57" s="53" t="str">
        <f>IF($C$4="","",IFERROR(MATCH($C$4&amp;"|"&amp;TEXT(ROWS($O$7:O57),"000"),TAHSILAT!$N$7:$N$650,0),""))</f>
        <v/>
      </c>
    </row>
    <row r="58" spans="1:15" ht="22" customHeight="1">
      <c r="A58" s="36"/>
      <c r="B58" s="36"/>
      <c r="C58" s="36"/>
      <c r="D58" s="36"/>
      <c r="E58" s="36"/>
      <c r="F58" s="49" t="str">
        <f>IF($O58="","",INDEX(TAHSILAT!$E$7:$E$650,$O58))</f>
        <v/>
      </c>
      <c r="G58" s="50" t="str">
        <f>IF($O58="","",INDEX(TAHSILAT!$J$7:$J$650,$O58))</f>
        <v/>
      </c>
      <c r="H58" s="51" t="str">
        <f>IF($O58="","",INDEX(TAHSILAT!$B$7:$B$650,$O58))</f>
        <v/>
      </c>
      <c r="I58" s="52" t="str">
        <f>IF($O58="","",INDEX(TAHSILAT!$F$7:$F$650,$O58))</f>
        <v/>
      </c>
      <c r="J58" s="51" t="str">
        <f>IF($O58="","",INDEX(TAHSILAT!$G$7:$G$650,$O58))</f>
        <v/>
      </c>
      <c r="K58" s="36"/>
      <c r="L58" s="36"/>
      <c r="M58" s="36"/>
      <c r="N58" s="36"/>
      <c r="O58" s="53" t="str">
        <f>IF($C$4="","",IFERROR(MATCH($C$4&amp;"|"&amp;TEXT(ROWS($O$7:O58),"000"),TAHSILAT!$N$7:$N$650,0),""))</f>
        <v/>
      </c>
    </row>
    <row r="59" spans="1:15" ht="22" customHeight="1">
      <c r="A59" s="36"/>
      <c r="B59" s="36"/>
      <c r="C59" s="36"/>
      <c r="D59" s="36"/>
      <c r="E59" s="36"/>
      <c r="F59" s="49" t="str">
        <f>IF($O59="","",INDEX(TAHSILAT!$E$7:$E$650,$O59))</f>
        <v/>
      </c>
      <c r="G59" s="50" t="str">
        <f>IF($O59="","",INDEX(TAHSILAT!$J$7:$J$650,$O59))</f>
        <v/>
      </c>
      <c r="H59" s="51" t="str">
        <f>IF($O59="","",INDEX(TAHSILAT!$B$7:$B$650,$O59))</f>
        <v/>
      </c>
      <c r="I59" s="52" t="str">
        <f>IF($O59="","",INDEX(TAHSILAT!$F$7:$F$650,$O59))</f>
        <v/>
      </c>
      <c r="J59" s="51" t="str">
        <f>IF($O59="","",INDEX(TAHSILAT!$G$7:$G$650,$O59))</f>
        <v/>
      </c>
      <c r="K59" s="36"/>
      <c r="L59" s="36"/>
      <c r="M59" s="36"/>
      <c r="N59" s="36"/>
      <c r="O59" s="53" t="str">
        <f>IF($C$4="","",IFERROR(MATCH($C$4&amp;"|"&amp;TEXT(ROWS($O$7:O59),"000"),TAHSILAT!$N$7:$N$650,0),""))</f>
        <v/>
      </c>
    </row>
    <row r="60" spans="1:15" ht="22" customHeight="1">
      <c r="A60" s="36"/>
      <c r="B60" s="36"/>
      <c r="C60" s="36"/>
      <c r="D60" s="36"/>
      <c r="E60" s="36"/>
      <c r="F60" s="49" t="str">
        <f>IF($O60="","",INDEX(TAHSILAT!$E$7:$E$650,$O60))</f>
        <v/>
      </c>
      <c r="G60" s="50" t="str">
        <f>IF($O60="","",INDEX(TAHSILAT!$J$7:$J$650,$O60))</f>
        <v/>
      </c>
      <c r="H60" s="51" t="str">
        <f>IF($O60="","",INDEX(TAHSILAT!$B$7:$B$650,$O60))</f>
        <v/>
      </c>
      <c r="I60" s="52" t="str">
        <f>IF($O60="","",INDEX(TAHSILAT!$F$7:$F$650,$O60))</f>
        <v/>
      </c>
      <c r="J60" s="51" t="str">
        <f>IF($O60="","",INDEX(TAHSILAT!$G$7:$G$650,$O60))</f>
        <v/>
      </c>
      <c r="K60" s="36"/>
      <c r="L60" s="36"/>
      <c r="M60" s="36"/>
      <c r="N60" s="36"/>
      <c r="O60" s="53" t="str">
        <f>IF($C$4="","",IFERROR(MATCH($C$4&amp;"|"&amp;TEXT(ROWS($O$7:O60),"000"),TAHSILAT!$N$7:$N$650,0),""))</f>
        <v/>
      </c>
    </row>
    <row r="61" spans="1:15" ht="22" customHeight="1">
      <c r="A61" s="36"/>
      <c r="B61" s="36"/>
      <c r="C61" s="36"/>
      <c r="D61" s="36"/>
      <c r="E61" s="36"/>
      <c r="F61" s="49" t="str">
        <f>IF($O61="","",INDEX(TAHSILAT!$E$7:$E$650,$O61))</f>
        <v/>
      </c>
      <c r="G61" s="50" t="str">
        <f>IF($O61="","",INDEX(TAHSILAT!$J$7:$J$650,$O61))</f>
        <v/>
      </c>
      <c r="H61" s="51" t="str">
        <f>IF($O61="","",INDEX(TAHSILAT!$B$7:$B$650,$O61))</f>
        <v/>
      </c>
      <c r="I61" s="52" t="str">
        <f>IF($O61="","",INDEX(TAHSILAT!$F$7:$F$650,$O61))</f>
        <v/>
      </c>
      <c r="J61" s="51" t="str">
        <f>IF($O61="","",INDEX(TAHSILAT!$G$7:$G$650,$O61))</f>
        <v/>
      </c>
      <c r="K61" s="36"/>
      <c r="L61" s="36"/>
      <c r="M61" s="36"/>
      <c r="N61" s="36"/>
      <c r="O61" s="53" t="str">
        <f>IF($C$4="","",IFERROR(MATCH($C$4&amp;"|"&amp;TEXT(ROWS($O$7:O61),"000"),TAHSILAT!$N$7:$N$650,0),""))</f>
        <v/>
      </c>
    </row>
    <row r="62" spans="1:15" ht="22" customHeight="1">
      <c r="A62" s="36"/>
      <c r="B62" s="36"/>
      <c r="C62" s="36"/>
      <c r="D62" s="36"/>
      <c r="E62" s="36"/>
      <c r="F62" s="49" t="str">
        <f>IF($O62="","",INDEX(TAHSILAT!$E$7:$E$650,$O62))</f>
        <v/>
      </c>
      <c r="G62" s="50" t="str">
        <f>IF($O62="","",INDEX(TAHSILAT!$J$7:$J$650,$O62))</f>
        <v/>
      </c>
      <c r="H62" s="51" t="str">
        <f>IF($O62="","",INDEX(TAHSILAT!$B$7:$B$650,$O62))</f>
        <v/>
      </c>
      <c r="I62" s="52" t="str">
        <f>IF($O62="","",INDEX(TAHSILAT!$F$7:$F$650,$O62))</f>
        <v/>
      </c>
      <c r="J62" s="51" t="str">
        <f>IF($O62="","",INDEX(TAHSILAT!$G$7:$G$650,$O62))</f>
        <v/>
      </c>
      <c r="K62" s="36"/>
      <c r="L62" s="36"/>
      <c r="M62" s="36"/>
      <c r="N62" s="36"/>
      <c r="O62" s="53" t="str">
        <f>IF($C$4="","",IFERROR(MATCH($C$4&amp;"|"&amp;TEXT(ROWS($O$7:O62),"000"),TAHSILAT!$N$7:$N$650,0),""))</f>
        <v/>
      </c>
    </row>
    <row r="63" spans="1:15" ht="22" customHeight="1">
      <c r="A63" s="36"/>
      <c r="B63" s="36"/>
      <c r="C63" s="36"/>
      <c r="D63" s="36"/>
      <c r="E63" s="36"/>
      <c r="F63" s="49" t="str">
        <f>IF($O63="","",INDEX(TAHSILAT!$E$7:$E$650,$O63))</f>
        <v/>
      </c>
      <c r="G63" s="50" t="str">
        <f>IF($O63="","",INDEX(TAHSILAT!$J$7:$J$650,$O63))</f>
        <v/>
      </c>
      <c r="H63" s="51" t="str">
        <f>IF($O63="","",INDEX(TAHSILAT!$B$7:$B$650,$O63))</f>
        <v/>
      </c>
      <c r="I63" s="52" t="str">
        <f>IF($O63="","",INDEX(TAHSILAT!$F$7:$F$650,$O63))</f>
        <v/>
      </c>
      <c r="J63" s="51" t="str">
        <f>IF($O63="","",INDEX(TAHSILAT!$G$7:$G$650,$O63))</f>
        <v/>
      </c>
      <c r="K63" s="36"/>
      <c r="L63" s="36"/>
      <c r="M63" s="36"/>
      <c r="N63" s="36"/>
      <c r="O63" s="53" t="str">
        <f>IF($C$4="","",IFERROR(MATCH($C$4&amp;"|"&amp;TEXT(ROWS($O$7:O63),"000"),TAHSILAT!$N$7:$N$650,0),""))</f>
        <v/>
      </c>
    </row>
    <row r="64" spans="1:15" ht="22" customHeight="1">
      <c r="A64" s="36"/>
      <c r="B64" s="36"/>
      <c r="C64" s="36"/>
      <c r="D64" s="36"/>
      <c r="E64" s="36"/>
      <c r="F64" s="49" t="str">
        <f>IF($O64="","",INDEX(TAHSILAT!$E$7:$E$650,$O64))</f>
        <v/>
      </c>
      <c r="G64" s="50" t="str">
        <f>IF($O64="","",INDEX(TAHSILAT!$J$7:$J$650,$O64))</f>
        <v/>
      </c>
      <c r="H64" s="51" t="str">
        <f>IF($O64="","",INDEX(TAHSILAT!$B$7:$B$650,$O64))</f>
        <v/>
      </c>
      <c r="I64" s="52" t="str">
        <f>IF($O64="","",INDEX(TAHSILAT!$F$7:$F$650,$O64))</f>
        <v/>
      </c>
      <c r="J64" s="51" t="str">
        <f>IF($O64="","",INDEX(TAHSILAT!$G$7:$G$650,$O64))</f>
        <v/>
      </c>
      <c r="K64" s="36"/>
      <c r="L64" s="36"/>
      <c r="M64" s="36"/>
      <c r="N64" s="36"/>
      <c r="O64" s="53" t="str">
        <f>IF($C$4="","",IFERROR(MATCH($C$4&amp;"|"&amp;TEXT(ROWS($O$7:O64),"000"),TAHSILAT!$N$7:$N$650,0),""))</f>
        <v/>
      </c>
    </row>
    <row r="65" spans="1:15" ht="22" customHeight="1">
      <c r="A65" s="36"/>
      <c r="B65" s="36"/>
      <c r="C65" s="36"/>
      <c r="D65" s="36"/>
      <c r="E65" s="36"/>
      <c r="F65" s="49" t="str">
        <f>IF($O65="","",INDEX(TAHSILAT!$E$7:$E$650,$O65))</f>
        <v/>
      </c>
      <c r="G65" s="50" t="str">
        <f>IF($O65="","",INDEX(TAHSILAT!$J$7:$J$650,$O65))</f>
        <v/>
      </c>
      <c r="H65" s="51" t="str">
        <f>IF($O65="","",INDEX(TAHSILAT!$B$7:$B$650,$O65))</f>
        <v/>
      </c>
      <c r="I65" s="52" t="str">
        <f>IF($O65="","",INDEX(TAHSILAT!$F$7:$F$650,$O65))</f>
        <v/>
      </c>
      <c r="J65" s="51" t="str">
        <f>IF($O65="","",INDEX(TAHSILAT!$G$7:$G$650,$O65))</f>
        <v/>
      </c>
      <c r="K65" s="36"/>
      <c r="L65" s="36"/>
      <c r="M65" s="36"/>
      <c r="N65" s="36"/>
      <c r="O65" s="53" t="str">
        <f>IF($C$4="","",IFERROR(MATCH($C$4&amp;"|"&amp;TEXT(ROWS($O$7:O65),"000"),TAHSILAT!$N$7:$N$650,0),""))</f>
        <v/>
      </c>
    </row>
    <row r="66" spans="1:15" ht="22" customHeight="1">
      <c r="A66" s="36"/>
      <c r="B66" s="36"/>
      <c r="C66" s="36"/>
      <c r="D66" s="36"/>
      <c r="E66" s="36"/>
      <c r="F66" s="49" t="str">
        <f>IF($O66="","",INDEX(TAHSILAT!$E$7:$E$650,$O66))</f>
        <v/>
      </c>
      <c r="G66" s="50" t="str">
        <f>IF($O66="","",INDEX(TAHSILAT!$J$7:$J$650,$O66))</f>
        <v/>
      </c>
      <c r="H66" s="51" t="str">
        <f>IF($O66="","",INDEX(TAHSILAT!$B$7:$B$650,$O66))</f>
        <v/>
      </c>
      <c r="I66" s="52" t="str">
        <f>IF($O66="","",INDEX(TAHSILAT!$F$7:$F$650,$O66))</f>
        <v/>
      </c>
      <c r="J66" s="51" t="str">
        <f>IF($O66="","",INDEX(TAHSILAT!$G$7:$G$650,$O66))</f>
        <v/>
      </c>
      <c r="K66" s="36"/>
      <c r="L66" s="36"/>
      <c r="M66" s="36"/>
      <c r="N66" s="36"/>
      <c r="O66" s="53" t="str">
        <f>IF($C$4="","",IFERROR(MATCH($C$4&amp;"|"&amp;TEXT(ROWS($O$7:O66),"000"),TAHSILAT!$N$7:$N$650,0),""))</f>
        <v/>
      </c>
    </row>
    <row r="67" spans="1:15" ht="22" customHeight="1">
      <c r="A67" s="36"/>
      <c r="B67" s="36"/>
      <c r="C67" s="36"/>
      <c r="D67" s="36"/>
      <c r="E67" s="36"/>
      <c r="F67" s="49" t="str">
        <f>IF($O67="","",INDEX(TAHSILAT!$E$7:$E$650,$O67))</f>
        <v/>
      </c>
      <c r="G67" s="50" t="str">
        <f>IF($O67="","",INDEX(TAHSILAT!$J$7:$J$650,$O67))</f>
        <v/>
      </c>
      <c r="H67" s="51" t="str">
        <f>IF($O67="","",INDEX(TAHSILAT!$B$7:$B$650,$O67))</f>
        <v/>
      </c>
      <c r="I67" s="52" t="str">
        <f>IF($O67="","",INDEX(TAHSILAT!$F$7:$F$650,$O67))</f>
        <v/>
      </c>
      <c r="J67" s="51" t="str">
        <f>IF($O67="","",INDEX(TAHSILAT!$G$7:$G$650,$O67))</f>
        <v/>
      </c>
      <c r="K67" s="36"/>
      <c r="L67" s="36"/>
      <c r="M67" s="36"/>
      <c r="N67" s="36"/>
      <c r="O67" s="53" t="str">
        <f>IF($C$4="","",IFERROR(MATCH($C$4&amp;"|"&amp;TEXT(ROWS($O$7:O67),"000"),TAHSILAT!$N$7:$N$650,0),""))</f>
        <v/>
      </c>
    </row>
    <row r="68" spans="1:15" ht="22" customHeight="1">
      <c r="A68" s="36"/>
      <c r="B68" s="36"/>
      <c r="C68" s="36"/>
      <c r="D68" s="36"/>
      <c r="E68" s="36"/>
      <c r="F68" s="49" t="str">
        <f>IF($O68="","",INDEX(TAHSILAT!$E$7:$E$650,$O68))</f>
        <v/>
      </c>
      <c r="G68" s="50" t="str">
        <f>IF($O68="","",INDEX(TAHSILAT!$J$7:$J$650,$O68))</f>
        <v/>
      </c>
      <c r="H68" s="51" t="str">
        <f>IF($O68="","",INDEX(TAHSILAT!$B$7:$B$650,$O68))</f>
        <v/>
      </c>
      <c r="I68" s="52" t="str">
        <f>IF($O68="","",INDEX(TAHSILAT!$F$7:$F$650,$O68))</f>
        <v/>
      </c>
      <c r="J68" s="51" t="str">
        <f>IF($O68="","",INDEX(TAHSILAT!$G$7:$G$650,$O68))</f>
        <v/>
      </c>
      <c r="K68" s="36"/>
      <c r="L68" s="36"/>
      <c r="M68" s="36"/>
      <c r="N68" s="36"/>
      <c r="O68" s="53" t="str">
        <f>IF($C$4="","",IFERROR(MATCH($C$4&amp;"|"&amp;TEXT(ROWS($O$7:O68),"000"),TAHSILAT!$N$7:$N$650,0),""))</f>
        <v/>
      </c>
    </row>
    <row r="69" spans="1:15" ht="22" customHeight="1">
      <c r="A69" s="36"/>
      <c r="B69" s="36"/>
      <c r="C69" s="36"/>
      <c r="D69" s="36"/>
      <c r="E69" s="36"/>
      <c r="F69" s="49" t="str">
        <f>IF($O69="","",INDEX(TAHSILAT!$E$7:$E$650,$O69))</f>
        <v/>
      </c>
      <c r="G69" s="50" t="str">
        <f>IF($O69="","",INDEX(TAHSILAT!$J$7:$J$650,$O69))</f>
        <v/>
      </c>
      <c r="H69" s="51" t="str">
        <f>IF($O69="","",INDEX(TAHSILAT!$B$7:$B$650,$O69))</f>
        <v/>
      </c>
      <c r="I69" s="52" t="str">
        <f>IF($O69="","",INDEX(TAHSILAT!$F$7:$F$650,$O69))</f>
        <v/>
      </c>
      <c r="J69" s="51" t="str">
        <f>IF($O69="","",INDEX(TAHSILAT!$G$7:$G$650,$O69))</f>
        <v/>
      </c>
      <c r="K69" s="36"/>
      <c r="L69" s="36"/>
      <c r="M69" s="36"/>
      <c r="N69" s="36"/>
      <c r="O69" s="53" t="str">
        <f>IF($C$4="","",IFERROR(MATCH($C$4&amp;"|"&amp;TEXT(ROWS($O$7:O69),"000"),TAHSILAT!$N$7:$N$650,0),""))</f>
        <v/>
      </c>
    </row>
    <row r="70" spans="1:15" ht="22" customHeight="1">
      <c r="A70" s="36"/>
      <c r="B70" s="36"/>
      <c r="C70" s="36"/>
      <c r="D70" s="36"/>
      <c r="E70" s="36"/>
      <c r="F70" s="49" t="str">
        <f>IF($O70="","",INDEX(TAHSILAT!$E$7:$E$650,$O70))</f>
        <v/>
      </c>
      <c r="G70" s="50" t="str">
        <f>IF($O70="","",INDEX(TAHSILAT!$J$7:$J$650,$O70))</f>
        <v/>
      </c>
      <c r="H70" s="51" t="str">
        <f>IF($O70="","",INDEX(TAHSILAT!$B$7:$B$650,$O70))</f>
        <v/>
      </c>
      <c r="I70" s="52" t="str">
        <f>IF($O70="","",INDEX(TAHSILAT!$F$7:$F$650,$O70))</f>
        <v/>
      </c>
      <c r="J70" s="51" t="str">
        <f>IF($O70="","",INDEX(TAHSILAT!$G$7:$G$650,$O70))</f>
        <v/>
      </c>
      <c r="K70" s="36"/>
      <c r="L70" s="36"/>
      <c r="M70" s="36"/>
      <c r="N70" s="36"/>
      <c r="O70" s="53" t="str">
        <f>IF($C$4="","",IFERROR(MATCH($C$4&amp;"|"&amp;TEXT(ROWS($O$7:O70),"000"),TAHSILAT!$N$7:$N$650,0),""))</f>
        <v/>
      </c>
    </row>
    <row r="71" spans="1:15" ht="22" customHeight="1">
      <c r="A71" s="36"/>
      <c r="B71" s="36"/>
      <c r="C71" s="36"/>
      <c r="D71" s="36"/>
      <c r="E71" s="36"/>
      <c r="F71" s="49" t="str">
        <f>IF($O71="","",INDEX(TAHSILAT!$E$7:$E$650,$O71))</f>
        <v/>
      </c>
      <c r="G71" s="50" t="str">
        <f>IF($O71="","",INDEX(TAHSILAT!$J$7:$J$650,$O71))</f>
        <v/>
      </c>
      <c r="H71" s="51" t="str">
        <f>IF($O71="","",INDEX(TAHSILAT!$B$7:$B$650,$O71))</f>
        <v/>
      </c>
      <c r="I71" s="52" t="str">
        <f>IF($O71="","",INDEX(TAHSILAT!$F$7:$F$650,$O71))</f>
        <v/>
      </c>
      <c r="J71" s="51" t="str">
        <f>IF($O71="","",INDEX(TAHSILAT!$G$7:$G$650,$O71))</f>
        <v/>
      </c>
      <c r="K71" s="36"/>
      <c r="L71" s="36"/>
      <c r="M71" s="36"/>
      <c r="N71" s="36"/>
      <c r="O71" s="53" t="str">
        <f>IF($C$4="","",IFERROR(MATCH($C$4&amp;"|"&amp;TEXT(ROWS($O$7:O71),"000"),TAHSILAT!$N$7:$N$650,0),""))</f>
        <v/>
      </c>
    </row>
    <row r="72" spans="1:15" ht="22" customHeight="1">
      <c r="A72" s="36"/>
      <c r="B72" s="36"/>
      <c r="C72" s="36"/>
      <c r="D72" s="36"/>
      <c r="E72" s="36"/>
      <c r="F72" s="49" t="str">
        <f>IF($O72="","",INDEX(TAHSILAT!$E$7:$E$650,$O72))</f>
        <v/>
      </c>
      <c r="G72" s="50" t="str">
        <f>IF($O72="","",INDEX(TAHSILAT!$J$7:$J$650,$O72))</f>
        <v/>
      </c>
      <c r="H72" s="51" t="str">
        <f>IF($O72="","",INDEX(TAHSILAT!$B$7:$B$650,$O72))</f>
        <v/>
      </c>
      <c r="I72" s="52" t="str">
        <f>IF($O72="","",INDEX(TAHSILAT!$F$7:$F$650,$O72))</f>
        <v/>
      </c>
      <c r="J72" s="51" t="str">
        <f>IF($O72="","",INDEX(TAHSILAT!$G$7:$G$650,$O72))</f>
        <v/>
      </c>
      <c r="K72" s="36"/>
      <c r="L72" s="36"/>
      <c r="M72" s="36"/>
      <c r="N72" s="36"/>
      <c r="O72" s="53" t="str">
        <f>IF($C$4="","",IFERROR(MATCH($C$4&amp;"|"&amp;TEXT(ROWS($O$7:O72),"000"),TAHSILAT!$N$7:$N$650,0),""))</f>
        <v/>
      </c>
    </row>
    <row r="73" spans="1:15" ht="22" customHeight="1">
      <c r="A73" s="36"/>
      <c r="B73" s="36"/>
      <c r="C73" s="36"/>
      <c r="D73" s="36"/>
      <c r="E73" s="36"/>
      <c r="F73" s="49" t="str">
        <f>IF($O73="","",INDEX(TAHSILAT!$E$7:$E$650,$O73))</f>
        <v/>
      </c>
      <c r="G73" s="50" t="str">
        <f>IF($O73="","",INDEX(TAHSILAT!$J$7:$J$650,$O73))</f>
        <v/>
      </c>
      <c r="H73" s="51" t="str">
        <f>IF($O73="","",INDEX(TAHSILAT!$B$7:$B$650,$O73))</f>
        <v/>
      </c>
      <c r="I73" s="52" t="str">
        <f>IF($O73="","",INDEX(TAHSILAT!$F$7:$F$650,$O73))</f>
        <v/>
      </c>
      <c r="J73" s="51" t="str">
        <f>IF($O73="","",INDEX(TAHSILAT!$G$7:$G$650,$O73))</f>
        <v/>
      </c>
      <c r="K73" s="36"/>
      <c r="L73" s="36"/>
      <c r="M73" s="36"/>
      <c r="N73" s="36"/>
      <c r="O73" s="53" t="str">
        <f>IF($C$4="","",IFERROR(MATCH($C$4&amp;"|"&amp;TEXT(ROWS($O$7:O73),"000"),TAHSILAT!$N$7:$N$650,0),""))</f>
        <v/>
      </c>
    </row>
    <row r="74" spans="1:15" ht="22" customHeight="1">
      <c r="A74" s="36"/>
      <c r="B74" s="36"/>
      <c r="C74" s="36"/>
      <c r="D74" s="36"/>
      <c r="E74" s="36"/>
      <c r="F74" s="49" t="str">
        <f>IF($O74="","",INDEX(TAHSILAT!$E$7:$E$650,$O74))</f>
        <v/>
      </c>
      <c r="G74" s="50" t="str">
        <f>IF($O74="","",INDEX(TAHSILAT!$J$7:$J$650,$O74))</f>
        <v/>
      </c>
      <c r="H74" s="51" t="str">
        <f>IF($O74="","",INDEX(TAHSILAT!$B$7:$B$650,$O74))</f>
        <v/>
      </c>
      <c r="I74" s="52" t="str">
        <f>IF($O74="","",INDEX(TAHSILAT!$F$7:$F$650,$O74))</f>
        <v/>
      </c>
      <c r="J74" s="51" t="str">
        <f>IF($O74="","",INDEX(TAHSILAT!$G$7:$G$650,$O74))</f>
        <v/>
      </c>
      <c r="K74" s="36"/>
      <c r="L74" s="36"/>
      <c r="M74" s="36"/>
      <c r="N74" s="36"/>
      <c r="O74" s="53" t="str">
        <f>IF($C$4="","",IFERROR(MATCH($C$4&amp;"|"&amp;TEXT(ROWS($O$7:O74),"000"),TAHSILAT!$N$7:$N$650,0),""))</f>
        <v/>
      </c>
    </row>
    <row r="75" spans="1:15" ht="22" customHeight="1">
      <c r="A75" s="36"/>
      <c r="B75" s="36"/>
      <c r="C75" s="36"/>
      <c r="D75" s="36"/>
      <c r="E75" s="36"/>
      <c r="F75" s="49" t="str">
        <f>IF($O75="","",INDEX(TAHSILAT!$E$7:$E$650,$O75))</f>
        <v/>
      </c>
      <c r="G75" s="50" t="str">
        <f>IF($O75="","",INDEX(TAHSILAT!$J$7:$J$650,$O75))</f>
        <v/>
      </c>
      <c r="H75" s="51" t="str">
        <f>IF($O75="","",INDEX(TAHSILAT!$B$7:$B$650,$O75))</f>
        <v/>
      </c>
      <c r="I75" s="52" t="str">
        <f>IF($O75="","",INDEX(TAHSILAT!$F$7:$F$650,$O75))</f>
        <v/>
      </c>
      <c r="J75" s="51" t="str">
        <f>IF($O75="","",INDEX(TAHSILAT!$G$7:$G$650,$O75))</f>
        <v/>
      </c>
      <c r="K75" s="36"/>
      <c r="L75" s="36"/>
      <c r="M75" s="36"/>
      <c r="N75" s="36"/>
      <c r="O75" s="53" t="str">
        <f>IF($C$4="","",IFERROR(MATCH($C$4&amp;"|"&amp;TEXT(ROWS($O$7:O75),"000"),TAHSILAT!$N$7:$N$650,0),""))</f>
        <v/>
      </c>
    </row>
    <row r="76" spans="1:15" ht="22" customHeight="1">
      <c r="A76" s="36"/>
      <c r="B76" s="36"/>
      <c r="C76" s="36"/>
      <c r="D76" s="36"/>
      <c r="E76" s="36"/>
      <c r="F76" s="49" t="str">
        <f>IF($O76="","",INDEX(TAHSILAT!$E$7:$E$650,$O76))</f>
        <v/>
      </c>
      <c r="G76" s="50" t="str">
        <f>IF($O76="","",INDEX(TAHSILAT!$J$7:$J$650,$O76))</f>
        <v/>
      </c>
      <c r="H76" s="51" t="str">
        <f>IF($O76="","",INDEX(TAHSILAT!$B$7:$B$650,$O76))</f>
        <v/>
      </c>
      <c r="I76" s="52" t="str">
        <f>IF($O76="","",INDEX(TAHSILAT!$F$7:$F$650,$O76))</f>
        <v/>
      </c>
      <c r="J76" s="51" t="str">
        <f>IF($O76="","",INDEX(TAHSILAT!$G$7:$G$650,$O76))</f>
        <v/>
      </c>
      <c r="K76" s="36"/>
      <c r="L76" s="36"/>
      <c r="M76" s="36"/>
      <c r="N76" s="36"/>
      <c r="O76" s="53" t="str">
        <f>IF($C$4="","",IFERROR(MATCH($C$4&amp;"|"&amp;TEXT(ROWS($O$7:O76),"000"),TAHSILAT!$N$7:$N$650,0),""))</f>
        <v/>
      </c>
    </row>
    <row r="77" spans="1:15" ht="22" customHeight="1">
      <c r="A77" s="36"/>
      <c r="B77" s="36"/>
      <c r="C77" s="36"/>
      <c r="D77" s="36"/>
      <c r="E77" s="36"/>
      <c r="F77" s="49" t="str">
        <f>IF($O77="","",INDEX(TAHSILAT!$E$7:$E$650,$O77))</f>
        <v/>
      </c>
      <c r="G77" s="50" t="str">
        <f>IF($O77="","",INDEX(TAHSILAT!$J$7:$J$650,$O77))</f>
        <v/>
      </c>
      <c r="H77" s="51" t="str">
        <f>IF($O77="","",INDEX(TAHSILAT!$B$7:$B$650,$O77))</f>
        <v/>
      </c>
      <c r="I77" s="52" t="str">
        <f>IF($O77="","",INDEX(TAHSILAT!$F$7:$F$650,$O77))</f>
        <v/>
      </c>
      <c r="J77" s="51" t="str">
        <f>IF($O77="","",INDEX(TAHSILAT!$G$7:$G$650,$O77))</f>
        <v/>
      </c>
      <c r="K77" s="36"/>
      <c r="L77" s="36"/>
      <c r="M77" s="36"/>
      <c r="N77" s="36"/>
      <c r="O77" s="53" t="str">
        <f>IF($C$4="","",IFERROR(MATCH($C$4&amp;"|"&amp;TEXT(ROWS($O$7:O77),"000"),TAHSILAT!$N$7:$N$650,0),""))</f>
        <v/>
      </c>
    </row>
    <row r="78" spans="1:15" ht="22" customHeight="1">
      <c r="A78" s="36"/>
      <c r="B78" s="36"/>
      <c r="C78" s="36"/>
      <c r="D78" s="36"/>
      <c r="E78" s="36"/>
      <c r="F78" s="49" t="str">
        <f>IF($O78="","",INDEX(TAHSILAT!$E$7:$E$650,$O78))</f>
        <v/>
      </c>
      <c r="G78" s="50" t="str">
        <f>IF($O78="","",INDEX(TAHSILAT!$J$7:$J$650,$O78))</f>
        <v/>
      </c>
      <c r="H78" s="51" t="str">
        <f>IF($O78="","",INDEX(TAHSILAT!$B$7:$B$650,$O78))</f>
        <v/>
      </c>
      <c r="I78" s="52" t="str">
        <f>IF($O78="","",INDEX(TAHSILAT!$F$7:$F$650,$O78))</f>
        <v/>
      </c>
      <c r="J78" s="51" t="str">
        <f>IF($O78="","",INDEX(TAHSILAT!$G$7:$G$650,$O78))</f>
        <v/>
      </c>
      <c r="K78" s="36"/>
      <c r="L78" s="36"/>
      <c r="M78" s="36"/>
      <c r="N78" s="36"/>
      <c r="O78" s="53" t="str">
        <f>IF($C$4="","",IFERROR(MATCH($C$4&amp;"|"&amp;TEXT(ROWS($O$7:O78),"000"),TAHSILAT!$N$7:$N$650,0),""))</f>
        <v/>
      </c>
    </row>
    <row r="79" spans="1:15" ht="22" customHeight="1">
      <c r="A79" s="36"/>
      <c r="B79" s="36"/>
      <c r="C79" s="36"/>
      <c r="D79" s="36"/>
      <c r="E79" s="36"/>
      <c r="F79" s="49" t="str">
        <f>IF($O79="","",INDEX(TAHSILAT!$E$7:$E$650,$O79))</f>
        <v/>
      </c>
      <c r="G79" s="50" t="str">
        <f>IF($O79="","",INDEX(TAHSILAT!$J$7:$J$650,$O79))</f>
        <v/>
      </c>
      <c r="H79" s="51" t="str">
        <f>IF($O79="","",INDEX(TAHSILAT!$B$7:$B$650,$O79))</f>
        <v/>
      </c>
      <c r="I79" s="52" t="str">
        <f>IF($O79="","",INDEX(TAHSILAT!$F$7:$F$650,$O79))</f>
        <v/>
      </c>
      <c r="J79" s="51" t="str">
        <f>IF($O79="","",INDEX(TAHSILAT!$G$7:$G$650,$O79))</f>
        <v/>
      </c>
      <c r="K79" s="36"/>
      <c r="L79" s="36"/>
      <c r="M79" s="36"/>
      <c r="N79" s="36"/>
      <c r="O79" s="53" t="str">
        <f>IF($C$4="","",IFERROR(MATCH($C$4&amp;"|"&amp;TEXT(ROWS($O$7:O79),"000"),TAHSILAT!$N$7:$N$650,0),""))</f>
        <v/>
      </c>
    </row>
    <row r="80" spans="1:15" ht="22" customHeight="1">
      <c r="A80" s="36"/>
      <c r="B80" s="36"/>
      <c r="C80" s="36"/>
      <c r="D80" s="36"/>
      <c r="E80" s="36"/>
      <c r="F80" s="49" t="str">
        <f>IF($O80="","",INDEX(TAHSILAT!$E$7:$E$650,$O80))</f>
        <v/>
      </c>
      <c r="G80" s="50" t="str">
        <f>IF($O80="","",INDEX(TAHSILAT!$J$7:$J$650,$O80))</f>
        <v/>
      </c>
      <c r="H80" s="51" t="str">
        <f>IF($O80="","",INDEX(TAHSILAT!$B$7:$B$650,$O80))</f>
        <v/>
      </c>
      <c r="I80" s="52" t="str">
        <f>IF($O80="","",INDEX(TAHSILAT!$F$7:$F$650,$O80))</f>
        <v/>
      </c>
      <c r="J80" s="51" t="str">
        <f>IF($O80="","",INDEX(TAHSILAT!$G$7:$G$650,$O80))</f>
        <v/>
      </c>
      <c r="K80" s="36"/>
      <c r="L80" s="36"/>
      <c r="M80" s="36"/>
      <c r="N80" s="36"/>
      <c r="O80" s="53" t="str">
        <f>IF($C$4="","",IFERROR(MATCH($C$4&amp;"|"&amp;TEXT(ROWS($O$7:O80),"000"),TAHSILAT!$N$7:$N$650,0),""))</f>
        <v/>
      </c>
    </row>
    <row r="81" spans="1:15" ht="22" customHeight="1">
      <c r="A81" s="36"/>
      <c r="B81" s="36"/>
      <c r="C81" s="36"/>
      <c r="D81" s="36"/>
      <c r="E81" s="36"/>
      <c r="F81" s="49" t="str">
        <f>IF($O81="","",INDEX(TAHSILAT!$E$7:$E$650,$O81))</f>
        <v/>
      </c>
      <c r="G81" s="50" t="str">
        <f>IF($O81="","",INDEX(TAHSILAT!$J$7:$J$650,$O81))</f>
        <v/>
      </c>
      <c r="H81" s="51" t="str">
        <f>IF($O81="","",INDEX(TAHSILAT!$B$7:$B$650,$O81))</f>
        <v/>
      </c>
      <c r="I81" s="52" t="str">
        <f>IF($O81="","",INDEX(TAHSILAT!$F$7:$F$650,$O81))</f>
        <v/>
      </c>
      <c r="J81" s="51" t="str">
        <f>IF($O81="","",INDEX(TAHSILAT!$G$7:$G$650,$O81))</f>
        <v/>
      </c>
      <c r="K81" s="36"/>
      <c r="L81" s="36"/>
      <c r="M81" s="36"/>
      <c r="N81" s="36"/>
      <c r="O81" s="53" t="str">
        <f>IF($C$4="","",IFERROR(MATCH($C$4&amp;"|"&amp;TEXT(ROWS($O$7:O81),"000"),TAHSILAT!$N$7:$N$650,0),""))</f>
        <v/>
      </c>
    </row>
    <row r="82" spans="1:15" ht="22" customHeight="1">
      <c r="A82" s="36"/>
      <c r="B82" s="36"/>
      <c r="C82" s="36"/>
      <c r="D82" s="36"/>
      <c r="E82" s="36"/>
      <c r="F82" s="49" t="str">
        <f>IF($O82="","",INDEX(TAHSILAT!$E$7:$E$650,$O82))</f>
        <v/>
      </c>
      <c r="G82" s="50" t="str">
        <f>IF($O82="","",INDEX(TAHSILAT!$J$7:$J$650,$O82))</f>
        <v/>
      </c>
      <c r="H82" s="51" t="str">
        <f>IF($O82="","",INDEX(TAHSILAT!$B$7:$B$650,$O82))</f>
        <v/>
      </c>
      <c r="I82" s="52" t="str">
        <f>IF($O82="","",INDEX(TAHSILAT!$F$7:$F$650,$O82))</f>
        <v/>
      </c>
      <c r="J82" s="51" t="str">
        <f>IF($O82="","",INDEX(TAHSILAT!$G$7:$G$650,$O82))</f>
        <v/>
      </c>
      <c r="K82" s="36"/>
      <c r="L82" s="36"/>
      <c r="M82" s="36"/>
      <c r="N82" s="36"/>
      <c r="O82" s="53" t="str">
        <f>IF($C$4="","",IFERROR(MATCH($C$4&amp;"|"&amp;TEXT(ROWS($O$7:O82),"000"),TAHSILAT!$N$7:$N$650,0),""))</f>
        <v/>
      </c>
    </row>
    <row r="83" spans="1:15" ht="22" customHeight="1">
      <c r="A83" s="36"/>
      <c r="B83" s="36"/>
      <c r="C83" s="36"/>
      <c r="D83" s="36"/>
      <c r="E83" s="36"/>
      <c r="F83" s="49" t="str">
        <f>IF($O83="","",INDEX(TAHSILAT!$E$7:$E$650,$O83))</f>
        <v/>
      </c>
      <c r="G83" s="50" t="str">
        <f>IF($O83="","",INDEX(TAHSILAT!$J$7:$J$650,$O83))</f>
        <v/>
      </c>
      <c r="H83" s="51" t="str">
        <f>IF($O83="","",INDEX(TAHSILAT!$B$7:$B$650,$O83))</f>
        <v/>
      </c>
      <c r="I83" s="52" t="str">
        <f>IF($O83="","",INDEX(TAHSILAT!$F$7:$F$650,$O83))</f>
        <v/>
      </c>
      <c r="J83" s="51" t="str">
        <f>IF($O83="","",INDEX(TAHSILAT!$G$7:$G$650,$O83))</f>
        <v/>
      </c>
      <c r="K83" s="36"/>
      <c r="L83" s="36"/>
      <c r="M83" s="36"/>
      <c r="N83" s="36"/>
      <c r="O83" s="53" t="str">
        <f>IF($C$4="","",IFERROR(MATCH($C$4&amp;"|"&amp;TEXT(ROWS($O$7:O83),"000"),TAHSILAT!$N$7:$N$650,0),""))</f>
        <v/>
      </c>
    </row>
    <row r="84" spans="1:15" ht="22" customHeight="1">
      <c r="A84" s="36"/>
      <c r="B84" s="36"/>
      <c r="C84" s="36"/>
      <c r="D84" s="36"/>
      <c r="E84" s="36"/>
      <c r="F84" s="49" t="str">
        <f>IF($O84="","",INDEX(TAHSILAT!$E$7:$E$650,$O84))</f>
        <v/>
      </c>
      <c r="G84" s="50" t="str">
        <f>IF($O84="","",INDEX(TAHSILAT!$J$7:$J$650,$O84))</f>
        <v/>
      </c>
      <c r="H84" s="51" t="str">
        <f>IF($O84="","",INDEX(TAHSILAT!$B$7:$B$650,$O84))</f>
        <v/>
      </c>
      <c r="I84" s="52" t="str">
        <f>IF($O84="","",INDEX(TAHSILAT!$F$7:$F$650,$O84))</f>
        <v/>
      </c>
      <c r="J84" s="51" t="str">
        <f>IF($O84="","",INDEX(TAHSILAT!$G$7:$G$650,$O84))</f>
        <v/>
      </c>
      <c r="K84" s="36"/>
      <c r="L84" s="36"/>
      <c r="M84" s="36"/>
      <c r="N84" s="36"/>
      <c r="O84" s="53" t="str">
        <f>IF($C$4="","",IFERROR(MATCH($C$4&amp;"|"&amp;TEXT(ROWS($O$7:O84),"000"),TAHSILAT!$N$7:$N$650,0),""))</f>
        <v/>
      </c>
    </row>
    <row r="85" spans="1:15" ht="22" customHeight="1">
      <c r="A85" s="36"/>
      <c r="B85" s="36"/>
      <c r="C85" s="36"/>
      <c r="D85" s="36"/>
      <c r="E85" s="36"/>
      <c r="F85" s="49" t="str">
        <f>IF($O85="","",INDEX(TAHSILAT!$E$7:$E$650,$O85))</f>
        <v/>
      </c>
      <c r="G85" s="50" t="str">
        <f>IF($O85="","",INDEX(TAHSILAT!$J$7:$J$650,$O85))</f>
        <v/>
      </c>
      <c r="H85" s="51" t="str">
        <f>IF($O85="","",INDEX(TAHSILAT!$B$7:$B$650,$O85))</f>
        <v/>
      </c>
      <c r="I85" s="52" t="str">
        <f>IF($O85="","",INDEX(TAHSILAT!$F$7:$F$650,$O85))</f>
        <v/>
      </c>
      <c r="J85" s="51" t="str">
        <f>IF($O85="","",INDEX(TAHSILAT!$G$7:$G$650,$O85))</f>
        <v/>
      </c>
      <c r="K85" s="36"/>
      <c r="L85" s="36"/>
      <c r="M85" s="36"/>
      <c r="N85" s="36"/>
      <c r="O85" s="53" t="str">
        <f>IF($C$4="","",IFERROR(MATCH($C$4&amp;"|"&amp;TEXT(ROWS($O$7:O85),"000"),TAHSILAT!$N$7:$N$650,0),""))</f>
        <v/>
      </c>
    </row>
    <row r="86" spans="1:15" ht="22" customHeight="1">
      <c r="A86" s="36"/>
      <c r="B86" s="36"/>
      <c r="C86" s="36"/>
      <c r="D86" s="36"/>
      <c r="E86" s="36"/>
      <c r="F86" s="49" t="str">
        <f>IF($O86="","",INDEX(TAHSILAT!$E$7:$E$650,$O86))</f>
        <v/>
      </c>
      <c r="G86" s="50" t="str">
        <f>IF($O86="","",INDEX(TAHSILAT!$J$7:$J$650,$O86))</f>
        <v/>
      </c>
      <c r="H86" s="51" t="str">
        <f>IF($O86="","",INDEX(TAHSILAT!$B$7:$B$650,$O86))</f>
        <v/>
      </c>
      <c r="I86" s="52" t="str">
        <f>IF($O86="","",INDEX(TAHSILAT!$F$7:$F$650,$O86))</f>
        <v/>
      </c>
      <c r="J86" s="51" t="str">
        <f>IF($O86="","",INDEX(TAHSILAT!$G$7:$G$650,$O86))</f>
        <v/>
      </c>
      <c r="K86" s="36"/>
      <c r="L86" s="36"/>
      <c r="M86" s="36"/>
      <c r="N86" s="36"/>
      <c r="O86" s="53" t="str">
        <f>IF($C$4="","",IFERROR(MATCH($C$4&amp;"|"&amp;TEXT(ROWS($O$7:O86),"000"),TAHSILAT!$N$7:$N$650,0),""))</f>
        <v/>
      </c>
    </row>
    <row r="87" spans="1:15" ht="22" customHeight="1">
      <c r="A87" s="36"/>
      <c r="B87" s="36"/>
      <c r="C87" s="36"/>
      <c r="D87" s="36"/>
      <c r="E87" s="36"/>
      <c r="F87" s="49" t="str">
        <f>IF($O87="","",INDEX(TAHSILAT!$E$7:$E$650,$O87))</f>
        <v/>
      </c>
      <c r="G87" s="50" t="str">
        <f>IF($O87="","",INDEX(TAHSILAT!$J$7:$J$650,$O87))</f>
        <v/>
      </c>
      <c r="H87" s="51" t="str">
        <f>IF($O87="","",INDEX(TAHSILAT!$B$7:$B$650,$O87))</f>
        <v/>
      </c>
      <c r="I87" s="52" t="str">
        <f>IF($O87="","",INDEX(TAHSILAT!$F$7:$F$650,$O87))</f>
        <v/>
      </c>
      <c r="J87" s="51" t="str">
        <f>IF($O87="","",INDEX(TAHSILAT!$G$7:$G$650,$O87))</f>
        <v/>
      </c>
      <c r="K87" s="36"/>
      <c r="L87" s="36"/>
      <c r="M87" s="36"/>
      <c r="N87" s="36"/>
      <c r="O87" s="53" t="str">
        <f>IF($C$4="","",IFERROR(MATCH($C$4&amp;"|"&amp;TEXT(ROWS($O$7:O87),"000"),TAHSILAT!$N$7:$N$650,0),""))</f>
        <v/>
      </c>
    </row>
    <row r="88" spans="1:15" ht="22" customHeight="1">
      <c r="A88" s="36"/>
      <c r="B88" s="36"/>
      <c r="C88" s="36"/>
      <c r="D88" s="36"/>
      <c r="E88" s="36"/>
      <c r="F88" s="49" t="str">
        <f>IF($O88="","",INDEX(TAHSILAT!$E$7:$E$650,$O88))</f>
        <v/>
      </c>
      <c r="G88" s="50" t="str">
        <f>IF($O88="","",INDEX(TAHSILAT!$J$7:$J$650,$O88))</f>
        <v/>
      </c>
      <c r="H88" s="51" t="str">
        <f>IF($O88="","",INDEX(TAHSILAT!$B$7:$B$650,$O88))</f>
        <v/>
      </c>
      <c r="I88" s="52" t="str">
        <f>IF($O88="","",INDEX(TAHSILAT!$F$7:$F$650,$O88))</f>
        <v/>
      </c>
      <c r="J88" s="51" t="str">
        <f>IF($O88="","",INDEX(TAHSILAT!$G$7:$G$650,$O88))</f>
        <v/>
      </c>
      <c r="K88" s="36"/>
      <c r="L88" s="36"/>
      <c r="M88" s="36"/>
      <c r="N88" s="36"/>
      <c r="O88" s="53" t="str">
        <f>IF($C$4="","",IFERROR(MATCH($C$4&amp;"|"&amp;TEXT(ROWS($O$7:O88),"000"),TAHSILAT!$N$7:$N$650,0),""))</f>
        <v/>
      </c>
    </row>
    <row r="89" spans="1:15" ht="22" customHeight="1">
      <c r="A89" s="36"/>
      <c r="B89" s="36"/>
      <c r="C89" s="36"/>
      <c r="D89" s="36"/>
      <c r="E89" s="36"/>
      <c r="F89" s="49" t="str">
        <f>IF($O89="","",INDEX(TAHSILAT!$E$7:$E$650,$O89))</f>
        <v/>
      </c>
      <c r="G89" s="50" t="str">
        <f>IF($O89="","",INDEX(TAHSILAT!$J$7:$J$650,$O89))</f>
        <v/>
      </c>
      <c r="H89" s="51" t="str">
        <f>IF($O89="","",INDEX(TAHSILAT!$B$7:$B$650,$O89))</f>
        <v/>
      </c>
      <c r="I89" s="52" t="str">
        <f>IF($O89="","",INDEX(TAHSILAT!$F$7:$F$650,$O89))</f>
        <v/>
      </c>
      <c r="J89" s="51" t="str">
        <f>IF($O89="","",INDEX(TAHSILAT!$G$7:$G$650,$O89))</f>
        <v/>
      </c>
      <c r="K89" s="36"/>
      <c r="L89" s="36"/>
      <c r="M89" s="36"/>
      <c r="N89" s="36"/>
      <c r="O89" s="53" t="str">
        <f>IF($C$4="","",IFERROR(MATCH($C$4&amp;"|"&amp;TEXT(ROWS($O$7:O89),"000"),TAHSILAT!$N$7:$N$650,0),""))</f>
        <v/>
      </c>
    </row>
    <row r="90" spans="1:15" ht="22" customHeight="1">
      <c r="A90" s="36"/>
      <c r="B90" s="36"/>
      <c r="C90" s="36"/>
      <c r="D90" s="36"/>
      <c r="E90" s="36"/>
      <c r="F90" s="49" t="str">
        <f>IF($O90="","",INDEX(TAHSILAT!$E$7:$E$650,$O90))</f>
        <v/>
      </c>
      <c r="G90" s="50" t="str">
        <f>IF($O90="","",INDEX(TAHSILAT!$J$7:$J$650,$O90))</f>
        <v/>
      </c>
      <c r="H90" s="51" t="str">
        <f>IF($O90="","",INDEX(TAHSILAT!$B$7:$B$650,$O90))</f>
        <v/>
      </c>
      <c r="I90" s="52" t="str">
        <f>IF($O90="","",INDEX(TAHSILAT!$F$7:$F$650,$O90))</f>
        <v/>
      </c>
      <c r="J90" s="51" t="str">
        <f>IF($O90="","",INDEX(TAHSILAT!$G$7:$G$650,$O90))</f>
        <v/>
      </c>
      <c r="K90" s="36"/>
      <c r="L90" s="36"/>
      <c r="M90" s="36"/>
      <c r="N90" s="36"/>
      <c r="O90" s="53" t="str">
        <f>IF($C$4="","",IFERROR(MATCH($C$4&amp;"|"&amp;TEXT(ROWS($O$7:O90),"000"),TAHSILAT!$N$7:$N$650,0),""))</f>
        <v/>
      </c>
    </row>
    <row r="91" spans="1:15" ht="22" customHeight="1">
      <c r="A91" s="36"/>
      <c r="B91" s="36"/>
      <c r="C91" s="36"/>
      <c r="D91" s="36"/>
      <c r="E91" s="36"/>
      <c r="F91" s="49" t="str">
        <f>IF($O91="","",INDEX(TAHSILAT!$E$7:$E$650,$O91))</f>
        <v/>
      </c>
      <c r="G91" s="50" t="str">
        <f>IF($O91="","",INDEX(TAHSILAT!$J$7:$J$650,$O91))</f>
        <v/>
      </c>
      <c r="H91" s="51" t="str">
        <f>IF($O91="","",INDEX(TAHSILAT!$B$7:$B$650,$O91))</f>
        <v/>
      </c>
      <c r="I91" s="52" t="str">
        <f>IF($O91="","",INDEX(TAHSILAT!$F$7:$F$650,$O91))</f>
        <v/>
      </c>
      <c r="J91" s="51" t="str">
        <f>IF($O91="","",INDEX(TAHSILAT!$G$7:$G$650,$O91))</f>
        <v/>
      </c>
      <c r="K91" s="36"/>
      <c r="L91" s="36"/>
      <c r="M91" s="36"/>
      <c r="N91" s="36"/>
      <c r="O91" s="53" t="str">
        <f>IF($C$4="","",IFERROR(MATCH($C$4&amp;"|"&amp;TEXT(ROWS($O$7:O91),"000"),TAHSILAT!$N$7:$N$650,0),""))</f>
        <v/>
      </c>
    </row>
    <row r="92" spans="1:15" ht="22" customHeight="1">
      <c r="A92" s="36"/>
      <c r="B92" s="36"/>
      <c r="C92" s="36"/>
      <c r="D92" s="36"/>
      <c r="E92" s="36"/>
      <c r="F92" s="49" t="str">
        <f>IF($O92="","",INDEX(TAHSILAT!$E$7:$E$650,$O92))</f>
        <v/>
      </c>
      <c r="G92" s="50" t="str">
        <f>IF($O92="","",INDEX(TAHSILAT!$J$7:$J$650,$O92))</f>
        <v/>
      </c>
      <c r="H92" s="51" t="str">
        <f>IF($O92="","",INDEX(TAHSILAT!$B$7:$B$650,$O92))</f>
        <v/>
      </c>
      <c r="I92" s="52" t="str">
        <f>IF($O92="","",INDEX(TAHSILAT!$F$7:$F$650,$O92))</f>
        <v/>
      </c>
      <c r="J92" s="51" t="str">
        <f>IF($O92="","",INDEX(TAHSILAT!$G$7:$G$650,$O92))</f>
        <v/>
      </c>
      <c r="K92" s="36"/>
      <c r="L92" s="36"/>
      <c r="M92" s="36"/>
      <c r="N92" s="36"/>
      <c r="O92" s="53" t="str">
        <f>IF($C$4="","",IFERROR(MATCH($C$4&amp;"|"&amp;TEXT(ROWS($O$7:O92),"000"),TAHSILAT!$N$7:$N$650,0),""))</f>
        <v/>
      </c>
    </row>
    <row r="93" spans="1:15" ht="22" customHeight="1">
      <c r="A93" s="36"/>
      <c r="B93" s="36"/>
      <c r="C93" s="36"/>
      <c r="D93" s="36"/>
      <c r="E93" s="36"/>
      <c r="F93" s="49" t="str">
        <f>IF($O93="","",INDEX(TAHSILAT!$E$7:$E$650,$O93))</f>
        <v/>
      </c>
      <c r="G93" s="50" t="str">
        <f>IF($O93="","",INDEX(TAHSILAT!$J$7:$J$650,$O93))</f>
        <v/>
      </c>
      <c r="H93" s="51" t="str">
        <f>IF($O93="","",INDEX(TAHSILAT!$B$7:$B$650,$O93))</f>
        <v/>
      </c>
      <c r="I93" s="52" t="str">
        <f>IF($O93="","",INDEX(TAHSILAT!$F$7:$F$650,$O93))</f>
        <v/>
      </c>
      <c r="J93" s="51" t="str">
        <f>IF($O93="","",INDEX(TAHSILAT!$G$7:$G$650,$O93))</f>
        <v/>
      </c>
      <c r="K93" s="36"/>
      <c r="L93" s="36"/>
      <c r="M93" s="36"/>
      <c r="N93" s="36"/>
      <c r="O93" s="53" t="str">
        <f>IF($C$4="","",IFERROR(MATCH($C$4&amp;"|"&amp;TEXT(ROWS($O$7:O93),"000"),TAHSILAT!$N$7:$N$650,0),""))</f>
        <v/>
      </c>
    </row>
    <row r="94" spans="1:15" ht="22" customHeight="1">
      <c r="A94" s="36"/>
      <c r="B94" s="36"/>
      <c r="C94" s="36"/>
      <c r="D94" s="36"/>
      <c r="E94" s="36"/>
      <c r="F94" s="49" t="str">
        <f>IF($O94="","",INDEX(TAHSILAT!$E$7:$E$650,$O94))</f>
        <v/>
      </c>
      <c r="G94" s="50" t="str">
        <f>IF($O94="","",INDEX(TAHSILAT!$J$7:$J$650,$O94))</f>
        <v/>
      </c>
      <c r="H94" s="51" t="str">
        <f>IF($O94="","",INDEX(TAHSILAT!$B$7:$B$650,$O94))</f>
        <v/>
      </c>
      <c r="I94" s="52" t="str">
        <f>IF($O94="","",INDEX(TAHSILAT!$F$7:$F$650,$O94))</f>
        <v/>
      </c>
      <c r="J94" s="51" t="str">
        <f>IF($O94="","",INDEX(TAHSILAT!$G$7:$G$650,$O94))</f>
        <v/>
      </c>
      <c r="K94" s="36"/>
      <c r="L94" s="36"/>
      <c r="M94" s="36"/>
      <c r="N94" s="36"/>
      <c r="O94" s="53" t="str">
        <f>IF($C$4="","",IFERROR(MATCH($C$4&amp;"|"&amp;TEXT(ROWS($O$7:O94),"000"),TAHSILAT!$N$7:$N$650,0),""))</f>
        <v/>
      </c>
    </row>
    <row r="95" spans="1:15" ht="22" customHeight="1">
      <c r="A95" s="36"/>
      <c r="B95" s="36"/>
      <c r="C95" s="36"/>
      <c r="D95" s="36"/>
      <c r="E95" s="36"/>
      <c r="F95" s="49" t="str">
        <f>IF($O95="","",INDEX(TAHSILAT!$E$7:$E$650,$O95))</f>
        <v/>
      </c>
      <c r="G95" s="50" t="str">
        <f>IF($O95="","",INDEX(TAHSILAT!$J$7:$J$650,$O95))</f>
        <v/>
      </c>
      <c r="H95" s="51" t="str">
        <f>IF($O95="","",INDEX(TAHSILAT!$B$7:$B$650,$O95))</f>
        <v/>
      </c>
      <c r="I95" s="52" t="str">
        <f>IF($O95="","",INDEX(TAHSILAT!$F$7:$F$650,$O95))</f>
        <v/>
      </c>
      <c r="J95" s="51" t="str">
        <f>IF($O95="","",INDEX(TAHSILAT!$G$7:$G$650,$O95))</f>
        <v/>
      </c>
      <c r="K95" s="36"/>
      <c r="L95" s="36"/>
      <c r="M95" s="36"/>
      <c r="N95" s="36"/>
      <c r="O95" s="53" t="str">
        <f>IF($C$4="","",IFERROR(MATCH($C$4&amp;"|"&amp;TEXT(ROWS($O$7:O95),"000"),TAHSILAT!$N$7:$N$650,0),""))</f>
        <v/>
      </c>
    </row>
    <row r="96" spans="1:15" ht="22" customHeight="1">
      <c r="A96" s="36"/>
      <c r="B96" s="36"/>
      <c r="C96" s="36"/>
      <c r="D96" s="36"/>
      <c r="E96" s="36"/>
      <c r="F96" s="49" t="str">
        <f>IF($O96="","",INDEX(TAHSILAT!$E$7:$E$650,$O96))</f>
        <v/>
      </c>
      <c r="G96" s="50" t="str">
        <f>IF($O96="","",INDEX(TAHSILAT!$J$7:$J$650,$O96))</f>
        <v/>
      </c>
      <c r="H96" s="51" t="str">
        <f>IF($O96="","",INDEX(TAHSILAT!$B$7:$B$650,$O96))</f>
        <v/>
      </c>
      <c r="I96" s="52" t="str">
        <f>IF($O96="","",INDEX(TAHSILAT!$F$7:$F$650,$O96))</f>
        <v/>
      </c>
      <c r="J96" s="51" t="str">
        <f>IF($O96="","",INDEX(TAHSILAT!$G$7:$G$650,$O96))</f>
        <v/>
      </c>
      <c r="K96" s="36"/>
      <c r="L96" s="36"/>
      <c r="M96" s="36"/>
      <c r="N96" s="36"/>
      <c r="O96" s="53" t="str">
        <f>IF($C$4="","",IFERROR(MATCH($C$4&amp;"|"&amp;TEXT(ROWS($O$7:O96),"000"),TAHSILAT!$N$7:$N$650,0),""))</f>
        <v/>
      </c>
    </row>
    <row r="97" spans="1:15" ht="22" customHeight="1">
      <c r="A97" s="36"/>
      <c r="B97" s="36"/>
      <c r="C97" s="36"/>
      <c r="D97" s="36"/>
      <c r="E97" s="36"/>
      <c r="F97" s="49" t="str">
        <f>IF($O97="","",INDEX(TAHSILAT!$E$7:$E$650,$O97))</f>
        <v/>
      </c>
      <c r="G97" s="50" t="str">
        <f>IF($O97="","",INDEX(TAHSILAT!$J$7:$J$650,$O97))</f>
        <v/>
      </c>
      <c r="H97" s="51" t="str">
        <f>IF($O97="","",INDEX(TAHSILAT!$B$7:$B$650,$O97))</f>
        <v/>
      </c>
      <c r="I97" s="52" t="str">
        <f>IF($O97="","",INDEX(TAHSILAT!$F$7:$F$650,$O97))</f>
        <v/>
      </c>
      <c r="J97" s="51" t="str">
        <f>IF($O97="","",INDEX(TAHSILAT!$G$7:$G$650,$O97))</f>
        <v/>
      </c>
      <c r="K97" s="36"/>
      <c r="L97" s="36"/>
      <c r="M97" s="36"/>
      <c r="N97" s="36"/>
      <c r="O97" s="53" t="str">
        <f>IF($C$4="","",IFERROR(MATCH($C$4&amp;"|"&amp;TEXT(ROWS($O$7:O97),"000"),TAHSILAT!$N$7:$N$650,0),""))</f>
        <v/>
      </c>
    </row>
    <row r="98" spans="1:15" ht="22" customHeight="1">
      <c r="A98" s="36"/>
      <c r="B98" s="36"/>
      <c r="C98" s="36"/>
      <c r="D98" s="36"/>
      <c r="E98" s="36"/>
      <c r="F98" s="49" t="str">
        <f>IF($O98="","",INDEX(TAHSILAT!$E$7:$E$650,$O98))</f>
        <v/>
      </c>
      <c r="G98" s="50" t="str">
        <f>IF($O98="","",INDEX(TAHSILAT!$J$7:$J$650,$O98))</f>
        <v/>
      </c>
      <c r="H98" s="51" t="str">
        <f>IF($O98="","",INDEX(TAHSILAT!$B$7:$B$650,$O98))</f>
        <v/>
      </c>
      <c r="I98" s="52" t="str">
        <f>IF($O98="","",INDEX(TAHSILAT!$F$7:$F$650,$O98))</f>
        <v/>
      </c>
      <c r="J98" s="51" t="str">
        <f>IF($O98="","",INDEX(TAHSILAT!$G$7:$G$650,$O98))</f>
        <v/>
      </c>
      <c r="K98" s="36"/>
      <c r="L98" s="36"/>
      <c r="M98" s="36"/>
      <c r="N98" s="36"/>
      <c r="O98" s="53" t="str">
        <f>IF($C$4="","",IFERROR(MATCH($C$4&amp;"|"&amp;TEXT(ROWS($O$7:O98),"000"),TAHSILAT!$N$7:$N$650,0),""))</f>
        <v/>
      </c>
    </row>
    <row r="99" spans="1:15" ht="22" customHeight="1">
      <c r="A99" s="36"/>
      <c r="B99" s="36"/>
      <c r="C99" s="36"/>
      <c r="D99" s="36"/>
      <c r="E99" s="36"/>
      <c r="F99" s="49" t="str">
        <f>IF($O99="","",INDEX(TAHSILAT!$E$7:$E$650,$O99))</f>
        <v/>
      </c>
      <c r="G99" s="50" t="str">
        <f>IF($O99="","",INDEX(TAHSILAT!$J$7:$J$650,$O99))</f>
        <v/>
      </c>
      <c r="H99" s="51" t="str">
        <f>IF($O99="","",INDEX(TAHSILAT!$B$7:$B$650,$O99))</f>
        <v/>
      </c>
      <c r="I99" s="52" t="str">
        <f>IF($O99="","",INDEX(TAHSILAT!$F$7:$F$650,$O99))</f>
        <v/>
      </c>
      <c r="J99" s="51" t="str">
        <f>IF($O99="","",INDEX(TAHSILAT!$G$7:$G$650,$O99))</f>
        <v/>
      </c>
      <c r="K99" s="36"/>
      <c r="L99" s="36"/>
      <c r="M99" s="36"/>
      <c r="N99" s="36"/>
      <c r="O99" s="53" t="str">
        <f>IF($C$4="","",IFERROR(MATCH($C$4&amp;"|"&amp;TEXT(ROWS($O$7:O99),"000"),TAHSILAT!$N$7:$N$650,0),""))</f>
        <v/>
      </c>
    </row>
    <row r="100" spans="1:15" ht="22" customHeight="1">
      <c r="A100" s="36"/>
      <c r="B100" s="36"/>
      <c r="C100" s="36"/>
      <c r="D100" s="36"/>
      <c r="E100" s="36"/>
      <c r="F100" s="49" t="str">
        <f>IF($O100="","",INDEX(TAHSILAT!$E$7:$E$650,$O100))</f>
        <v/>
      </c>
      <c r="G100" s="50" t="str">
        <f>IF($O100="","",INDEX(TAHSILAT!$J$7:$J$650,$O100))</f>
        <v/>
      </c>
      <c r="H100" s="51" t="str">
        <f>IF($O100="","",INDEX(TAHSILAT!$B$7:$B$650,$O100))</f>
        <v/>
      </c>
      <c r="I100" s="52" t="str">
        <f>IF($O100="","",INDEX(TAHSILAT!$F$7:$F$650,$O100))</f>
        <v/>
      </c>
      <c r="J100" s="51" t="str">
        <f>IF($O100="","",INDEX(TAHSILAT!$G$7:$G$650,$O100))</f>
        <v/>
      </c>
      <c r="K100" s="36"/>
      <c r="L100" s="36"/>
      <c r="M100" s="36"/>
      <c r="N100" s="36"/>
      <c r="O100" s="53" t="str">
        <f>IF($C$4="","",IFERROR(MATCH($C$4&amp;"|"&amp;TEXT(ROWS($O$7:O100),"000"),TAHSILAT!$N$7:$N$650,0),""))</f>
        <v/>
      </c>
    </row>
    <row r="101" spans="1:15" ht="22" customHeight="1">
      <c r="A101" s="36"/>
      <c r="B101" s="36"/>
      <c r="C101" s="36"/>
      <c r="D101" s="36"/>
      <c r="E101" s="36"/>
      <c r="F101" s="49" t="str">
        <f>IF($O101="","",INDEX(TAHSILAT!$E$7:$E$650,$O101))</f>
        <v/>
      </c>
      <c r="G101" s="50" t="str">
        <f>IF($O101="","",INDEX(TAHSILAT!$J$7:$J$650,$O101))</f>
        <v/>
      </c>
      <c r="H101" s="51" t="str">
        <f>IF($O101="","",INDEX(TAHSILAT!$B$7:$B$650,$O101))</f>
        <v/>
      </c>
      <c r="I101" s="52" t="str">
        <f>IF($O101="","",INDEX(TAHSILAT!$F$7:$F$650,$O101))</f>
        <v/>
      </c>
      <c r="J101" s="51" t="str">
        <f>IF($O101="","",INDEX(TAHSILAT!$G$7:$G$650,$O101))</f>
        <v/>
      </c>
      <c r="K101" s="36"/>
      <c r="L101" s="36"/>
      <c r="M101" s="36"/>
      <c r="N101" s="36"/>
      <c r="O101" s="53" t="str">
        <f>IF($C$4="","",IFERROR(MATCH($C$4&amp;"|"&amp;TEXT(ROWS($O$7:O101),"000"),TAHSILAT!$N$7:$N$650,0),""))</f>
        <v/>
      </c>
    </row>
    <row r="102" spans="1:15" ht="22" customHeight="1">
      <c r="A102" s="36"/>
      <c r="B102" s="36"/>
      <c r="C102" s="36"/>
      <c r="D102" s="36"/>
      <c r="E102" s="36"/>
      <c r="F102" s="49" t="str">
        <f>IF($O102="","",INDEX(TAHSILAT!$E$7:$E$650,$O102))</f>
        <v/>
      </c>
      <c r="G102" s="50" t="str">
        <f>IF($O102="","",INDEX(TAHSILAT!$J$7:$J$650,$O102))</f>
        <v/>
      </c>
      <c r="H102" s="51" t="str">
        <f>IF($O102="","",INDEX(TAHSILAT!$B$7:$B$650,$O102))</f>
        <v/>
      </c>
      <c r="I102" s="52" t="str">
        <f>IF($O102="","",INDEX(TAHSILAT!$F$7:$F$650,$O102))</f>
        <v/>
      </c>
      <c r="J102" s="51" t="str">
        <f>IF($O102="","",INDEX(TAHSILAT!$G$7:$G$650,$O102))</f>
        <v/>
      </c>
      <c r="K102" s="36"/>
      <c r="L102" s="36"/>
      <c r="M102" s="36"/>
      <c r="N102" s="36"/>
      <c r="O102" s="53" t="str">
        <f>IF($C$4="","",IFERROR(MATCH($C$4&amp;"|"&amp;TEXT(ROWS($O$7:O102),"000"),TAHSILAT!$N$7:$N$650,0),""))</f>
        <v/>
      </c>
    </row>
    <row r="103" spans="1:15" ht="22" customHeight="1">
      <c r="A103" s="36"/>
      <c r="B103" s="36"/>
      <c r="C103" s="36"/>
      <c r="D103" s="36"/>
      <c r="E103" s="36"/>
      <c r="F103" s="49" t="str">
        <f>IF($O103="","",INDEX(TAHSILAT!$E$7:$E$650,$O103))</f>
        <v/>
      </c>
      <c r="G103" s="50" t="str">
        <f>IF($O103="","",INDEX(TAHSILAT!$J$7:$J$650,$O103))</f>
        <v/>
      </c>
      <c r="H103" s="51" t="str">
        <f>IF($O103="","",INDEX(TAHSILAT!$B$7:$B$650,$O103))</f>
        <v/>
      </c>
      <c r="I103" s="52" t="str">
        <f>IF($O103="","",INDEX(TAHSILAT!$F$7:$F$650,$O103))</f>
        <v/>
      </c>
      <c r="J103" s="51" t="str">
        <f>IF($O103="","",INDEX(TAHSILAT!$G$7:$G$650,$O103))</f>
        <v/>
      </c>
      <c r="K103" s="36"/>
      <c r="L103" s="36"/>
      <c r="M103" s="36"/>
      <c r="N103" s="36"/>
      <c r="O103" s="53" t="str">
        <f>IF($C$4="","",IFERROR(MATCH($C$4&amp;"|"&amp;TEXT(ROWS($O$7:O103),"000"),TAHSILAT!$N$7:$N$650,0),""))</f>
        <v/>
      </c>
    </row>
    <row r="104" spans="1:15" ht="22" customHeight="1">
      <c r="A104" s="36"/>
      <c r="B104" s="36"/>
      <c r="C104" s="36"/>
      <c r="D104" s="36"/>
      <c r="E104" s="36"/>
      <c r="F104" s="49" t="str">
        <f>IF($O104="","",INDEX(TAHSILAT!$E$7:$E$650,$O104))</f>
        <v/>
      </c>
      <c r="G104" s="50" t="str">
        <f>IF($O104="","",INDEX(TAHSILAT!$J$7:$J$650,$O104))</f>
        <v/>
      </c>
      <c r="H104" s="51" t="str">
        <f>IF($O104="","",INDEX(TAHSILAT!$B$7:$B$650,$O104))</f>
        <v/>
      </c>
      <c r="I104" s="52" t="str">
        <f>IF($O104="","",INDEX(TAHSILAT!$F$7:$F$650,$O104))</f>
        <v/>
      </c>
      <c r="J104" s="51" t="str">
        <f>IF($O104="","",INDEX(TAHSILAT!$G$7:$G$650,$O104))</f>
        <v/>
      </c>
      <c r="K104" s="36"/>
      <c r="L104" s="36"/>
      <c r="M104" s="36"/>
      <c r="N104" s="36"/>
      <c r="O104" s="53" t="str">
        <f>IF($C$4="","",IFERROR(MATCH($C$4&amp;"|"&amp;TEXT(ROWS($O$7:O104),"000"),TAHSILAT!$N$7:$N$650,0),""))</f>
        <v/>
      </c>
    </row>
    <row r="105" spans="1:15" ht="22" customHeight="1">
      <c r="A105" s="36"/>
      <c r="B105" s="36"/>
      <c r="C105" s="36"/>
      <c r="D105" s="36"/>
      <c r="E105" s="36"/>
      <c r="F105" s="49" t="str">
        <f>IF($O105="","",INDEX(TAHSILAT!$E$7:$E$650,$O105))</f>
        <v/>
      </c>
      <c r="G105" s="50" t="str">
        <f>IF($O105="","",INDEX(TAHSILAT!$J$7:$J$650,$O105))</f>
        <v/>
      </c>
      <c r="H105" s="51" t="str">
        <f>IF($O105="","",INDEX(TAHSILAT!$B$7:$B$650,$O105))</f>
        <v/>
      </c>
      <c r="I105" s="52" t="str">
        <f>IF($O105="","",INDEX(TAHSILAT!$F$7:$F$650,$O105))</f>
        <v/>
      </c>
      <c r="J105" s="51" t="str">
        <f>IF($O105="","",INDEX(TAHSILAT!$G$7:$G$650,$O105))</f>
        <v/>
      </c>
      <c r="K105" s="36"/>
      <c r="L105" s="36"/>
      <c r="M105" s="36"/>
      <c r="N105" s="36"/>
      <c r="O105" s="53" t="str">
        <f>IF($C$4="","",IFERROR(MATCH($C$4&amp;"|"&amp;TEXT(ROWS($O$7:O105),"000"),TAHSILAT!$N$7:$N$650,0),""))</f>
        <v/>
      </c>
    </row>
    <row r="106" spans="1:15" ht="22" customHeight="1">
      <c r="A106" s="36"/>
      <c r="B106" s="36"/>
      <c r="C106" s="36"/>
      <c r="D106" s="36"/>
      <c r="E106" s="36"/>
      <c r="F106" s="49" t="str">
        <f>IF($O106="","",INDEX(TAHSILAT!$E$7:$E$650,$O106))</f>
        <v/>
      </c>
      <c r="G106" s="50" t="str">
        <f>IF($O106="","",INDEX(TAHSILAT!$J$7:$J$650,$O106))</f>
        <v/>
      </c>
      <c r="H106" s="51" t="str">
        <f>IF($O106="","",INDEX(TAHSILAT!$B$7:$B$650,$O106))</f>
        <v/>
      </c>
      <c r="I106" s="52" t="str">
        <f>IF($O106="","",INDEX(TAHSILAT!$F$7:$F$650,$O106))</f>
        <v/>
      </c>
      <c r="J106" s="51" t="str">
        <f>IF($O106="","",INDEX(TAHSILAT!$G$7:$G$650,$O106))</f>
        <v/>
      </c>
      <c r="K106" s="36"/>
      <c r="L106" s="36"/>
      <c r="M106" s="36"/>
      <c r="N106" s="36"/>
      <c r="O106" s="53" t="str">
        <f>IF($C$4="","",IFERROR(MATCH($C$4&amp;"|"&amp;TEXT(ROWS($O$7:O106),"000"),TAHSILAT!$N$7:$N$650,0),""))</f>
        <v/>
      </c>
    </row>
    <row r="107" spans="1:15" ht="16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</row>
    <row r="108" spans="1:15" ht="16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</row>
    <row r="109" spans="1:15" ht="16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</row>
    <row r="110" spans="1:15" ht="16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</row>
    <row r="111" spans="1:15" ht="16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</row>
    <row r="112" spans="1:15" ht="16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</row>
    <row r="113" spans="1:15" ht="16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</row>
    <row r="114" spans="1:15" ht="16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</row>
    <row r="115" spans="1:15" ht="16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</row>
    <row r="116" spans="1:15" ht="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</row>
    <row r="117" spans="1:15" ht="16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</row>
    <row r="118" spans="1:15" ht="16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</row>
    <row r="119" spans="1:15" ht="16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</row>
    <row r="120" spans="1:15" ht="16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</row>
    <row r="121" spans="1:15" ht="16">
      <c r="A121" s="6"/>
      <c r="B121" s="6"/>
      <c r="C121" s="6"/>
      <c r="D121" s="6"/>
      <c r="E121" s="6"/>
      <c r="F121" s="14"/>
      <c r="G121" s="6"/>
      <c r="H121" s="6"/>
      <c r="I121" s="13"/>
      <c r="J121" s="6"/>
      <c r="K121" s="6"/>
      <c r="L121" s="6"/>
      <c r="M121" s="6"/>
      <c r="N121" s="6"/>
      <c r="O121" s="6"/>
    </row>
    <row r="122" spans="1:15" ht="16">
      <c r="A122" s="6"/>
      <c r="B122" s="6"/>
      <c r="C122" s="6"/>
      <c r="D122" s="6"/>
      <c r="E122" s="6"/>
      <c r="F122" s="14"/>
      <c r="G122" s="6"/>
      <c r="H122" s="6"/>
      <c r="I122" s="13"/>
      <c r="J122" s="6"/>
      <c r="K122" s="6"/>
      <c r="L122" s="6"/>
      <c r="M122" s="6"/>
      <c r="N122" s="6"/>
      <c r="O122" s="6"/>
    </row>
    <row r="123" spans="1:15" ht="16">
      <c r="A123" s="6"/>
      <c r="B123" s="6"/>
      <c r="C123" s="6"/>
      <c r="D123" s="6"/>
      <c r="E123" s="6"/>
      <c r="F123" s="14"/>
      <c r="G123" s="6"/>
      <c r="H123" s="6"/>
      <c r="I123" s="13"/>
      <c r="J123" s="6"/>
      <c r="K123" s="6"/>
      <c r="L123" s="6"/>
      <c r="M123" s="6"/>
      <c r="N123" s="6"/>
      <c r="O123" s="6"/>
    </row>
    <row r="124" spans="1:15" ht="16">
      <c r="A124" s="6"/>
      <c r="B124" s="6"/>
      <c r="C124" s="6"/>
      <c r="D124" s="6"/>
      <c r="E124" s="6"/>
      <c r="F124" s="14"/>
      <c r="G124" s="6"/>
      <c r="H124" s="6"/>
      <c r="I124" s="13"/>
      <c r="J124" s="6"/>
      <c r="K124" s="6"/>
      <c r="L124" s="6"/>
      <c r="M124" s="6"/>
      <c r="N124" s="6"/>
      <c r="O124" s="6"/>
    </row>
    <row r="125" spans="1:15" ht="16">
      <c r="A125" s="6"/>
      <c r="B125" s="6"/>
      <c r="C125" s="6"/>
      <c r="D125" s="6"/>
      <c r="E125" s="6"/>
      <c r="F125" s="14"/>
      <c r="G125" s="6"/>
      <c r="H125" s="6"/>
      <c r="I125" s="13"/>
      <c r="J125" s="6"/>
      <c r="K125" s="6"/>
      <c r="L125" s="6"/>
      <c r="M125" s="6"/>
      <c r="N125" s="6"/>
      <c r="O125" s="6"/>
    </row>
    <row r="126" spans="1:15" ht="16">
      <c r="A126" s="6"/>
      <c r="B126" s="6"/>
      <c r="C126" s="6"/>
      <c r="D126" s="6"/>
      <c r="E126" s="6"/>
      <c r="F126" s="14"/>
      <c r="G126" s="6"/>
      <c r="H126" s="6"/>
      <c r="I126" s="13"/>
      <c r="J126" s="6"/>
      <c r="K126" s="6"/>
      <c r="L126" s="6"/>
      <c r="M126" s="6"/>
      <c r="N126" s="6"/>
      <c r="O126" s="6"/>
    </row>
    <row r="127" spans="1:15" ht="16">
      <c r="A127" s="6"/>
      <c r="B127" s="6"/>
      <c r="C127" s="6"/>
      <c r="D127" s="6"/>
      <c r="E127" s="6"/>
      <c r="F127" s="14"/>
      <c r="G127" s="6"/>
      <c r="H127" s="6"/>
      <c r="I127" s="13"/>
      <c r="J127" s="6"/>
      <c r="K127" s="6"/>
      <c r="L127" s="6"/>
      <c r="M127" s="6"/>
      <c r="N127" s="6"/>
      <c r="O127" s="6"/>
    </row>
    <row r="128" spans="1:15" ht="16">
      <c r="A128" s="6"/>
      <c r="B128" s="6"/>
      <c r="C128" s="6"/>
      <c r="D128" s="6"/>
      <c r="E128" s="6"/>
      <c r="F128" s="14"/>
      <c r="G128" s="6"/>
      <c r="H128" s="6"/>
      <c r="I128" s="13"/>
      <c r="J128" s="6"/>
      <c r="K128" s="6"/>
      <c r="L128" s="6"/>
      <c r="M128" s="6"/>
      <c r="N128" s="6"/>
      <c r="O128" s="6"/>
    </row>
    <row r="129" spans="1:15" ht="16">
      <c r="A129" s="6"/>
      <c r="B129" s="6"/>
      <c r="C129" s="6"/>
      <c r="D129" s="6"/>
      <c r="E129" s="6"/>
      <c r="F129" s="14"/>
      <c r="G129" s="6"/>
      <c r="H129" s="6"/>
      <c r="I129" s="13"/>
      <c r="J129" s="6"/>
      <c r="K129" s="6"/>
      <c r="L129" s="6"/>
      <c r="M129" s="6"/>
      <c r="N129" s="6"/>
      <c r="O129" s="6"/>
    </row>
    <row r="130" spans="1:15" ht="16">
      <c r="A130" s="6"/>
      <c r="B130" s="6"/>
      <c r="C130" s="6"/>
      <c r="D130" s="6"/>
      <c r="E130" s="6"/>
      <c r="F130" s="14"/>
      <c r="G130" s="6"/>
      <c r="H130" s="6"/>
      <c r="I130" s="13"/>
      <c r="J130" s="6"/>
      <c r="K130" s="6"/>
      <c r="L130" s="6"/>
      <c r="M130" s="6"/>
      <c r="N130" s="6"/>
      <c r="O130" s="6"/>
    </row>
    <row r="131" spans="1:15" ht="16">
      <c r="A131" s="6"/>
      <c r="B131" s="6"/>
      <c r="C131" s="6"/>
      <c r="D131" s="6"/>
      <c r="E131" s="6"/>
      <c r="F131" s="14"/>
      <c r="G131" s="6"/>
      <c r="H131" s="6"/>
      <c r="I131" s="13"/>
      <c r="J131" s="6"/>
      <c r="K131" s="6"/>
      <c r="L131" s="6"/>
      <c r="M131" s="6"/>
      <c r="N131" s="6"/>
      <c r="O131" s="6"/>
    </row>
    <row r="132" spans="1:15" ht="16">
      <c r="A132" s="6"/>
      <c r="B132" s="6"/>
      <c r="C132" s="6"/>
      <c r="D132" s="6"/>
      <c r="E132" s="6"/>
      <c r="F132" s="14"/>
      <c r="G132" s="6"/>
      <c r="H132" s="6"/>
      <c r="I132" s="13"/>
      <c r="J132" s="6"/>
      <c r="K132" s="6"/>
      <c r="L132" s="6"/>
      <c r="M132" s="6"/>
      <c r="N132" s="6"/>
      <c r="O132" s="6"/>
    </row>
    <row r="133" spans="1:15" ht="16">
      <c r="A133" s="6"/>
      <c r="B133" s="6"/>
      <c r="C133" s="6"/>
      <c r="D133" s="6"/>
      <c r="E133" s="6"/>
      <c r="F133" s="14"/>
      <c r="G133" s="6"/>
      <c r="H133" s="6"/>
      <c r="I133" s="13"/>
      <c r="J133" s="6"/>
      <c r="K133" s="6"/>
      <c r="L133" s="6"/>
      <c r="M133" s="6"/>
      <c r="N133" s="6"/>
      <c r="O133" s="6"/>
    </row>
    <row r="134" spans="1:15" ht="16">
      <c r="A134" s="6"/>
      <c r="B134" s="6"/>
      <c r="C134" s="6"/>
      <c r="D134" s="6"/>
      <c r="E134" s="6"/>
      <c r="F134" s="14"/>
      <c r="G134" s="6"/>
      <c r="H134" s="6"/>
      <c r="I134" s="13"/>
      <c r="J134" s="6"/>
      <c r="K134" s="6"/>
      <c r="L134" s="6"/>
      <c r="M134" s="6"/>
      <c r="N134" s="6"/>
      <c r="O134" s="6"/>
    </row>
    <row r="135" spans="1:15" ht="16">
      <c r="A135" s="6"/>
      <c r="B135" s="6"/>
      <c r="C135" s="6"/>
      <c r="D135" s="6"/>
      <c r="E135" s="6"/>
      <c r="F135" s="14"/>
      <c r="G135" s="6"/>
      <c r="H135" s="6"/>
      <c r="I135" s="13"/>
      <c r="J135" s="6"/>
      <c r="K135" s="6"/>
      <c r="L135" s="6"/>
      <c r="M135" s="6"/>
      <c r="N135" s="6"/>
      <c r="O135" s="6"/>
    </row>
    <row r="136" spans="1:15" ht="16">
      <c r="A136" s="6"/>
      <c r="B136" s="6"/>
      <c r="C136" s="6"/>
      <c r="D136" s="6"/>
      <c r="E136" s="6"/>
      <c r="F136" s="14"/>
      <c r="G136" s="6"/>
      <c r="H136" s="6"/>
      <c r="I136" s="13"/>
      <c r="J136" s="6"/>
      <c r="K136" s="6"/>
      <c r="L136" s="6"/>
      <c r="M136" s="6"/>
      <c r="N136" s="6"/>
      <c r="O136" s="6"/>
    </row>
    <row r="137" spans="1:15" ht="16">
      <c r="A137" s="6"/>
      <c r="B137" s="6"/>
      <c r="C137" s="6"/>
      <c r="D137" s="6"/>
      <c r="E137" s="6"/>
      <c r="F137" s="14"/>
      <c r="G137" s="6"/>
      <c r="H137" s="6"/>
      <c r="I137" s="13"/>
      <c r="J137" s="6"/>
      <c r="K137" s="6"/>
      <c r="L137" s="6"/>
      <c r="M137" s="6"/>
      <c r="N137" s="6"/>
      <c r="O137" s="6"/>
    </row>
    <row r="138" spans="1:15" ht="16">
      <c r="A138" s="6"/>
      <c r="B138" s="6"/>
      <c r="C138" s="6"/>
      <c r="D138" s="6"/>
      <c r="E138" s="6"/>
      <c r="F138" s="14"/>
      <c r="G138" s="6"/>
      <c r="H138" s="6"/>
      <c r="I138" s="13"/>
      <c r="J138" s="6"/>
      <c r="K138" s="6"/>
      <c r="L138" s="6"/>
      <c r="M138" s="6"/>
      <c r="N138" s="6"/>
      <c r="O138" s="6"/>
    </row>
    <row r="139" spans="1:15" ht="16">
      <c r="A139" s="6"/>
      <c r="B139" s="6"/>
      <c r="C139" s="6"/>
      <c r="D139" s="6"/>
      <c r="E139" s="6"/>
      <c r="F139" s="14"/>
      <c r="G139" s="6"/>
      <c r="H139" s="6"/>
      <c r="I139" s="13"/>
      <c r="J139" s="6"/>
      <c r="K139" s="6"/>
      <c r="L139" s="6"/>
      <c r="M139" s="6"/>
      <c r="N139" s="6"/>
      <c r="O139" s="6"/>
    </row>
    <row r="140" spans="1:15" ht="16">
      <c r="A140" s="6"/>
      <c r="B140" s="6"/>
      <c r="C140" s="6"/>
      <c r="D140" s="6"/>
      <c r="E140" s="6"/>
      <c r="F140" s="14"/>
      <c r="G140" s="6"/>
      <c r="H140" s="6"/>
      <c r="I140" s="13"/>
      <c r="J140" s="6"/>
      <c r="K140" s="6"/>
      <c r="L140" s="6"/>
      <c r="M140" s="6"/>
      <c r="N140" s="6"/>
      <c r="O140" s="6"/>
    </row>
    <row r="141" spans="1:15" ht="16">
      <c r="A141" s="6"/>
      <c r="B141" s="6"/>
      <c r="C141" s="6"/>
      <c r="D141" s="6"/>
      <c r="E141" s="6"/>
      <c r="F141" s="14"/>
      <c r="G141" s="6"/>
      <c r="H141" s="6"/>
      <c r="I141" s="13"/>
      <c r="J141" s="6"/>
      <c r="K141" s="6"/>
      <c r="L141" s="6"/>
      <c r="M141" s="6"/>
      <c r="N141" s="6"/>
      <c r="O141" s="6"/>
    </row>
    <row r="142" spans="1:15" ht="16">
      <c r="A142" s="6"/>
      <c r="B142" s="6"/>
      <c r="C142" s="6"/>
      <c r="D142" s="6"/>
      <c r="E142" s="6"/>
      <c r="F142" s="14"/>
      <c r="G142" s="6"/>
      <c r="H142" s="6"/>
      <c r="I142" s="13"/>
      <c r="J142" s="6"/>
      <c r="K142" s="6"/>
      <c r="L142" s="6"/>
      <c r="M142" s="6"/>
      <c r="N142" s="6"/>
      <c r="O142" s="6"/>
    </row>
    <row r="143" spans="1:15" ht="16">
      <c r="A143" s="6"/>
      <c r="B143" s="6"/>
      <c r="C143" s="6"/>
      <c r="D143" s="6"/>
      <c r="E143" s="6"/>
      <c r="F143" s="14"/>
      <c r="G143" s="6"/>
      <c r="H143" s="6"/>
      <c r="I143" s="13"/>
      <c r="J143" s="6"/>
      <c r="K143" s="6"/>
      <c r="L143" s="6"/>
      <c r="M143" s="6"/>
      <c r="N143" s="6"/>
      <c r="O143" s="6"/>
    </row>
    <row r="144" spans="1:15" ht="16">
      <c r="A144" s="6"/>
      <c r="B144" s="6"/>
      <c r="C144" s="6"/>
      <c r="D144" s="6"/>
      <c r="E144" s="6"/>
      <c r="F144" s="14"/>
      <c r="G144" s="6"/>
      <c r="H144" s="6"/>
      <c r="I144" s="13"/>
      <c r="J144" s="6"/>
      <c r="K144" s="6"/>
      <c r="L144" s="6"/>
      <c r="M144" s="6"/>
      <c r="N144" s="6"/>
      <c r="O144" s="6"/>
    </row>
    <row r="145" spans="1:15" ht="16">
      <c r="A145" s="6"/>
      <c r="B145" s="6"/>
      <c r="C145" s="6"/>
      <c r="D145" s="6"/>
      <c r="E145" s="6"/>
      <c r="F145" s="14"/>
      <c r="G145" s="6"/>
      <c r="H145" s="6"/>
      <c r="I145" s="13"/>
      <c r="J145" s="6"/>
      <c r="K145" s="6"/>
      <c r="L145" s="6"/>
      <c r="M145" s="6"/>
      <c r="N145" s="6"/>
      <c r="O145" s="6"/>
    </row>
    <row r="146" spans="1:15" ht="16">
      <c r="A146" s="6"/>
      <c r="B146" s="6"/>
      <c r="C146" s="6"/>
      <c r="D146" s="6"/>
      <c r="E146" s="6"/>
      <c r="F146" s="14"/>
      <c r="G146" s="6"/>
      <c r="H146" s="6"/>
      <c r="I146" s="13"/>
      <c r="J146" s="6"/>
      <c r="K146" s="6"/>
      <c r="L146" s="6"/>
      <c r="M146" s="6"/>
      <c r="N146" s="6"/>
      <c r="O146" s="6"/>
    </row>
    <row r="147" spans="1:15" ht="16">
      <c r="A147" s="6"/>
      <c r="B147" s="6"/>
      <c r="C147" s="6"/>
      <c r="D147" s="6"/>
      <c r="E147" s="6"/>
      <c r="F147" s="14"/>
      <c r="G147" s="6"/>
      <c r="H147" s="6"/>
      <c r="I147" s="13"/>
      <c r="J147" s="6"/>
      <c r="K147" s="6"/>
      <c r="L147" s="6"/>
      <c r="M147" s="6"/>
      <c r="N147" s="6"/>
      <c r="O147" s="6"/>
    </row>
    <row r="148" spans="1:15" ht="16">
      <c r="A148" s="6"/>
      <c r="B148" s="6"/>
      <c r="C148" s="6"/>
      <c r="D148" s="6"/>
      <c r="E148" s="6"/>
      <c r="F148" s="14"/>
      <c r="G148" s="6"/>
      <c r="H148" s="6"/>
      <c r="I148" s="13"/>
      <c r="J148" s="6"/>
      <c r="K148" s="6"/>
      <c r="L148" s="6"/>
      <c r="M148" s="6"/>
      <c r="N148" s="6"/>
      <c r="O148" s="6"/>
    </row>
    <row r="149" spans="1:15" ht="16">
      <c r="A149" s="6"/>
      <c r="B149" s="6"/>
      <c r="C149" s="6"/>
      <c r="D149" s="6"/>
      <c r="E149" s="6"/>
      <c r="F149" s="14"/>
      <c r="G149" s="6"/>
      <c r="H149" s="6"/>
      <c r="I149" s="13"/>
      <c r="J149" s="6"/>
      <c r="K149" s="6"/>
      <c r="L149" s="6"/>
      <c r="M149" s="6"/>
      <c r="N149" s="6"/>
      <c r="O149" s="6"/>
    </row>
    <row r="150" spans="1:15" ht="16">
      <c r="A150" s="6"/>
      <c r="B150" s="6"/>
      <c r="C150" s="6"/>
      <c r="D150" s="6"/>
      <c r="E150" s="6"/>
      <c r="F150" s="14"/>
      <c r="G150" s="6"/>
      <c r="H150" s="6"/>
      <c r="I150" s="13"/>
      <c r="J150" s="6"/>
      <c r="K150" s="6"/>
      <c r="L150" s="6"/>
      <c r="M150" s="6"/>
      <c r="N150" s="6"/>
      <c r="O150" s="6"/>
    </row>
    <row r="151" spans="1:15" ht="16">
      <c r="A151" s="6"/>
      <c r="B151" s="6"/>
      <c r="C151" s="6"/>
      <c r="D151" s="6"/>
      <c r="E151" s="6"/>
      <c r="F151" s="14"/>
      <c r="G151" s="6"/>
      <c r="H151" s="6"/>
      <c r="I151" s="13"/>
      <c r="J151" s="6"/>
      <c r="K151" s="6"/>
      <c r="L151" s="6"/>
      <c r="M151" s="6"/>
      <c r="N151" s="6"/>
      <c r="O151" s="6"/>
    </row>
    <row r="152" spans="1:15" ht="16">
      <c r="A152" s="6"/>
      <c r="B152" s="6"/>
      <c r="C152" s="6"/>
      <c r="D152" s="6"/>
      <c r="E152" s="6"/>
      <c r="F152" s="14"/>
      <c r="G152" s="6"/>
      <c r="H152" s="6"/>
      <c r="I152" s="13"/>
      <c r="J152" s="6"/>
      <c r="K152" s="6"/>
      <c r="L152" s="6"/>
      <c r="M152" s="6"/>
      <c r="N152" s="6"/>
      <c r="O152" s="6"/>
    </row>
    <row r="153" spans="1:15" ht="16">
      <c r="A153" s="6"/>
      <c r="B153" s="6"/>
      <c r="C153" s="6"/>
      <c r="D153" s="6"/>
      <c r="E153" s="6"/>
      <c r="F153" s="14"/>
      <c r="G153" s="6"/>
      <c r="H153" s="6"/>
      <c r="I153" s="13"/>
      <c r="J153" s="6"/>
      <c r="K153" s="6"/>
      <c r="L153" s="6"/>
      <c r="M153" s="6"/>
      <c r="N153" s="6"/>
      <c r="O153" s="6"/>
    </row>
    <row r="154" spans="1:15" ht="16">
      <c r="A154" s="6"/>
      <c r="B154" s="6"/>
      <c r="C154" s="6"/>
      <c r="D154" s="6"/>
      <c r="E154" s="6"/>
      <c r="F154" s="14"/>
      <c r="G154" s="6"/>
      <c r="H154" s="6"/>
      <c r="I154" s="13"/>
      <c r="J154" s="6"/>
      <c r="K154" s="6"/>
      <c r="L154" s="6"/>
      <c r="M154" s="6"/>
      <c r="N154" s="6"/>
      <c r="O154" s="6"/>
    </row>
    <row r="155" spans="1:15" ht="16">
      <c r="A155" s="6"/>
      <c r="B155" s="6"/>
      <c r="C155" s="6"/>
      <c r="D155" s="6"/>
      <c r="E155" s="6"/>
      <c r="F155" s="14"/>
      <c r="G155" s="6"/>
      <c r="H155" s="6"/>
      <c r="I155" s="13"/>
      <c r="J155" s="6"/>
      <c r="K155" s="6"/>
      <c r="L155" s="6"/>
      <c r="M155" s="6"/>
      <c r="N155" s="6"/>
      <c r="O155" s="6"/>
    </row>
    <row r="156" spans="1:15" ht="16">
      <c r="A156" s="6"/>
      <c r="B156" s="6"/>
      <c r="C156" s="6"/>
      <c r="D156" s="6"/>
      <c r="E156" s="6"/>
      <c r="F156" s="14"/>
      <c r="G156" s="6"/>
      <c r="H156" s="6"/>
      <c r="I156" s="13"/>
      <c r="J156" s="6"/>
      <c r="K156" s="6"/>
      <c r="L156" s="6"/>
      <c r="M156" s="6"/>
      <c r="N156" s="6"/>
      <c r="O156" s="6"/>
    </row>
    <row r="157" spans="1:15" ht="16">
      <c r="A157" s="6"/>
      <c r="B157" s="6"/>
      <c r="C157" s="6"/>
      <c r="D157" s="6"/>
      <c r="E157" s="6"/>
      <c r="F157" s="14"/>
      <c r="G157" s="6"/>
      <c r="H157" s="6"/>
      <c r="I157" s="13"/>
      <c r="J157" s="6"/>
      <c r="K157" s="6"/>
      <c r="L157" s="6"/>
      <c r="M157" s="6"/>
      <c r="N157" s="6"/>
      <c r="O157" s="6"/>
    </row>
    <row r="158" spans="1:15" ht="16">
      <c r="A158" s="6"/>
      <c r="B158" s="6"/>
      <c r="C158" s="6"/>
      <c r="D158" s="6"/>
      <c r="E158" s="6"/>
      <c r="F158" s="14"/>
      <c r="G158" s="6"/>
      <c r="H158" s="6"/>
      <c r="I158" s="13"/>
      <c r="J158" s="6"/>
      <c r="K158" s="6"/>
      <c r="L158" s="6"/>
      <c r="M158" s="6"/>
      <c r="N158" s="6"/>
      <c r="O158" s="6"/>
    </row>
    <row r="159" spans="1:15" ht="16">
      <c r="A159" s="6"/>
      <c r="B159" s="6"/>
      <c r="C159" s="6"/>
      <c r="D159" s="6"/>
      <c r="E159" s="6"/>
      <c r="F159" s="14"/>
      <c r="G159" s="6"/>
      <c r="H159" s="6"/>
      <c r="I159" s="13"/>
      <c r="J159" s="6"/>
      <c r="K159" s="6"/>
      <c r="L159" s="6"/>
      <c r="M159" s="6"/>
      <c r="N159" s="6"/>
      <c r="O159" s="6"/>
    </row>
    <row r="160" spans="1:15" ht="16">
      <c r="A160" s="6"/>
      <c r="B160" s="6"/>
      <c r="C160" s="6"/>
      <c r="D160" s="6"/>
      <c r="E160" s="6"/>
      <c r="F160" s="14"/>
      <c r="G160" s="6"/>
      <c r="H160" s="6"/>
      <c r="I160" s="13"/>
      <c r="J160" s="6"/>
      <c r="K160" s="6"/>
      <c r="L160" s="6"/>
      <c r="M160" s="6"/>
      <c r="N160" s="6"/>
      <c r="O160" s="6"/>
    </row>
    <row r="161" spans="1:15" ht="16">
      <c r="A161" s="6"/>
      <c r="B161" s="6"/>
      <c r="C161" s="6"/>
      <c r="D161" s="6"/>
      <c r="E161" s="6"/>
      <c r="F161" s="14"/>
      <c r="G161" s="6"/>
      <c r="H161" s="6"/>
      <c r="I161" s="13"/>
      <c r="J161" s="6"/>
      <c r="K161" s="6"/>
      <c r="L161" s="6"/>
      <c r="M161" s="6"/>
      <c r="N161" s="6"/>
      <c r="O161" s="6"/>
    </row>
    <row r="162" spans="1:15" ht="16">
      <c r="A162" s="6"/>
      <c r="B162" s="6"/>
      <c r="C162" s="6"/>
      <c r="D162" s="6"/>
      <c r="E162" s="6"/>
      <c r="F162" s="14"/>
      <c r="G162" s="6"/>
      <c r="H162" s="6"/>
      <c r="I162" s="13"/>
      <c r="J162" s="6"/>
      <c r="K162" s="6"/>
      <c r="L162" s="6"/>
      <c r="M162" s="6"/>
      <c r="N162" s="6"/>
      <c r="O162" s="6"/>
    </row>
    <row r="163" spans="1:15" ht="16">
      <c r="A163" s="6"/>
      <c r="B163" s="6"/>
      <c r="C163" s="6"/>
      <c r="D163" s="6"/>
      <c r="E163" s="6"/>
      <c r="F163" s="14"/>
      <c r="G163" s="6"/>
      <c r="H163" s="6"/>
      <c r="I163" s="13"/>
      <c r="J163" s="6"/>
      <c r="K163" s="6"/>
      <c r="L163" s="6"/>
      <c r="M163" s="6"/>
      <c r="N163" s="6"/>
      <c r="O163" s="6"/>
    </row>
    <row r="164" spans="1:15" ht="16">
      <c r="A164" s="6"/>
      <c r="B164" s="6"/>
      <c r="C164" s="6"/>
      <c r="D164" s="6"/>
      <c r="E164" s="6"/>
      <c r="F164" s="14"/>
      <c r="G164" s="6"/>
      <c r="H164" s="6"/>
      <c r="I164" s="13"/>
      <c r="J164" s="6"/>
      <c r="K164" s="6"/>
      <c r="L164" s="6"/>
      <c r="M164" s="6"/>
      <c r="N164" s="6"/>
      <c r="O164" s="6"/>
    </row>
    <row r="165" spans="1:15" ht="16">
      <c r="A165" s="6"/>
      <c r="B165" s="6"/>
      <c r="C165" s="6"/>
      <c r="D165" s="6"/>
      <c r="E165" s="6"/>
      <c r="F165" s="14"/>
      <c r="G165" s="6"/>
      <c r="H165" s="6"/>
      <c r="I165" s="13"/>
      <c r="J165" s="6"/>
      <c r="K165" s="6"/>
      <c r="L165" s="6"/>
      <c r="M165" s="6"/>
      <c r="N165" s="6"/>
      <c r="O165" s="6"/>
    </row>
    <row r="166" spans="1:15" ht="16">
      <c r="A166" s="6"/>
      <c r="B166" s="6"/>
      <c r="C166" s="6"/>
      <c r="D166" s="6"/>
      <c r="E166" s="6"/>
      <c r="F166" s="14"/>
      <c r="G166" s="6"/>
      <c r="H166" s="6"/>
      <c r="I166" s="13"/>
      <c r="J166" s="6"/>
      <c r="K166" s="6"/>
      <c r="L166" s="6"/>
      <c r="M166" s="6"/>
      <c r="N166" s="6"/>
      <c r="O166" s="6"/>
    </row>
    <row r="167" spans="1:15" ht="16">
      <c r="A167" s="6"/>
      <c r="B167" s="6"/>
      <c r="C167" s="6"/>
      <c r="D167" s="6"/>
      <c r="E167" s="6"/>
      <c r="F167" s="14"/>
      <c r="G167" s="6"/>
      <c r="H167" s="6"/>
      <c r="I167" s="13"/>
      <c r="J167" s="6"/>
      <c r="K167" s="6"/>
      <c r="L167" s="6"/>
      <c r="M167" s="6"/>
      <c r="N167" s="6"/>
      <c r="O167" s="6"/>
    </row>
    <row r="168" spans="1:15" ht="16">
      <c r="A168" s="6"/>
      <c r="B168" s="6"/>
      <c r="C168" s="6"/>
      <c r="D168" s="6"/>
      <c r="E168" s="6"/>
      <c r="F168" s="14"/>
      <c r="G168" s="6"/>
      <c r="H168" s="6"/>
      <c r="I168" s="13"/>
      <c r="J168" s="6"/>
      <c r="K168" s="6"/>
      <c r="L168" s="6"/>
      <c r="M168" s="6"/>
      <c r="N168" s="6"/>
      <c r="O168" s="6"/>
    </row>
    <row r="169" spans="1:15" ht="16">
      <c r="A169" s="6"/>
      <c r="B169" s="6"/>
      <c r="C169" s="6"/>
      <c r="D169" s="6"/>
      <c r="E169" s="6"/>
      <c r="F169" s="14"/>
      <c r="G169" s="6"/>
      <c r="H169" s="6"/>
      <c r="I169" s="13"/>
      <c r="J169" s="6"/>
      <c r="K169" s="6"/>
      <c r="L169" s="6"/>
      <c r="M169" s="6"/>
      <c r="N169" s="6"/>
      <c r="O169" s="6"/>
    </row>
    <row r="170" spans="1:15" ht="16">
      <c r="A170" s="6"/>
      <c r="B170" s="6"/>
      <c r="C170" s="6"/>
      <c r="D170" s="6"/>
      <c r="E170" s="6"/>
      <c r="F170" s="14"/>
      <c r="G170" s="6"/>
      <c r="H170" s="6"/>
      <c r="I170" s="13"/>
      <c r="J170" s="6"/>
      <c r="K170" s="6"/>
      <c r="L170" s="6"/>
      <c r="M170" s="6"/>
      <c r="N170" s="6"/>
      <c r="O170" s="6"/>
    </row>
    <row r="171" spans="1:15" ht="16">
      <c r="A171" s="6"/>
      <c r="B171" s="6"/>
      <c r="C171" s="6"/>
      <c r="D171" s="6"/>
      <c r="E171" s="6"/>
      <c r="F171" s="14"/>
      <c r="G171" s="6"/>
      <c r="H171" s="6"/>
      <c r="I171" s="13"/>
      <c r="J171" s="6"/>
      <c r="K171" s="6"/>
      <c r="L171" s="6"/>
      <c r="M171" s="6"/>
      <c r="N171" s="6"/>
      <c r="O171" s="6"/>
    </row>
    <row r="172" spans="1:15" ht="16">
      <c r="A172" s="6"/>
      <c r="B172" s="6"/>
      <c r="C172" s="6"/>
      <c r="D172" s="6"/>
      <c r="E172" s="6"/>
      <c r="F172" s="14"/>
      <c r="G172" s="6"/>
      <c r="H172" s="6"/>
      <c r="I172" s="13"/>
      <c r="J172" s="6"/>
      <c r="K172" s="6"/>
      <c r="L172" s="6"/>
      <c r="M172" s="6"/>
      <c r="N172" s="6"/>
      <c r="O172" s="6"/>
    </row>
    <row r="173" spans="1:15" ht="16">
      <c r="A173" s="6"/>
      <c r="B173" s="6"/>
      <c r="C173" s="6"/>
      <c r="D173" s="6"/>
      <c r="E173" s="6"/>
      <c r="F173" s="14"/>
      <c r="G173" s="6"/>
      <c r="H173" s="6"/>
      <c r="I173" s="13"/>
      <c r="J173" s="6"/>
      <c r="K173" s="6"/>
      <c r="L173" s="6"/>
      <c r="M173" s="6"/>
      <c r="N173" s="6"/>
      <c r="O173" s="6"/>
    </row>
    <row r="174" spans="1:15" ht="16">
      <c r="A174" s="6"/>
      <c r="B174" s="6"/>
      <c r="C174" s="6"/>
      <c r="D174" s="6"/>
      <c r="E174" s="6"/>
      <c r="F174" s="14"/>
      <c r="G174" s="6"/>
      <c r="H174" s="6"/>
      <c r="I174" s="13"/>
      <c r="J174" s="6"/>
      <c r="K174" s="6"/>
      <c r="L174" s="6"/>
      <c r="M174" s="6"/>
      <c r="N174" s="6"/>
      <c r="O174" s="6"/>
    </row>
    <row r="175" spans="1:15" ht="16">
      <c r="A175" s="6"/>
      <c r="B175" s="6"/>
      <c r="C175" s="6"/>
      <c r="D175" s="6"/>
      <c r="E175" s="6"/>
      <c r="F175" s="14"/>
      <c r="G175" s="6"/>
      <c r="H175" s="6"/>
      <c r="I175" s="13"/>
      <c r="J175" s="6"/>
      <c r="K175" s="6"/>
      <c r="L175" s="6"/>
      <c r="M175" s="6"/>
      <c r="N175" s="6"/>
      <c r="O175" s="6"/>
    </row>
    <row r="176" spans="1:15" ht="16">
      <c r="A176" s="6"/>
      <c r="B176" s="6"/>
      <c r="C176" s="6"/>
      <c r="D176" s="6"/>
      <c r="E176" s="6"/>
      <c r="F176" s="14"/>
      <c r="G176" s="6"/>
      <c r="H176" s="6"/>
      <c r="I176" s="13"/>
      <c r="J176" s="6"/>
      <c r="K176" s="6"/>
      <c r="L176" s="6"/>
      <c r="M176" s="6"/>
      <c r="N176" s="6"/>
      <c r="O176" s="6"/>
    </row>
    <row r="177" spans="1:15" ht="16">
      <c r="A177" s="6"/>
      <c r="B177" s="6"/>
      <c r="C177" s="6"/>
      <c r="D177" s="6"/>
      <c r="E177" s="6"/>
      <c r="F177" s="14"/>
      <c r="G177" s="6"/>
      <c r="H177" s="6"/>
      <c r="I177" s="13"/>
      <c r="J177" s="6"/>
      <c r="K177" s="6"/>
      <c r="L177" s="6"/>
      <c r="M177" s="6"/>
      <c r="N177" s="6"/>
      <c r="O177" s="6"/>
    </row>
    <row r="178" spans="1:15" ht="16">
      <c r="A178" s="6"/>
      <c r="B178" s="6"/>
      <c r="C178" s="6"/>
      <c r="D178" s="6"/>
      <c r="E178" s="6"/>
      <c r="F178" s="14"/>
      <c r="G178" s="6"/>
      <c r="H178" s="6"/>
      <c r="I178" s="13"/>
      <c r="J178" s="6"/>
      <c r="K178" s="6"/>
      <c r="L178" s="6"/>
      <c r="M178" s="6"/>
      <c r="N178" s="6"/>
      <c r="O178" s="6"/>
    </row>
    <row r="179" spans="1:15" ht="16">
      <c r="A179" s="6"/>
      <c r="B179" s="6"/>
      <c r="C179" s="6"/>
      <c r="D179" s="6"/>
      <c r="E179" s="6"/>
      <c r="F179" s="14"/>
      <c r="G179" s="6"/>
      <c r="H179" s="6"/>
      <c r="I179" s="13"/>
      <c r="J179" s="6"/>
      <c r="K179" s="6"/>
      <c r="L179" s="6"/>
      <c r="M179" s="6"/>
      <c r="N179" s="6"/>
      <c r="O179" s="6"/>
    </row>
    <row r="180" spans="1:15" ht="16">
      <c r="A180" s="6"/>
      <c r="B180" s="6"/>
      <c r="C180" s="6"/>
      <c r="D180" s="6"/>
      <c r="E180" s="6"/>
      <c r="F180" s="14"/>
      <c r="G180" s="6"/>
      <c r="H180" s="6"/>
      <c r="I180" s="13"/>
      <c r="J180" s="6"/>
      <c r="K180" s="6"/>
      <c r="L180" s="6"/>
      <c r="M180" s="6"/>
      <c r="N180" s="6"/>
      <c r="O180" s="6"/>
    </row>
    <row r="181" spans="1:15" ht="16">
      <c r="A181" s="6"/>
      <c r="B181" s="6"/>
      <c r="C181" s="6"/>
      <c r="D181" s="6"/>
      <c r="E181" s="6"/>
      <c r="F181" s="14"/>
      <c r="G181" s="6"/>
      <c r="H181" s="6"/>
      <c r="I181" s="13"/>
      <c r="J181" s="6"/>
      <c r="K181" s="6"/>
      <c r="L181" s="6"/>
      <c r="M181" s="6"/>
      <c r="N181" s="6"/>
      <c r="O181" s="6"/>
    </row>
    <row r="182" spans="1:15" ht="16">
      <c r="A182" s="6"/>
      <c r="B182" s="6"/>
      <c r="C182" s="6"/>
      <c r="D182" s="6"/>
      <c r="E182" s="6"/>
      <c r="F182" s="14"/>
      <c r="G182" s="6"/>
      <c r="H182" s="6"/>
      <c r="I182" s="13"/>
      <c r="J182" s="6"/>
      <c r="K182" s="6"/>
      <c r="L182" s="6"/>
      <c r="M182" s="6"/>
      <c r="N182" s="6"/>
      <c r="O182" s="6"/>
    </row>
    <row r="183" spans="1:15" ht="16">
      <c r="A183" s="6"/>
      <c r="B183" s="6"/>
      <c r="C183" s="6"/>
      <c r="D183" s="6"/>
      <c r="E183" s="6"/>
      <c r="F183" s="14"/>
      <c r="G183" s="6"/>
      <c r="H183" s="6"/>
      <c r="I183" s="13"/>
      <c r="J183" s="6"/>
      <c r="K183" s="6"/>
      <c r="L183" s="6"/>
      <c r="M183" s="6"/>
      <c r="N183" s="6"/>
      <c r="O183" s="6"/>
    </row>
    <row r="184" spans="1:15" ht="16">
      <c r="A184" s="6"/>
      <c r="B184" s="6"/>
      <c r="C184" s="6"/>
      <c r="D184" s="6"/>
      <c r="E184" s="6"/>
      <c r="F184" s="14"/>
      <c r="G184" s="6"/>
      <c r="H184" s="6"/>
      <c r="I184" s="13"/>
      <c r="J184" s="6"/>
      <c r="K184" s="6"/>
      <c r="L184" s="6"/>
      <c r="M184" s="6"/>
      <c r="N184" s="6"/>
      <c r="O184" s="6"/>
    </row>
    <row r="185" spans="1:15" ht="16">
      <c r="A185" s="6"/>
      <c r="B185" s="6"/>
      <c r="C185" s="6"/>
      <c r="D185" s="6"/>
      <c r="E185" s="6"/>
      <c r="F185" s="14"/>
      <c r="G185" s="6"/>
      <c r="H185" s="6"/>
      <c r="I185" s="13"/>
      <c r="J185" s="6"/>
      <c r="K185" s="6"/>
      <c r="L185" s="6"/>
      <c r="M185" s="6"/>
      <c r="N185" s="6"/>
      <c r="O185" s="6"/>
    </row>
    <row r="186" spans="1:15" ht="16">
      <c r="A186" s="6"/>
      <c r="B186" s="6"/>
      <c r="C186" s="6"/>
      <c r="D186" s="6"/>
      <c r="E186" s="6"/>
      <c r="F186" s="14"/>
      <c r="G186" s="6"/>
      <c r="H186" s="6"/>
      <c r="I186" s="13"/>
      <c r="J186" s="6"/>
      <c r="K186" s="6"/>
      <c r="L186" s="6"/>
      <c r="M186" s="6"/>
      <c r="N186" s="6"/>
      <c r="O186" s="6"/>
    </row>
    <row r="187" spans="1:15" ht="16">
      <c r="A187" s="6"/>
      <c r="B187" s="6"/>
      <c r="C187" s="6"/>
      <c r="D187" s="6"/>
      <c r="E187" s="6"/>
      <c r="F187" s="14"/>
      <c r="G187" s="6"/>
      <c r="H187" s="6"/>
      <c r="I187" s="13"/>
      <c r="J187" s="6"/>
      <c r="K187" s="6"/>
      <c r="L187" s="6"/>
      <c r="M187" s="6"/>
      <c r="N187" s="6"/>
      <c r="O187" s="6"/>
    </row>
    <row r="188" spans="1:15" ht="16">
      <c r="A188" s="6"/>
      <c r="B188" s="6"/>
      <c r="C188" s="6"/>
      <c r="D188" s="6"/>
      <c r="E188" s="6"/>
      <c r="F188" s="14"/>
      <c r="G188" s="6"/>
      <c r="H188" s="6"/>
      <c r="I188" s="13"/>
      <c r="J188" s="6"/>
      <c r="K188" s="6"/>
      <c r="L188" s="6"/>
      <c r="M188" s="6"/>
      <c r="N188" s="6"/>
      <c r="O188" s="6"/>
    </row>
    <row r="189" spans="1:15" ht="16">
      <c r="A189" s="6"/>
      <c r="B189" s="6"/>
      <c r="C189" s="6"/>
      <c r="D189" s="6"/>
      <c r="E189" s="6"/>
      <c r="F189" s="14"/>
      <c r="G189" s="6"/>
      <c r="H189" s="6"/>
      <c r="I189" s="13"/>
      <c r="J189" s="6"/>
      <c r="K189" s="6"/>
      <c r="L189" s="6"/>
      <c r="M189" s="6"/>
      <c r="N189" s="6"/>
      <c r="O189" s="6"/>
    </row>
    <row r="190" spans="1:15" ht="16">
      <c r="A190" s="6"/>
      <c r="B190" s="6"/>
      <c r="C190" s="6"/>
      <c r="D190" s="6"/>
      <c r="E190" s="6"/>
      <c r="F190" s="14"/>
      <c r="G190" s="6"/>
      <c r="H190" s="6"/>
      <c r="I190" s="13"/>
      <c r="J190" s="6"/>
      <c r="K190" s="6"/>
      <c r="L190" s="6"/>
      <c r="M190" s="6"/>
      <c r="N190" s="6"/>
      <c r="O190" s="6"/>
    </row>
    <row r="191" spans="1:15" ht="16">
      <c r="A191" s="6"/>
      <c r="B191" s="6"/>
      <c r="C191" s="6"/>
      <c r="D191" s="6"/>
      <c r="E191" s="6"/>
      <c r="F191" s="14"/>
      <c r="G191" s="6"/>
      <c r="H191" s="6"/>
      <c r="I191" s="13"/>
      <c r="J191" s="6"/>
      <c r="K191" s="6"/>
      <c r="L191" s="6"/>
      <c r="M191" s="6"/>
      <c r="N191" s="6"/>
      <c r="O191" s="6"/>
    </row>
    <row r="192" spans="1:15" ht="16">
      <c r="A192" s="6"/>
      <c r="B192" s="6"/>
      <c r="C192" s="6"/>
      <c r="D192" s="6"/>
      <c r="E192" s="6"/>
      <c r="F192" s="14"/>
      <c r="G192" s="6"/>
      <c r="H192" s="6"/>
      <c r="I192" s="13"/>
      <c r="J192" s="6"/>
      <c r="K192" s="6"/>
      <c r="L192" s="6"/>
      <c r="M192" s="6"/>
      <c r="N192" s="6"/>
      <c r="O192" s="6"/>
    </row>
    <row r="193" spans="1:15" ht="16">
      <c r="A193" s="6"/>
      <c r="B193" s="6"/>
      <c r="C193" s="6"/>
      <c r="D193" s="6"/>
      <c r="E193" s="6"/>
      <c r="F193" s="14"/>
      <c r="G193" s="6"/>
      <c r="H193" s="6"/>
      <c r="I193" s="13"/>
      <c r="J193" s="6"/>
      <c r="K193" s="6"/>
      <c r="L193" s="6"/>
      <c r="M193" s="6"/>
      <c r="N193" s="6"/>
      <c r="O193" s="6"/>
    </row>
    <row r="194" spans="1:15" ht="16">
      <c r="A194" s="6"/>
      <c r="B194" s="6"/>
      <c r="C194" s="6"/>
      <c r="D194" s="6"/>
      <c r="E194" s="6"/>
      <c r="F194" s="14"/>
      <c r="G194" s="6"/>
      <c r="H194" s="6"/>
      <c r="I194" s="13"/>
      <c r="J194" s="6"/>
      <c r="K194" s="6"/>
      <c r="L194" s="6"/>
      <c r="M194" s="6"/>
      <c r="N194" s="6"/>
      <c r="O194" s="6"/>
    </row>
    <row r="195" spans="1:15" ht="16">
      <c r="A195" s="6"/>
      <c r="B195" s="6"/>
      <c r="C195" s="6"/>
      <c r="D195" s="6"/>
      <c r="E195" s="6"/>
      <c r="F195" s="14"/>
      <c r="G195" s="6"/>
      <c r="H195" s="6"/>
      <c r="I195" s="13"/>
      <c r="J195" s="6"/>
      <c r="K195" s="6"/>
      <c r="L195" s="6"/>
      <c r="M195" s="6"/>
      <c r="N195" s="6"/>
      <c r="O195" s="6"/>
    </row>
    <row r="196" spans="1:15" ht="16">
      <c r="A196" s="6"/>
      <c r="B196" s="6"/>
      <c r="C196" s="6"/>
      <c r="D196" s="6"/>
      <c r="E196" s="6"/>
      <c r="F196" s="14"/>
      <c r="G196" s="6"/>
      <c r="H196" s="6"/>
      <c r="I196" s="13"/>
      <c r="J196" s="6"/>
      <c r="K196" s="6"/>
      <c r="L196" s="6"/>
      <c r="M196" s="6"/>
      <c r="N196" s="6"/>
      <c r="O196" s="6"/>
    </row>
    <row r="197" spans="1:15" ht="16">
      <c r="A197" s="6"/>
      <c r="B197" s="6"/>
      <c r="C197" s="6"/>
      <c r="D197" s="6"/>
      <c r="E197" s="6"/>
      <c r="F197" s="14"/>
      <c r="G197" s="6"/>
      <c r="H197" s="6"/>
      <c r="I197" s="13"/>
      <c r="J197" s="6"/>
      <c r="K197" s="6"/>
      <c r="L197" s="6"/>
      <c r="M197" s="6"/>
      <c r="N197" s="6"/>
      <c r="O197" s="6"/>
    </row>
    <row r="198" spans="1:15" ht="16">
      <c r="A198" s="6"/>
      <c r="B198" s="6"/>
      <c r="C198" s="6"/>
      <c r="D198" s="6"/>
      <c r="E198" s="6"/>
      <c r="F198" s="14"/>
      <c r="G198" s="6"/>
      <c r="H198" s="6"/>
      <c r="I198" s="13"/>
      <c r="J198" s="6"/>
      <c r="K198" s="6"/>
      <c r="L198" s="6"/>
      <c r="M198" s="6"/>
      <c r="N198" s="6"/>
      <c r="O198" s="6"/>
    </row>
    <row r="199" spans="1:15" ht="16">
      <c r="A199" s="6"/>
      <c r="B199" s="6"/>
      <c r="C199" s="6"/>
      <c r="D199" s="6"/>
      <c r="E199" s="6"/>
      <c r="F199" s="14"/>
      <c r="G199" s="6"/>
      <c r="H199" s="6"/>
      <c r="I199" s="13"/>
      <c r="J199" s="6"/>
      <c r="K199" s="6"/>
      <c r="L199" s="6"/>
      <c r="M199" s="6"/>
      <c r="N199" s="6"/>
      <c r="O199" s="6"/>
    </row>
    <row r="200" spans="1:15" ht="16">
      <c r="A200" s="6"/>
      <c r="B200" s="6"/>
      <c r="C200" s="6"/>
      <c r="D200" s="6"/>
      <c r="E200" s="6"/>
      <c r="F200" s="14"/>
      <c r="G200" s="6"/>
      <c r="H200" s="6"/>
      <c r="I200" s="13"/>
      <c r="J200" s="6"/>
      <c r="K200" s="6"/>
      <c r="L200" s="6"/>
      <c r="M200" s="6"/>
      <c r="N200" s="6"/>
      <c r="O200" s="6"/>
    </row>
    <row r="201" spans="1:15" ht="16">
      <c r="A201" s="6"/>
      <c r="B201" s="6"/>
      <c r="C201" s="6"/>
      <c r="D201" s="6"/>
      <c r="E201" s="6"/>
      <c r="F201" s="14"/>
      <c r="G201" s="6"/>
      <c r="H201" s="6"/>
      <c r="I201" s="13"/>
      <c r="J201" s="6"/>
      <c r="K201" s="6"/>
      <c r="L201" s="6"/>
      <c r="M201" s="6"/>
      <c r="N201" s="6"/>
      <c r="O201" s="6"/>
    </row>
    <row r="202" spans="1:15" ht="16">
      <c r="A202" s="6"/>
      <c r="B202" s="6"/>
      <c r="C202" s="6"/>
      <c r="D202" s="6"/>
      <c r="E202" s="6"/>
      <c r="F202" s="14"/>
      <c r="G202" s="6"/>
      <c r="H202" s="6"/>
      <c r="I202" s="13"/>
      <c r="J202" s="6"/>
      <c r="K202" s="6"/>
      <c r="L202" s="6"/>
      <c r="M202" s="6"/>
      <c r="N202" s="6"/>
      <c r="O202" s="6"/>
    </row>
    <row r="203" spans="1:15" ht="16">
      <c r="A203" s="6"/>
      <c r="B203" s="6"/>
      <c r="C203" s="6"/>
      <c r="D203" s="6"/>
      <c r="E203" s="6"/>
      <c r="F203" s="14"/>
      <c r="G203" s="6"/>
      <c r="H203" s="6"/>
      <c r="I203" s="13"/>
      <c r="J203" s="6"/>
      <c r="K203" s="6"/>
      <c r="L203" s="6"/>
      <c r="M203" s="6"/>
      <c r="N203" s="6"/>
      <c r="O203" s="6"/>
    </row>
    <row r="204" spans="1:15" ht="16">
      <c r="A204" s="6"/>
      <c r="B204" s="6"/>
      <c r="C204" s="6"/>
      <c r="D204" s="6"/>
      <c r="E204" s="6"/>
      <c r="F204" s="14"/>
      <c r="G204" s="6"/>
      <c r="H204" s="6"/>
      <c r="I204" s="13"/>
      <c r="J204" s="6"/>
      <c r="K204" s="6"/>
      <c r="L204" s="6"/>
      <c r="M204" s="6"/>
      <c r="N204" s="6"/>
      <c r="O204" s="6"/>
    </row>
    <row r="205" spans="1:15" ht="16">
      <c r="A205" s="6"/>
      <c r="B205" s="6"/>
      <c r="C205" s="6"/>
      <c r="D205" s="6"/>
      <c r="E205" s="6"/>
      <c r="F205" s="14"/>
      <c r="G205" s="6"/>
      <c r="H205" s="6"/>
      <c r="I205" s="13"/>
      <c r="J205" s="6"/>
      <c r="K205" s="6"/>
      <c r="L205" s="6"/>
      <c r="M205" s="6"/>
      <c r="N205" s="6"/>
      <c r="O205" s="6"/>
    </row>
    <row r="206" spans="1:15" ht="16">
      <c r="A206" s="6"/>
      <c r="B206" s="6"/>
      <c r="C206" s="6"/>
      <c r="D206" s="6"/>
      <c r="E206" s="6"/>
      <c r="F206" s="14"/>
      <c r="G206" s="6"/>
      <c r="H206" s="6"/>
      <c r="I206" s="13"/>
      <c r="J206" s="6"/>
      <c r="K206" s="6"/>
      <c r="L206" s="6"/>
      <c r="M206" s="6"/>
      <c r="N206" s="6"/>
      <c r="O206" s="6"/>
    </row>
    <row r="207" spans="1:15" ht="16">
      <c r="A207" s="6"/>
      <c r="B207" s="6"/>
      <c r="C207" s="6"/>
      <c r="D207" s="6"/>
      <c r="E207" s="6"/>
      <c r="F207" s="14"/>
      <c r="G207" s="6"/>
      <c r="H207" s="6"/>
      <c r="I207" s="13"/>
      <c r="J207" s="6"/>
      <c r="K207" s="6"/>
      <c r="L207" s="6"/>
      <c r="M207" s="6"/>
      <c r="N207" s="6"/>
      <c r="O207" s="6"/>
    </row>
    <row r="208" spans="1:15" ht="16">
      <c r="A208" s="6"/>
      <c r="B208" s="6"/>
      <c r="C208" s="6"/>
      <c r="D208" s="6"/>
      <c r="E208" s="6"/>
      <c r="F208" s="14"/>
      <c r="G208" s="6"/>
      <c r="H208" s="6"/>
      <c r="I208" s="13"/>
      <c r="J208" s="6"/>
      <c r="K208" s="6"/>
      <c r="L208" s="6"/>
      <c r="M208" s="6"/>
      <c r="N208" s="6"/>
      <c r="O208" s="6"/>
    </row>
    <row r="209" spans="1:15" ht="16">
      <c r="A209" s="6"/>
      <c r="B209" s="6"/>
      <c r="C209" s="6"/>
      <c r="D209" s="6"/>
      <c r="E209" s="6"/>
      <c r="F209" s="14"/>
      <c r="G209" s="6"/>
      <c r="H209" s="6"/>
      <c r="I209" s="13"/>
      <c r="J209" s="6"/>
      <c r="K209" s="6"/>
      <c r="L209" s="6"/>
      <c r="M209" s="6"/>
      <c r="N209" s="6"/>
      <c r="O209" s="6"/>
    </row>
    <row r="210" spans="1:15" ht="16">
      <c r="A210" s="6"/>
      <c r="B210" s="6"/>
      <c r="C210" s="6"/>
      <c r="D210" s="6"/>
      <c r="E210" s="6"/>
      <c r="F210" s="14"/>
      <c r="G210" s="6"/>
      <c r="H210" s="6"/>
      <c r="I210" s="13"/>
      <c r="J210" s="6"/>
      <c r="K210" s="6"/>
      <c r="L210" s="6"/>
      <c r="M210" s="6"/>
      <c r="N210" s="6"/>
      <c r="O210" s="6"/>
    </row>
    <row r="211" spans="1:15" ht="16">
      <c r="A211" s="6"/>
      <c r="B211" s="6"/>
      <c r="C211" s="6"/>
      <c r="D211" s="6"/>
      <c r="E211" s="6"/>
      <c r="F211" s="14"/>
      <c r="G211" s="6"/>
      <c r="H211" s="6"/>
      <c r="I211" s="13"/>
      <c r="J211" s="6"/>
      <c r="K211" s="6"/>
      <c r="L211" s="6"/>
      <c r="M211" s="6"/>
      <c r="N211" s="6"/>
      <c r="O211" s="6"/>
    </row>
    <row r="212" spans="1:15" ht="16">
      <c r="A212" s="6"/>
      <c r="B212" s="6"/>
      <c r="C212" s="6"/>
      <c r="D212" s="6"/>
      <c r="E212" s="6"/>
      <c r="F212" s="14"/>
      <c r="G212" s="6"/>
      <c r="H212" s="6"/>
      <c r="I212" s="13"/>
      <c r="J212" s="6"/>
      <c r="K212" s="6"/>
      <c r="L212" s="6"/>
      <c r="M212" s="6"/>
      <c r="N212" s="6"/>
      <c r="O212" s="6"/>
    </row>
    <row r="213" spans="1:15" ht="16">
      <c r="A213" s="6"/>
      <c r="B213" s="6"/>
      <c r="C213" s="6"/>
      <c r="D213" s="6"/>
      <c r="E213" s="6"/>
      <c r="F213" s="14"/>
      <c r="G213" s="6"/>
      <c r="H213" s="6"/>
      <c r="I213" s="13"/>
      <c r="J213" s="6"/>
      <c r="K213" s="6"/>
      <c r="L213" s="6"/>
      <c r="M213" s="6"/>
      <c r="N213" s="6"/>
      <c r="O213" s="6"/>
    </row>
    <row r="214" spans="1:15" ht="16">
      <c r="A214" s="6"/>
      <c r="B214" s="6"/>
      <c r="C214" s="6"/>
      <c r="D214" s="6"/>
      <c r="E214" s="6"/>
      <c r="F214" s="14"/>
      <c r="G214" s="6"/>
      <c r="H214" s="6"/>
      <c r="I214" s="13"/>
      <c r="J214" s="6"/>
      <c r="K214" s="6"/>
      <c r="L214" s="6"/>
      <c r="M214" s="6"/>
      <c r="N214" s="6"/>
      <c r="O214" s="6"/>
    </row>
    <row r="215" spans="1:15" ht="16">
      <c r="A215" s="6"/>
      <c r="B215" s="6"/>
      <c r="C215" s="6"/>
      <c r="D215" s="6"/>
      <c r="E215" s="6"/>
      <c r="F215" s="14"/>
      <c r="G215" s="6"/>
      <c r="H215" s="6"/>
      <c r="I215" s="13"/>
      <c r="J215" s="6"/>
      <c r="K215" s="6"/>
      <c r="L215" s="6"/>
      <c r="M215" s="6"/>
      <c r="N215" s="6"/>
      <c r="O215" s="6"/>
    </row>
    <row r="216" spans="1:15" ht="16">
      <c r="A216" s="6"/>
      <c r="B216" s="6"/>
      <c r="C216" s="6"/>
      <c r="D216" s="6"/>
      <c r="E216" s="6"/>
      <c r="F216" s="14"/>
      <c r="G216" s="6"/>
      <c r="H216" s="6"/>
      <c r="I216" s="13"/>
      <c r="J216" s="6"/>
      <c r="K216" s="6"/>
      <c r="L216" s="6"/>
      <c r="M216" s="6"/>
      <c r="N216" s="6"/>
      <c r="O216" s="6"/>
    </row>
    <row r="217" spans="1:15" ht="16">
      <c r="A217" s="6"/>
      <c r="B217" s="6"/>
      <c r="C217" s="6"/>
      <c r="D217" s="6"/>
      <c r="E217" s="6"/>
      <c r="F217" s="14"/>
      <c r="G217" s="6"/>
      <c r="H217" s="6"/>
      <c r="I217" s="13"/>
      <c r="J217" s="6"/>
      <c r="K217" s="6"/>
      <c r="L217" s="6"/>
      <c r="M217" s="6"/>
      <c r="N217" s="6"/>
      <c r="O217" s="6"/>
    </row>
    <row r="218" spans="1:15" ht="16">
      <c r="A218" s="6"/>
      <c r="B218" s="6"/>
      <c r="C218" s="6"/>
      <c r="D218" s="6"/>
      <c r="E218" s="6"/>
      <c r="F218" s="14"/>
      <c r="G218" s="6"/>
      <c r="H218" s="6"/>
      <c r="I218" s="13"/>
      <c r="J218" s="6"/>
      <c r="K218" s="6"/>
      <c r="L218" s="6"/>
      <c r="M218" s="6"/>
      <c r="N218" s="6"/>
      <c r="O218" s="6"/>
    </row>
    <row r="219" spans="1:15" ht="16">
      <c r="A219" s="6"/>
      <c r="B219" s="6"/>
      <c r="C219" s="6"/>
      <c r="D219" s="6"/>
      <c r="E219" s="6"/>
      <c r="F219" s="14"/>
      <c r="G219" s="6"/>
      <c r="H219" s="6"/>
      <c r="I219" s="13"/>
      <c r="J219" s="6"/>
      <c r="K219" s="6"/>
      <c r="L219" s="6"/>
      <c r="M219" s="6"/>
      <c r="N219" s="6"/>
      <c r="O219" s="6"/>
    </row>
    <row r="220" spans="1:15" ht="16">
      <c r="A220" s="6"/>
      <c r="B220" s="6"/>
      <c r="C220" s="6"/>
      <c r="D220" s="6"/>
      <c r="E220" s="6"/>
      <c r="F220" s="14"/>
      <c r="G220" s="6"/>
      <c r="H220" s="6"/>
      <c r="I220" s="13"/>
      <c r="J220" s="6"/>
      <c r="K220" s="6"/>
      <c r="L220" s="6"/>
      <c r="M220" s="6"/>
      <c r="N220" s="6"/>
      <c r="O220" s="6"/>
    </row>
    <row r="221" spans="1:15" ht="16">
      <c r="A221" s="6"/>
      <c r="B221" s="6"/>
      <c r="C221" s="6"/>
      <c r="D221" s="6"/>
      <c r="E221" s="6"/>
      <c r="F221" s="14"/>
      <c r="G221" s="6"/>
      <c r="H221" s="6"/>
      <c r="I221" s="13"/>
      <c r="J221" s="6"/>
      <c r="K221" s="6"/>
      <c r="L221" s="6"/>
      <c r="M221" s="6"/>
      <c r="N221" s="6"/>
      <c r="O221" s="6"/>
    </row>
    <row r="222" spans="1:15" ht="16">
      <c r="A222" s="6"/>
      <c r="B222" s="6"/>
      <c r="C222" s="6"/>
      <c r="D222" s="6"/>
      <c r="E222" s="6"/>
      <c r="F222" s="14"/>
      <c r="G222" s="6"/>
      <c r="H222" s="6"/>
      <c r="I222" s="13"/>
      <c r="J222" s="6"/>
      <c r="K222" s="6"/>
      <c r="L222" s="6"/>
      <c r="M222" s="6"/>
      <c r="N222" s="6"/>
      <c r="O222" s="6"/>
    </row>
    <row r="223" spans="1:15" ht="16">
      <c r="A223" s="6"/>
      <c r="B223" s="6"/>
      <c r="C223" s="6"/>
      <c r="D223" s="6"/>
      <c r="E223" s="6"/>
      <c r="F223" s="14"/>
      <c r="G223" s="6"/>
      <c r="H223" s="6"/>
      <c r="I223" s="13"/>
      <c r="J223" s="6"/>
      <c r="K223" s="6"/>
      <c r="L223" s="6"/>
      <c r="M223" s="6"/>
      <c r="N223" s="6"/>
      <c r="O223" s="6"/>
    </row>
    <row r="224" spans="1:15" ht="16">
      <c r="A224" s="6"/>
      <c r="B224" s="6"/>
      <c r="C224" s="6"/>
      <c r="D224" s="6"/>
      <c r="E224" s="6"/>
      <c r="F224" s="14"/>
      <c r="G224" s="6"/>
      <c r="H224" s="6"/>
      <c r="I224" s="13"/>
      <c r="J224" s="6"/>
      <c r="K224" s="6"/>
      <c r="L224" s="6"/>
      <c r="M224" s="6"/>
      <c r="N224" s="6"/>
      <c r="O224" s="6"/>
    </row>
    <row r="225" spans="1:15" ht="16">
      <c r="A225" s="6"/>
      <c r="B225" s="6"/>
      <c r="C225" s="6"/>
      <c r="D225" s="6"/>
      <c r="E225" s="6"/>
      <c r="F225" s="14"/>
      <c r="G225" s="6"/>
      <c r="H225" s="6"/>
      <c r="I225" s="13"/>
      <c r="J225" s="6"/>
      <c r="K225" s="6"/>
      <c r="L225" s="6"/>
      <c r="M225" s="6"/>
      <c r="N225" s="6"/>
      <c r="O225" s="6"/>
    </row>
    <row r="226" spans="1:15" ht="16">
      <c r="A226" s="6"/>
      <c r="B226" s="6"/>
      <c r="C226" s="6"/>
      <c r="D226" s="6"/>
      <c r="E226" s="6"/>
      <c r="F226" s="14"/>
      <c r="G226" s="6"/>
      <c r="H226" s="6"/>
      <c r="I226" s="13"/>
      <c r="J226" s="6"/>
      <c r="K226" s="6"/>
      <c r="L226" s="6"/>
      <c r="M226" s="6"/>
      <c r="N226" s="6"/>
      <c r="O226" s="6"/>
    </row>
    <row r="227" spans="1:15" ht="16">
      <c r="A227" s="6"/>
      <c r="B227" s="6"/>
      <c r="C227" s="6"/>
      <c r="D227" s="6"/>
      <c r="E227" s="6"/>
      <c r="F227" s="14"/>
      <c r="G227" s="6"/>
      <c r="H227" s="6"/>
      <c r="I227" s="13"/>
      <c r="J227" s="6"/>
      <c r="K227" s="6"/>
      <c r="L227" s="6"/>
      <c r="M227" s="6"/>
      <c r="N227" s="6"/>
      <c r="O227" s="6"/>
    </row>
    <row r="228" spans="1:15" ht="16">
      <c r="A228" s="6"/>
      <c r="B228" s="6"/>
      <c r="C228" s="6"/>
      <c r="D228" s="6"/>
      <c r="E228" s="6"/>
      <c r="F228" s="14"/>
      <c r="G228" s="6"/>
      <c r="H228" s="6"/>
      <c r="I228" s="13"/>
      <c r="J228" s="6"/>
      <c r="K228" s="6"/>
      <c r="L228" s="6"/>
      <c r="M228" s="6"/>
      <c r="N228" s="6"/>
      <c r="O228" s="6"/>
    </row>
    <row r="229" spans="1:15" ht="16">
      <c r="A229" s="6"/>
      <c r="B229" s="6"/>
      <c r="C229" s="6"/>
      <c r="D229" s="6"/>
      <c r="E229" s="6"/>
      <c r="F229" s="14"/>
      <c r="G229" s="6"/>
      <c r="H229" s="6"/>
      <c r="I229" s="13"/>
      <c r="J229" s="6"/>
      <c r="K229" s="6"/>
      <c r="L229" s="6"/>
      <c r="M229" s="6"/>
      <c r="N229" s="6"/>
      <c r="O229" s="6"/>
    </row>
    <row r="230" spans="1:15" ht="16">
      <c r="A230" s="6"/>
      <c r="B230" s="6"/>
      <c r="C230" s="6"/>
      <c r="D230" s="6"/>
      <c r="E230" s="6"/>
      <c r="F230" s="14"/>
      <c r="G230" s="6"/>
      <c r="H230" s="6"/>
      <c r="I230" s="13"/>
      <c r="J230" s="6"/>
      <c r="K230" s="6"/>
      <c r="L230" s="6"/>
      <c r="M230" s="6"/>
      <c r="N230" s="6"/>
      <c r="O230" s="6"/>
    </row>
    <row r="231" spans="1:15" ht="16">
      <c r="A231" s="6"/>
      <c r="B231" s="6"/>
      <c r="C231" s="6"/>
      <c r="D231" s="6"/>
      <c r="E231" s="6"/>
      <c r="F231" s="14"/>
      <c r="G231" s="6"/>
      <c r="H231" s="6"/>
      <c r="I231" s="13"/>
      <c r="J231" s="6"/>
      <c r="K231" s="6"/>
      <c r="L231" s="6"/>
      <c r="M231" s="6"/>
      <c r="N231" s="6"/>
      <c r="O231" s="6"/>
    </row>
    <row r="232" spans="1:15" ht="16">
      <c r="A232" s="6"/>
      <c r="B232" s="6"/>
      <c r="C232" s="6"/>
      <c r="D232" s="6"/>
      <c r="E232" s="6"/>
      <c r="F232" s="14"/>
      <c r="G232" s="6"/>
      <c r="H232" s="6"/>
      <c r="I232" s="13"/>
      <c r="J232" s="6"/>
      <c r="K232" s="6"/>
      <c r="L232" s="6"/>
      <c r="M232" s="6"/>
      <c r="N232" s="6"/>
      <c r="O232" s="6"/>
    </row>
    <row r="233" spans="1:15" ht="16">
      <c r="A233" s="6"/>
      <c r="B233" s="6"/>
      <c r="C233" s="6"/>
      <c r="D233" s="6"/>
      <c r="E233" s="6"/>
      <c r="F233" s="14"/>
      <c r="G233" s="6"/>
      <c r="H233" s="6"/>
      <c r="I233" s="13"/>
      <c r="J233" s="6"/>
      <c r="K233" s="6"/>
      <c r="L233" s="6"/>
      <c r="M233" s="6"/>
      <c r="N233" s="6"/>
      <c r="O233" s="6"/>
    </row>
    <row r="234" spans="1:15" ht="16">
      <c r="A234" s="6"/>
      <c r="B234" s="6"/>
      <c r="C234" s="6"/>
      <c r="D234" s="6"/>
      <c r="E234" s="6"/>
      <c r="F234" s="14"/>
      <c r="G234" s="6"/>
      <c r="H234" s="6"/>
      <c r="I234" s="13"/>
      <c r="J234" s="6"/>
      <c r="K234" s="6"/>
      <c r="L234" s="6"/>
      <c r="M234" s="6"/>
      <c r="N234" s="6"/>
      <c r="O234" s="6"/>
    </row>
    <row r="235" spans="1:15" ht="16">
      <c r="A235" s="6"/>
      <c r="B235" s="6"/>
      <c r="C235" s="6"/>
      <c r="D235" s="6"/>
      <c r="E235" s="6"/>
      <c r="F235" s="14"/>
      <c r="G235" s="6"/>
      <c r="H235" s="6"/>
      <c r="I235" s="13"/>
      <c r="J235" s="6"/>
      <c r="K235" s="6"/>
      <c r="L235" s="6"/>
      <c r="M235" s="6"/>
      <c r="N235" s="6"/>
      <c r="O235" s="6"/>
    </row>
    <row r="236" spans="1:15" ht="16">
      <c r="A236" s="6"/>
      <c r="B236" s="6"/>
      <c r="C236" s="6"/>
      <c r="D236" s="6"/>
      <c r="E236" s="6"/>
      <c r="F236" s="14"/>
      <c r="G236" s="6"/>
      <c r="H236" s="6"/>
      <c r="I236" s="13"/>
      <c r="J236" s="6"/>
      <c r="K236" s="6"/>
      <c r="L236" s="6"/>
      <c r="M236" s="6"/>
      <c r="N236" s="6"/>
      <c r="O236" s="6"/>
    </row>
    <row r="237" spans="1:15" ht="16">
      <c r="A237" s="6"/>
      <c r="B237" s="6"/>
      <c r="C237" s="6"/>
      <c r="D237" s="6"/>
      <c r="E237" s="6"/>
      <c r="F237" s="14"/>
      <c r="G237" s="6"/>
      <c r="H237" s="6"/>
      <c r="I237" s="13"/>
      <c r="J237" s="6"/>
      <c r="K237" s="6"/>
      <c r="L237" s="6"/>
      <c r="M237" s="6"/>
      <c r="N237" s="6"/>
      <c r="O237" s="6"/>
    </row>
    <row r="238" spans="1:15" ht="16">
      <c r="A238" s="6"/>
      <c r="B238" s="6"/>
      <c r="C238" s="6"/>
      <c r="D238" s="6"/>
      <c r="E238" s="6"/>
      <c r="F238" s="14"/>
      <c r="G238" s="6"/>
      <c r="H238" s="6"/>
      <c r="I238" s="13"/>
      <c r="J238" s="6"/>
      <c r="K238" s="6"/>
      <c r="L238" s="6"/>
      <c r="M238" s="6"/>
      <c r="N238" s="6"/>
      <c r="O238" s="6"/>
    </row>
    <row r="239" spans="1:15" ht="16">
      <c r="A239" s="6"/>
      <c r="B239" s="6"/>
      <c r="C239" s="6"/>
      <c r="D239" s="6"/>
      <c r="E239" s="6"/>
      <c r="F239" s="14"/>
      <c r="G239" s="6"/>
      <c r="H239" s="6"/>
      <c r="I239" s="13"/>
      <c r="J239" s="6"/>
      <c r="K239" s="6"/>
      <c r="L239" s="6"/>
      <c r="M239" s="6"/>
      <c r="N239" s="6"/>
      <c r="O239" s="6"/>
    </row>
    <row r="240" spans="1:15" ht="16">
      <c r="A240" s="6"/>
      <c r="B240" s="6"/>
      <c r="C240" s="6"/>
      <c r="D240" s="6"/>
      <c r="E240" s="6"/>
      <c r="F240" s="14"/>
      <c r="G240" s="6"/>
      <c r="H240" s="6"/>
      <c r="I240" s="13"/>
      <c r="J240" s="6"/>
      <c r="K240" s="6"/>
      <c r="L240" s="6"/>
      <c r="M240" s="6"/>
      <c r="N240" s="6"/>
      <c r="O240" s="6"/>
    </row>
    <row r="241" spans="1:15" ht="16">
      <c r="A241" s="6"/>
      <c r="B241" s="6"/>
      <c r="C241" s="6"/>
      <c r="D241" s="6"/>
      <c r="E241" s="6"/>
      <c r="F241" s="14"/>
      <c r="G241" s="6"/>
      <c r="H241" s="6"/>
      <c r="I241" s="13"/>
      <c r="J241" s="6"/>
      <c r="K241" s="6"/>
      <c r="L241" s="6"/>
      <c r="M241" s="6"/>
      <c r="N241" s="6"/>
      <c r="O241" s="6"/>
    </row>
    <row r="242" spans="1:15" ht="16">
      <c r="A242" s="6"/>
      <c r="B242" s="6"/>
      <c r="C242" s="6"/>
      <c r="D242" s="6"/>
      <c r="E242" s="6"/>
      <c r="F242" s="14"/>
      <c r="G242" s="6"/>
      <c r="H242" s="6"/>
      <c r="I242" s="13"/>
      <c r="J242" s="6"/>
      <c r="K242" s="6"/>
      <c r="L242" s="6"/>
      <c r="M242" s="6"/>
      <c r="N242" s="6"/>
      <c r="O242" s="6"/>
    </row>
    <row r="243" spans="1:15" ht="16">
      <c r="A243" s="6"/>
      <c r="B243" s="6"/>
      <c r="C243" s="6"/>
      <c r="D243" s="6"/>
      <c r="E243" s="6"/>
      <c r="F243" s="14"/>
      <c r="G243" s="6"/>
      <c r="H243" s="6"/>
      <c r="I243" s="13"/>
      <c r="J243" s="6"/>
      <c r="K243" s="6"/>
      <c r="L243" s="6"/>
      <c r="M243" s="6"/>
      <c r="N243" s="6"/>
      <c r="O243" s="6"/>
    </row>
    <row r="244" spans="1:15" ht="16">
      <c r="A244" s="6"/>
      <c r="B244" s="6"/>
      <c r="C244" s="6"/>
      <c r="D244" s="6"/>
      <c r="E244" s="6"/>
      <c r="F244" s="14"/>
      <c r="G244" s="6"/>
      <c r="H244" s="6"/>
      <c r="I244" s="13"/>
      <c r="J244" s="6"/>
      <c r="K244" s="6"/>
      <c r="L244" s="6"/>
      <c r="M244" s="6"/>
      <c r="N244" s="6"/>
      <c r="O244" s="6"/>
    </row>
    <row r="245" spans="1:15" ht="16">
      <c r="A245" s="6"/>
      <c r="B245" s="6"/>
      <c r="C245" s="6"/>
      <c r="D245" s="6"/>
      <c r="E245" s="6"/>
      <c r="F245" s="14"/>
      <c r="G245" s="6"/>
      <c r="H245" s="6"/>
      <c r="I245" s="13"/>
      <c r="J245" s="6"/>
      <c r="K245" s="6"/>
      <c r="L245" s="6"/>
      <c r="M245" s="6"/>
      <c r="N245" s="6"/>
      <c r="O245" s="6"/>
    </row>
    <row r="246" spans="1:15" ht="16">
      <c r="A246" s="6"/>
      <c r="B246" s="6"/>
      <c r="C246" s="6"/>
      <c r="D246" s="6"/>
      <c r="E246" s="6"/>
      <c r="F246" s="14"/>
      <c r="G246" s="6"/>
      <c r="H246" s="6"/>
      <c r="I246" s="13"/>
      <c r="J246" s="6"/>
      <c r="K246" s="6"/>
      <c r="L246" s="6"/>
      <c r="M246" s="6"/>
      <c r="N246" s="6"/>
      <c r="O246" s="6"/>
    </row>
    <row r="247" spans="1:15" ht="16">
      <c r="A247" s="6"/>
      <c r="B247" s="6"/>
      <c r="C247" s="6"/>
      <c r="D247" s="6"/>
      <c r="E247" s="6"/>
      <c r="F247" s="14"/>
      <c r="G247" s="6"/>
      <c r="H247" s="6"/>
      <c r="I247" s="13"/>
      <c r="J247" s="6"/>
      <c r="K247" s="6"/>
      <c r="L247" s="6"/>
      <c r="M247" s="6"/>
      <c r="N247" s="6"/>
      <c r="O247" s="6"/>
    </row>
    <row r="248" spans="1:15" ht="16">
      <c r="A248" s="6"/>
      <c r="B248" s="6"/>
      <c r="C248" s="6"/>
      <c r="D248" s="6"/>
      <c r="E248" s="6"/>
      <c r="F248" s="14"/>
      <c r="G248" s="6"/>
      <c r="H248" s="6"/>
      <c r="I248" s="13"/>
      <c r="J248" s="6"/>
      <c r="K248" s="6"/>
      <c r="L248" s="6"/>
      <c r="M248" s="6"/>
      <c r="N248" s="6"/>
      <c r="O248" s="6"/>
    </row>
    <row r="249" spans="1:15" ht="16">
      <c r="A249" s="6"/>
      <c r="B249" s="6"/>
      <c r="C249" s="6"/>
      <c r="D249" s="6"/>
      <c r="E249" s="6"/>
      <c r="F249" s="14"/>
      <c r="G249" s="6"/>
      <c r="H249" s="6"/>
      <c r="I249" s="13"/>
      <c r="J249" s="6"/>
      <c r="K249" s="6"/>
      <c r="L249" s="6"/>
      <c r="M249" s="6"/>
      <c r="N249" s="6"/>
      <c r="O249" s="6"/>
    </row>
    <row r="250" spans="1:15" ht="16">
      <c r="A250" s="6"/>
      <c r="B250" s="6"/>
      <c r="C250" s="6"/>
      <c r="D250" s="6"/>
      <c r="E250" s="6"/>
      <c r="F250" s="14"/>
      <c r="G250" s="6"/>
      <c r="H250" s="6"/>
      <c r="I250" s="13"/>
      <c r="J250" s="6"/>
      <c r="K250" s="6"/>
      <c r="L250" s="6"/>
      <c r="M250" s="6"/>
      <c r="N250" s="6"/>
      <c r="O250" s="6"/>
    </row>
    <row r="251" spans="1:15" ht="16">
      <c r="A251" s="6"/>
      <c r="B251" s="6"/>
      <c r="C251" s="6"/>
      <c r="D251" s="6"/>
      <c r="E251" s="6"/>
      <c r="F251" s="14"/>
      <c r="G251" s="6"/>
      <c r="H251" s="6"/>
      <c r="I251" s="13"/>
      <c r="J251" s="6"/>
      <c r="K251" s="6"/>
      <c r="L251" s="6"/>
      <c r="M251" s="6"/>
      <c r="N251" s="6"/>
      <c r="O251" s="6"/>
    </row>
    <row r="252" spans="1:15" ht="16">
      <c r="A252" s="6"/>
      <c r="B252" s="6"/>
      <c r="C252" s="6"/>
      <c r="D252" s="6"/>
      <c r="E252" s="6"/>
      <c r="F252" s="14"/>
      <c r="G252" s="6"/>
      <c r="H252" s="6"/>
      <c r="I252" s="13"/>
      <c r="J252" s="6"/>
      <c r="K252" s="6"/>
      <c r="L252" s="6"/>
      <c r="M252" s="6"/>
      <c r="N252" s="6"/>
      <c r="O252" s="6"/>
    </row>
    <row r="253" spans="1:15" ht="16">
      <c r="A253" s="6"/>
      <c r="B253" s="6"/>
      <c r="C253" s="6"/>
      <c r="D253" s="6"/>
      <c r="E253" s="6"/>
      <c r="F253" s="14"/>
      <c r="G253" s="6"/>
      <c r="H253" s="6"/>
      <c r="I253" s="13"/>
      <c r="J253" s="6"/>
      <c r="K253" s="6"/>
      <c r="L253" s="6"/>
      <c r="M253" s="6"/>
      <c r="N253" s="6"/>
      <c r="O253" s="6"/>
    </row>
    <row r="254" spans="1:15" ht="16">
      <c r="A254" s="6"/>
      <c r="B254" s="6"/>
      <c r="C254" s="6"/>
      <c r="D254" s="6"/>
      <c r="E254" s="6"/>
      <c r="F254" s="14"/>
      <c r="G254" s="6"/>
      <c r="H254" s="6"/>
      <c r="I254" s="13"/>
      <c r="J254" s="6"/>
      <c r="K254" s="6"/>
      <c r="L254" s="6"/>
      <c r="M254" s="6"/>
      <c r="N254" s="6"/>
      <c r="O254" s="6"/>
    </row>
    <row r="255" spans="1:15" ht="16">
      <c r="A255" s="6"/>
      <c r="B255" s="6"/>
      <c r="C255" s="6"/>
      <c r="D255" s="6"/>
      <c r="E255" s="6"/>
      <c r="F255" s="14"/>
      <c r="G255" s="6"/>
      <c r="H255" s="6"/>
      <c r="I255" s="13"/>
      <c r="J255" s="6"/>
      <c r="K255" s="6"/>
      <c r="L255" s="6"/>
      <c r="M255" s="6"/>
      <c r="N255" s="6"/>
      <c r="O255" s="6"/>
    </row>
    <row r="256" spans="1:15" ht="16">
      <c r="A256" s="6"/>
      <c r="B256" s="6"/>
      <c r="C256" s="6"/>
      <c r="D256" s="6"/>
      <c r="E256" s="6"/>
      <c r="F256" s="14"/>
      <c r="G256" s="6"/>
      <c r="H256" s="6"/>
      <c r="I256" s="13"/>
      <c r="J256" s="6"/>
      <c r="K256" s="6"/>
      <c r="L256" s="6"/>
      <c r="M256" s="6"/>
      <c r="N256" s="6"/>
      <c r="O256" s="6"/>
    </row>
    <row r="257" spans="1:15" ht="16">
      <c r="A257" s="6"/>
      <c r="B257" s="6"/>
      <c r="C257" s="6"/>
      <c r="D257" s="6"/>
      <c r="E257" s="6"/>
      <c r="F257" s="14"/>
      <c r="G257" s="6"/>
      <c r="H257" s="6"/>
      <c r="I257" s="13"/>
      <c r="J257" s="6"/>
      <c r="K257" s="6"/>
      <c r="L257" s="6"/>
      <c r="M257" s="6"/>
      <c r="N257" s="6"/>
      <c r="O257" s="6"/>
    </row>
    <row r="258" spans="1:15" ht="16">
      <c r="A258" s="6"/>
      <c r="B258" s="6"/>
      <c r="C258" s="6"/>
      <c r="D258" s="6"/>
      <c r="E258" s="6"/>
      <c r="F258" s="14"/>
      <c r="G258" s="6"/>
      <c r="H258" s="6"/>
      <c r="I258" s="13"/>
      <c r="J258" s="6"/>
      <c r="K258" s="6"/>
      <c r="L258" s="6"/>
      <c r="M258" s="6"/>
      <c r="N258" s="6"/>
      <c r="O258" s="6"/>
    </row>
    <row r="259" spans="1:15" ht="16">
      <c r="A259" s="6"/>
      <c r="B259" s="6"/>
      <c r="C259" s="6"/>
      <c r="D259" s="6"/>
      <c r="E259" s="6"/>
      <c r="F259" s="14"/>
      <c r="G259" s="6"/>
      <c r="H259" s="6"/>
      <c r="I259" s="13"/>
      <c r="J259" s="6"/>
      <c r="K259" s="6"/>
      <c r="L259" s="6"/>
      <c r="M259" s="6"/>
      <c r="N259" s="6"/>
      <c r="O259" s="6"/>
    </row>
    <row r="260" spans="1:15" ht="16">
      <c r="A260" s="6"/>
      <c r="B260" s="6"/>
      <c r="C260" s="6"/>
      <c r="D260" s="6"/>
      <c r="E260" s="6"/>
      <c r="F260" s="14"/>
      <c r="G260" s="6"/>
      <c r="H260" s="6"/>
      <c r="I260" s="13"/>
      <c r="J260" s="6"/>
      <c r="K260" s="6"/>
      <c r="L260" s="6"/>
      <c r="M260" s="6"/>
      <c r="N260" s="6"/>
      <c r="O260" s="6"/>
    </row>
    <row r="261" spans="1:15" ht="16">
      <c r="A261" s="6"/>
      <c r="B261" s="6"/>
      <c r="C261" s="6"/>
      <c r="D261" s="6"/>
      <c r="E261" s="6"/>
      <c r="F261" s="14"/>
      <c r="G261" s="6"/>
      <c r="H261" s="6"/>
      <c r="I261" s="13"/>
      <c r="J261" s="6"/>
      <c r="K261" s="6"/>
      <c r="L261" s="6"/>
      <c r="M261" s="6"/>
      <c r="N261" s="6"/>
      <c r="O261" s="6"/>
    </row>
    <row r="262" spans="1:15" ht="16">
      <c r="A262" s="6"/>
      <c r="B262" s="6"/>
      <c r="C262" s="6"/>
      <c r="D262" s="6"/>
      <c r="E262" s="6"/>
      <c r="F262" s="14"/>
      <c r="G262" s="6"/>
      <c r="H262" s="6"/>
      <c r="I262" s="13"/>
      <c r="J262" s="6"/>
      <c r="K262" s="6"/>
      <c r="L262" s="6"/>
      <c r="M262" s="6"/>
      <c r="N262" s="6"/>
      <c r="O262" s="6"/>
    </row>
    <row r="263" spans="1:15" ht="16">
      <c r="A263" s="6"/>
      <c r="B263" s="6"/>
      <c r="C263" s="6"/>
      <c r="D263" s="6"/>
      <c r="E263" s="6"/>
      <c r="F263" s="14"/>
      <c r="G263" s="6"/>
      <c r="H263" s="6"/>
      <c r="I263" s="13"/>
      <c r="J263" s="6"/>
      <c r="K263" s="6"/>
      <c r="L263" s="6"/>
      <c r="M263" s="6"/>
      <c r="N263" s="6"/>
      <c r="O263" s="6"/>
    </row>
    <row r="264" spans="1:15" ht="16">
      <c r="A264" s="6"/>
      <c r="B264" s="6"/>
      <c r="C264" s="6"/>
      <c r="D264" s="6"/>
      <c r="E264" s="6"/>
      <c r="F264" s="14"/>
      <c r="G264" s="6"/>
      <c r="H264" s="6"/>
      <c r="I264" s="13"/>
      <c r="J264" s="6"/>
      <c r="K264" s="6"/>
      <c r="L264" s="6"/>
      <c r="M264" s="6"/>
      <c r="N264" s="6"/>
      <c r="O264" s="6"/>
    </row>
    <row r="265" spans="1:15" ht="16">
      <c r="A265" s="6"/>
      <c r="B265" s="6"/>
      <c r="C265" s="6"/>
      <c r="D265" s="6"/>
      <c r="E265" s="6"/>
      <c r="F265" s="14"/>
      <c r="G265" s="6"/>
      <c r="H265" s="6"/>
      <c r="I265" s="13"/>
      <c r="J265" s="6"/>
      <c r="K265" s="6"/>
      <c r="L265" s="6"/>
      <c r="M265" s="6"/>
      <c r="N265" s="6"/>
      <c r="O265" s="6"/>
    </row>
    <row r="266" spans="1:15" ht="16">
      <c r="A266" s="6"/>
      <c r="B266" s="6"/>
      <c r="C266" s="6"/>
      <c r="D266" s="6"/>
      <c r="E266" s="6"/>
      <c r="F266" s="14"/>
      <c r="G266" s="6"/>
      <c r="H266" s="6"/>
      <c r="I266" s="13"/>
      <c r="J266" s="6"/>
      <c r="K266" s="6"/>
      <c r="L266" s="6"/>
      <c r="M266" s="6"/>
      <c r="N266" s="6"/>
      <c r="O266" s="6"/>
    </row>
    <row r="267" spans="1:15" ht="16">
      <c r="A267" s="6"/>
      <c r="B267" s="6"/>
      <c r="C267" s="6"/>
      <c r="D267" s="6"/>
      <c r="E267" s="6"/>
      <c r="F267" s="14"/>
      <c r="G267" s="6"/>
      <c r="H267" s="6"/>
      <c r="I267" s="13"/>
      <c r="J267" s="6"/>
      <c r="K267" s="6"/>
      <c r="L267" s="6"/>
      <c r="M267" s="6"/>
      <c r="N267" s="6"/>
      <c r="O267" s="6"/>
    </row>
    <row r="268" spans="1:15" ht="16">
      <c r="A268" s="6"/>
      <c r="B268" s="6"/>
      <c r="C268" s="6"/>
      <c r="D268" s="6"/>
      <c r="E268" s="6"/>
      <c r="F268" s="14"/>
      <c r="G268" s="6"/>
      <c r="H268" s="6"/>
      <c r="I268" s="13"/>
      <c r="J268" s="6"/>
      <c r="K268" s="6"/>
      <c r="L268" s="6"/>
      <c r="M268" s="6"/>
      <c r="N268" s="6"/>
      <c r="O268" s="6"/>
    </row>
    <row r="269" spans="1:15" ht="16">
      <c r="A269" s="6"/>
      <c r="B269" s="6"/>
      <c r="C269" s="6"/>
      <c r="D269" s="6"/>
      <c r="E269" s="6"/>
      <c r="F269" s="14"/>
      <c r="G269" s="6"/>
      <c r="H269" s="6"/>
      <c r="I269" s="13"/>
      <c r="J269" s="6"/>
      <c r="K269" s="6"/>
      <c r="L269" s="6"/>
      <c r="M269" s="6"/>
      <c r="N269" s="6"/>
      <c r="O269" s="6"/>
    </row>
    <row r="270" spans="1:15" ht="16">
      <c r="A270" s="6"/>
      <c r="B270" s="6"/>
      <c r="C270" s="6"/>
      <c r="D270" s="6"/>
      <c r="E270" s="6"/>
      <c r="F270" s="14"/>
      <c r="G270" s="6"/>
      <c r="H270" s="6"/>
      <c r="I270" s="13"/>
      <c r="J270" s="6"/>
      <c r="K270" s="6"/>
      <c r="L270" s="6"/>
      <c r="M270" s="6"/>
      <c r="N270" s="6"/>
      <c r="O270" s="6"/>
    </row>
    <row r="271" spans="1:15" ht="16">
      <c r="A271" s="6"/>
      <c r="B271" s="6"/>
      <c r="C271" s="6"/>
      <c r="D271" s="6"/>
      <c r="E271" s="6"/>
      <c r="F271" s="14"/>
      <c r="G271" s="6"/>
      <c r="H271" s="6"/>
      <c r="I271" s="13"/>
      <c r="J271" s="6"/>
      <c r="K271" s="6"/>
      <c r="L271" s="6"/>
      <c r="M271" s="6"/>
      <c r="N271" s="6"/>
      <c r="O271" s="6"/>
    </row>
    <row r="272" spans="1:15" ht="16">
      <c r="A272" s="6"/>
      <c r="B272" s="6"/>
      <c r="C272" s="6"/>
      <c r="D272" s="6"/>
      <c r="E272" s="6"/>
      <c r="F272" s="14"/>
      <c r="G272" s="6"/>
      <c r="H272" s="6"/>
      <c r="I272" s="13"/>
      <c r="J272" s="6"/>
      <c r="K272" s="6"/>
      <c r="L272" s="6"/>
      <c r="M272" s="6"/>
      <c r="N272" s="6"/>
      <c r="O272" s="6"/>
    </row>
    <row r="273" spans="1:15" ht="16">
      <c r="A273" s="6"/>
      <c r="B273" s="6"/>
      <c r="C273" s="6"/>
      <c r="D273" s="6"/>
      <c r="E273" s="6"/>
      <c r="F273" s="14"/>
      <c r="G273" s="6"/>
      <c r="H273" s="6"/>
      <c r="I273" s="13"/>
      <c r="J273" s="6"/>
      <c r="K273" s="6"/>
      <c r="L273" s="6"/>
      <c r="M273" s="6"/>
      <c r="N273" s="6"/>
      <c r="O273" s="6"/>
    </row>
    <row r="274" spans="1:15" ht="16">
      <c r="A274" s="6"/>
      <c r="B274" s="6"/>
      <c r="C274" s="6"/>
      <c r="D274" s="6"/>
      <c r="E274" s="6"/>
      <c r="F274" s="14"/>
      <c r="G274" s="6"/>
      <c r="H274" s="6"/>
      <c r="I274" s="13"/>
      <c r="J274" s="6"/>
      <c r="K274" s="6"/>
      <c r="L274" s="6"/>
      <c r="M274" s="6"/>
      <c r="N274" s="6"/>
      <c r="O274" s="6"/>
    </row>
    <row r="275" spans="1:15" ht="16">
      <c r="A275" s="6"/>
      <c r="B275" s="6"/>
      <c r="C275" s="6"/>
      <c r="D275" s="6"/>
      <c r="E275" s="6"/>
      <c r="F275" s="14"/>
      <c r="G275" s="6"/>
      <c r="H275" s="6"/>
      <c r="I275" s="13"/>
      <c r="J275" s="6"/>
      <c r="K275" s="6"/>
      <c r="L275" s="6"/>
      <c r="M275" s="6"/>
      <c r="N275" s="6"/>
      <c r="O275" s="6"/>
    </row>
    <row r="276" spans="1:15" ht="16">
      <c r="A276" s="6"/>
      <c r="B276" s="6"/>
      <c r="C276" s="6"/>
      <c r="D276" s="6"/>
      <c r="E276" s="6"/>
      <c r="F276" s="14"/>
      <c r="G276" s="6"/>
      <c r="H276" s="6"/>
      <c r="I276" s="13"/>
      <c r="J276" s="6"/>
      <c r="K276" s="6"/>
      <c r="L276" s="6"/>
      <c r="M276" s="6"/>
      <c r="N276" s="6"/>
      <c r="O276" s="6"/>
    </row>
    <row r="277" spans="1:15" ht="16">
      <c r="A277" s="6"/>
      <c r="B277" s="6"/>
      <c r="C277" s="6"/>
      <c r="D277" s="6"/>
      <c r="E277" s="6"/>
      <c r="F277" s="14"/>
      <c r="G277" s="6"/>
      <c r="H277" s="6"/>
      <c r="I277" s="13"/>
      <c r="J277" s="6"/>
      <c r="K277" s="6"/>
      <c r="L277" s="6"/>
      <c r="M277" s="6"/>
      <c r="N277" s="6"/>
      <c r="O277" s="6"/>
    </row>
    <row r="278" spans="1:15" ht="16">
      <c r="A278" s="6"/>
      <c r="B278" s="6"/>
      <c r="C278" s="6"/>
      <c r="D278" s="6"/>
      <c r="E278" s="6"/>
      <c r="F278" s="14"/>
      <c r="G278" s="6"/>
      <c r="H278" s="6"/>
      <c r="I278" s="13"/>
      <c r="J278" s="6"/>
      <c r="K278" s="6"/>
      <c r="L278" s="6"/>
      <c r="M278" s="6"/>
      <c r="N278" s="6"/>
      <c r="O278" s="6"/>
    </row>
    <row r="279" spans="1:15" ht="16">
      <c r="A279" s="6"/>
      <c r="B279" s="6"/>
      <c r="C279" s="6"/>
      <c r="D279" s="6"/>
      <c r="E279" s="6"/>
      <c r="F279" s="14"/>
      <c r="G279" s="6"/>
      <c r="H279" s="6"/>
      <c r="I279" s="13"/>
      <c r="J279" s="6"/>
      <c r="K279" s="6"/>
      <c r="L279" s="6"/>
      <c r="M279" s="6"/>
      <c r="N279" s="6"/>
      <c r="O279" s="6"/>
    </row>
    <row r="280" spans="1:15" ht="16">
      <c r="A280" s="6"/>
      <c r="B280" s="6"/>
      <c r="C280" s="6"/>
      <c r="D280" s="6"/>
      <c r="E280" s="6"/>
      <c r="F280" s="14"/>
      <c r="G280" s="6"/>
      <c r="H280" s="6"/>
      <c r="I280" s="13"/>
      <c r="J280" s="6"/>
      <c r="K280" s="6"/>
      <c r="L280" s="6"/>
      <c r="M280" s="6"/>
      <c r="N280" s="6"/>
      <c r="O280" s="6"/>
    </row>
    <row r="281" spans="1:15" ht="16">
      <c r="A281" s="6"/>
      <c r="B281" s="6"/>
      <c r="C281" s="6"/>
      <c r="D281" s="6"/>
      <c r="E281" s="6"/>
      <c r="F281" s="14"/>
      <c r="G281" s="6"/>
      <c r="H281" s="6"/>
      <c r="I281" s="13"/>
      <c r="J281" s="6"/>
      <c r="K281" s="6"/>
      <c r="L281" s="6"/>
      <c r="M281" s="6"/>
      <c r="N281" s="6"/>
      <c r="O281" s="6"/>
    </row>
    <row r="282" spans="1:15" ht="16">
      <c r="A282" s="6"/>
      <c r="B282" s="6"/>
      <c r="C282" s="6"/>
      <c r="D282" s="6"/>
      <c r="E282" s="6"/>
      <c r="F282" s="14"/>
      <c r="G282" s="6"/>
      <c r="H282" s="6"/>
      <c r="I282" s="13"/>
      <c r="J282" s="6"/>
      <c r="K282" s="6"/>
      <c r="L282" s="6"/>
      <c r="M282" s="6"/>
      <c r="N282" s="6"/>
      <c r="O282" s="6"/>
    </row>
    <row r="283" spans="1:15" ht="16">
      <c r="A283" s="6"/>
      <c r="B283" s="6"/>
      <c r="C283" s="6"/>
      <c r="D283" s="6"/>
      <c r="E283" s="6"/>
      <c r="F283" s="14"/>
      <c r="G283" s="6"/>
      <c r="H283" s="6"/>
      <c r="I283" s="13"/>
      <c r="J283" s="6"/>
      <c r="K283" s="6"/>
      <c r="L283" s="6"/>
      <c r="M283" s="6"/>
      <c r="N283" s="6"/>
      <c r="O283" s="6"/>
    </row>
    <row r="284" spans="1:15" ht="16">
      <c r="A284" s="6"/>
      <c r="B284" s="6"/>
      <c r="C284" s="6"/>
      <c r="D284" s="6"/>
      <c r="E284" s="6"/>
      <c r="F284" s="14"/>
      <c r="G284" s="6"/>
      <c r="H284" s="6"/>
      <c r="I284" s="13"/>
      <c r="J284" s="6"/>
      <c r="K284" s="6"/>
      <c r="L284" s="6"/>
      <c r="M284" s="6"/>
      <c r="N284" s="6"/>
      <c r="O284" s="6"/>
    </row>
    <row r="285" spans="1:15" ht="16">
      <c r="A285" s="6"/>
      <c r="B285" s="6"/>
      <c r="C285" s="6"/>
      <c r="D285" s="6"/>
      <c r="E285" s="6"/>
      <c r="F285" s="14"/>
      <c r="G285" s="6"/>
      <c r="H285" s="6"/>
      <c r="I285" s="13"/>
      <c r="J285" s="6"/>
      <c r="K285" s="6"/>
      <c r="L285" s="6"/>
      <c r="M285" s="6"/>
      <c r="N285" s="6"/>
      <c r="O285" s="6"/>
    </row>
    <row r="286" spans="1:15" ht="16">
      <c r="A286" s="6"/>
      <c r="B286" s="6"/>
      <c r="C286" s="6"/>
      <c r="D286" s="6"/>
      <c r="E286" s="6"/>
      <c r="F286" s="14"/>
      <c r="G286" s="6"/>
      <c r="H286" s="6"/>
      <c r="I286" s="13"/>
      <c r="J286" s="6"/>
      <c r="K286" s="6"/>
      <c r="L286" s="6"/>
      <c r="M286" s="6"/>
      <c r="N286" s="6"/>
      <c r="O286" s="6"/>
    </row>
    <row r="287" spans="1:15" ht="16">
      <c r="A287" s="6"/>
      <c r="B287" s="6"/>
      <c r="C287" s="6"/>
      <c r="D287" s="6"/>
      <c r="E287" s="6"/>
      <c r="F287" s="14"/>
      <c r="G287" s="6"/>
      <c r="H287" s="6"/>
      <c r="I287" s="13"/>
      <c r="J287" s="6"/>
      <c r="K287" s="6"/>
      <c r="L287" s="6"/>
      <c r="M287" s="6"/>
      <c r="N287" s="6"/>
      <c r="O287" s="6"/>
    </row>
    <row r="288" spans="1:15" ht="16">
      <c r="A288" s="6"/>
      <c r="B288" s="6"/>
      <c r="C288" s="6"/>
      <c r="D288" s="6"/>
      <c r="E288" s="6"/>
      <c r="F288" s="14"/>
      <c r="G288" s="6"/>
      <c r="H288" s="6"/>
      <c r="I288" s="13"/>
      <c r="J288" s="6"/>
      <c r="K288" s="6"/>
      <c r="L288" s="6"/>
      <c r="M288" s="6"/>
      <c r="N288" s="6"/>
      <c r="O288" s="6"/>
    </row>
    <row r="289" spans="1:15" ht="16">
      <c r="A289" s="6"/>
      <c r="B289" s="6"/>
      <c r="C289" s="6"/>
      <c r="D289" s="6"/>
      <c r="E289" s="6"/>
      <c r="F289" s="14"/>
      <c r="G289" s="6"/>
      <c r="H289" s="6"/>
      <c r="I289" s="13"/>
      <c r="J289" s="6"/>
      <c r="K289" s="6"/>
      <c r="L289" s="6"/>
      <c r="M289" s="6"/>
      <c r="N289" s="6"/>
      <c r="O289" s="6"/>
    </row>
    <row r="290" spans="1:15" ht="16">
      <c r="A290" s="6"/>
      <c r="B290" s="6"/>
      <c r="C290" s="6"/>
      <c r="D290" s="6"/>
      <c r="E290" s="6"/>
      <c r="F290" s="14"/>
      <c r="G290" s="6"/>
      <c r="H290" s="6"/>
      <c r="I290" s="13"/>
      <c r="J290" s="6"/>
      <c r="K290" s="6"/>
      <c r="L290" s="6"/>
      <c r="M290" s="6"/>
      <c r="N290" s="6"/>
      <c r="O290" s="6"/>
    </row>
    <row r="291" spans="1:15" ht="16">
      <c r="A291" s="6"/>
      <c r="B291" s="6"/>
      <c r="C291" s="6"/>
      <c r="D291" s="6"/>
      <c r="E291" s="6"/>
      <c r="F291" s="14"/>
      <c r="G291" s="6"/>
      <c r="H291" s="6"/>
      <c r="I291" s="13"/>
      <c r="J291" s="6"/>
      <c r="K291" s="6"/>
      <c r="L291" s="6"/>
      <c r="M291" s="6"/>
      <c r="N291" s="6"/>
      <c r="O291" s="6"/>
    </row>
    <row r="292" spans="1:15" ht="16">
      <c r="A292" s="6"/>
      <c r="B292" s="6"/>
      <c r="C292" s="6"/>
      <c r="D292" s="6"/>
      <c r="E292" s="6"/>
      <c r="F292" s="14"/>
      <c r="G292" s="6"/>
      <c r="H292" s="6"/>
      <c r="I292" s="13"/>
      <c r="J292" s="6"/>
      <c r="K292" s="6"/>
      <c r="L292" s="6"/>
      <c r="M292" s="6"/>
      <c r="N292" s="6"/>
      <c r="O292" s="6"/>
    </row>
    <row r="293" spans="1:15" ht="16">
      <c r="A293" s="6"/>
      <c r="B293" s="6"/>
      <c r="C293" s="6"/>
      <c r="D293" s="6"/>
      <c r="E293" s="6"/>
      <c r="F293" s="14"/>
      <c r="G293" s="6"/>
      <c r="H293" s="6"/>
      <c r="I293" s="13"/>
      <c r="J293" s="6"/>
      <c r="K293" s="6"/>
      <c r="L293" s="6"/>
      <c r="M293" s="6"/>
      <c r="N293" s="6"/>
      <c r="O293" s="6"/>
    </row>
    <row r="294" spans="1:15" ht="16">
      <c r="A294" s="6"/>
      <c r="B294" s="6"/>
      <c r="C294" s="6"/>
      <c r="D294" s="6"/>
      <c r="E294" s="6"/>
      <c r="F294" s="14"/>
      <c r="G294" s="6"/>
      <c r="H294" s="6"/>
      <c r="I294" s="13"/>
      <c r="J294" s="6"/>
      <c r="K294" s="6"/>
      <c r="L294" s="6"/>
      <c r="M294" s="6"/>
      <c r="N294" s="6"/>
      <c r="O294" s="6"/>
    </row>
    <row r="295" spans="1:15" ht="16">
      <c r="A295" s="6"/>
      <c r="B295" s="6"/>
      <c r="C295" s="6"/>
      <c r="D295" s="6"/>
      <c r="E295" s="6"/>
      <c r="F295" s="14"/>
      <c r="G295" s="6"/>
      <c r="H295" s="6"/>
      <c r="I295" s="13"/>
      <c r="J295" s="6"/>
      <c r="K295" s="6"/>
      <c r="L295" s="6"/>
      <c r="M295" s="6"/>
      <c r="N295" s="6"/>
      <c r="O295" s="6"/>
    </row>
    <row r="296" spans="1:15" ht="16">
      <c r="A296" s="6"/>
      <c r="B296" s="6"/>
      <c r="C296" s="6"/>
      <c r="D296" s="6"/>
      <c r="E296" s="6"/>
      <c r="F296" s="14"/>
      <c r="G296" s="6"/>
      <c r="H296" s="6"/>
      <c r="I296" s="13"/>
      <c r="J296" s="6"/>
      <c r="K296" s="6"/>
      <c r="L296" s="6"/>
      <c r="M296" s="6"/>
      <c r="N296" s="6"/>
      <c r="O296" s="6"/>
    </row>
    <row r="297" spans="1:15" ht="16">
      <c r="A297" s="6"/>
      <c r="B297" s="6"/>
      <c r="C297" s="6"/>
      <c r="D297" s="6"/>
      <c r="E297" s="6"/>
      <c r="F297" s="14"/>
      <c r="G297" s="6"/>
      <c r="H297" s="6"/>
      <c r="I297" s="13"/>
      <c r="J297" s="6"/>
      <c r="K297" s="6"/>
      <c r="L297" s="6"/>
      <c r="M297" s="6"/>
      <c r="N297" s="6"/>
      <c r="O297" s="6"/>
    </row>
    <row r="298" spans="1:15" ht="16">
      <c r="A298" s="6"/>
      <c r="B298" s="6"/>
      <c r="C298" s="6"/>
      <c r="D298" s="6"/>
      <c r="E298" s="6"/>
      <c r="F298" s="14"/>
      <c r="G298" s="6"/>
      <c r="H298" s="6"/>
      <c r="I298" s="13"/>
      <c r="J298" s="6"/>
      <c r="K298" s="6"/>
      <c r="L298" s="6"/>
      <c r="M298" s="6"/>
      <c r="N298" s="6"/>
      <c r="O298" s="6"/>
    </row>
    <row r="299" spans="1:15" ht="16">
      <c r="A299" s="6"/>
      <c r="B299" s="6"/>
      <c r="C299" s="6"/>
      <c r="D299" s="6"/>
      <c r="E299" s="6"/>
      <c r="F299" s="14"/>
      <c r="G299" s="6"/>
      <c r="H299" s="6"/>
      <c r="I299" s="13"/>
      <c r="J299" s="6"/>
      <c r="K299" s="6"/>
      <c r="L299" s="6"/>
      <c r="M299" s="6"/>
      <c r="N299" s="6"/>
      <c r="O299" s="6"/>
    </row>
    <row r="300" spans="1:15" ht="16">
      <c r="A300" s="6"/>
      <c r="B300" s="6"/>
      <c r="C300" s="6"/>
      <c r="D300" s="6"/>
      <c r="E300" s="6"/>
      <c r="F300" s="14"/>
      <c r="G300" s="6"/>
      <c r="H300" s="6"/>
      <c r="I300" s="13"/>
      <c r="J300" s="6"/>
      <c r="K300" s="6"/>
      <c r="L300" s="6"/>
      <c r="M300" s="6"/>
      <c r="N300" s="6"/>
      <c r="O300" s="6"/>
    </row>
  </sheetData>
  <mergeCells count="4">
    <mergeCell ref="C1:O1"/>
    <mergeCell ref="A2:B2"/>
    <mergeCell ref="A3:O3"/>
    <mergeCell ref="C2:O2"/>
  </mergeCells>
  <dataValidations count="1">
    <dataValidation type="list" allowBlank="1" sqref="C4" xr:uid="{00000000-0002-0000-0A00-000000000000}">
      <formula1>LST_MUSTERI_ADI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B1:M165"/>
  <sheetViews>
    <sheetView workbookViewId="0">
      <selection activeCell="C3" sqref="C3"/>
    </sheetView>
  </sheetViews>
  <sheetFormatPr baseColWidth="10" defaultColWidth="8.83203125" defaultRowHeight="14"/>
  <cols>
    <col min="1" max="1" width="3" customWidth="1"/>
    <col min="2" max="2" width="18" customWidth="1"/>
    <col min="3" max="3" width="18" bestFit="1" customWidth="1"/>
    <col min="4" max="4" width="18" customWidth="1"/>
    <col min="5" max="5" width="28" customWidth="1"/>
    <col min="6" max="6" width="14" customWidth="1"/>
    <col min="7" max="7" width="42" customWidth="1"/>
    <col min="8" max="8" width="15" customWidth="1"/>
    <col min="9" max="10" width="16" customWidth="1"/>
    <col min="11" max="12" width="18" customWidth="1"/>
    <col min="13" max="13" width="16" customWidth="1"/>
  </cols>
  <sheetData>
    <row r="1" spans="2:13" ht="37.25" customHeight="1">
      <c r="B1" s="256" t="s">
        <v>2166</v>
      </c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</row>
    <row r="2" spans="2:13" ht="40" customHeight="1">
      <c r="B2" s="257" t="s">
        <v>2167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</row>
    <row r="3" spans="2:13" ht="42.75" customHeight="1">
      <c r="B3" s="144" t="s">
        <v>2168</v>
      </c>
      <c r="C3" s="171" t="s">
        <v>1674</v>
      </c>
      <c r="E3" s="145" t="s">
        <v>2169</v>
      </c>
      <c r="F3" s="146">
        <f>COUNTIF(_ARA_ORTAK_EKSTRE!$A$2:$A$171,$C$3)</f>
        <v>15</v>
      </c>
      <c r="H3" s="145" t="s">
        <v>2170</v>
      </c>
      <c r="I3" s="147" t="s">
        <v>2171</v>
      </c>
    </row>
    <row r="4" spans="2:13" ht="32" customHeight="1">
      <c r="B4" s="258" t="s">
        <v>2172</v>
      </c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</row>
    <row r="5" spans="2:13" ht="34.75" customHeight="1">
      <c r="B5" s="148" t="s">
        <v>2173</v>
      </c>
      <c r="D5" s="148" t="s">
        <v>2047</v>
      </c>
      <c r="F5" s="148" t="s">
        <v>2174</v>
      </c>
      <c r="H5" s="148" t="s">
        <v>2175</v>
      </c>
      <c r="J5" s="148" t="s">
        <v>2176</v>
      </c>
    </row>
    <row r="6" spans="2:13" ht="34.75" customHeight="1">
      <c r="B6" s="149">
        <f>IF($C$3="ÖMER KARTAL",ORTAKLAR!G8,ORTAKLAR!G7)</f>
        <v>0</v>
      </c>
      <c r="D6" s="149">
        <f>IF($C$3="ÖMER KARTAL",ORTAKLAR!H8,ORTAKLAR!H7)</f>
        <v>762931.01</v>
      </c>
      <c r="F6" s="149">
        <f>IF($C$3="ÖMER KARTAL",ORTAKLAR!I8,ORTAKLAR!I7)</f>
        <v>634731.02</v>
      </c>
      <c r="H6" s="149">
        <f>IF($C$3="ÖMER KARTAL",ORTAKLAR!J8,ORTAKLAR!J7)</f>
        <v>128199.98999999999</v>
      </c>
      <c r="J6" s="259">
        <f>IF($C$3="ÖMER KARTAL",ORTAKLAR!K8,ORTAKLAR!K7)</f>
        <v>-128199.98999999999</v>
      </c>
    </row>
    <row r="7" spans="2:13" ht="34.75" customHeight="1">
      <c r="B7" s="150" t="s">
        <v>358</v>
      </c>
      <c r="C7" s="151" t="str">
        <f>IF($J$6&gt;0,"ORTAK BORÇLU",IF($J$6&lt;0,"ORTAK ALACAKLI","KAPALI"))</f>
        <v>ORTAK ALACAKLI</v>
      </c>
    </row>
    <row r="10" spans="2:13" ht="40" customHeight="1">
      <c r="B10" s="152" t="s">
        <v>2029</v>
      </c>
      <c r="C10" s="153" t="s">
        <v>602</v>
      </c>
      <c r="D10" s="153" t="s">
        <v>2030</v>
      </c>
      <c r="E10" s="153" t="s">
        <v>2031</v>
      </c>
      <c r="F10" s="153" t="s">
        <v>2032</v>
      </c>
      <c r="G10" s="153" t="s">
        <v>607</v>
      </c>
      <c r="H10" s="153" t="s">
        <v>603</v>
      </c>
      <c r="I10" s="153" t="s">
        <v>2033</v>
      </c>
      <c r="J10" s="153" t="s">
        <v>2034</v>
      </c>
      <c r="K10" s="153" t="s">
        <v>2035</v>
      </c>
      <c r="L10" s="153" t="s">
        <v>2036</v>
      </c>
      <c r="M10" s="154" t="s">
        <v>2037</v>
      </c>
    </row>
    <row r="11" spans="2:13" ht="29.25" customHeight="1">
      <c r="B11" s="161" t="str">
        <f>IF($C$3="ÖMER KARTAL",IF(_ARA_ORTAK_EKSTRE!N2="","",_ARA_ORTAK_EKSTRE!N2),IF(_ARA_ORTAK_EKSTRE!AA2="","",_ARA_ORTAK_EKSTRE!AA2))</f>
        <v>ALİ KILIÇ</v>
      </c>
      <c r="C11" s="162" t="str">
        <f>IF($C$3="ÖMER KARTAL",IF(_ARA_ORTAK_EKSTRE!O2="","",_ARA_ORTAK_EKSTRE!O2),IF(_ARA_ORTAK_EKSTRE!AB2="","",_ARA_ORTAK_EKSTRE!AB2))</f>
        <v>31.01.2026</v>
      </c>
      <c r="D11" s="162" t="str">
        <f>IF($C$3="ÖMER KARTAL",IF(_ARA_ORTAK_EKSTRE!P2="","",_ARA_ORTAK_EKSTRE!P2),IF(_ARA_ORTAK_EKSTRE!AC2="","",_ARA_ORTAK_EKSTRE!AC2))</f>
        <v>KÂR PAYI</v>
      </c>
      <c r="E11" s="162" t="str">
        <f>IF($C$3="ÖMER KARTAL",IF(_ARA_ORTAK_EKSTRE!Q2="","",_ARA_ORTAK_EKSTRE!Q2),IF(_ARA_ORTAK_EKSTRE!AD2="","",_ARA_ORTAK_EKSTRE!AD2))</f>
        <v>KÂR PAYI HAKEDİŞİ</v>
      </c>
      <c r="F11" s="162" t="str">
        <f>IF($C$3="ÖMER KARTAL",IF(_ARA_ORTAK_EKSTRE!R2="","",_ARA_ORTAK_EKSTRE!R2),IF(_ARA_ORTAK_EKSTRE!AE2="","",_ARA_ORTAK_EKSTRE!AE2))</f>
        <v>2026-01</v>
      </c>
      <c r="G11" s="158" t="str">
        <f>IF($C$3="ÖMER KARTAL",IF(_ARA_ORTAK_EKSTRE!S2="","",_ARA_ORTAK_EKSTRE!S2),IF(_ARA_ORTAK_EKSTRE!AF2="","",_ARA_ORTAK_EKSTRE!AF2))</f>
        <v>01/2026 aylık nakit kâr hakedişi (%50)</v>
      </c>
      <c r="H11" s="167">
        <f>IF($C$3="ÖMER KARTAL",IF(_ARA_ORTAK_EKSTRE!T2="","",_ARA_ORTAK_EKSTRE!T2),IF(_ARA_ORTAK_EKSTRE!AG2="","",_ARA_ORTAK_EKSTRE!AG2))</f>
        <v>119183.09</v>
      </c>
      <c r="I11" s="167">
        <f>IF($C$3="ÖMER KARTAL",IF(_ARA_ORTAK_EKSTRE!U2="","",_ARA_ORTAK_EKSTRE!U2),IF(_ARA_ORTAK_EKSTRE!AH2="","",_ARA_ORTAK_EKSTRE!AH2))</f>
        <v>0</v>
      </c>
      <c r="J11" s="167">
        <f>IF($C$3="ÖMER KARTAL",IF(_ARA_ORTAK_EKSTRE!V2="","",_ARA_ORTAK_EKSTRE!V2),IF(_ARA_ORTAK_EKSTRE!AI2="","",_ARA_ORTAK_EKSTRE!AI2))</f>
        <v>119183.09</v>
      </c>
      <c r="K11" s="167">
        <f>IF($C$3="ÖMER KARTAL",IF(_ARA_ORTAK_EKSTRE!W2="","",_ARA_ORTAK_EKSTRE!W2),IF(_ARA_ORTAK_EKSTRE!AJ2="","",_ARA_ORTAK_EKSTRE!AJ2))</f>
        <v>0</v>
      </c>
      <c r="L11" s="167">
        <f>IF($C$3="ÖMER KARTAL",IF(_ARA_ORTAK_EKSTRE!X2="","",_ARA_ORTAK_EKSTRE!X2),IF(_ARA_ORTAK_EKSTRE!AK2="","",_ARA_ORTAK_EKSTRE!AK2))</f>
        <v>119183.09</v>
      </c>
      <c r="M11" s="155" t="str">
        <f>IF($C$3="ÖMER KARTAL",IF(_ARA_ORTAK_EKSTRE!Y2="","",_ARA_ORTAK_EKSTRE!Y2),IF(_ARA_ORTAK_EKSTRE!AL2="","",_ARA_ORTAK_EKSTRE!AL2))</f>
        <v>AY_SONU / ORACLE</v>
      </c>
    </row>
    <row r="12" spans="2:13" ht="29.25" customHeight="1">
      <c r="B12" s="163" t="str">
        <f>IF($C$3="ÖMER KARTAL",IF(_ARA_ORTAK_EKSTRE!N3="","",_ARA_ORTAK_EKSTRE!N3),IF(_ARA_ORTAK_EKSTRE!AA3="","",_ARA_ORTAK_EKSTRE!AA3))</f>
        <v>ALİ KILIÇ</v>
      </c>
      <c r="C12" s="164" t="str">
        <f>IF($C$3="ÖMER KARTAL",IF(_ARA_ORTAK_EKSTRE!O3="","",_ARA_ORTAK_EKSTRE!O3),IF(_ARA_ORTAK_EKSTRE!AB3="","",_ARA_ORTAK_EKSTRE!AB3))</f>
        <v>31.01.2026</v>
      </c>
      <c r="D12" s="164" t="str">
        <f>IF($C$3="ÖMER KARTAL",IF(_ARA_ORTAK_EKSTRE!P3="","",_ARA_ORTAK_EKSTRE!P3),IF(_ARA_ORTAK_EKSTRE!AC3="","",_ARA_ORTAK_EKSTRE!AC3))</f>
        <v>KÂR PAYI</v>
      </c>
      <c r="E12" s="164" t="str">
        <f>IF($C$3="ÖMER KARTAL",IF(_ARA_ORTAK_EKSTRE!Q3="","",_ARA_ORTAK_EKSTRE!Q3),IF(_ARA_ORTAK_EKSTRE!AD3="","",_ARA_ORTAK_EKSTRE!AD3))</f>
        <v>KÂR PAYI / AVANS ÇEKİŞİ</v>
      </c>
      <c r="F12" s="164" t="str">
        <f>IF($C$3="ÖMER KARTAL",IF(_ARA_ORTAK_EKSTRE!R3="","",_ARA_ORTAK_EKSTRE!R3),IF(_ARA_ORTAK_EKSTRE!AE3="","",_ARA_ORTAK_EKSTRE!AE3))</f>
        <v>V00033</v>
      </c>
      <c r="G12" s="159" t="str">
        <f>IF($C$3="ÖMER KARTAL",IF(_ARA_ORTAK_EKSTRE!S3="","",_ARA_ORTAK_EKSTRE!S3),IF(_ARA_ORTAK_EKSTRE!AF3="","",_ARA_ORTAK_EKSTRE!AF3))</f>
        <v>KÂR PAYI / AVANS ÇEKİŞİ — Ocak Ayı Kâr Payı Ödemesi — eski GELIR_GIDER satır 27</v>
      </c>
      <c r="H12" s="168">
        <f>IF($C$3="ÖMER KARTAL",IF(_ARA_ORTAK_EKSTRE!T3="","",_ARA_ORTAK_EKSTRE!T3),IF(_ARA_ORTAK_EKSTRE!AG3="","",_ARA_ORTAK_EKSTRE!AG3))</f>
        <v>127783.09</v>
      </c>
      <c r="I12" s="168">
        <f>IF($C$3="ÖMER KARTAL",IF(_ARA_ORTAK_EKSTRE!U3="","",_ARA_ORTAK_EKSTRE!U3),IF(_ARA_ORTAK_EKSTRE!AH3="","",_ARA_ORTAK_EKSTRE!AH3))</f>
        <v>0</v>
      </c>
      <c r="J12" s="168">
        <f>IF($C$3="ÖMER KARTAL",IF(_ARA_ORTAK_EKSTRE!V3="","",_ARA_ORTAK_EKSTRE!V3),IF(_ARA_ORTAK_EKSTRE!AI3="","",_ARA_ORTAK_EKSTRE!AI3))</f>
        <v>-127783.09</v>
      </c>
      <c r="K12" s="168">
        <f>IF($C$3="ÖMER KARTAL",IF(_ARA_ORTAK_EKSTRE!W3="","",_ARA_ORTAK_EKSTRE!W3),IF(_ARA_ORTAK_EKSTRE!AJ3="","",_ARA_ORTAK_EKSTRE!AJ3))</f>
        <v>0</v>
      </c>
      <c r="L12" s="168">
        <f>IF($C$3="ÖMER KARTAL",IF(_ARA_ORTAK_EKSTRE!X3="","",_ARA_ORTAK_EKSTRE!X3),IF(_ARA_ORTAK_EKSTRE!AK3="","",_ARA_ORTAK_EKSTRE!AK3))</f>
        <v>-8600</v>
      </c>
      <c r="M12" s="156" t="str">
        <f>IF($C$3="ÖMER KARTAL",IF(_ARA_ORTAK_EKSTRE!Y3="","",_ARA_ORTAK_EKSTRE!Y3),IF(_ARA_ORTAK_EKSTRE!AL3="","",_ARA_ORTAK_EKSTRE!AL3))</f>
        <v>VIRMAN</v>
      </c>
    </row>
    <row r="13" spans="2:13" ht="29.25" customHeight="1">
      <c r="B13" s="163" t="str">
        <f>IF($C$3="ÖMER KARTAL",IF(_ARA_ORTAK_EKSTRE!N4="","",_ARA_ORTAK_EKSTRE!N4),IF(_ARA_ORTAK_EKSTRE!AA4="","",_ARA_ORTAK_EKSTRE!AA4))</f>
        <v>ALİ KILIÇ</v>
      </c>
      <c r="C13" s="164" t="str">
        <f>IF($C$3="ÖMER KARTAL",IF(_ARA_ORTAK_EKSTRE!O4="","",_ARA_ORTAK_EKSTRE!O4),IF(_ARA_ORTAK_EKSTRE!AB4="","",_ARA_ORTAK_EKSTRE!AB4))</f>
        <v>28.02.2026</v>
      </c>
      <c r="D13" s="164" t="str">
        <f>IF($C$3="ÖMER KARTAL",IF(_ARA_ORTAK_EKSTRE!P4="","",_ARA_ORTAK_EKSTRE!P4),IF(_ARA_ORTAK_EKSTRE!AC4="","",_ARA_ORTAK_EKSTRE!AC4))</f>
        <v>KÂR PAYI</v>
      </c>
      <c r="E13" s="164" t="str">
        <f>IF($C$3="ÖMER KARTAL",IF(_ARA_ORTAK_EKSTRE!Q4="","",_ARA_ORTAK_EKSTRE!Q4),IF(_ARA_ORTAK_EKSTRE!AD4="","",_ARA_ORTAK_EKSTRE!AD4))</f>
        <v>KÂR PAYI HAKEDİŞİ</v>
      </c>
      <c r="F13" s="164" t="str">
        <f>IF($C$3="ÖMER KARTAL",IF(_ARA_ORTAK_EKSTRE!R4="","",_ARA_ORTAK_EKSTRE!R4),IF(_ARA_ORTAK_EKSTRE!AE4="","",_ARA_ORTAK_EKSTRE!AE4))</f>
        <v>2026-02</v>
      </c>
      <c r="G13" s="159" t="str">
        <f>IF($C$3="ÖMER KARTAL",IF(_ARA_ORTAK_EKSTRE!S4="","",_ARA_ORTAK_EKSTRE!S4),IF(_ARA_ORTAK_EKSTRE!AF4="","",_ARA_ORTAK_EKSTRE!AF4))</f>
        <v>02/2026 aylık nakit kâr hakedişi (%50)</v>
      </c>
      <c r="H13" s="168">
        <f>IF($C$3="ÖMER KARTAL",IF(_ARA_ORTAK_EKSTRE!T4="","",_ARA_ORTAK_EKSTRE!T4),IF(_ARA_ORTAK_EKSTRE!AG4="","",_ARA_ORTAK_EKSTRE!AG4))</f>
        <v>10310.9</v>
      </c>
      <c r="I13" s="168">
        <f>IF($C$3="ÖMER KARTAL",IF(_ARA_ORTAK_EKSTRE!U4="","",_ARA_ORTAK_EKSTRE!U4),IF(_ARA_ORTAK_EKSTRE!AH4="","",_ARA_ORTAK_EKSTRE!AH4))</f>
        <v>0</v>
      </c>
      <c r="J13" s="168">
        <f>IF($C$3="ÖMER KARTAL",IF(_ARA_ORTAK_EKSTRE!V4="","",_ARA_ORTAK_EKSTRE!V4),IF(_ARA_ORTAK_EKSTRE!AI4="","",_ARA_ORTAK_EKSTRE!AI4))</f>
        <v>10310.9</v>
      </c>
      <c r="K13" s="168">
        <f>IF($C$3="ÖMER KARTAL",IF(_ARA_ORTAK_EKSTRE!W4="","",_ARA_ORTAK_EKSTRE!W4),IF(_ARA_ORTAK_EKSTRE!AJ4="","",_ARA_ORTAK_EKSTRE!AJ4))</f>
        <v>0</v>
      </c>
      <c r="L13" s="168">
        <f>IF($C$3="ÖMER KARTAL",IF(_ARA_ORTAK_EKSTRE!X4="","",_ARA_ORTAK_EKSTRE!X4),IF(_ARA_ORTAK_EKSTRE!AK4="","",_ARA_ORTAK_EKSTRE!AK4))</f>
        <v>1710.9</v>
      </c>
      <c r="M13" s="156" t="str">
        <f>IF($C$3="ÖMER KARTAL",IF(_ARA_ORTAK_EKSTRE!Y4="","",_ARA_ORTAK_EKSTRE!Y4),IF(_ARA_ORTAK_EKSTRE!AL4="","",_ARA_ORTAK_EKSTRE!AL4))</f>
        <v>AY_SONU / ORACLE</v>
      </c>
    </row>
    <row r="14" spans="2:13" ht="29.25" customHeight="1">
      <c r="B14" s="163" t="str">
        <f>IF($C$3="ÖMER KARTAL",IF(_ARA_ORTAK_EKSTRE!N5="","",_ARA_ORTAK_EKSTRE!N5),IF(_ARA_ORTAK_EKSTRE!AA5="","",_ARA_ORTAK_EKSTRE!AA5))</f>
        <v>ALİ KILIÇ</v>
      </c>
      <c r="C14" s="164" t="str">
        <f>IF($C$3="ÖMER KARTAL",IF(_ARA_ORTAK_EKSTRE!O5="","",_ARA_ORTAK_EKSTRE!O5),IF(_ARA_ORTAK_EKSTRE!AB5="","",_ARA_ORTAK_EKSTRE!AB5))</f>
        <v>28.02.2026</v>
      </c>
      <c r="D14" s="164" t="str">
        <f>IF($C$3="ÖMER KARTAL",IF(_ARA_ORTAK_EKSTRE!P5="","",_ARA_ORTAK_EKSTRE!P5),IF(_ARA_ORTAK_EKSTRE!AC5="","",_ARA_ORTAK_EKSTRE!AC5))</f>
        <v>KÂR PAYI</v>
      </c>
      <c r="E14" s="164" t="str">
        <f>IF($C$3="ÖMER KARTAL",IF(_ARA_ORTAK_EKSTRE!Q5="","",_ARA_ORTAK_EKSTRE!Q5),IF(_ARA_ORTAK_EKSTRE!AD5="","",_ARA_ORTAK_EKSTRE!AD5))</f>
        <v>KÂR PAYI / AVANS ÇEKİŞİ</v>
      </c>
      <c r="F14" s="164" t="str">
        <f>IF($C$3="ÖMER KARTAL",IF(_ARA_ORTAK_EKSTRE!R5="","",_ARA_ORTAK_EKSTRE!R5),IF(_ARA_ORTAK_EKSTRE!AE5="","",_ARA_ORTAK_EKSTRE!AE5))</f>
        <v>V00035</v>
      </c>
      <c r="G14" s="159" t="str">
        <f>IF($C$3="ÖMER KARTAL",IF(_ARA_ORTAK_EKSTRE!S5="","",_ARA_ORTAK_EKSTRE!S5),IF(_ARA_ORTAK_EKSTRE!AF5="","",_ARA_ORTAK_EKSTRE!AF5))</f>
        <v>KÂR PAYI / AVANS ÇEKİŞİ — Şubat Ayı Kâr Payı Ödemesi — eski GELIR_GIDER satır 67</v>
      </c>
      <c r="H14" s="168">
        <f>IF($C$3="ÖMER KARTAL",IF(_ARA_ORTAK_EKSTRE!T5="","",_ARA_ORTAK_EKSTRE!T5),IF(_ARA_ORTAK_EKSTRE!AG5="","",_ARA_ORTAK_EKSTRE!AG5))</f>
        <v>10310.91</v>
      </c>
      <c r="I14" s="168">
        <f>IF($C$3="ÖMER KARTAL",IF(_ARA_ORTAK_EKSTRE!U5="","",_ARA_ORTAK_EKSTRE!U5),IF(_ARA_ORTAK_EKSTRE!AH5="","",_ARA_ORTAK_EKSTRE!AH5))</f>
        <v>0</v>
      </c>
      <c r="J14" s="168">
        <f>IF($C$3="ÖMER KARTAL",IF(_ARA_ORTAK_EKSTRE!V5="","",_ARA_ORTAK_EKSTRE!V5),IF(_ARA_ORTAK_EKSTRE!AI5="","",_ARA_ORTAK_EKSTRE!AI5))</f>
        <v>-10310.91</v>
      </c>
      <c r="K14" s="168">
        <f>IF($C$3="ÖMER KARTAL",IF(_ARA_ORTAK_EKSTRE!W5="","",_ARA_ORTAK_EKSTRE!W5),IF(_ARA_ORTAK_EKSTRE!AJ5="","",_ARA_ORTAK_EKSTRE!AJ5))</f>
        <v>0</v>
      </c>
      <c r="L14" s="168">
        <f>IF($C$3="ÖMER KARTAL",IF(_ARA_ORTAK_EKSTRE!X5="","",_ARA_ORTAK_EKSTRE!X5),IF(_ARA_ORTAK_EKSTRE!AK5="","",_ARA_ORTAK_EKSTRE!AK5))</f>
        <v>-8600.01</v>
      </c>
      <c r="M14" s="156" t="str">
        <f>IF($C$3="ÖMER KARTAL",IF(_ARA_ORTAK_EKSTRE!Y5="","",_ARA_ORTAK_EKSTRE!Y5),IF(_ARA_ORTAK_EKSTRE!AL5="","",_ARA_ORTAK_EKSTRE!AL5))</f>
        <v>VIRMAN</v>
      </c>
    </row>
    <row r="15" spans="2:13" ht="29.25" customHeight="1">
      <c r="B15" s="163" t="str">
        <f>IF($C$3="ÖMER KARTAL",IF(_ARA_ORTAK_EKSTRE!N6="","",_ARA_ORTAK_EKSTRE!N6),IF(_ARA_ORTAK_EKSTRE!AA6="","",_ARA_ORTAK_EKSTRE!AA6))</f>
        <v>ALİ KILIÇ</v>
      </c>
      <c r="C15" s="164" t="str">
        <f>IF($C$3="ÖMER KARTAL",IF(_ARA_ORTAK_EKSTRE!O6="","",_ARA_ORTAK_EKSTRE!O6),IF(_ARA_ORTAK_EKSTRE!AB6="","",_ARA_ORTAK_EKSTRE!AB6))</f>
        <v>31.03.2026</v>
      </c>
      <c r="D15" s="164" t="str">
        <f>IF($C$3="ÖMER KARTAL",IF(_ARA_ORTAK_EKSTRE!P6="","",_ARA_ORTAK_EKSTRE!P6),IF(_ARA_ORTAK_EKSTRE!AC6="","",_ARA_ORTAK_EKSTRE!AC6))</f>
        <v>KÂR PAYI</v>
      </c>
      <c r="E15" s="164" t="str">
        <f>IF($C$3="ÖMER KARTAL",IF(_ARA_ORTAK_EKSTRE!Q6="","",_ARA_ORTAK_EKSTRE!Q6),IF(_ARA_ORTAK_EKSTRE!AD6="","",_ARA_ORTAK_EKSTRE!AD6))</f>
        <v>KÂR PAYI HAKEDİŞİ</v>
      </c>
      <c r="F15" s="164" t="str">
        <f>IF($C$3="ÖMER KARTAL",IF(_ARA_ORTAK_EKSTRE!R6="","",_ARA_ORTAK_EKSTRE!R6),IF(_ARA_ORTAK_EKSTRE!AE6="","",_ARA_ORTAK_EKSTRE!AE6))</f>
        <v>2026-03</v>
      </c>
      <c r="G15" s="159" t="str">
        <f>IF($C$3="ÖMER KARTAL",IF(_ARA_ORTAK_EKSTRE!S6="","",_ARA_ORTAK_EKSTRE!S6),IF(_ARA_ORTAK_EKSTRE!AF6="","",_ARA_ORTAK_EKSTRE!AF6))</f>
        <v>03/2026 aylık nakit kâr hakedişi (%50)</v>
      </c>
      <c r="H15" s="168">
        <f>IF($C$3="ÖMER KARTAL",IF(_ARA_ORTAK_EKSTRE!T6="","",_ARA_ORTAK_EKSTRE!T6),IF(_ARA_ORTAK_EKSTRE!AG6="","",_ARA_ORTAK_EKSTRE!AG6))</f>
        <v>77421.02</v>
      </c>
      <c r="I15" s="168">
        <f>IF($C$3="ÖMER KARTAL",IF(_ARA_ORTAK_EKSTRE!U6="","",_ARA_ORTAK_EKSTRE!U6),IF(_ARA_ORTAK_EKSTRE!AH6="","",_ARA_ORTAK_EKSTRE!AH6))</f>
        <v>0</v>
      </c>
      <c r="J15" s="168">
        <f>IF($C$3="ÖMER KARTAL",IF(_ARA_ORTAK_EKSTRE!V6="","",_ARA_ORTAK_EKSTRE!V6),IF(_ARA_ORTAK_EKSTRE!AI6="","",_ARA_ORTAK_EKSTRE!AI6))</f>
        <v>77421.02</v>
      </c>
      <c r="K15" s="168">
        <f>IF($C$3="ÖMER KARTAL",IF(_ARA_ORTAK_EKSTRE!W6="","",_ARA_ORTAK_EKSTRE!W6),IF(_ARA_ORTAK_EKSTRE!AJ6="","",_ARA_ORTAK_EKSTRE!AJ6))</f>
        <v>0</v>
      </c>
      <c r="L15" s="168">
        <f>IF($C$3="ÖMER KARTAL",IF(_ARA_ORTAK_EKSTRE!X6="","",_ARA_ORTAK_EKSTRE!X6),IF(_ARA_ORTAK_EKSTRE!AK6="","",_ARA_ORTAK_EKSTRE!AK6))</f>
        <v>68821.009999999995</v>
      </c>
      <c r="M15" s="156" t="str">
        <f>IF($C$3="ÖMER KARTAL",IF(_ARA_ORTAK_EKSTRE!Y6="","",_ARA_ORTAK_EKSTRE!Y6),IF(_ARA_ORTAK_EKSTRE!AL6="","",_ARA_ORTAK_EKSTRE!AL6))</f>
        <v>AY_SONU / ORACLE</v>
      </c>
    </row>
    <row r="16" spans="2:13" ht="29.25" customHeight="1">
      <c r="B16" s="163" t="str">
        <f>IF($C$3="ÖMER KARTAL",IF(_ARA_ORTAK_EKSTRE!N7="","",_ARA_ORTAK_EKSTRE!N7),IF(_ARA_ORTAK_EKSTRE!AA7="","",_ARA_ORTAK_EKSTRE!AA7))</f>
        <v>ALİ KILIÇ</v>
      </c>
      <c r="C16" s="164" t="str">
        <f>IF($C$3="ÖMER KARTAL",IF(_ARA_ORTAK_EKSTRE!O7="","",_ARA_ORTAK_EKSTRE!O7),IF(_ARA_ORTAK_EKSTRE!AB7="","",_ARA_ORTAK_EKSTRE!AB7))</f>
        <v>31.03.2026</v>
      </c>
      <c r="D16" s="164" t="str">
        <f>IF($C$3="ÖMER KARTAL",IF(_ARA_ORTAK_EKSTRE!P7="","",_ARA_ORTAK_EKSTRE!P7),IF(_ARA_ORTAK_EKSTRE!AC7="","",_ARA_ORTAK_EKSTRE!AC7))</f>
        <v>KÂR PAYI</v>
      </c>
      <c r="E16" s="164" t="str">
        <f>IF($C$3="ÖMER KARTAL",IF(_ARA_ORTAK_EKSTRE!Q7="","",_ARA_ORTAK_EKSTRE!Q7),IF(_ARA_ORTAK_EKSTRE!AD7="","",_ARA_ORTAK_EKSTRE!AD7))</f>
        <v>KÂR PAYI / AVANS ÇEKİŞİ</v>
      </c>
      <c r="F16" s="164" t="str">
        <f>IF($C$3="ÖMER KARTAL",IF(_ARA_ORTAK_EKSTRE!R7="","",_ARA_ORTAK_EKSTRE!R7),IF(_ARA_ORTAK_EKSTRE!AE7="","",_ARA_ORTAK_EKSTRE!AE7))</f>
        <v>V00037</v>
      </c>
      <c r="G16" s="159" t="str">
        <f>IF($C$3="ÖMER KARTAL",IF(_ARA_ORTAK_EKSTRE!S7="","",_ARA_ORTAK_EKSTRE!S7),IF(_ARA_ORTAK_EKSTRE!AF7="","",_ARA_ORTAK_EKSTRE!AF7))</f>
        <v>KÂR PAYI / AVANS ÇEKİŞİ — Mart Ayı Kâr Payı Ödemesi — eski GELIR_GIDER satır 95</v>
      </c>
      <c r="H16" s="168">
        <f>IF($C$3="ÖMER KARTAL",IF(_ARA_ORTAK_EKSTRE!T7="","",_ARA_ORTAK_EKSTRE!T7),IF(_ARA_ORTAK_EKSTRE!AG7="","",_ARA_ORTAK_EKSTRE!AG7))</f>
        <v>77421.02</v>
      </c>
      <c r="I16" s="168">
        <f>IF($C$3="ÖMER KARTAL",IF(_ARA_ORTAK_EKSTRE!U7="","",_ARA_ORTAK_EKSTRE!U7),IF(_ARA_ORTAK_EKSTRE!AH7="","",_ARA_ORTAK_EKSTRE!AH7))</f>
        <v>0</v>
      </c>
      <c r="J16" s="168">
        <f>IF($C$3="ÖMER KARTAL",IF(_ARA_ORTAK_EKSTRE!V7="","",_ARA_ORTAK_EKSTRE!V7),IF(_ARA_ORTAK_EKSTRE!AI7="","",_ARA_ORTAK_EKSTRE!AI7))</f>
        <v>-77421.02</v>
      </c>
      <c r="K16" s="168">
        <f>IF($C$3="ÖMER KARTAL",IF(_ARA_ORTAK_EKSTRE!W7="","",_ARA_ORTAK_EKSTRE!W7),IF(_ARA_ORTAK_EKSTRE!AJ7="","",_ARA_ORTAK_EKSTRE!AJ7))</f>
        <v>0</v>
      </c>
      <c r="L16" s="168">
        <f>IF($C$3="ÖMER KARTAL",IF(_ARA_ORTAK_EKSTRE!X7="","",_ARA_ORTAK_EKSTRE!X7),IF(_ARA_ORTAK_EKSTRE!AK7="","",_ARA_ORTAK_EKSTRE!AK7))</f>
        <v>-8600.01</v>
      </c>
      <c r="M16" s="156" t="str">
        <f>IF($C$3="ÖMER KARTAL",IF(_ARA_ORTAK_EKSTRE!Y7="","",_ARA_ORTAK_EKSTRE!Y7),IF(_ARA_ORTAK_EKSTRE!AL7="","",_ARA_ORTAK_EKSTRE!AL7))</f>
        <v>VIRMAN</v>
      </c>
    </row>
    <row r="17" spans="2:13" ht="29.25" customHeight="1">
      <c r="B17" s="163" t="str">
        <f>IF($C$3="ÖMER KARTAL",IF(_ARA_ORTAK_EKSTRE!N8="","",_ARA_ORTAK_EKSTRE!N8),IF(_ARA_ORTAK_EKSTRE!AA8="","",_ARA_ORTAK_EKSTRE!AA8))</f>
        <v>ALİ KILIÇ</v>
      </c>
      <c r="C17" s="164" t="str">
        <f>IF($C$3="ÖMER KARTAL",IF(_ARA_ORTAK_EKSTRE!O8="","",_ARA_ORTAK_EKSTRE!O8),IF(_ARA_ORTAK_EKSTRE!AB8="","",_ARA_ORTAK_EKSTRE!AB8))</f>
        <v>30.04.2026</v>
      </c>
      <c r="D17" s="164" t="str">
        <f>IF($C$3="ÖMER KARTAL",IF(_ARA_ORTAK_EKSTRE!P8="","",_ARA_ORTAK_EKSTRE!P8),IF(_ARA_ORTAK_EKSTRE!AC8="","",_ARA_ORTAK_EKSTRE!AC8))</f>
        <v>KÂR PAYI</v>
      </c>
      <c r="E17" s="164" t="str">
        <f>IF($C$3="ÖMER KARTAL",IF(_ARA_ORTAK_EKSTRE!Q8="","",_ARA_ORTAK_EKSTRE!Q8),IF(_ARA_ORTAK_EKSTRE!AD8="","",_ARA_ORTAK_EKSTRE!AD8))</f>
        <v>KÂR PAYI HAKEDİŞİ</v>
      </c>
      <c r="F17" s="164" t="str">
        <f>IF($C$3="ÖMER KARTAL",IF(_ARA_ORTAK_EKSTRE!R8="","",_ARA_ORTAK_EKSTRE!R8),IF(_ARA_ORTAK_EKSTRE!AE8="","",_ARA_ORTAK_EKSTRE!AE8))</f>
        <v>2026-04</v>
      </c>
      <c r="G17" s="159" t="str">
        <f>IF($C$3="ÖMER KARTAL",IF(_ARA_ORTAK_EKSTRE!S8="","",_ARA_ORTAK_EKSTRE!S8),IF(_ARA_ORTAK_EKSTRE!AF8="","",_ARA_ORTAK_EKSTRE!AF8))</f>
        <v>04/2026 aylık nakit kâr hakedişi (%50)</v>
      </c>
      <c r="H17" s="168">
        <f>IF($C$3="ÖMER KARTAL",IF(_ARA_ORTAK_EKSTRE!T8="","",_ARA_ORTAK_EKSTRE!T8),IF(_ARA_ORTAK_EKSTRE!AG8="","",_ARA_ORTAK_EKSTRE!AG8))</f>
        <v>137353</v>
      </c>
      <c r="I17" s="168">
        <f>IF($C$3="ÖMER KARTAL",IF(_ARA_ORTAK_EKSTRE!U8="","",_ARA_ORTAK_EKSTRE!U8),IF(_ARA_ORTAK_EKSTRE!AH8="","",_ARA_ORTAK_EKSTRE!AH8))</f>
        <v>0</v>
      </c>
      <c r="J17" s="168">
        <f>IF($C$3="ÖMER KARTAL",IF(_ARA_ORTAK_EKSTRE!V8="","",_ARA_ORTAK_EKSTRE!V8),IF(_ARA_ORTAK_EKSTRE!AI8="","",_ARA_ORTAK_EKSTRE!AI8))</f>
        <v>137353</v>
      </c>
      <c r="K17" s="168">
        <f>IF($C$3="ÖMER KARTAL",IF(_ARA_ORTAK_EKSTRE!W8="","",_ARA_ORTAK_EKSTRE!W8),IF(_ARA_ORTAK_EKSTRE!AJ8="","",_ARA_ORTAK_EKSTRE!AJ8))</f>
        <v>0</v>
      </c>
      <c r="L17" s="168">
        <f>IF($C$3="ÖMER KARTAL",IF(_ARA_ORTAK_EKSTRE!X8="","",_ARA_ORTAK_EKSTRE!X8),IF(_ARA_ORTAK_EKSTRE!AK8="","",_ARA_ORTAK_EKSTRE!AK8))</f>
        <v>128752.99</v>
      </c>
      <c r="M17" s="156" t="str">
        <f>IF($C$3="ÖMER KARTAL",IF(_ARA_ORTAK_EKSTRE!Y8="","",_ARA_ORTAK_EKSTRE!Y8),IF(_ARA_ORTAK_EKSTRE!AL8="","",_ARA_ORTAK_EKSTRE!AL8))</f>
        <v>AY_SONU / ORACLE</v>
      </c>
    </row>
    <row r="18" spans="2:13" ht="29.25" customHeight="1">
      <c r="B18" s="163" t="str">
        <f>IF($C$3="ÖMER KARTAL",IF(_ARA_ORTAK_EKSTRE!N9="","",_ARA_ORTAK_EKSTRE!N9),IF(_ARA_ORTAK_EKSTRE!AA9="","",_ARA_ORTAK_EKSTRE!AA9))</f>
        <v>ALİ KILIÇ</v>
      </c>
      <c r="C18" s="164" t="str">
        <f>IF($C$3="ÖMER KARTAL",IF(_ARA_ORTAK_EKSTRE!O9="","",_ARA_ORTAK_EKSTRE!O9),IF(_ARA_ORTAK_EKSTRE!AB9="","",_ARA_ORTAK_EKSTRE!AB9))</f>
        <v>30.04.2026</v>
      </c>
      <c r="D18" s="164" t="str">
        <f>IF($C$3="ÖMER KARTAL",IF(_ARA_ORTAK_EKSTRE!P9="","",_ARA_ORTAK_EKSTRE!P9),IF(_ARA_ORTAK_EKSTRE!AC9="","",_ARA_ORTAK_EKSTRE!AC9))</f>
        <v>KÂR PAYI</v>
      </c>
      <c r="E18" s="164" t="str">
        <f>IF($C$3="ÖMER KARTAL",IF(_ARA_ORTAK_EKSTRE!Q9="","",_ARA_ORTAK_EKSTRE!Q9),IF(_ARA_ORTAK_EKSTRE!AD9="","",_ARA_ORTAK_EKSTRE!AD9))</f>
        <v>KÂR PAYI / AVANS ÇEKİŞİ</v>
      </c>
      <c r="F18" s="164" t="str">
        <f>IF($C$3="ÖMER KARTAL",IF(_ARA_ORTAK_EKSTRE!R9="","",_ARA_ORTAK_EKSTRE!R9),IF(_ARA_ORTAK_EKSTRE!AE9="","",_ARA_ORTAK_EKSTRE!AE9))</f>
        <v>V00039</v>
      </c>
      <c r="G18" s="159" t="str">
        <f>IF($C$3="ÖMER KARTAL",IF(_ARA_ORTAK_EKSTRE!S9="","",_ARA_ORTAK_EKSTRE!S9),IF(_ARA_ORTAK_EKSTRE!AF9="","",_ARA_ORTAK_EKSTRE!AF9))</f>
        <v>KÂR PAYI / AVANS ÇEKİŞİ — Nisan Ayı Kâr Payı Ödemesi — eski GELIR_GIDER satır 135</v>
      </c>
      <c r="H18" s="168">
        <f>IF($C$3="ÖMER KARTAL",IF(_ARA_ORTAK_EKSTRE!T9="","",_ARA_ORTAK_EKSTRE!T9),IF(_ARA_ORTAK_EKSTRE!AG9="","",_ARA_ORTAK_EKSTRE!AG9))</f>
        <v>137353</v>
      </c>
      <c r="I18" s="168">
        <f>IF($C$3="ÖMER KARTAL",IF(_ARA_ORTAK_EKSTRE!U9="","",_ARA_ORTAK_EKSTRE!U9),IF(_ARA_ORTAK_EKSTRE!AH9="","",_ARA_ORTAK_EKSTRE!AH9))</f>
        <v>0</v>
      </c>
      <c r="J18" s="168">
        <f>IF($C$3="ÖMER KARTAL",IF(_ARA_ORTAK_EKSTRE!V9="","",_ARA_ORTAK_EKSTRE!V9),IF(_ARA_ORTAK_EKSTRE!AI9="","",_ARA_ORTAK_EKSTRE!AI9))</f>
        <v>-137353</v>
      </c>
      <c r="K18" s="168">
        <f>IF($C$3="ÖMER KARTAL",IF(_ARA_ORTAK_EKSTRE!W9="","",_ARA_ORTAK_EKSTRE!W9),IF(_ARA_ORTAK_EKSTRE!AJ9="","",_ARA_ORTAK_EKSTRE!AJ9))</f>
        <v>0</v>
      </c>
      <c r="L18" s="168">
        <f>IF($C$3="ÖMER KARTAL",IF(_ARA_ORTAK_EKSTRE!X9="","",_ARA_ORTAK_EKSTRE!X9),IF(_ARA_ORTAK_EKSTRE!AK9="","",_ARA_ORTAK_EKSTRE!AK9))</f>
        <v>-8600.01</v>
      </c>
      <c r="M18" s="156" t="str">
        <f>IF($C$3="ÖMER KARTAL",IF(_ARA_ORTAK_EKSTRE!Y9="","",_ARA_ORTAK_EKSTRE!Y9),IF(_ARA_ORTAK_EKSTRE!AL9="","",_ARA_ORTAK_EKSTRE!AL9))</f>
        <v>VIRMAN</v>
      </c>
    </row>
    <row r="19" spans="2:13" ht="29.25" customHeight="1">
      <c r="B19" s="163" t="str">
        <f>IF($C$3="ÖMER KARTAL",IF(_ARA_ORTAK_EKSTRE!N10="","",_ARA_ORTAK_EKSTRE!N10),IF(_ARA_ORTAK_EKSTRE!AA10="","",_ARA_ORTAK_EKSTRE!AA10))</f>
        <v>ALİ KILIÇ</v>
      </c>
      <c r="C19" s="164" t="str">
        <f>IF($C$3="ÖMER KARTAL",IF(_ARA_ORTAK_EKSTRE!O10="","",_ARA_ORTAK_EKSTRE!O10),IF(_ARA_ORTAK_EKSTRE!AB10="","",_ARA_ORTAK_EKSTRE!AB10))</f>
        <v>31.05.2026</v>
      </c>
      <c r="D19" s="164" t="str">
        <f>IF($C$3="ÖMER KARTAL",IF(_ARA_ORTAK_EKSTRE!P10="","",_ARA_ORTAK_EKSTRE!P10),IF(_ARA_ORTAK_EKSTRE!AC10="","",_ARA_ORTAK_EKSTRE!AC10))</f>
        <v>KÂR PAYI</v>
      </c>
      <c r="E19" s="164" t="str">
        <f>IF($C$3="ÖMER KARTAL",IF(_ARA_ORTAK_EKSTRE!Q10="","",_ARA_ORTAK_EKSTRE!Q10),IF(_ARA_ORTAK_EKSTRE!AD10="","",_ARA_ORTAK_EKSTRE!AD10))</f>
        <v>KÂR PAYI HAKEDİŞİ</v>
      </c>
      <c r="F19" s="164" t="str">
        <f>IF($C$3="ÖMER KARTAL",IF(_ARA_ORTAK_EKSTRE!R10="","",_ARA_ORTAK_EKSTRE!R10),IF(_ARA_ORTAK_EKSTRE!AE10="","",_ARA_ORTAK_EKSTRE!AE10))</f>
        <v>2026-05</v>
      </c>
      <c r="G19" s="159" t="str">
        <f>IF($C$3="ÖMER KARTAL",IF(_ARA_ORTAK_EKSTRE!S10="","",_ARA_ORTAK_EKSTRE!S10),IF(_ARA_ORTAK_EKSTRE!AF10="","",_ARA_ORTAK_EKSTRE!AF10))</f>
        <v>05/2026 aylık nakit kâr hakedişi (%50)</v>
      </c>
      <c r="H19" s="168">
        <f>IF($C$3="ÖMER KARTAL",IF(_ARA_ORTAK_EKSTRE!T10="","",_ARA_ORTAK_EKSTRE!T10),IF(_ARA_ORTAK_EKSTRE!AG10="","",_ARA_ORTAK_EKSTRE!AG10))</f>
        <v>109773</v>
      </c>
      <c r="I19" s="168">
        <f>IF($C$3="ÖMER KARTAL",IF(_ARA_ORTAK_EKSTRE!U10="","",_ARA_ORTAK_EKSTRE!U10),IF(_ARA_ORTAK_EKSTRE!AH10="","",_ARA_ORTAK_EKSTRE!AH10))</f>
        <v>0</v>
      </c>
      <c r="J19" s="168">
        <f>IF($C$3="ÖMER KARTAL",IF(_ARA_ORTAK_EKSTRE!V10="","",_ARA_ORTAK_EKSTRE!V10),IF(_ARA_ORTAK_EKSTRE!AI10="","",_ARA_ORTAK_EKSTRE!AI10))</f>
        <v>109773</v>
      </c>
      <c r="K19" s="168">
        <f>IF($C$3="ÖMER KARTAL",IF(_ARA_ORTAK_EKSTRE!W10="","",_ARA_ORTAK_EKSTRE!W10),IF(_ARA_ORTAK_EKSTRE!AJ10="","",_ARA_ORTAK_EKSTRE!AJ10))</f>
        <v>0</v>
      </c>
      <c r="L19" s="168">
        <f>IF($C$3="ÖMER KARTAL",IF(_ARA_ORTAK_EKSTRE!X10="","",_ARA_ORTAK_EKSTRE!X10),IF(_ARA_ORTAK_EKSTRE!AK10="","",_ARA_ORTAK_EKSTRE!AK10))</f>
        <v>101172.99</v>
      </c>
      <c r="M19" s="156" t="str">
        <f>IF($C$3="ÖMER KARTAL",IF(_ARA_ORTAK_EKSTRE!Y10="","",_ARA_ORTAK_EKSTRE!Y10),IF(_ARA_ORTAK_EKSTRE!AL10="","",_ARA_ORTAK_EKSTRE!AL10))</f>
        <v>AY_SONU / ORACLE</v>
      </c>
    </row>
    <row r="20" spans="2:13" ht="29.25" customHeight="1">
      <c r="B20" s="163" t="str">
        <f>IF($C$3="ÖMER KARTAL",IF(_ARA_ORTAK_EKSTRE!N11="","",_ARA_ORTAK_EKSTRE!N11),IF(_ARA_ORTAK_EKSTRE!AA11="","",_ARA_ORTAK_EKSTRE!AA11))</f>
        <v>ALİ KILIÇ</v>
      </c>
      <c r="C20" s="164" t="str">
        <f>IF($C$3="ÖMER KARTAL",IF(_ARA_ORTAK_EKSTRE!O11="","",_ARA_ORTAK_EKSTRE!O11),IF(_ARA_ORTAK_EKSTRE!AB11="","",_ARA_ORTAK_EKSTRE!AB11))</f>
        <v>31.05.2026</v>
      </c>
      <c r="D20" s="164" t="str">
        <f>IF($C$3="ÖMER KARTAL",IF(_ARA_ORTAK_EKSTRE!P11="","",_ARA_ORTAK_EKSTRE!P11),IF(_ARA_ORTAK_EKSTRE!AC11="","",_ARA_ORTAK_EKSTRE!AC11))</f>
        <v>KÂR PAYI</v>
      </c>
      <c r="E20" s="164" t="str">
        <f>IF($C$3="ÖMER KARTAL",IF(_ARA_ORTAK_EKSTRE!Q11="","",_ARA_ORTAK_EKSTRE!Q11),IF(_ARA_ORTAK_EKSTRE!AD11="","",_ARA_ORTAK_EKSTRE!AD11))</f>
        <v>KÂR PAYI / AVANS ÇEKİŞİ</v>
      </c>
      <c r="F20" s="164" t="str">
        <f>IF($C$3="ÖMER KARTAL",IF(_ARA_ORTAK_EKSTRE!R11="","",_ARA_ORTAK_EKSTRE!R11),IF(_ARA_ORTAK_EKSTRE!AE11="","",_ARA_ORTAK_EKSTRE!AE11))</f>
        <v>V00041</v>
      </c>
      <c r="G20" s="159" t="str">
        <f>IF($C$3="ÖMER KARTAL",IF(_ARA_ORTAK_EKSTRE!S11="","",_ARA_ORTAK_EKSTRE!S11),IF(_ARA_ORTAK_EKSTRE!AF11="","",_ARA_ORTAK_EKSTRE!AF11))</f>
        <v>KÂR PAYI / AVANS ÇEKİŞİ — Mayıs Ayı Kâr Payı Ödemesi — eski GELIR_GIDER satır 168</v>
      </c>
      <c r="H20" s="168">
        <f>IF($C$3="ÖMER KARTAL",IF(_ARA_ORTAK_EKSTRE!T11="","",_ARA_ORTAK_EKSTRE!T11),IF(_ARA_ORTAK_EKSTRE!AG11="","",_ARA_ORTAK_EKSTRE!AG11))</f>
        <v>109773</v>
      </c>
      <c r="I20" s="168">
        <f>IF($C$3="ÖMER KARTAL",IF(_ARA_ORTAK_EKSTRE!U11="","",_ARA_ORTAK_EKSTRE!U11),IF(_ARA_ORTAK_EKSTRE!AH11="","",_ARA_ORTAK_EKSTRE!AH11))</f>
        <v>0</v>
      </c>
      <c r="J20" s="168">
        <f>IF($C$3="ÖMER KARTAL",IF(_ARA_ORTAK_EKSTRE!V11="","",_ARA_ORTAK_EKSTRE!V11),IF(_ARA_ORTAK_EKSTRE!AI11="","",_ARA_ORTAK_EKSTRE!AI11))</f>
        <v>-109773</v>
      </c>
      <c r="K20" s="168">
        <f>IF($C$3="ÖMER KARTAL",IF(_ARA_ORTAK_EKSTRE!W11="","",_ARA_ORTAK_EKSTRE!W11),IF(_ARA_ORTAK_EKSTRE!AJ11="","",_ARA_ORTAK_EKSTRE!AJ11))</f>
        <v>0</v>
      </c>
      <c r="L20" s="168">
        <f>IF($C$3="ÖMER KARTAL",IF(_ARA_ORTAK_EKSTRE!X11="","",_ARA_ORTAK_EKSTRE!X11),IF(_ARA_ORTAK_EKSTRE!AK11="","",_ARA_ORTAK_EKSTRE!AK11))</f>
        <v>-8600.01</v>
      </c>
      <c r="M20" s="156" t="str">
        <f>IF($C$3="ÖMER KARTAL",IF(_ARA_ORTAK_EKSTRE!Y11="","",_ARA_ORTAK_EKSTRE!Y11),IF(_ARA_ORTAK_EKSTRE!AL11="","",_ARA_ORTAK_EKSTRE!AL11))</f>
        <v>VIRMAN</v>
      </c>
    </row>
    <row r="21" spans="2:13" ht="29.25" customHeight="1">
      <c r="B21" s="163" t="str">
        <f>IF($C$3="ÖMER KARTAL",IF(_ARA_ORTAK_EKSTRE!N12="","",_ARA_ORTAK_EKSTRE!N12),IF(_ARA_ORTAK_EKSTRE!AA12="","",_ARA_ORTAK_EKSTRE!AA12))</f>
        <v>ALİ KILIÇ</v>
      </c>
      <c r="C21" s="164" t="str">
        <f>IF($C$3="ÖMER KARTAL",IF(_ARA_ORTAK_EKSTRE!O12="","",_ARA_ORTAK_EKSTRE!O12),IF(_ARA_ORTAK_EKSTRE!AB12="","",_ARA_ORTAK_EKSTRE!AB12))</f>
        <v>30.06.2026</v>
      </c>
      <c r="D21" s="164" t="str">
        <f>IF($C$3="ÖMER KARTAL",IF(_ARA_ORTAK_EKSTRE!P12="","",_ARA_ORTAK_EKSTRE!P12),IF(_ARA_ORTAK_EKSTRE!AC12="","",_ARA_ORTAK_EKSTRE!AC12))</f>
        <v>KÂR PAYI</v>
      </c>
      <c r="E21" s="164" t="str">
        <f>IF($C$3="ÖMER KARTAL",IF(_ARA_ORTAK_EKSTRE!Q12="","",_ARA_ORTAK_EKSTRE!Q12),IF(_ARA_ORTAK_EKSTRE!AD12="","",_ARA_ORTAK_EKSTRE!AD12))</f>
        <v>KÂR PAYI HAKEDİŞİ</v>
      </c>
      <c r="F21" s="164" t="str">
        <f>IF($C$3="ÖMER KARTAL",IF(_ARA_ORTAK_EKSTRE!R12="","",_ARA_ORTAK_EKSTRE!R12),IF(_ARA_ORTAK_EKSTRE!AE12="","",_ARA_ORTAK_EKSTRE!AE12))</f>
        <v>2026-06</v>
      </c>
      <c r="G21" s="159" t="str">
        <f>IF($C$3="ÖMER KARTAL",IF(_ARA_ORTAK_EKSTRE!S12="","",_ARA_ORTAK_EKSTRE!S12),IF(_ARA_ORTAK_EKSTRE!AF12="","",_ARA_ORTAK_EKSTRE!AF12))</f>
        <v>06/2026 aylık nakit kâr hakedişi (%50)</v>
      </c>
      <c r="H21" s="168">
        <f>IF($C$3="ÖMER KARTAL",IF(_ARA_ORTAK_EKSTRE!T12="","",_ARA_ORTAK_EKSTRE!T12),IF(_ARA_ORTAK_EKSTRE!AG12="","",_ARA_ORTAK_EKSTRE!AG12))</f>
        <v>113720</v>
      </c>
      <c r="I21" s="168">
        <f>IF($C$3="ÖMER KARTAL",IF(_ARA_ORTAK_EKSTRE!U12="","",_ARA_ORTAK_EKSTRE!U12),IF(_ARA_ORTAK_EKSTRE!AH12="","",_ARA_ORTAK_EKSTRE!AH12))</f>
        <v>0</v>
      </c>
      <c r="J21" s="168">
        <f>IF($C$3="ÖMER KARTAL",IF(_ARA_ORTAK_EKSTRE!V12="","",_ARA_ORTAK_EKSTRE!V12),IF(_ARA_ORTAK_EKSTRE!AI12="","",_ARA_ORTAK_EKSTRE!AI12))</f>
        <v>113720</v>
      </c>
      <c r="K21" s="168">
        <f>IF($C$3="ÖMER KARTAL",IF(_ARA_ORTAK_EKSTRE!W12="","",_ARA_ORTAK_EKSTRE!W12),IF(_ARA_ORTAK_EKSTRE!AJ12="","",_ARA_ORTAK_EKSTRE!AJ12))</f>
        <v>0</v>
      </c>
      <c r="L21" s="168">
        <f>IF($C$3="ÖMER KARTAL",IF(_ARA_ORTAK_EKSTRE!X12="","",_ARA_ORTAK_EKSTRE!X12),IF(_ARA_ORTAK_EKSTRE!AK12="","",_ARA_ORTAK_EKSTRE!AK12))</f>
        <v>105119.99</v>
      </c>
      <c r="M21" s="156" t="str">
        <f>IF($C$3="ÖMER KARTAL",IF(_ARA_ORTAK_EKSTRE!Y12="","",_ARA_ORTAK_EKSTRE!Y12),IF(_ARA_ORTAK_EKSTRE!AL12="","",_ARA_ORTAK_EKSTRE!AL12))</f>
        <v>AY_SONU / ORACLE</v>
      </c>
    </row>
    <row r="22" spans="2:13" ht="29.25" customHeight="1">
      <c r="B22" s="163" t="str">
        <f>IF($C$3="ÖMER KARTAL",IF(_ARA_ORTAK_EKSTRE!N13="","",_ARA_ORTAK_EKSTRE!N13),IF(_ARA_ORTAK_EKSTRE!AA13="","",_ARA_ORTAK_EKSTRE!AA13))</f>
        <v>ALİ KILIÇ</v>
      </c>
      <c r="C22" s="164" t="str">
        <f>IF($C$3="ÖMER KARTAL",IF(_ARA_ORTAK_EKSTRE!O13="","",_ARA_ORTAK_EKSTRE!O13),IF(_ARA_ORTAK_EKSTRE!AB13="","",_ARA_ORTAK_EKSTRE!AB13))</f>
        <v>30.06.2026</v>
      </c>
      <c r="D22" s="164" t="str">
        <f>IF($C$3="ÖMER KARTAL",IF(_ARA_ORTAK_EKSTRE!P13="","",_ARA_ORTAK_EKSTRE!P13),IF(_ARA_ORTAK_EKSTRE!AC13="","",_ARA_ORTAK_EKSTRE!AC13))</f>
        <v>KÂR PAYI</v>
      </c>
      <c r="E22" s="164" t="str">
        <f>IF($C$3="ÖMER KARTAL",IF(_ARA_ORTAK_EKSTRE!Q13="","",_ARA_ORTAK_EKSTRE!Q13),IF(_ARA_ORTAK_EKSTRE!AD13="","",_ARA_ORTAK_EKSTRE!AD13))</f>
        <v>KÂR PAYI / AVANS ÇEKİŞİ</v>
      </c>
      <c r="F22" s="164" t="str">
        <f>IF($C$3="ÖMER KARTAL",IF(_ARA_ORTAK_EKSTRE!R13="","",_ARA_ORTAK_EKSTRE!R13),IF(_ARA_ORTAK_EKSTRE!AE13="","",_ARA_ORTAK_EKSTRE!AE13))</f>
        <v>V00043</v>
      </c>
      <c r="G22" s="159" t="str">
        <f>IF($C$3="ÖMER KARTAL",IF(_ARA_ORTAK_EKSTRE!S13="","",_ARA_ORTAK_EKSTRE!S13),IF(_ARA_ORTAK_EKSTRE!AF13="","",_ARA_ORTAK_EKSTRE!AF13))</f>
        <v>KÂR PAYI / AVANS ÇEKİŞİ — Haziran Ayı Kâr Payı Ödemesi — eski GELIR_GIDER satır 185</v>
      </c>
      <c r="H22" s="168">
        <f>IF($C$3="ÖMER KARTAL",IF(_ARA_ORTAK_EKSTRE!T13="","",_ARA_ORTAK_EKSTRE!T13),IF(_ARA_ORTAK_EKSTRE!AG13="","",_ARA_ORTAK_EKSTRE!AG13))</f>
        <v>113720</v>
      </c>
      <c r="I22" s="168">
        <f>IF($C$3="ÖMER KARTAL",IF(_ARA_ORTAK_EKSTRE!U13="","",_ARA_ORTAK_EKSTRE!U13),IF(_ARA_ORTAK_EKSTRE!AH13="","",_ARA_ORTAK_EKSTRE!AH13))</f>
        <v>0</v>
      </c>
      <c r="J22" s="168">
        <f>IF($C$3="ÖMER KARTAL",IF(_ARA_ORTAK_EKSTRE!V13="","",_ARA_ORTAK_EKSTRE!V13),IF(_ARA_ORTAK_EKSTRE!AI13="","",_ARA_ORTAK_EKSTRE!AI13))</f>
        <v>-113720</v>
      </c>
      <c r="K22" s="168">
        <f>IF($C$3="ÖMER KARTAL",IF(_ARA_ORTAK_EKSTRE!W13="","",_ARA_ORTAK_EKSTRE!W13),IF(_ARA_ORTAK_EKSTRE!AJ13="","",_ARA_ORTAK_EKSTRE!AJ13))</f>
        <v>0</v>
      </c>
      <c r="L22" s="168">
        <f>IF($C$3="ÖMER KARTAL",IF(_ARA_ORTAK_EKSTRE!X13="","",_ARA_ORTAK_EKSTRE!X13),IF(_ARA_ORTAK_EKSTRE!AK13="","",_ARA_ORTAK_EKSTRE!AK13))</f>
        <v>-8600.01</v>
      </c>
      <c r="M22" s="156" t="str">
        <f>IF($C$3="ÖMER KARTAL",IF(_ARA_ORTAK_EKSTRE!Y13="","",_ARA_ORTAK_EKSTRE!Y13),IF(_ARA_ORTAK_EKSTRE!AL13="","",_ARA_ORTAK_EKSTRE!AL13))</f>
        <v>VIRMAN</v>
      </c>
    </row>
    <row r="23" spans="2:13" ht="29.25" customHeight="1">
      <c r="B23" s="163" t="str">
        <f>IF($C$3="ÖMER KARTAL",IF(_ARA_ORTAK_EKSTRE!N14="","",_ARA_ORTAK_EKSTRE!N14),IF(_ARA_ORTAK_EKSTRE!AA14="","",_ARA_ORTAK_EKSTRE!AA14))</f>
        <v>ALİ KILIÇ</v>
      </c>
      <c r="C23" s="164" t="str">
        <f>IF($C$3="ÖMER KARTAL",IF(_ARA_ORTAK_EKSTRE!O14="","",_ARA_ORTAK_EKSTRE!O14),IF(_ARA_ORTAK_EKSTRE!AB14="","",_ARA_ORTAK_EKSTRE!AB14))</f>
        <v>31.07.2026</v>
      </c>
      <c r="D23" s="164" t="str">
        <f>IF($C$3="ÖMER KARTAL",IF(_ARA_ORTAK_EKSTRE!P14="","",_ARA_ORTAK_EKSTRE!P14),IF(_ARA_ORTAK_EKSTRE!AC14="","",_ARA_ORTAK_EKSTRE!AC14))</f>
        <v>KÂR PAYI</v>
      </c>
      <c r="E23" s="164" t="str">
        <f>IF($C$3="ÖMER KARTAL",IF(_ARA_ORTAK_EKSTRE!Q14="","",_ARA_ORTAK_EKSTRE!Q14),IF(_ARA_ORTAK_EKSTRE!AD14="","",_ARA_ORTAK_EKSTRE!AD14))</f>
        <v>KÂR PAYI HAKEDİŞİ</v>
      </c>
      <c r="F23" s="164" t="str">
        <f>IF($C$3="ÖMER KARTAL",IF(_ARA_ORTAK_EKSTRE!R14="","",_ARA_ORTAK_EKSTRE!R14),IF(_ARA_ORTAK_EKSTRE!AE14="","",_ARA_ORTAK_EKSTRE!AE14))</f>
        <v>2026-07</v>
      </c>
      <c r="G23" s="159" t="str">
        <f>IF($C$3="ÖMER KARTAL",IF(_ARA_ORTAK_EKSTRE!S14="","",_ARA_ORTAK_EKSTRE!S14),IF(_ARA_ORTAK_EKSTRE!AF14="","",_ARA_ORTAK_EKSTRE!AF14))</f>
        <v>07/2026 aylık nakit kâr hakedişi (%50)</v>
      </c>
      <c r="H23" s="168">
        <f>IF($C$3="ÖMER KARTAL",IF(_ARA_ORTAK_EKSTRE!T14="","",_ARA_ORTAK_EKSTRE!T14),IF(_ARA_ORTAK_EKSTRE!AG14="","",_ARA_ORTAK_EKSTRE!AG14))</f>
        <v>58370</v>
      </c>
      <c r="I23" s="168">
        <f>IF($C$3="ÖMER KARTAL",IF(_ARA_ORTAK_EKSTRE!U14="","",_ARA_ORTAK_EKSTRE!U14),IF(_ARA_ORTAK_EKSTRE!AH14="","",_ARA_ORTAK_EKSTRE!AH14))</f>
        <v>0</v>
      </c>
      <c r="J23" s="168">
        <f>IF($C$3="ÖMER KARTAL",IF(_ARA_ORTAK_EKSTRE!V14="","",_ARA_ORTAK_EKSTRE!V14),IF(_ARA_ORTAK_EKSTRE!AI14="","",_ARA_ORTAK_EKSTRE!AI14))</f>
        <v>58370</v>
      </c>
      <c r="K23" s="168">
        <f>IF($C$3="ÖMER KARTAL",IF(_ARA_ORTAK_EKSTRE!W14="","",_ARA_ORTAK_EKSTRE!W14),IF(_ARA_ORTAK_EKSTRE!AJ14="","",_ARA_ORTAK_EKSTRE!AJ14))</f>
        <v>0</v>
      </c>
      <c r="L23" s="168">
        <f>IF($C$3="ÖMER KARTAL",IF(_ARA_ORTAK_EKSTRE!X14="","",_ARA_ORTAK_EKSTRE!X14),IF(_ARA_ORTAK_EKSTRE!AK14="","",_ARA_ORTAK_EKSTRE!AK14))</f>
        <v>49769.99</v>
      </c>
      <c r="M23" s="156" t="str">
        <f>IF($C$3="ÖMER KARTAL",IF(_ARA_ORTAK_EKSTRE!Y14="","",_ARA_ORTAK_EKSTRE!Y14),IF(_ARA_ORTAK_EKSTRE!AL14="","",_ARA_ORTAK_EKSTRE!AL14))</f>
        <v>AY_SONU / ORACLE</v>
      </c>
    </row>
    <row r="24" spans="2:13" ht="29.25" customHeight="1">
      <c r="B24" s="163" t="str">
        <f>IF($C$3="ÖMER KARTAL",IF(_ARA_ORTAK_EKSTRE!N15="","",_ARA_ORTAK_EKSTRE!N15),IF(_ARA_ORTAK_EKSTRE!AA15="","",_ARA_ORTAK_EKSTRE!AA15))</f>
        <v>ALİ KILIÇ</v>
      </c>
      <c r="C24" s="164" t="str">
        <f>IF($C$3="ÖMER KARTAL",IF(_ARA_ORTAK_EKSTRE!O15="","",_ARA_ORTAK_EKSTRE!O15),IF(_ARA_ORTAK_EKSTRE!AB15="","",_ARA_ORTAK_EKSTRE!AB15))</f>
        <v>31.07.2026</v>
      </c>
      <c r="D24" s="164" t="str">
        <f>IF($C$3="ÖMER KARTAL",IF(_ARA_ORTAK_EKSTRE!P15="","",_ARA_ORTAK_EKSTRE!P15),IF(_ARA_ORTAK_EKSTRE!AC15="","",_ARA_ORTAK_EKSTRE!AC15))</f>
        <v>KÂR PAYI</v>
      </c>
      <c r="E24" s="164" t="str">
        <f>IF($C$3="ÖMER KARTAL",IF(_ARA_ORTAK_EKSTRE!Q15="","",_ARA_ORTAK_EKSTRE!Q15),IF(_ARA_ORTAK_EKSTRE!AD15="","",_ARA_ORTAK_EKSTRE!AD15))</f>
        <v>KÂR PAYI / AVANS ÇEKİŞİ</v>
      </c>
      <c r="F24" s="164" t="str">
        <f>IF($C$3="ÖMER KARTAL",IF(_ARA_ORTAK_EKSTRE!R15="","",_ARA_ORTAK_EKSTRE!R15),IF(_ARA_ORTAK_EKSTRE!AE15="","",_ARA_ORTAK_EKSTRE!AE15))</f>
        <v>V00045</v>
      </c>
      <c r="G24" s="159" t="str">
        <f>IF($C$3="ÖMER KARTAL",IF(_ARA_ORTAK_EKSTRE!S15="","",_ARA_ORTAK_EKSTRE!S15),IF(_ARA_ORTAK_EKSTRE!AF15="","",_ARA_ORTAK_EKSTRE!AF15))</f>
        <v>KÂR PAYI / AVANS ÇEKİŞİ — Temmuz Ayı Kâr Payı Ödemesi — eski GELIR_GIDER satır 197</v>
      </c>
      <c r="H24" s="168">
        <f>IF($C$3="ÖMER KARTAL",IF(_ARA_ORTAK_EKSTRE!T15="","",_ARA_ORTAK_EKSTRE!T15),IF(_ARA_ORTAK_EKSTRE!AG15="","",_ARA_ORTAK_EKSTRE!AG15))</f>
        <v>58370</v>
      </c>
      <c r="I24" s="168">
        <f>IF($C$3="ÖMER KARTAL",IF(_ARA_ORTAK_EKSTRE!U15="","",_ARA_ORTAK_EKSTRE!U15),IF(_ARA_ORTAK_EKSTRE!AH15="","",_ARA_ORTAK_EKSTRE!AH15))</f>
        <v>0</v>
      </c>
      <c r="J24" s="168">
        <f>IF($C$3="ÖMER KARTAL",IF(_ARA_ORTAK_EKSTRE!V15="","",_ARA_ORTAK_EKSTRE!V15),IF(_ARA_ORTAK_EKSTRE!AI15="","",_ARA_ORTAK_EKSTRE!AI15))</f>
        <v>-58370</v>
      </c>
      <c r="K24" s="168">
        <f>IF($C$3="ÖMER KARTAL",IF(_ARA_ORTAK_EKSTRE!W15="","",_ARA_ORTAK_EKSTRE!W15),IF(_ARA_ORTAK_EKSTRE!AJ15="","",_ARA_ORTAK_EKSTRE!AJ15))</f>
        <v>0</v>
      </c>
      <c r="L24" s="168">
        <f>IF($C$3="ÖMER KARTAL",IF(_ARA_ORTAK_EKSTRE!X15="","",_ARA_ORTAK_EKSTRE!X15),IF(_ARA_ORTAK_EKSTRE!AK15="","",_ARA_ORTAK_EKSTRE!AK15))</f>
        <v>-8600.01</v>
      </c>
      <c r="M24" s="156" t="str">
        <f>IF($C$3="ÖMER KARTAL",IF(_ARA_ORTAK_EKSTRE!Y15="","",_ARA_ORTAK_EKSTRE!Y15),IF(_ARA_ORTAK_EKSTRE!AL15="","",_ARA_ORTAK_EKSTRE!AL15))</f>
        <v>VIRMAN</v>
      </c>
    </row>
    <row r="25" spans="2:13" ht="29.25" customHeight="1">
      <c r="B25" s="163" t="str">
        <f>IF($C$3="ÖMER KARTAL",IF(_ARA_ORTAK_EKSTRE!N16="","",_ARA_ORTAK_EKSTRE!N16),IF(_ARA_ORTAK_EKSTRE!AA16="","",_ARA_ORTAK_EKSTRE!AA16))</f>
        <v>ALİ KILIÇ</v>
      </c>
      <c r="C25" s="164" t="str">
        <f>IF($C$3="ÖMER KARTAL",IF(_ARA_ORTAK_EKSTRE!O16="","",_ARA_ORTAK_EKSTRE!O16),IF(_ARA_ORTAK_EKSTRE!AB16="","",_ARA_ORTAK_EKSTRE!AB16))</f>
        <v>31.08.2026</v>
      </c>
      <c r="D25" s="164" t="str">
        <f>IF($C$3="ÖMER KARTAL",IF(_ARA_ORTAK_EKSTRE!P16="","",_ARA_ORTAK_EKSTRE!P16),IF(_ARA_ORTAK_EKSTRE!AC16="","",_ARA_ORTAK_EKSTRE!AC16))</f>
        <v>KÂR PAYI</v>
      </c>
      <c r="E25" s="164" t="str">
        <f>IF($C$3="ÖMER KARTAL",IF(_ARA_ORTAK_EKSTRE!Q16="","",_ARA_ORTAK_EKSTRE!Q16),IF(_ARA_ORTAK_EKSTRE!AD16="","",_ARA_ORTAK_EKSTRE!AD16))</f>
        <v>KÂR PAYI HAKEDİŞİ</v>
      </c>
      <c r="F25" s="164" t="str">
        <f>IF($C$3="ÖMER KARTAL",IF(_ARA_ORTAK_EKSTRE!R16="","",_ARA_ORTAK_EKSTRE!R16),IF(_ARA_ORTAK_EKSTRE!AE16="","",_ARA_ORTAK_EKSTRE!AE16))</f>
        <v>2026-08</v>
      </c>
      <c r="G25" s="159" t="str">
        <f>IF($C$3="ÖMER KARTAL",IF(_ARA_ORTAK_EKSTRE!S16="","",_ARA_ORTAK_EKSTRE!S16),IF(_ARA_ORTAK_EKSTRE!AF16="","",_ARA_ORTAK_EKSTRE!AF16))</f>
        <v>08/2026 aylık nakit kâr hakedişi (%50)</v>
      </c>
      <c r="H25" s="168">
        <f>IF($C$3="ÖMER KARTAL",IF(_ARA_ORTAK_EKSTRE!T16="","",_ARA_ORTAK_EKSTRE!T16),IF(_ARA_ORTAK_EKSTRE!AG16="","",_ARA_ORTAK_EKSTRE!AG16))</f>
        <v>136800</v>
      </c>
      <c r="I25" s="168">
        <f>IF($C$3="ÖMER KARTAL",IF(_ARA_ORTAK_EKSTRE!U16="","",_ARA_ORTAK_EKSTRE!U16),IF(_ARA_ORTAK_EKSTRE!AH16="","",_ARA_ORTAK_EKSTRE!AH16))</f>
        <v>0</v>
      </c>
      <c r="J25" s="168">
        <f>IF($C$3="ÖMER KARTAL",IF(_ARA_ORTAK_EKSTRE!V16="","",_ARA_ORTAK_EKSTRE!V16),IF(_ARA_ORTAK_EKSTRE!AI16="","",_ARA_ORTAK_EKSTRE!AI16))</f>
        <v>136800</v>
      </c>
      <c r="K25" s="168">
        <f>IF($C$3="ÖMER KARTAL",IF(_ARA_ORTAK_EKSTRE!W16="","",_ARA_ORTAK_EKSTRE!W16),IF(_ARA_ORTAK_EKSTRE!AJ16="","",_ARA_ORTAK_EKSTRE!AJ16))</f>
        <v>0</v>
      </c>
      <c r="L25" s="168">
        <f>IF($C$3="ÖMER KARTAL",IF(_ARA_ORTAK_EKSTRE!X16="","",_ARA_ORTAK_EKSTRE!X16),IF(_ARA_ORTAK_EKSTRE!AK16="","",_ARA_ORTAK_EKSTRE!AK16))</f>
        <v>128199.99</v>
      </c>
      <c r="M25" s="156" t="str">
        <f>IF($C$3="ÖMER KARTAL",IF(_ARA_ORTAK_EKSTRE!Y16="","",_ARA_ORTAK_EKSTRE!Y16),IF(_ARA_ORTAK_EKSTRE!AL16="","",_ARA_ORTAK_EKSTRE!AL16))</f>
        <v>AY_SONU / ORACLE</v>
      </c>
    </row>
    <row r="26" spans="2:13" ht="29.25" customHeight="1">
      <c r="B26" s="163" t="str">
        <f>IF($C$3="ÖMER KARTAL",IF(_ARA_ORTAK_EKSTRE!N17="","",_ARA_ORTAK_EKSTRE!N17),IF(_ARA_ORTAK_EKSTRE!AA17="","",_ARA_ORTAK_EKSTRE!AA17))</f>
        <v/>
      </c>
      <c r="C26" s="164" t="str">
        <f>IF($C$3="ÖMER KARTAL",IF(_ARA_ORTAK_EKSTRE!O17="","",_ARA_ORTAK_EKSTRE!O17),IF(_ARA_ORTAK_EKSTRE!AB17="","",_ARA_ORTAK_EKSTRE!AB17))</f>
        <v/>
      </c>
      <c r="D26" s="164" t="str">
        <f>IF($C$3="ÖMER KARTAL",IF(_ARA_ORTAK_EKSTRE!P17="","",_ARA_ORTAK_EKSTRE!P17),IF(_ARA_ORTAK_EKSTRE!AC17="","",_ARA_ORTAK_EKSTRE!AC17))</f>
        <v/>
      </c>
      <c r="E26" s="164" t="str">
        <f>IF($C$3="ÖMER KARTAL",IF(_ARA_ORTAK_EKSTRE!Q17="","",_ARA_ORTAK_EKSTRE!Q17),IF(_ARA_ORTAK_EKSTRE!AD17="","",_ARA_ORTAK_EKSTRE!AD17))</f>
        <v/>
      </c>
      <c r="F26" s="164" t="str">
        <f>IF($C$3="ÖMER KARTAL",IF(_ARA_ORTAK_EKSTRE!R17="","",_ARA_ORTAK_EKSTRE!R17),IF(_ARA_ORTAK_EKSTRE!AE17="","",_ARA_ORTAK_EKSTRE!AE17))</f>
        <v/>
      </c>
      <c r="G26" s="159" t="str">
        <f>IF($C$3="ÖMER KARTAL",IF(_ARA_ORTAK_EKSTRE!S17="","",_ARA_ORTAK_EKSTRE!S17),IF(_ARA_ORTAK_EKSTRE!AF17="","",_ARA_ORTAK_EKSTRE!AF17))</f>
        <v/>
      </c>
      <c r="H26" s="168" t="str">
        <f>IF($C$3="ÖMER KARTAL",IF(_ARA_ORTAK_EKSTRE!T17="","",_ARA_ORTAK_EKSTRE!T17),IF(_ARA_ORTAK_EKSTRE!AG17="","",_ARA_ORTAK_EKSTRE!AG17))</f>
        <v/>
      </c>
      <c r="I26" s="168" t="str">
        <f>IF($C$3="ÖMER KARTAL",IF(_ARA_ORTAK_EKSTRE!U17="","",_ARA_ORTAK_EKSTRE!U17),IF(_ARA_ORTAK_EKSTRE!AH17="","",_ARA_ORTAK_EKSTRE!AH17))</f>
        <v/>
      </c>
      <c r="J26" s="168" t="str">
        <f>IF($C$3="ÖMER KARTAL",IF(_ARA_ORTAK_EKSTRE!V17="","",_ARA_ORTAK_EKSTRE!V17),IF(_ARA_ORTAK_EKSTRE!AI17="","",_ARA_ORTAK_EKSTRE!AI17))</f>
        <v/>
      </c>
      <c r="K26" s="168" t="str">
        <f>IF($C$3="ÖMER KARTAL",IF(_ARA_ORTAK_EKSTRE!W17="","",_ARA_ORTAK_EKSTRE!W17),IF(_ARA_ORTAK_EKSTRE!AJ17="","",_ARA_ORTAK_EKSTRE!AJ17))</f>
        <v/>
      </c>
      <c r="L26" s="168" t="str">
        <f>IF($C$3="ÖMER KARTAL",IF(_ARA_ORTAK_EKSTRE!X17="","",_ARA_ORTAK_EKSTRE!X17),IF(_ARA_ORTAK_EKSTRE!AK17="","",_ARA_ORTAK_EKSTRE!AK17))</f>
        <v/>
      </c>
      <c r="M26" s="156" t="str">
        <f>IF($C$3="ÖMER KARTAL",IF(_ARA_ORTAK_EKSTRE!Y17="","",_ARA_ORTAK_EKSTRE!Y17),IF(_ARA_ORTAK_EKSTRE!AL17="","",_ARA_ORTAK_EKSTRE!AL17))</f>
        <v/>
      </c>
    </row>
    <row r="27" spans="2:13" ht="29.25" customHeight="1">
      <c r="B27" s="163" t="str">
        <f>IF($C$3="ÖMER KARTAL",IF(_ARA_ORTAK_EKSTRE!N18="","",_ARA_ORTAK_EKSTRE!N18),IF(_ARA_ORTAK_EKSTRE!AA18="","",_ARA_ORTAK_EKSTRE!AA18))</f>
        <v/>
      </c>
      <c r="C27" s="164" t="str">
        <f>IF($C$3="ÖMER KARTAL",IF(_ARA_ORTAK_EKSTRE!O18="","",_ARA_ORTAK_EKSTRE!O18),IF(_ARA_ORTAK_EKSTRE!AB18="","",_ARA_ORTAK_EKSTRE!AB18))</f>
        <v/>
      </c>
      <c r="D27" s="164" t="str">
        <f>IF($C$3="ÖMER KARTAL",IF(_ARA_ORTAK_EKSTRE!P18="","",_ARA_ORTAK_EKSTRE!P18),IF(_ARA_ORTAK_EKSTRE!AC18="","",_ARA_ORTAK_EKSTRE!AC18))</f>
        <v/>
      </c>
      <c r="E27" s="164" t="str">
        <f>IF($C$3="ÖMER KARTAL",IF(_ARA_ORTAK_EKSTRE!Q18="","",_ARA_ORTAK_EKSTRE!Q18),IF(_ARA_ORTAK_EKSTRE!AD18="","",_ARA_ORTAK_EKSTRE!AD18))</f>
        <v/>
      </c>
      <c r="F27" s="164" t="str">
        <f>IF($C$3="ÖMER KARTAL",IF(_ARA_ORTAK_EKSTRE!R18="","",_ARA_ORTAK_EKSTRE!R18),IF(_ARA_ORTAK_EKSTRE!AE18="","",_ARA_ORTAK_EKSTRE!AE18))</f>
        <v/>
      </c>
      <c r="G27" s="159" t="str">
        <f>IF($C$3="ÖMER KARTAL",IF(_ARA_ORTAK_EKSTRE!S18="","",_ARA_ORTAK_EKSTRE!S18),IF(_ARA_ORTAK_EKSTRE!AF18="","",_ARA_ORTAK_EKSTRE!AF18))</f>
        <v/>
      </c>
      <c r="H27" s="168" t="str">
        <f>IF($C$3="ÖMER KARTAL",IF(_ARA_ORTAK_EKSTRE!T18="","",_ARA_ORTAK_EKSTRE!T18),IF(_ARA_ORTAK_EKSTRE!AG18="","",_ARA_ORTAK_EKSTRE!AG18))</f>
        <v/>
      </c>
      <c r="I27" s="168" t="str">
        <f>IF($C$3="ÖMER KARTAL",IF(_ARA_ORTAK_EKSTRE!U18="","",_ARA_ORTAK_EKSTRE!U18),IF(_ARA_ORTAK_EKSTRE!AH18="","",_ARA_ORTAK_EKSTRE!AH18))</f>
        <v/>
      </c>
      <c r="J27" s="168" t="str">
        <f>IF($C$3="ÖMER KARTAL",IF(_ARA_ORTAK_EKSTRE!V18="","",_ARA_ORTAK_EKSTRE!V18),IF(_ARA_ORTAK_EKSTRE!AI18="","",_ARA_ORTAK_EKSTRE!AI18))</f>
        <v/>
      </c>
      <c r="K27" s="168" t="str">
        <f>IF($C$3="ÖMER KARTAL",IF(_ARA_ORTAK_EKSTRE!W18="","",_ARA_ORTAK_EKSTRE!W18),IF(_ARA_ORTAK_EKSTRE!AJ18="","",_ARA_ORTAK_EKSTRE!AJ18))</f>
        <v/>
      </c>
      <c r="L27" s="168" t="str">
        <f>IF($C$3="ÖMER KARTAL",IF(_ARA_ORTAK_EKSTRE!X18="","",_ARA_ORTAK_EKSTRE!X18),IF(_ARA_ORTAK_EKSTRE!AK18="","",_ARA_ORTAK_EKSTRE!AK18))</f>
        <v/>
      </c>
      <c r="M27" s="156" t="str">
        <f>IF($C$3="ÖMER KARTAL",IF(_ARA_ORTAK_EKSTRE!Y18="","",_ARA_ORTAK_EKSTRE!Y18),IF(_ARA_ORTAK_EKSTRE!AL18="","",_ARA_ORTAK_EKSTRE!AL18))</f>
        <v/>
      </c>
    </row>
    <row r="28" spans="2:13" ht="29.25" customHeight="1">
      <c r="B28" s="163" t="str">
        <f>IF($C$3="ÖMER KARTAL",IF(_ARA_ORTAK_EKSTRE!N19="","",_ARA_ORTAK_EKSTRE!N19),IF(_ARA_ORTAK_EKSTRE!AA19="","",_ARA_ORTAK_EKSTRE!AA19))</f>
        <v/>
      </c>
      <c r="C28" s="164" t="str">
        <f>IF($C$3="ÖMER KARTAL",IF(_ARA_ORTAK_EKSTRE!O19="","",_ARA_ORTAK_EKSTRE!O19),IF(_ARA_ORTAK_EKSTRE!AB19="","",_ARA_ORTAK_EKSTRE!AB19))</f>
        <v/>
      </c>
      <c r="D28" s="164" t="str">
        <f>IF($C$3="ÖMER KARTAL",IF(_ARA_ORTAK_EKSTRE!P19="","",_ARA_ORTAK_EKSTRE!P19),IF(_ARA_ORTAK_EKSTRE!AC19="","",_ARA_ORTAK_EKSTRE!AC19))</f>
        <v/>
      </c>
      <c r="E28" s="164" t="str">
        <f>IF($C$3="ÖMER KARTAL",IF(_ARA_ORTAK_EKSTRE!Q19="","",_ARA_ORTAK_EKSTRE!Q19),IF(_ARA_ORTAK_EKSTRE!AD19="","",_ARA_ORTAK_EKSTRE!AD19))</f>
        <v/>
      </c>
      <c r="F28" s="164" t="str">
        <f>IF($C$3="ÖMER KARTAL",IF(_ARA_ORTAK_EKSTRE!R19="","",_ARA_ORTAK_EKSTRE!R19),IF(_ARA_ORTAK_EKSTRE!AE19="","",_ARA_ORTAK_EKSTRE!AE19))</f>
        <v/>
      </c>
      <c r="G28" s="159" t="str">
        <f>IF($C$3="ÖMER KARTAL",IF(_ARA_ORTAK_EKSTRE!S19="","",_ARA_ORTAK_EKSTRE!S19),IF(_ARA_ORTAK_EKSTRE!AF19="","",_ARA_ORTAK_EKSTRE!AF19))</f>
        <v/>
      </c>
      <c r="H28" s="168" t="str">
        <f>IF($C$3="ÖMER KARTAL",IF(_ARA_ORTAK_EKSTRE!T19="","",_ARA_ORTAK_EKSTRE!T19),IF(_ARA_ORTAK_EKSTRE!AG19="","",_ARA_ORTAK_EKSTRE!AG19))</f>
        <v/>
      </c>
      <c r="I28" s="168" t="str">
        <f>IF($C$3="ÖMER KARTAL",IF(_ARA_ORTAK_EKSTRE!U19="","",_ARA_ORTAK_EKSTRE!U19),IF(_ARA_ORTAK_EKSTRE!AH19="","",_ARA_ORTAK_EKSTRE!AH19))</f>
        <v/>
      </c>
      <c r="J28" s="168" t="str">
        <f>IF($C$3="ÖMER KARTAL",IF(_ARA_ORTAK_EKSTRE!V19="","",_ARA_ORTAK_EKSTRE!V19),IF(_ARA_ORTAK_EKSTRE!AI19="","",_ARA_ORTAK_EKSTRE!AI19))</f>
        <v/>
      </c>
      <c r="K28" s="168" t="str">
        <f>IF($C$3="ÖMER KARTAL",IF(_ARA_ORTAK_EKSTRE!W19="","",_ARA_ORTAK_EKSTRE!W19),IF(_ARA_ORTAK_EKSTRE!AJ19="","",_ARA_ORTAK_EKSTRE!AJ19))</f>
        <v/>
      </c>
      <c r="L28" s="168" t="str">
        <f>IF($C$3="ÖMER KARTAL",IF(_ARA_ORTAK_EKSTRE!X19="","",_ARA_ORTAK_EKSTRE!X19),IF(_ARA_ORTAK_EKSTRE!AK19="","",_ARA_ORTAK_EKSTRE!AK19))</f>
        <v/>
      </c>
      <c r="M28" s="156" t="str">
        <f>IF($C$3="ÖMER KARTAL",IF(_ARA_ORTAK_EKSTRE!Y19="","",_ARA_ORTAK_EKSTRE!Y19),IF(_ARA_ORTAK_EKSTRE!AL19="","",_ARA_ORTAK_EKSTRE!AL19))</f>
        <v/>
      </c>
    </row>
    <row r="29" spans="2:13" ht="29.25" customHeight="1">
      <c r="B29" s="163" t="str">
        <f>IF($C$3="ÖMER KARTAL",IF(_ARA_ORTAK_EKSTRE!N20="","",_ARA_ORTAK_EKSTRE!N20),IF(_ARA_ORTAK_EKSTRE!AA20="","",_ARA_ORTAK_EKSTRE!AA20))</f>
        <v/>
      </c>
      <c r="C29" s="164" t="str">
        <f>IF($C$3="ÖMER KARTAL",IF(_ARA_ORTAK_EKSTRE!O20="","",_ARA_ORTAK_EKSTRE!O20),IF(_ARA_ORTAK_EKSTRE!AB20="","",_ARA_ORTAK_EKSTRE!AB20))</f>
        <v/>
      </c>
      <c r="D29" s="164" t="str">
        <f>IF($C$3="ÖMER KARTAL",IF(_ARA_ORTAK_EKSTRE!P20="","",_ARA_ORTAK_EKSTRE!P20),IF(_ARA_ORTAK_EKSTRE!AC20="","",_ARA_ORTAK_EKSTRE!AC20))</f>
        <v/>
      </c>
      <c r="E29" s="164" t="str">
        <f>IF($C$3="ÖMER KARTAL",IF(_ARA_ORTAK_EKSTRE!Q20="","",_ARA_ORTAK_EKSTRE!Q20),IF(_ARA_ORTAK_EKSTRE!AD20="","",_ARA_ORTAK_EKSTRE!AD20))</f>
        <v/>
      </c>
      <c r="F29" s="164" t="str">
        <f>IF($C$3="ÖMER KARTAL",IF(_ARA_ORTAK_EKSTRE!R20="","",_ARA_ORTAK_EKSTRE!R20),IF(_ARA_ORTAK_EKSTRE!AE20="","",_ARA_ORTAK_EKSTRE!AE20))</f>
        <v/>
      </c>
      <c r="G29" s="159" t="str">
        <f>IF($C$3="ÖMER KARTAL",IF(_ARA_ORTAK_EKSTRE!S20="","",_ARA_ORTAK_EKSTRE!S20),IF(_ARA_ORTAK_EKSTRE!AF20="","",_ARA_ORTAK_EKSTRE!AF20))</f>
        <v/>
      </c>
      <c r="H29" s="168" t="str">
        <f>IF($C$3="ÖMER KARTAL",IF(_ARA_ORTAK_EKSTRE!T20="","",_ARA_ORTAK_EKSTRE!T20),IF(_ARA_ORTAK_EKSTRE!AG20="","",_ARA_ORTAK_EKSTRE!AG20))</f>
        <v/>
      </c>
      <c r="I29" s="168" t="str">
        <f>IF($C$3="ÖMER KARTAL",IF(_ARA_ORTAK_EKSTRE!U20="","",_ARA_ORTAK_EKSTRE!U20),IF(_ARA_ORTAK_EKSTRE!AH20="","",_ARA_ORTAK_EKSTRE!AH20))</f>
        <v/>
      </c>
      <c r="J29" s="168" t="str">
        <f>IF($C$3="ÖMER KARTAL",IF(_ARA_ORTAK_EKSTRE!V20="","",_ARA_ORTAK_EKSTRE!V20),IF(_ARA_ORTAK_EKSTRE!AI20="","",_ARA_ORTAK_EKSTRE!AI20))</f>
        <v/>
      </c>
      <c r="K29" s="168" t="str">
        <f>IF($C$3="ÖMER KARTAL",IF(_ARA_ORTAK_EKSTRE!W20="","",_ARA_ORTAK_EKSTRE!W20),IF(_ARA_ORTAK_EKSTRE!AJ20="","",_ARA_ORTAK_EKSTRE!AJ20))</f>
        <v/>
      </c>
      <c r="L29" s="168" t="str">
        <f>IF($C$3="ÖMER KARTAL",IF(_ARA_ORTAK_EKSTRE!X20="","",_ARA_ORTAK_EKSTRE!X20),IF(_ARA_ORTAK_EKSTRE!AK20="","",_ARA_ORTAK_EKSTRE!AK20))</f>
        <v/>
      </c>
      <c r="M29" s="156" t="str">
        <f>IF($C$3="ÖMER KARTAL",IF(_ARA_ORTAK_EKSTRE!Y20="","",_ARA_ORTAK_EKSTRE!Y20),IF(_ARA_ORTAK_EKSTRE!AL20="","",_ARA_ORTAK_EKSTRE!AL20))</f>
        <v/>
      </c>
    </row>
    <row r="30" spans="2:13" ht="29.25" customHeight="1">
      <c r="B30" s="163" t="str">
        <f>IF($C$3="ÖMER KARTAL",IF(_ARA_ORTAK_EKSTRE!N21="","",_ARA_ORTAK_EKSTRE!N21),IF(_ARA_ORTAK_EKSTRE!AA21="","",_ARA_ORTAK_EKSTRE!AA21))</f>
        <v/>
      </c>
      <c r="C30" s="164" t="str">
        <f>IF($C$3="ÖMER KARTAL",IF(_ARA_ORTAK_EKSTRE!O21="","",_ARA_ORTAK_EKSTRE!O21),IF(_ARA_ORTAK_EKSTRE!AB21="","",_ARA_ORTAK_EKSTRE!AB21))</f>
        <v/>
      </c>
      <c r="D30" s="164" t="str">
        <f>IF($C$3="ÖMER KARTAL",IF(_ARA_ORTAK_EKSTRE!P21="","",_ARA_ORTAK_EKSTRE!P21),IF(_ARA_ORTAK_EKSTRE!AC21="","",_ARA_ORTAK_EKSTRE!AC21))</f>
        <v/>
      </c>
      <c r="E30" s="164" t="str">
        <f>IF($C$3="ÖMER KARTAL",IF(_ARA_ORTAK_EKSTRE!Q21="","",_ARA_ORTAK_EKSTRE!Q21),IF(_ARA_ORTAK_EKSTRE!AD21="","",_ARA_ORTAK_EKSTRE!AD21))</f>
        <v/>
      </c>
      <c r="F30" s="164" t="str">
        <f>IF($C$3="ÖMER KARTAL",IF(_ARA_ORTAK_EKSTRE!R21="","",_ARA_ORTAK_EKSTRE!R21),IF(_ARA_ORTAK_EKSTRE!AE21="","",_ARA_ORTAK_EKSTRE!AE21))</f>
        <v/>
      </c>
      <c r="G30" s="159" t="str">
        <f>IF($C$3="ÖMER KARTAL",IF(_ARA_ORTAK_EKSTRE!S21="","",_ARA_ORTAK_EKSTRE!S21),IF(_ARA_ORTAK_EKSTRE!AF21="","",_ARA_ORTAK_EKSTRE!AF21))</f>
        <v/>
      </c>
      <c r="H30" s="168" t="str">
        <f>IF($C$3="ÖMER KARTAL",IF(_ARA_ORTAK_EKSTRE!T21="","",_ARA_ORTAK_EKSTRE!T21),IF(_ARA_ORTAK_EKSTRE!AG21="","",_ARA_ORTAK_EKSTRE!AG21))</f>
        <v/>
      </c>
      <c r="I30" s="168" t="str">
        <f>IF($C$3="ÖMER KARTAL",IF(_ARA_ORTAK_EKSTRE!U21="","",_ARA_ORTAK_EKSTRE!U21),IF(_ARA_ORTAK_EKSTRE!AH21="","",_ARA_ORTAK_EKSTRE!AH21))</f>
        <v/>
      </c>
      <c r="J30" s="168" t="str">
        <f>IF($C$3="ÖMER KARTAL",IF(_ARA_ORTAK_EKSTRE!V21="","",_ARA_ORTAK_EKSTRE!V21),IF(_ARA_ORTAK_EKSTRE!AI21="","",_ARA_ORTAK_EKSTRE!AI21))</f>
        <v/>
      </c>
      <c r="K30" s="168" t="str">
        <f>IF($C$3="ÖMER KARTAL",IF(_ARA_ORTAK_EKSTRE!W21="","",_ARA_ORTAK_EKSTRE!W21),IF(_ARA_ORTAK_EKSTRE!AJ21="","",_ARA_ORTAK_EKSTRE!AJ21))</f>
        <v/>
      </c>
      <c r="L30" s="168" t="str">
        <f>IF($C$3="ÖMER KARTAL",IF(_ARA_ORTAK_EKSTRE!X21="","",_ARA_ORTAK_EKSTRE!X21),IF(_ARA_ORTAK_EKSTRE!AK21="","",_ARA_ORTAK_EKSTRE!AK21))</f>
        <v/>
      </c>
      <c r="M30" s="156" t="str">
        <f>IF($C$3="ÖMER KARTAL",IF(_ARA_ORTAK_EKSTRE!Y21="","",_ARA_ORTAK_EKSTRE!Y21),IF(_ARA_ORTAK_EKSTRE!AL21="","",_ARA_ORTAK_EKSTRE!AL21))</f>
        <v/>
      </c>
    </row>
    <row r="31" spans="2:13" ht="29.25" customHeight="1">
      <c r="B31" s="163" t="str">
        <f>IF($C$3="ÖMER KARTAL",IF(_ARA_ORTAK_EKSTRE!N22="","",_ARA_ORTAK_EKSTRE!N22),IF(_ARA_ORTAK_EKSTRE!AA22="","",_ARA_ORTAK_EKSTRE!AA22))</f>
        <v/>
      </c>
      <c r="C31" s="164" t="str">
        <f>IF($C$3="ÖMER KARTAL",IF(_ARA_ORTAK_EKSTRE!O22="","",_ARA_ORTAK_EKSTRE!O22),IF(_ARA_ORTAK_EKSTRE!AB22="","",_ARA_ORTAK_EKSTRE!AB22))</f>
        <v/>
      </c>
      <c r="D31" s="164" t="str">
        <f>IF($C$3="ÖMER KARTAL",IF(_ARA_ORTAK_EKSTRE!P22="","",_ARA_ORTAK_EKSTRE!P22),IF(_ARA_ORTAK_EKSTRE!AC22="","",_ARA_ORTAK_EKSTRE!AC22))</f>
        <v/>
      </c>
      <c r="E31" s="164" t="str">
        <f>IF($C$3="ÖMER KARTAL",IF(_ARA_ORTAK_EKSTRE!Q22="","",_ARA_ORTAK_EKSTRE!Q22),IF(_ARA_ORTAK_EKSTRE!AD22="","",_ARA_ORTAK_EKSTRE!AD22))</f>
        <v/>
      </c>
      <c r="F31" s="164" t="str">
        <f>IF($C$3="ÖMER KARTAL",IF(_ARA_ORTAK_EKSTRE!R22="","",_ARA_ORTAK_EKSTRE!R22),IF(_ARA_ORTAK_EKSTRE!AE22="","",_ARA_ORTAK_EKSTRE!AE22))</f>
        <v/>
      </c>
      <c r="G31" s="159" t="str">
        <f>IF($C$3="ÖMER KARTAL",IF(_ARA_ORTAK_EKSTRE!S22="","",_ARA_ORTAK_EKSTRE!S22),IF(_ARA_ORTAK_EKSTRE!AF22="","",_ARA_ORTAK_EKSTRE!AF22))</f>
        <v/>
      </c>
      <c r="H31" s="168" t="str">
        <f>IF($C$3="ÖMER KARTAL",IF(_ARA_ORTAK_EKSTRE!T22="","",_ARA_ORTAK_EKSTRE!T22),IF(_ARA_ORTAK_EKSTRE!AG22="","",_ARA_ORTAK_EKSTRE!AG22))</f>
        <v/>
      </c>
      <c r="I31" s="168" t="str">
        <f>IF($C$3="ÖMER KARTAL",IF(_ARA_ORTAK_EKSTRE!U22="","",_ARA_ORTAK_EKSTRE!U22),IF(_ARA_ORTAK_EKSTRE!AH22="","",_ARA_ORTAK_EKSTRE!AH22))</f>
        <v/>
      </c>
      <c r="J31" s="168" t="str">
        <f>IF($C$3="ÖMER KARTAL",IF(_ARA_ORTAK_EKSTRE!V22="","",_ARA_ORTAK_EKSTRE!V22),IF(_ARA_ORTAK_EKSTRE!AI22="","",_ARA_ORTAK_EKSTRE!AI22))</f>
        <v/>
      </c>
      <c r="K31" s="168" t="str">
        <f>IF($C$3="ÖMER KARTAL",IF(_ARA_ORTAK_EKSTRE!W22="","",_ARA_ORTAK_EKSTRE!W22),IF(_ARA_ORTAK_EKSTRE!AJ22="","",_ARA_ORTAK_EKSTRE!AJ22))</f>
        <v/>
      </c>
      <c r="L31" s="168" t="str">
        <f>IF($C$3="ÖMER KARTAL",IF(_ARA_ORTAK_EKSTRE!X22="","",_ARA_ORTAK_EKSTRE!X22),IF(_ARA_ORTAK_EKSTRE!AK22="","",_ARA_ORTAK_EKSTRE!AK22))</f>
        <v/>
      </c>
      <c r="M31" s="156" t="str">
        <f>IF($C$3="ÖMER KARTAL",IF(_ARA_ORTAK_EKSTRE!Y22="","",_ARA_ORTAK_EKSTRE!Y22),IF(_ARA_ORTAK_EKSTRE!AL22="","",_ARA_ORTAK_EKSTRE!AL22))</f>
        <v/>
      </c>
    </row>
    <row r="32" spans="2:13" ht="29.25" customHeight="1">
      <c r="B32" s="163" t="str">
        <f>IF($C$3="ÖMER KARTAL",IF(_ARA_ORTAK_EKSTRE!N23="","",_ARA_ORTAK_EKSTRE!N23),IF(_ARA_ORTAK_EKSTRE!AA23="","",_ARA_ORTAK_EKSTRE!AA23))</f>
        <v/>
      </c>
      <c r="C32" s="164" t="str">
        <f>IF($C$3="ÖMER KARTAL",IF(_ARA_ORTAK_EKSTRE!O23="","",_ARA_ORTAK_EKSTRE!O23),IF(_ARA_ORTAK_EKSTRE!AB23="","",_ARA_ORTAK_EKSTRE!AB23))</f>
        <v/>
      </c>
      <c r="D32" s="164" t="str">
        <f>IF($C$3="ÖMER KARTAL",IF(_ARA_ORTAK_EKSTRE!P23="","",_ARA_ORTAK_EKSTRE!P23),IF(_ARA_ORTAK_EKSTRE!AC23="","",_ARA_ORTAK_EKSTRE!AC23))</f>
        <v/>
      </c>
      <c r="E32" s="164" t="str">
        <f>IF($C$3="ÖMER KARTAL",IF(_ARA_ORTAK_EKSTRE!Q23="","",_ARA_ORTAK_EKSTRE!Q23),IF(_ARA_ORTAK_EKSTRE!AD23="","",_ARA_ORTAK_EKSTRE!AD23))</f>
        <v/>
      </c>
      <c r="F32" s="164" t="str">
        <f>IF($C$3="ÖMER KARTAL",IF(_ARA_ORTAK_EKSTRE!R23="","",_ARA_ORTAK_EKSTRE!R23),IF(_ARA_ORTAK_EKSTRE!AE23="","",_ARA_ORTAK_EKSTRE!AE23))</f>
        <v/>
      </c>
      <c r="G32" s="159" t="str">
        <f>IF($C$3="ÖMER KARTAL",IF(_ARA_ORTAK_EKSTRE!S23="","",_ARA_ORTAK_EKSTRE!S23),IF(_ARA_ORTAK_EKSTRE!AF23="","",_ARA_ORTAK_EKSTRE!AF23))</f>
        <v/>
      </c>
      <c r="H32" s="168" t="str">
        <f>IF($C$3="ÖMER KARTAL",IF(_ARA_ORTAK_EKSTRE!T23="","",_ARA_ORTAK_EKSTRE!T23),IF(_ARA_ORTAK_EKSTRE!AG23="","",_ARA_ORTAK_EKSTRE!AG23))</f>
        <v/>
      </c>
      <c r="I32" s="168" t="str">
        <f>IF($C$3="ÖMER KARTAL",IF(_ARA_ORTAK_EKSTRE!U23="","",_ARA_ORTAK_EKSTRE!U23),IF(_ARA_ORTAK_EKSTRE!AH23="","",_ARA_ORTAK_EKSTRE!AH23))</f>
        <v/>
      </c>
      <c r="J32" s="168" t="str">
        <f>IF($C$3="ÖMER KARTAL",IF(_ARA_ORTAK_EKSTRE!V23="","",_ARA_ORTAK_EKSTRE!V23),IF(_ARA_ORTAK_EKSTRE!AI23="","",_ARA_ORTAK_EKSTRE!AI23))</f>
        <v/>
      </c>
      <c r="K32" s="168" t="str">
        <f>IF($C$3="ÖMER KARTAL",IF(_ARA_ORTAK_EKSTRE!W23="","",_ARA_ORTAK_EKSTRE!W23),IF(_ARA_ORTAK_EKSTRE!AJ23="","",_ARA_ORTAK_EKSTRE!AJ23))</f>
        <v/>
      </c>
      <c r="L32" s="168" t="str">
        <f>IF($C$3="ÖMER KARTAL",IF(_ARA_ORTAK_EKSTRE!X23="","",_ARA_ORTAK_EKSTRE!X23),IF(_ARA_ORTAK_EKSTRE!AK23="","",_ARA_ORTAK_EKSTRE!AK23))</f>
        <v/>
      </c>
      <c r="M32" s="156" t="str">
        <f>IF($C$3="ÖMER KARTAL",IF(_ARA_ORTAK_EKSTRE!Y23="","",_ARA_ORTAK_EKSTRE!Y23),IF(_ARA_ORTAK_EKSTRE!AL23="","",_ARA_ORTAK_EKSTRE!AL23))</f>
        <v/>
      </c>
    </row>
    <row r="33" spans="2:13" ht="29.25" customHeight="1">
      <c r="B33" s="163" t="str">
        <f>IF($C$3="ÖMER KARTAL",IF(_ARA_ORTAK_EKSTRE!N24="","",_ARA_ORTAK_EKSTRE!N24),IF(_ARA_ORTAK_EKSTRE!AA24="","",_ARA_ORTAK_EKSTRE!AA24))</f>
        <v/>
      </c>
      <c r="C33" s="164" t="str">
        <f>IF($C$3="ÖMER KARTAL",IF(_ARA_ORTAK_EKSTRE!O24="","",_ARA_ORTAK_EKSTRE!O24),IF(_ARA_ORTAK_EKSTRE!AB24="","",_ARA_ORTAK_EKSTRE!AB24))</f>
        <v/>
      </c>
      <c r="D33" s="164" t="str">
        <f>IF($C$3="ÖMER KARTAL",IF(_ARA_ORTAK_EKSTRE!P24="","",_ARA_ORTAK_EKSTRE!P24),IF(_ARA_ORTAK_EKSTRE!AC24="","",_ARA_ORTAK_EKSTRE!AC24))</f>
        <v/>
      </c>
      <c r="E33" s="164" t="str">
        <f>IF($C$3="ÖMER KARTAL",IF(_ARA_ORTAK_EKSTRE!Q24="","",_ARA_ORTAK_EKSTRE!Q24),IF(_ARA_ORTAK_EKSTRE!AD24="","",_ARA_ORTAK_EKSTRE!AD24))</f>
        <v/>
      </c>
      <c r="F33" s="164" t="str">
        <f>IF($C$3="ÖMER KARTAL",IF(_ARA_ORTAK_EKSTRE!R24="","",_ARA_ORTAK_EKSTRE!R24),IF(_ARA_ORTAK_EKSTRE!AE24="","",_ARA_ORTAK_EKSTRE!AE24))</f>
        <v/>
      </c>
      <c r="G33" s="159" t="str">
        <f>IF($C$3="ÖMER KARTAL",IF(_ARA_ORTAK_EKSTRE!S24="","",_ARA_ORTAK_EKSTRE!S24),IF(_ARA_ORTAK_EKSTRE!AF24="","",_ARA_ORTAK_EKSTRE!AF24))</f>
        <v/>
      </c>
      <c r="H33" s="168" t="str">
        <f>IF($C$3="ÖMER KARTAL",IF(_ARA_ORTAK_EKSTRE!T24="","",_ARA_ORTAK_EKSTRE!T24),IF(_ARA_ORTAK_EKSTRE!AG24="","",_ARA_ORTAK_EKSTRE!AG24))</f>
        <v/>
      </c>
      <c r="I33" s="168" t="str">
        <f>IF($C$3="ÖMER KARTAL",IF(_ARA_ORTAK_EKSTRE!U24="","",_ARA_ORTAK_EKSTRE!U24),IF(_ARA_ORTAK_EKSTRE!AH24="","",_ARA_ORTAK_EKSTRE!AH24))</f>
        <v/>
      </c>
      <c r="J33" s="168" t="str">
        <f>IF($C$3="ÖMER KARTAL",IF(_ARA_ORTAK_EKSTRE!V24="","",_ARA_ORTAK_EKSTRE!V24),IF(_ARA_ORTAK_EKSTRE!AI24="","",_ARA_ORTAK_EKSTRE!AI24))</f>
        <v/>
      </c>
      <c r="K33" s="168" t="str">
        <f>IF($C$3="ÖMER KARTAL",IF(_ARA_ORTAK_EKSTRE!W24="","",_ARA_ORTAK_EKSTRE!W24),IF(_ARA_ORTAK_EKSTRE!AJ24="","",_ARA_ORTAK_EKSTRE!AJ24))</f>
        <v/>
      </c>
      <c r="L33" s="168" t="str">
        <f>IF($C$3="ÖMER KARTAL",IF(_ARA_ORTAK_EKSTRE!X24="","",_ARA_ORTAK_EKSTRE!X24),IF(_ARA_ORTAK_EKSTRE!AK24="","",_ARA_ORTAK_EKSTRE!AK24))</f>
        <v/>
      </c>
      <c r="M33" s="156" t="str">
        <f>IF($C$3="ÖMER KARTAL",IF(_ARA_ORTAK_EKSTRE!Y24="","",_ARA_ORTAK_EKSTRE!Y24),IF(_ARA_ORTAK_EKSTRE!AL24="","",_ARA_ORTAK_EKSTRE!AL24))</f>
        <v/>
      </c>
    </row>
    <row r="34" spans="2:13" ht="29.25" customHeight="1">
      <c r="B34" s="163" t="str">
        <f>IF($C$3="ÖMER KARTAL",IF(_ARA_ORTAK_EKSTRE!N25="","",_ARA_ORTAK_EKSTRE!N25),IF(_ARA_ORTAK_EKSTRE!AA25="","",_ARA_ORTAK_EKSTRE!AA25))</f>
        <v/>
      </c>
      <c r="C34" s="164" t="str">
        <f>IF($C$3="ÖMER KARTAL",IF(_ARA_ORTAK_EKSTRE!O25="","",_ARA_ORTAK_EKSTRE!O25),IF(_ARA_ORTAK_EKSTRE!AB25="","",_ARA_ORTAK_EKSTRE!AB25))</f>
        <v/>
      </c>
      <c r="D34" s="164" t="str">
        <f>IF($C$3="ÖMER KARTAL",IF(_ARA_ORTAK_EKSTRE!P25="","",_ARA_ORTAK_EKSTRE!P25),IF(_ARA_ORTAK_EKSTRE!AC25="","",_ARA_ORTAK_EKSTRE!AC25))</f>
        <v/>
      </c>
      <c r="E34" s="164" t="str">
        <f>IF($C$3="ÖMER KARTAL",IF(_ARA_ORTAK_EKSTRE!Q25="","",_ARA_ORTAK_EKSTRE!Q25),IF(_ARA_ORTAK_EKSTRE!AD25="","",_ARA_ORTAK_EKSTRE!AD25))</f>
        <v/>
      </c>
      <c r="F34" s="164" t="str">
        <f>IF($C$3="ÖMER KARTAL",IF(_ARA_ORTAK_EKSTRE!R25="","",_ARA_ORTAK_EKSTRE!R25),IF(_ARA_ORTAK_EKSTRE!AE25="","",_ARA_ORTAK_EKSTRE!AE25))</f>
        <v/>
      </c>
      <c r="G34" s="159" t="str">
        <f>IF($C$3="ÖMER KARTAL",IF(_ARA_ORTAK_EKSTRE!S25="","",_ARA_ORTAK_EKSTRE!S25),IF(_ARA_ORTAK_EKSTRE!AF25="","",_ARA_ORTAK_EKSTRE!AF25))</f>
        <v/>
      </c>
      <c r="H34" s="168" t="str">
        <f>IF($C$3="ÖMER KARTAL",IF(_ARA_ORTAK_EKSTRE!T25="","",_ARA_ORTAK_EKSTRE!T25),IF(_ARA_ORTAK_EKSTRE!AG25="","",_ARA_ORTAK_EKSTRE!AG25))</f>
        <v/>
      </c>
      <c r="I34" s="168" t="str">
        <f>IF($C$3="ÖMER KARTAL",IF(_ARA_ORTAK_EKSTRE!U25="","",_ARA_ORTAK_EKSTRE!U25),IF(_ARA_ORTAK_EKSTRE!AH25="","",_ARA_ORTAK_EKSTRE!AH25))</f>
        <v/>
      </c>
      <c r="J34" s="168" t="str">
        <f>IF($C$3="ÖMER KARTAL",IF(_ARA_ORTAK_EKSTRE!V25="","",_ARA_ORTAK_EKSTRE!V25),IF(_ARA_ORTAK_EKSTRE!AI25="","",_ARA_ORTAK_EKSTRE!AI25))</f>
        <v/>
      </c>
      <c r="K34" s="168" t="str">
        <f>IF($C$3="ÖMER KARTAL",IF(_ARA_ORTAK_EKSTRE!W25="","",_ARA_ORTAK_EKSTRE!W25),IF(_ARA_ORTAK_EKSTRE!AJ25="","",_ARA_ORTAK_EKSTRE!AJ25))</f>
        <v/>
      </c>
      <c r="L34" s="168" t="str">
        <f>IF($C$3="ÖMER KARTAL",IF(_ARA_ORTAK_EKSTRE!X25="","",_ARA_ORTAK_EKSTRE!X25),IF(_ARA_ORTAK_EKSTRE!AK25="","",_ARA_ORTAK_EKSTRE!AK25))</f>
        <v/>
      </c>
      <c r="M34" s="156" t="str">
        <f>IF($C$3="ÖMER KARTAL",IF(_ARA_ORTAK_EKSTRE!Y25="","",_ARA_ORTAK_EKSTRE!Y25),IF(_ARA_ORTAK_EKSTRE!AL25="","",_ARA_ORTAK_EKSTRE!AL25))</f>
        <v/>
      </c>
    </row>
    <row r="35" spans="2:13" ht="29.25" customHeight="1">
      <c r="B35" s="163" t="str">
        <f>IF($C$3="ÖMER KARTAL",IF(_ARA_ORTAK_EKSTRE!N26="","",_ARA_ORTAK_EKSTRE!N26),IF(_ARA_ORTAK_EKSTRE!AA26="","",_ARA_ORTAK_EKSTRE!AA26))</f>
        <v/>
      </c>
      <c r="C35" s="164" t="str">
        <f>IF($C$3="ÖMER KARTAL",IF(_ARA_ORTAK_EKSTRE!O26="","",_ARA_ORTAK_EKSTRE!O26),IF(_ARA_ORTAK_EKSTRE!AB26="","",_ARA_ORTAK_EKSTRE!AB26))</f>
        <v/>
      </c>
      <c r="D35" s="164" t="str">
        <f>IF($C$3="ÖMER KARTAL",IF(_ARA_ORTAK_EKSTRE!P26="","",_ARA_ORTAK_EKSTRE!P26),IF(_ARA_ORTAK_EKSTRE!AC26="","",_ARA_ORTAK_EKSTRE!AC26))</f>
        <v/>
      </c>
      <c r="E35" s="164" t="str">
        <f>IF($C$3="ÖMER KARTAL",IF(_ARA_ORTAK_EKSTRE!Q26="","",_ARA_ORTAK_EKSTRE!Q26),IF(_ARA_ORTAK_EKSTRE!AD26="","",_ARA_ORTAK_EKSTRE!AD26))</f>
        <v/>
      </c>
      <c r="F35" s="164" t="str">
        <f>IF($C$3="ÖMER KARTAL",IF(_ARA_ORTAK_EKSTRE!R26="","",_ARA_ORTAK_EKSTRE!R26),IF(_ARA_ORTAK_EKSTRE!AE26="","",_ARA_ORTAK_EKSTRE!AE26))</f>
        <v/>
      </c>
      <c r="G35" s="159" t="str">
        <f>IF($C$3="ÖMER KARTAL",IF(_ARA_ORTAK_EKSTRE!S26="","",_ARA_ORTAK_EKSTRE!S26),IF(_ARA_ORTAK_EKSTRE!AF26="","",_ARA_ORTAK_EKSTRE!AF26))</f>
        <v/>
      </c>
      <c r="H35" s="168" t="str">
        <f>IF($C$3="ÖMER KARTAL",IF(_ARA_ORTAK_EKSTRE!T26="","",_ARA_ORTAK_EKSTRE!T26),IF(_ARA_ORTAK_EKSTRE!AG26="","",_ARA_ORTAK_EKSTRE!AG26))</f>
        <v/>
      </c>
      <c r="I35" s="168" t="str">
        <f>IF($C$3="ÖMER KARTAL",IF(_ARA_ORTAK_EKSTRE!U26="","",_ARA_ORTAK_EKSTRE!U26),IF(_ARA_ORTAK_EKSTRE!AH26="","",_ARA_ORTAK_EKSTRE!AH26))</f>
        <v/>
      </c>
      <c r="J35" s="168" t="str">
        <f>IF($C$3="ÖMER KARTAL",IF(_ARA_ORTAK_EKSTRE!V26="","",_ARA_ORTAK_EKSTRE!V26),IF(_ARA_ORTAK_EKSTRE!AI26="","",_ARA_ORTAK_EKSTRE!AI26))</f>
        <v/>
      </c>
      <c r="K35" s="168" t="str">
        <f>IF($C$3="ÖMER KARTAL",IF(_ARA_ORTAK_EKSTRE!W26="","",_ARA_ORTAK_EKSTRE!W26),IF(_ARA_ORTAK_EKSTRE!AJ26="","",_ARA_ORTAK_EKSTRE!AJ26))</f>
        <v/>
      </c>
      <c r="L35" s="168" t="str">
        <f>IF($C$3="ÖMER KARTAL",IF(_ARA_ORTAK_EKSTRE!X26="","",_ARA_ORTAK_EKSTRE!X26),IF(_ARA_ORTAK_EKSTRE!AK26="","",_ARA_ORTAK_EKSTRE!AK26))</f>
        <v/>
      </c>
      <c r="M35" s="156" t="str">
        <f>IF($C$3="ÖMER KARTAL",IF(_ARA_ORTAK_EKSTRE!Y26="","",_ARA_ORTAK_EKSTRE!Y26),IF(_ARA_ORTAK_EKSTRE!AL26="","",_ARA_ORTAK_EKSTRE!AL26))</f>
        <v/>
      </c>
    </row>
    <row r="36" spans="2:13" ht="29.25" customHeight="1">
      <c r="B36" s="163" t="str">
        <f>IF($C$3="ÖMER KARTAL",IF(_ARA_ORTAK_EKSTRE!N27="","",_ARA_ORTAK_EKSTRE!N27),IF(_ARA_ORTAK_EKSTRE!AA27="","",_ARA_ORTAK_EKSTRE!AA27))</f>
        <v/>
      </c>
      <c r="C36" s="164" t="str">
        <f>IF($C$3="ÖMER KARTAL",IF(_ARA_ORTAK_EKSTRE!O27="","",_ARA_ORTAK_EKSTRE!O27),IF(_ARA_ORTAK_EKSTRE!AB27="","",_ARA_ORTAK_EKSTRE!AB27))</f>
        <v/>
      </c>
      <c r="D36" s="164" t="str">
        <f>IF($C$3="ÖMER KARTAL",IF(_ARA_ORTAK_EKSTRE!P27="","",_ARA_ORTAK_EKSTRE!P27),IF(_ARA_ORTAK_EKSTRE!AC27="","",_ARA_ORTAK_EKSTRE!AC27))</f>
        <v/>
      </c>
      <c r="E36" s="164" t="str">
        <f>IF($C$3="ÖMER KARTAL",IF(_ARA_ORTAK_EKSTRE!Q27="","",_ARA_ORTAK_EKSTRE!Q27),IF(_ARA_ORTAK_EKSTRE!AD27="","",_ARA_ORTAK_EKSTRE!AD27))</f>
        <v/>
      </c>
      <c r="F36" s="164" t="str">
        <f>IF($C$3="ÖMER KARTAL",IF(_ARA_ORTAK_EKSTRE!R27="","",_ARA_ORTAK_EKSTRE!R27),IF(_ARA_ORTAK_EKSTRE!AE27="","",_ARA_ORTAK_EKSTRE!AE27))</f>
        <v/>
      </c>
      <c r="G36" s="159" t="str">
        <f>IF($C$3="ÖMER KARTAL",IF(_ARA_ORTAK_EKSTRE!S27="","",_ARA_ORTAK_EKSTRE!S27),IF(_ARA_ORTAK_EKSTRE!AF27="","",_ARA_ORTAK_EKSTRE!AF27))</f>
        <v/>
      </c>
      <c r="H36" s="168" t="str">
        <f>IF($C$3="ÖMER KARTAL",IF(_ARA_ORTAK_EKSTRE!T27="","",_ARA_ORTAK_EKSTRE!T27),IF(_ARA_ORTAK_EKSTRE!AG27="","",_ARA_ORTAK_EKSTRE!AG27))</f>
        <v/>
      </c>
      <c r="I36" s="168" t="str">
        <f>IF($C$3="ÖMER KARTAL",IF(_ARA_ORTAK_EKSTRE!U27="","",_ARA_ORTAK_EKSTRE!U27),IF(_ARA_ORTAK_EKSTRE!AH27="","",_ARA_ORTAK_EKSTRE!AH27))</f>
        <v/>
      </c>
      <c r="J36" s="168" t="str">
        <f>IF($C$3="ÖMER KARTAL",IF(_ARA_ORTAK_EKSTRE!V27="","",_ARA_ORTAK_EKSTRE!V27),IF(_ARA_ORTAK_EKSTRE!AI27="","",_ARA_ORTAK_EKSTRE!AI27))</f>
        <v/>
      </c>
      <c r="K36" s="168" t="str">
        <f>IF($C$3="ÖMER KARTAL",IF(_ARA_ORTAK_EKSTRE!W27="","",_ARA_ORTAK_EKSTRE!W27),IF(_ARA_ORTAK_EKSTRE!AJ27="","",_ARA_ORTAK_EKSTRE!AJ27))</f>
        <v/>
      </c>
      <c r="L36" s="168" t="str">
        <f>IF($C$3="ÖMER KARTAL",IF(_ARA_ORTAK_EKSTRE!X27="","",_ARA_ORTAK_EKSTRE!X27),IF(_ARA_ORTAK_EKSTRE!AK27="","",_ARA_ORTAK_EKSTRE!AK27))</f>
        <v/>
      </c>
      <c r="M36" s="156" t="str">
        <f>IF($C$3="ÖMER KARTAL",IF(_ARA_ORTAK_EKSTRE!Y27="","",_ARA_ORTAK_EKSTRE!Y27),IF(_ARA_ORTAK_EKSTRE!AL27="","",_ARA_ORTAK_EKSTRE!AL27))</f>
        <v/>
      </c>
    </row>
    <row r="37" spans="2:13" ht="29.25" customHeight="1">
      <c r="B37" s="163" t="str">
        <f>IF($C$3="ÖMER KARTAL",IF(_ARA_ORTAK_EKSTRE!N28="","",_ARA_ORTAK_EKSTRE!N28),IF(_ARA_ORTAK_EKSTRE!AA28="","",_ARA_ORTAK_EKSTRE!AA28))</f>
        <v/>
      </c>
      <c r="C37" s="164" t="str">
        <f>IF($C$3="ÖMER KARTAL",IF(_ARA_ORTAK_EKSTRE!O28="","",_ARA_ORTAK_EKSTRE!O28),IF(_ARA_ORTAK_EKSTRE!AB28="","",_ARA_ORTAK_EKSTRE!AB28))</f>
        <v/>
      </c>
      <c r="D37" s="164" t="str">
        <f>IF($C$3="ÖMER KARTAL",IF(_ARA_ORTAK_EKSTRE!P28="","",_ARA_ORTAK_EKSTRE!P28),IF(_ARA_ORTAK_EKSTRE!AC28="","",_ARA_ORTAK_EKSTRE!AC28))</f>
        <v/>
      </c>
      <c r="E37" s="164" t="str">
        <f>IF($C$3="ÖMER KARTAL",IF(_ARA_ORTAK_EKSTRE!Q28="","",_ARA_ORTAK_EKSTRE!Q28),IF(_ARA_ORTAK_EKSTRE!AD28="","",_ARA_ORTAK_EKSTRE!AD28))</f>
        <v/>
      </c>
      <c r="F37" s="164" t="str">
        <f>IF($C$3="ÖMER KARTAL",IF(_ARA_ORTAK_EKSTRE!R28="","",_ARA_ORTAK_EKSTRE!R28),IF(_ARA_ORTAK_EKSTRE!AE28="","",_ARA_ORTAK_EKSTRE!AE28))</f>
        <v/>
      </c>
      <c r="G37" s="159" t="str">
        <f>IF($C$3="ÖMER KARTAL",IF(_ARA_ORTAK_EKSTRE!S28="","",_ARA_ORTAK_EKSTRE!S28),IF(_ARA_ORTAK_EKSTRE!AF28="","",_ARA_ORTAK_EKSTRE!AF28))</f>
        <v/>
      </c>
      <c r="H37" s="168" t="str">
        <f>IF($C$3="ÖMER KARTAL",IF(_ARA_ORTAK_EKSTRE!T28="","",_ARA_ORTAK_EKSTRE!T28),IF(_ARA_ORTAK_EKSTRE!AG28="","",_ARA_ORTAK_EKSTRE!AG28))</f>
        <v/>
      </c>
      <c r="I37" s="168" t="str">
        <f>IF($C$3="ÖMER KARTAL",IF(_ARA_ORTAK_EKSTRE!U28="","",_ARA_ORTAK_EKSTRE!U28),IF(_ARA_ORTAK_EKSTRE!AH28="","",_ARA_ORTAK_EKSTRE!AH28))</f>
        <v/>
      </c>
      <c r="J37" s="168" t="str">
        <f>IF($C$3="ÖMER KARTAL",IF(_ARA_ORTAK_EKSTRE!V28="","",_ARA_ORTAK_EKSTRE!V28),IF(_ARA_ORTAK_EKSTRE!AI28="","",_ARA_ORTAK_EKSTRE!AI28))</f>
        <v/>
      </c>
      <c r="K37" s="168" t="str">
        <f>IF($C$3="ÖMER KARTAL",IF(_ARA_ORTAK_EKSTRE!W28="","",_ARA_ORTAK_EKSTRE!W28),IF(_ARA_ORTAK_EKSTRE!AJ28="","",_ARA_ORTAK_EKSTRE!AJ28))</f>
        <v/>
      </c>
      <c r="L37" s="168" t="str">
        <f>IF($C$3="ÖMER KARTAL",IF(_ARA_ORTAK_EKSTRE!X28="","",_ARA_ORTAK_EKSTRE!X28),IF(_ARA_ORTAK_EKSTRE!AK28="","",_ARA_ORTAK_EKSTRE!AK28))</f>
        <v/>
      </c>
      <c r="M37" s="156" t="str">
        <f>IF($C$3="ÖMER KARTAL",IF(_ARA_ORTAK_EKSTRE!Y28="","",_ARA_ORTAK_EKSTRE!Y28),IF(_ARA_ORTAK_EKSTRE!AL28="","",_ARA_ORTAK_EKSTRE!AL28))</f>
        <v/>
      </c>
    </row>
    <row r="38" spans="2:13" ht="29.25" customHeight="1">
      <c r="B38" s="163" t="str">
        <f>IF($C$3="ÖMER KARTAL",IF(_ARA_ORTAK_EKSTRE!N29="","",_ARA_ORTAK_EKSTRE!N29),IF(_ARA_ORTAK_EKSTRE!AA29="","",_ARA_ORTAK_EKSTRE!AA29))</f>
        <v/>
      </c>
      <c r="C38" s="164" t="str">
        <f>IF($C$3="ÖMER KARTAL",IF(_ARA_ORTAK_EKSTRE!O29="","",_ARA_ORTAK_EKSTRE!O29),IF(_ARA_ORTAK_EKSTRE!AB29="","",_ARA_ORTAK_EKSTRE!AB29))</f>
        <v/>
      </c>
      <c r="D38" s="164" t="str">
        <f>IF($C$3="ÖMER KARTAL",IF(_ARA_ORTAK_EKSTRE!P29="","",_ARA_ORTAK_EKSTRE!P29),IF(_ARA_ORTAK_EKSTRE!AC29="","",_ARA_ORTAK_EKSTRE!AC29))</f>
        <v/>
      </c>
      <c r="E38" s="164" t="str">
        <f>IF($C$3="ÖMER KARTAL",IF(_ARA_ORTAK_EKSTRE!Q29="","",_ARA_ORTAK_EKSTRE!Q29),IF(_ARA_ORTAK_EKSTRE!AD29="","",_ARA_ORTAK_EKSTRE!AD29))</f>
        <v/>
      </c>
      <c r="F38" s="164" t="str">
        <f>IF($C$3="ÖMER KARTAL",IF(_ARA_ORTAK_EKSTRE!R29="","",_ARA_ORTAK_EKSTRE!R29),IF(_ARA_ORTAK_EKSTRE!AE29="","",_ARA_ORTAK_EKSTRE!AE29))</f>
        <v/>
      </c>
      <c r="G38" s="159" t="str">
        <f>IF($C$3="ÖMER KARTAL",IF(_ARA_ORTAK_EKSTRE!S29="","",_ARA_ORTAK_EKSTRE!S29),IF(_ARA_ORTAK_EKSTRE!AF29="","",_ARA_ORTAK_EKSTRE!AF29))</f>
        <v/>
      </c>
      <c r="H38" s="168" t="str">
        <f>IF($C$3="ÖMER KARTAL",IF(_ARA_ORTAK_EKSTRE!T29="","",_ARA_ORTAK_EKSTRE!T29),IF(_ARA_ORTAK_EKSTRE!AG29="","",_ARA_ORTAK_EKSTRE!AG29))</f>
        <v/>
      </c>
      <c r="I38" s="168" t="str">
        <f>IF($C$3="ÖMER KARTAL",IF(_ARA_ORTAK_EKSTRE!U29="","",_ARA_ORTAK_EKSTRE!U29),IF(_ARA_ORTAK_EKSTRE!AH29="","",_ARA_ORTAK_EKSTRE!AH29))</f>
        <v/>
      </c>
      <c r="J38" s="168" t="str">
        <f>IF($C$3="ÖMER KARTAL",IF(_ARA_ORTAK_EKSTRE!V29="","",_ARA_ORTAK_EKSTRE!V29),IF(_ARA_ORTAK_EKSTRE!AI29="","",_ARA_ORTAK_EKSTRE!AI29))</f>
        <v/>
      </c>
      <c r="K38" s="168" t="str">
        <f>IF($C$3="ÖMER KARTAL",IF(_ARA_ORTAK_EKSTRE!W29="","",_ARA_ORTAK_EKSTRE!W29),IF(_ARA_ORTAK_EKSTRE!AJ29="","",_ARA_ORTAK_EKSTRE!AJ29))</f>
        <v/>
      </c>
      <c r="L38" s="168" t="str">
        <f>IF($C$3="ÖMER KARTAL",IF(_ARA_ORTAK_EKSTRE!X29="","",_ARA_ORTAK_EKSTRE!X29),IF(_ARA_ORTAK_EKSTRE!AK29="","",_ARA_ORTAK_EKSTRE!AK29))</f>
        <v/>
      </c>
      <c r="M38" s="156" t="str">
        <f>IF($C$3="ÖMER KARTAL",IF(_ARA_ORTAK_EKSTRE!Y29="","",_ARA_ORTAK_EKSTRE!Y29),IF(_ARA_ORTAK_EKSTRE!AL29="","",_ARA_ORTAK_EKSTRE!AL29))</f>
        <v/>
      </c>
    </row>
    <row r="39" spans="2:13" ht="29.25" customHeight="1">
      <c r="B39" s="163" t="str">
        <f>IF($C$3="ÖMER KARTAL",IF(_ARA_ORTAK_EKSTRE!N30="","",_ARA_ORTAK_EKSTRE!N30),IF(_ARA_ORTAK_EKSTRE!AA30="","",_ARA_ORTAK_EKSTRE!AA30))</f>
        <v/>
      </c>
      <c r="C39" s="164" t="str">
        <f>IF($C$3="ÖMER KARTAL",IF(_ARA_ORTAK_EKSTRE!O30="","",_ARA_ORTAK_EKSTRE!O30),IF(_ARA_ORTAK_EKSTRE!AB30="","",_ARA_ORTAK_EKSTRE!AB30))</f>
        <v/>
      </c>
      <c r="D39" s="164" t="str">
        <f>IF($C$3="ÖMER KARTAL",IF(_ARA_ORTAK_EKSTRE!P30="","",_ARA_ORTAK_EKSTRE!P30),IF(_ARA_ORTAK_EKSTRE!AC30="","",_ARA_ORTAK_EKSTRE!AC30))</f>
        <v/>
      </c>
      <c r="E39" s="164" t="str">
        <f>IF($C$3="ÖMER KARTAL",IF(_ARA_ORTAK_EKSTRE!Q30="","",_ARA_ORTAK_EKSTRE!Q30),IF(_ARA_ORTAK_EKSTRE!AD30="","",_ARA_ORTAK_EKSTRE!AD30))</f>
        <v/>
      </c>
      <c r="F39" s="164" t="str">
        <f>IF($C$3="ÖMER KARTAL",IF(_ARA_ORTAK_EKSTRE!R30="","",_ARA_ORTAK_EKSTRE!R30),IF(_ARA_ORTAK_EKSTRE!AE30="","",_ARA_ORTAK_EKSTRE!AE30))</f>
        <v/>
      </c>
      <c r="G39" s="159" t="str">
        <f>IF($C$3="ÖMER KARTAL",IF(_ARA_ORTAK_EKSTRE!S30="","",_ARA_ORTAK_EKSTRE!S30),IF(_ARA_ORTAK_EKSTRE!AF30="","",_ARA_ORTAK_EKSTRE!AF30))</f>
        <v/>
      </c>
      <c r="H39" s="168" t="str">
        <f>IF($C$3="ÖMER KARTAL",IF(_ARA_ORTAK_EKSTRE!T30="","",_ARA_ORTAK_EKSTRE!T30),IF(_ARA_ORTAK_EKSTRE!AG30="","",_ARA_ORTAK_EKSTRE!AG30))</f>
        <v/>
      </c>
      <c r="I39" s="168" t="str">
        <f>IF($C$3="ÖMER KARTAL",IF(_ARA_ORTAK_EKSTRE!U30="","",_ARA_ORTAK_EKSTRE!U30),IF(_ARA_ORTAK_EKSTRE!AH30="","",_ARA_ORTAK_EKSTRE!AH30))</f>
        <v/>
      </c>
      <c r="J39" s="168" t="str">
        <f>IF($C$3="ÖMER KARTAL",IF(_ARA_ORTAK_EKSTRE!V30="","",_ARA_ORTAK_EKSTRE!V30),IF(_ARA_ORTAK_EKSTRE!AI30="","",_ARA_ORTAK_EKSTRE!AI30))</f>
        <v/>
      </c>
      <c r="K39" s="168" t="str">
        <f>IF($C$3="ÖMER KARTAL",IF(_ARA_ORTAK_EKSTRE!W30="","",_ARA_ORTAK_EKSTRE!W30),IF(_ARA_ORTAK_EKSTRE!AJ30="","",_ARA_ORTAK_EKSTRE!AJ30))</f>
        <v/>
      </c>
      <c r="L39" s="168" t="str">
        <f>IF($C$3="ÖMER KARTAL",IF(_ARA_ORTAK_EKSTRE!X30="","",_ARA_ORTAK_EKSTRE!X30),IF(_ARA_ORTAK_EKSTRE!AK30="","",_ARA_ORTAK_EKSTRE!AK30))</f>
        <v/>
      </c>
      <c r="M39" s="156" t="str">
        <f>IF($C$3="ÖMER KARTAL",IF(_ARA_ORTAK_EKSTRE!Y30="","",_ARA_ORTAK_EKSTRE!Y30),IF(_ARA_ORTAK_EKSTRE!AL30="","",_ARA_ORTAK_EKSTRE!AL30))</f>
        <v/>
      </c>
    </row>
    <row r="40" spans="2:13" ht="29.25" customHeight="1">
      <c r="B40" s="163" t="str">
        <f>IF($C$3="ÖMER KARTAL",IF(_ARA_ORTAK_EKSTRE!N31="","",_ARA_ORTAK_EKSTRE!N31),IF(_ARA_ORTAK_EKSTRE!AA31="","",_ARA_ORTAK_EKSTRE!AA31))</f>
        <v/>
      </c>
      <c r="C40" s="164" t="str">
        <f>IF($C$3="ÖMER KARTAL",IF(_ARA_ORTAK_EKSTRE!O31="","",_ARA_ORTAK_EKSTRE!O31),IF(_ARA_ORTAK_EKSTRE!AB31="","",_ARA_ORTAK_EKSTRE!AB31))</f>
        <v/>
      </c>
      <c r="D40" s="164" t="str">
        <f>IF($C$3="ÖMER KARTAL",IF(_ARA_ORTAK_EKSTRE!P31="","",_ARA_ORTAK_EKSTRE!P31),IF(_ARA_ORTAK_EKSTRE!AC31="","",_ARA_ORTAK_EKSTRE!AC31))</f>
        <v/>
      </c>
      <c r="E40" s="164" t="str">
        <f>IF($C$3="ÖMER KARTAL",IF(_ARA_ORTAK_EKSTRE!Q31="","",_ARA_ORTAK_EKSTRE!Q31),IF(_ARA_ORTAK_EKSTRE!AD31="","",_ARA_ORTAK_EKSTRE!AD31))</f>
        <v/>
      </c>
      <c r="F40" s="164" t="str">
        <f>IF($C$3="ÖMER KARTAL",IF(_ARA_ORTAK_EKSTRE!R31="","",_ARA_ORTAK_EKSTRE!R31),IF(_ARA_ORTAK_EKSTRE!AE31="","",_ARA_ORTAK_EKSTRE!AE31))</f>
        <v/>
      </c>
      <c r="G40" s="159" t="str">
        <f>IF($C$3="ÖMER KARTAL",IF(_ARA_ORTAK_EKSTRE!S31="","",_ARA_ORTAK_EKSTRE!S31),IF(_ARA_ORTAK_EKSTRE!AF31="","",_ARA_ORTAK_EKSTRE!AF31))</f>
        <v/>
      </c>
      <c r="H40" s="168" t="str">
        <f>IF($C$3="ÖMER KARTAL",IF(_ARA_ORTAK_EKSTRE!T31="","",_ARA_ORTAK_EKSTRE!T31),IF(_ARA_ORTAK_EKSTRE!AG31="","",_ARA_ORTAK_EKSTRE!AG31))</f>
        <v/>
      </c>
      <c r="I40" s="168" t="str">
        <f>IF($C$3="ÖMER KARTAL",IF(_ARA_ORTAK_EKSTRE!U31="","",_ARA_ORTAK_EKSTRE!U31),IF(_ARA_ORTAK_EKSTRE!AH31="","",_ARA_ORTAK_EKSTRE!AH31))</f>
        <v/>
      </c>
      <c r="J40" s="168" t="str">
        <f>IF($C$3="ÖMER KARTAL",IF(_ARA_ORTAK_EKSTRE!V31="","",_ARA_ORTAK_EKSTRE!V31),IF(_ARA_ORTAK_EKSTRE!AI31="","",_ARA_ORTAK_EKSTRE!AI31))</f>
        <v/>
      </c>
      <c r="K40" s="168" t="str">
        <f>IF($C$3="ÖMER KARTAL",IF(_ARA_ORTAK_EKSTRE!W31="","",_ARA_ORTAK_EKSTRE!W31),IF(_ARA_ORTAK_EKSTRE!AJ31="","",_ARA_ORTAK_EKSTRE!AJ31))</f>
        <v/>
      </c>
      <c r="L40" s="168" t="str">
        <f>IF($C$3="ÖMER KARTAL",IF(_ARA_ORTAK_EKSTRE!X31="","",_ARA_ORTAK_EKSTRE!X31),IF(_ARA_ORTAK_EKSTRE!AK31="","",_ARA_ORTAK_EKSTRE!AK31))</f>
        <v/>
      </c>
      <c r="M40" s="156" t="str">
        <f>IF($C$3="ÖMER KARTAL",IF(_ARA_ORTAK_EKSTRE!Y31="","",_ARA_ORTAK_EKSTRE!Y31),IF(_ARA_ORTAK_EKSTRE!AL31="","",_ARA_ORTAK_EKSTRE!AL31))</f>
        <v/>
      </c>
    </row>
    <row r="41" spans="2:13" ht="29.25" customHeight="1">
      <c r="B41" s="163" t="str">
        <f>IF($C$3="ÖMER KARTAL",IF(_ARA_ORTAK_EKSTRE!N32="","",_ARA_ORTAK_EKSTRE!N32),IF(_ARA_ORTAK_EKSTRE!AA32="","",_ARA_ORTAK_EKSTRE!AA32))</f>
        <v/>
      </c>
      <c r="C41" s="164" t="str">
        <f>IF($C$3="ÖMER KARTAL",IF(_ARA_ORTAK_EKSTRE!O32="","",_ARA_ORTAK_EKSTRE!O32),IF(_ARA_ORTAK_EKSTRE!AB32="","",_ARA_ORTAK_EKSTRE!AB32))</f>
        <v/>
      </c>
      <c r="D41" s="164" t="str">
        <f>IF($C$3="ÖMER KARTAL",IF(_ARA_ORTAK_EKSTRE!P32="","",_ARA_ORTAK_EKSTRE!P32),IF(_ARA_ORTAK_EKSTRE!AC32="","",_ARA_ORTAK_EKSTRE!AC32))</f>
        <v/>
      </c>
      <c r="E41" s="164" t="str">
        <f>IF($C$3="ÖMER KARTAL",IF(_ARA_ORTAK_EKSTRE!Q32="","",_ARA_ORTAK_EKSTRE!Q32),IF(_ARA_ORTAK_EKSTRE!AD32="","",_ARA_ORTAK_EKSTRE!AD32))</f>
        <v/>
      </c>
      <c r="F41" s="164" t="str">
        <f>IF($C$3="ÖMER KARTAL",IF(_ARA_ORTAK_EKSTRE!R32="","",_ARA_ORTAK_EKSTRE!R32),IF(_ARA_ORTAK_EKSTRE!AE32="","",_ARA_ORTAK_EKSTRE!AE32))</f>
        <v/>
      </c>
      <c r="G41" s="159" t="str">
        <f>IF($C$3="ÖMER KARTAL",IF(_ARA_ORTAK_EKSTRE!S32="","",_ARA_ORTAK_EKSTRE!S32),IF(_ARA_ORTAK_EKSTRE!AF32="","",_ARA_ORTAK_EKSTRE!AF32))</f>
        <v/>
      </c>
      <c r="H41" s="168" t="str">
        <f>IF($C$3="ÖMER KARTAL",IF(_ARA_ORTAK_EKSTRE!T32="","",_ARA_ORTAK_EKSTRE!T32),IF(_ARA_ORTAK_EKSTRE!AG32="","",_ARA_ORTAK_EKSTRE!AG32))</f>
        <v/>
      </c>
      <c r="I41" s="168" t="str">
        <f>IF($C$3="ÖMER KARTAL",IF(_ARA_ORTAK_EKSTRE!U32="","",_ARA_ORTAK_EKSTRE!U32),IF(_ARA_ORTAK_EKSTRE!AH32="","",_ARA_ORTAK_EKSTRE!AH32))</f>
        <v/>
      </c>
      <c r="J41" s="168" t="str">
        <f>IF($C$3="ÖMER KARTAL",IF(_ARA_ORTAK_EKSTRE!V32="","",_ARA_ORTAK_EKSTRE!V32),IF(_ARA_ORTAK_EKSTRE!AI32="","",_ARA_ORTAK_EKSTRE!AI32))</f>
        <v/>
      </c>
      <c r="K41" s="168" t="str">
        <f>IF($C$3="ÖMER KARTAL",IF(_ARA_ORTAK_EKSTRE!W32="","",_ARA_ORTAK_EKSTRE!W32),IF(_ARA_ORTAK_EKSTRE!AJ32="","",_ARA_ORTAK_EKSTRE!AJ32))</f>
        <v/>
      </c>
      <c r="L41" s="168" t="str">
        <f>IF($C$3="ÖMER KARTAL",IF(_ARA_ORTAK_EKSTRE!X32="","",_ARA_ORTAK_EKSTRE!X32),IF(_ARA_ORTAK_EKSTRE!AK32="","",_ARA_ORTAK_EKSTRE!AK32))</f>
        <v/>
      </c>
      <c r="M41" s="156" t="str">
        <f>IF($C$3="ÖMER KARTAL",IF(_ARA_ORTAK_EKSTRE!Y32="","",_ARA_ORTAK_EKSTRE!Y32),IF(_ARA_ORTAK_EKSTRE!AL32="","",_ARA_ORTAK_EKSTRE!AL32))</f>
        <v/>
      </c>
    </row>
    <row r="42" spans="2:13" ht="29.25" customHeight="1">
      <c r="B42" s="163" t="str">
        <f>IF($C$3="ÖMER KARTAL",IF(_ARA_ORTAK_EKSTRE!N33="","",_ARA_ORTAK_EKSTRE!N33),IF(_ARA_ORTAK_EKSTRE!AA33="","",_ARA_ORTAK_EKSTRE!AA33))</f>
        <v/>
      </c>
      <c r="C42" s="164" t="str">
        <f>IF($C$3="ÖMER KARTAL",IF(_ARA_ORTAK_EKSTRE!O33="","",_ARA_ORTAK_EKSTRE!O33),IF(_ARA_ORTAK_EKSTRE!AB33="","",_ARA_ORTAK_EKSTRE!AB33))</f>
        <v/>
      </c>
      <c r="D42" s="164" t="str">
        <f>IF($C$3="ÖMER KARTAL",IF(_ARA_ORTAK_EKSTRE!P33="","",_ARA_ORTAK_EKSTRE!P33),IF(_ARA_ORTAK_EKSTRE!AC33="","",_ARA_ORTAK_EKSTRE!AC33))</f>
        <v/>
      </c>
      <c r="E42" s="164" t="str">
        <f>IF($C$3="ÖMER KARTAL",IF(_ARA_ORTAK_EKSTRE!Q33="","",_ARA_ORTAK_EKSTRE!Q33),IF(_ARA_ORTAK_EKSTRE!AD33="","",_ARA_ORTAK_EKSTRE!AD33))</f>
        <v/>
      </c>
      <c r="F42" s="164" t="str">
        <f>IF($C$3="ÖMER KARTAL",IF(_ARA_ORTAK_EKSTRE!R33="","",_ARA_ORTAK_EKSTRE!R33),IF(_ARA_ORTAK_EKSTRE!AE33="","",_ARA_ORTAK_EKSTRE!AE33))</f>
        <v/>
      </c>
      <c r="G42" s="159" t="str">
        <f>IF($C$3="ÖMER KARTAL",IF(_ARA_ORTAK_EKSTRE!S33="","",_ARA_ORTAK_EKSTRE!S33),IF(_ARA_ORTAK_EKSTRE!AF33="","",_ARA_ORTAK_EKSTRE!AF33))</f>
        <v/>
      </c>
      <c r="H42" s="168" t="str">
        <f>IF($C$3="ÖMER KARTAL",IF(_ARA_ORTAK_EKSTRE!T33="","",_ARA_ORTAK_EKSTRE!T33),IF(_ARA_ORTAK_EKSTRE!AG33="","",_ARA_ORTAK_EKSTRE!AG33))</f>
        <v/>
      </c>
      <c r="I42" s="168" t="str">
        <f>IF($C$3="ÖMER KARTAL",IF(_ARA_ORTAK_EKSTRE!U33="","",_ARA_ORTAK_EKSTRE!U33),IF(_ARA_ORTAK_EKSTRE!AH33="","",_ARA_ORTAK_EKSTRE!AH33))</f>
        <v/>
      </c>
      <c r="J42" s="168" t="str">
        <f>IF($C$3="ÖMER KARTAL",IF(_ARA_ORTAK_EKSTRE!V33="","",_ARA_ORTAK_EKSTRE!V33),IF(_ARA_ORTAK_EKSTRE!AI33="","",_ARA_ORTAK_EKSTRE!AI33))</f>
        <v/>
      </c>
      <c r="K42" s="168" t="str">
        <f>IF($C$3="ÖMER KARTAL",IF(_ARA_ORTAK_EKSTRE!W33="","",_ARA_ORTAK_EKSTRE!W33),IF(_ARA_ORTAK_EKSTRE!AJ33="","",_ARA_ORTAK_EKSTRE!AJ33))</f>
        <v/>
      </c>
      <c r="L42" s="168" t="str">
        <f>IF($C$3="ÖMER KARTAL",IF(_ARA_ORTAK_EKSTRE!X33="","",_ARA_ORTAK_EKSTRE!X33),IF(_ARA_ORTAK_EKSTRE!AK33="","",_ARA_ORTAK_EKSTRE!AK33))</f>
        <v/>
      </c>
      <c r="M42" s="156" t="str">
        <f>IF($C$3="ÖMER KARTAL",IF(_ARA_ORTAK_EKSTRE!Y33="","",_ARA_ORTAK_EKSTRE!Y33),IF(_ARA_ORTAK_EKSTRE!AL33="","",_ARA_ORTAK_EKSTRE!AL33))</f>
        <v/>
      </c>
    </row>
    <row r="43" spans="2:13" ht="29.25" customHeight="1">
      <c r="B43" s="163" t="str">
        <f>IF($C$3="ÖMER KARTAL",IF(_ARA_ORTAK_EKSTRE!N34="","",_ARA_ORTAK_EKSTRE!N34),IF(_ARA_ORTAK_EKSTRE!AA34="","",_ARA_ORTAK_EKSTRE!AA34))</f>
        <v/>
      </c>
      <c r="C43" s="164" t="str">
        <f>IF($C$3="ÖMER KARTAL",IF(_ARA_ORTAK_EKSTRE!O34="","",_ARA_ORTAK_EKSTRE!O34),IF(_ARA_ORTAK_EKSTRE!AB34="","",_ARA_ORTAK_EKSTRE!AB34))</f>
        <v/>
      </c>
      <c r="D43" s="164" t="str">
        <f>IF($C$3="ÖMER KARTAL",IF(_ARA_ORTAK_EKSTRE!P34="","",_ARA_ORTAK_EKSTRE!P34),IF(_ARA_ORTAK_EKSTRE!AC34="","",_ARA_ORTAK_EKSTRE!AC34))</f>
        <v/>
      </c>
      <c r="E43" s="164" t="str">
        <f>IF($C$3="ÖMER KARTAL",IF(_ARA_ORTAK_EKSTRE!Q34="","",_ARA_ORTAK_EKSTRE!Q34),IF(_ARA_ORTAK_EKSTRE!AD34="","",_ARA_ORTAK_EKSTRE!AD34))</f>
        <v/>
      </c>
      <c r="F43" s="164" t="str">
        <f>IF($C$3="ÖMER KARTAL",IF(_ARA_ORTAK_EKSTRE!R34="","",_ARA_ORTAK_EKSTRE!R34),IF(_ARA_ORTAK_EKSTRE!AE34="","",_ARA_ORTAK_EKSTRE!AE34))</f>
        <v/>
      </c>
      <c r="G43" s="159" t="str">
        <f>IF($C$3="ÖMER KARTAL",IF(_ARA_ORTAK_EKSTRE!S34="","",_ARA_ORTAK_EKSTRE!S34),IF(_ARA_ORTAK_EKSTRE!AF34="","",_ARA_ORTAK_EKSTRE!AF34))</f>
        <v/>
      </c>
      <c r="H43" s="168" t="str">
        <f>IF($C$3="ÖMER KARTAL",IF(_ARA_ORTAK_EKSTRE!T34="","",_ARA_ORTAK_EKSTRE!T34),IF(_ARA_ORTAK_EKSTRE!AG34="","",_ARA_ORTAK_EKSTRE!AG34))</f>
        <v/>
      </c>
      <c r="I43" s="168" t="str">
        <f>IF($C$3="ÖMER KARTAL",IF(_ARA_ORTAK_EKSTRE!U34="","",_ARA_ORTAK_EKSTRE!U34),IF(_ARA_ORTAK_EKSTRE!AH34="","",_ARA_ORTAK_EKSTRE!AH34))</f>
        <v/>
      </c>
      <c r="J43" s="168" t="str">
        <f>IF($C$3="ÖMER KARTAL",IF(_ARA_ORTAK_EKSTRE!V34="","",_ARA_ORTAK_EKSTRE!V34),IF(_ARA_ORTAK_EKSTRE!AI34="","",_ARA_ORTAK_EKSTRE!AI34))</f>
        <v/>
      </c>
      <c r="K43" s="168" t="str">
        <f>IF($C$3="ÖMER KARTAL",IF(_ARA_ORTAK_EKSTRE!W34="","",_ARA_ORTAK_EKSTRE!W34),IF(_ARA_ORTAK_EKSTRE!AJ34="","",_ARA_ORTAK_EKSTRE!AJ34))</f>
        <v/>
      </c>
      <c r="L43" s="168" t="str">
        <f>IF($C$3="ÖMER KARTAL",IF(_ARA_ORTAK_EKSTRE!X34="","",_ARA_ORTAK_EKSTRE!X34),IF(_ARA_ORTAK_EKSTRE!AK34="","",_ARA_ORTAK_EKSTRE!AK34))</f>
        <v/>
      </c>
      <c r="M43" s="156" t="str">
        <f>IF($C$3="ÖMER KARTAL",IF(_ARA_ORTAK_EKSTRE!Y34="","",_ARA_ORTAK_EKSTRE!Y34),IF(_ARA_ORTAK_EKSTRE!AL34="","",_ARA_ORTAK_EKSTRE!AL34))</f>
        <v/>
      </c>
    </row>
    <row r="44" spans="2:13" ht="29.25" customHeight="1">
      <c r="B44" s="163" t="str">
        <f>IF($C$3="ÖMER KARTAL",IF(_ARA_ORTAK_EKSTRE!N35="","",_ARA_ORTAK_EKSTRE!N35),IF(_ARA_ORTAK_EKSTRE!AA35="","",_ARA_ORTAK_EKSTRE!AA35))</f>
        <v/>
      </c>
      <c r="C44" s="164" t="str">
        <f>IF($C$3="ÖMER KARTAL",IF(_ARA_ORTAK_EKSTRE!O35="","",_ARA_ORTAK_EKSTRE!O35),IF(_ARA_ORTAK_EKSTRE!AB35="","",_ARA_ORTAK_EKSTRE!AB35))</f>
        <v/>
      </c>
      <c r="D44" s="164" t="str">
        <f>IF($C$3="ÖMER KARTAL",IF(_ARA_ORTAK_EKSTRE!P35="","",_ARA_ORTAK_EKSTRE!P35),IF(_ARA_ORTAK_EKSTRE!AC35="","",_ARA_ORTAK_EKSTRE!AC35))</f>
        <v/>
      </c>
      <c r="E44" s="164" t="str">
        <f>IF($C$3="ÖMER KARTAL",IF(_ARA_ORTAK_EKSTRE!Q35="","",_ARA_ORTAK_EKSTRE!Q35),IF(_ARA_ORTAK_EKSTRE!AD35="","",_ARA_ORTAK_EKSTRE!AD35))</f>
        <v/>
      </c>
      <c r="F44" s="164" t="str">
        <f>IF($C$3="ÖMER KARTAL",IF(_ARA_ORTAK_EKSTRE!R35="","",_ARA_ORTAK_EKSTRE!R35),IF(_ARA_ORTAK_EKSTRE!AE35="","",_ARA_ORTAK_EKSTRE!AE35))</f>
        <v/>
      </c>
      <c r="G44" s="159" t="str">
        <f>IF($C$3="ÖMER KARTAL",IF(_ARA_ORTAK_EKSTRE!S35="","",_ARA_ORTAK_EKSTRE!S35),IF(_ARA_ORTAK_EKSTRE!AF35="","",_ARA_ORTAK_EKSTRE!AF35))</f>
        <v/>
      </c>
      <c r="H44" s="168" t="str">
        <f>IF($C$3="ÖMER KARTAL",IF(_ARA_ORTAK_EKSTRE!T35="","",_ARA_ORTAK_EKSTRE!T35),IF(_ARA_ORTAK_EKSTRE!AG35="","",_ARA_ORTAK_EKSTRE!AG35))</f>
        <v/>
      </c>
      <c r="I44" s="168" t="str">
        <f>IF($C$3="ÖMER KARTAL",IF(_ARA_ORTAK_EKSTRE!U35="","",_ARA_ORTAK_EKSTRE!U35),IF(_ARA_ORTAK_EKSTRE!AH35="","",_ARA_ORTAK_EKSTRE!AH35))</f>
        <v/>
      </c>
      <c r="J44" s="168" t="str">
        <f>IF($C$3="ÖMER KARTAL",IF(_ARA_ORTAK_EKSTRE!V35="","",_ARA_ORTAK_EKSTRE!V35),IF(_ARA_ORTAK_EKSTRE!AI35="","",_ARA_ORTAK_EKSTRE!AI35))</f>
        <v/>
      </c>
      <c r="K44" s="168" t="str">
        <f>IF($C$3="ÖMER KARTAL",IF(_ARA_ORTAK_EKSTRE!W35="","",_ARA_ORTAK_EKSTRE!W35),IF(_ARA_ORTAK_EKSTRE!AJ35="","",_ARA_ORTAK_EKSTRE!AJ35))</f>
        <v/>
      </c>
      <c r="L44" s="168" t="str">
        <f>IF($C$3="ÖMER KARTAL",IF(_ARA_ORTAK_EKSTRE!X35="","",_ARA_ORTAK_EKSTRE!X35),IF(_ARA_ORTAK_EKSTRE!AK35="","",_ARA_ORTAK_EKSTRE!AK35))</f>
        <v/>
      </c>
      <c r="M44" s="156" t="str">
        <f>IF($C$3="ÖMER KARTAL",IF(_ARA_ORTAK_EKSTRE!Y35="","",_ARA_ORTAK_EKSTRE!Y35),IF(_ARA_ORTAK_EKSTRE!AL35="","",_ARA_ORTAK_EKSTRE!AL35))</f>
        <v/>
      </c>
    </row>
    <row r="45" spans="2:13" ht="29.25" customHeight="1">
      <c r="B45" s="163" t="str">
        <f>IF($C$3="ÖMER KARTAL",IF(_ARA_ORTAK_EKSTRE!N36="","",_ARA_ORTAK_EKSTRE!N36),IF(_ARA_ORTAK_EKSTRE!AA36="","",_ARA_ORTAK_EKSTRE!AA36))</f>
        <v/>
      </c>
      <c r="C45" s="164" t="str">
        <f>IF($C$3="ÖMER KARTAL",IF(_ARA_ORTAK_EKSTRE!O36="","",_ARA_ORTAK_EKSTRE!O36),IF(_ARA_ORTAK_EKSTRE!AB36="","",_ARA_ORTAK_EKSTRE!AB36))</f>
        <v/>
      </c>
      <c r="D45" s="164" t="str">
        <f>IF($C$3="ÖMER KARTAL",IF(_ARA_ORTAK_EKSTRE!P36="","",_ARA_ORTAK_EKSTRE!P36),IF(_ARA_ORTAK_EKSTRE!AC36="","",_ARA_ORTAK_EKSTRE!AC36))</f>
        <v/>
      </c>
      <c r="E45" s="164" t="str">
        <f>IF($C$3="ÖMER KARTAL",IF(_ARA_ORTAK_EKSTRE!Q36="","",_ARA_ORTAK_EKSTRE!Q36),IF(_ARA_ORTAK_EKSTRE!AD36="","",_ARA_ORTAK_EKSTRE!AD36))</f>
        <v/>
      </c>
      <c r="F45" s="164" t="str">
        <f>IF($C$3="ÖMER KARTAL",IF(_ARA_ORTAK_EKSTRE!R36="","",_ARA_ORTAK_EKSTRE!R36),IF(_ARA_ORTAK_EKSTRE!AE36="","",_ARA_ORTAK_EKSTRE!AE36))</f>
        <v/>
      </c>
      <c r="G45" s="159" t="str">
        <f>IF($C$3="ÖMER KARTAL",IF(_ARA_ORTAK_EKSTRE!S36="","",_ARA_ORTAK_EKSTRE!S36),IF(_ARA_ORTAK_EKSTRE!AF36="","",_ARA_ORTAK_EKSTRE!AF36))</f>
        <v/>
      </c>
      <c r="H45" s="168" t="str">
        <f>IF($C$3="ÖMER KARTAL",IF(_ARA_ORTAK_EKSTRE!T36="","",_ARA_ORTAK_EKSTRE!T36),IF(_ARA_ORTAK_EKSTRE!AG36="","",_ARA_ORTAK_EKSTRE!AG36))</f>
        <v/>
      </c>
      <c r="I45" s="168" t="str">
        <f>IF($C$3="ÖMER KARTAL",IF(_ARA_ORTAK_EKSTRE!U36="","",_ARA_ORTAK_EKSTRE!U36),IF(_ARA_ORTAK_EKSTRE!AH36="","",_ARA_ORTAK_EKSTRE!AH36))</f>
        <v/>
      </c>
      <c r="J45" s="168" t="str">
        <f>IF($C$3="ÖMER KARTAL",IF(_ARA_ORTAK_EKSTRE!V36="","",_ARA_ORTAK_EKSTRE!V36),IF(_ARA_ORTAK_EKSTRE!AI36="","",_ARA_ORTAK_EKSTRE!AI36))</f>
        <v/>
      </c>
      <c r="K45" s="168" t="str">
        <f>IF($C$3="ÖMER KARTAL",IF(_ARA_ORTAK_EKSTRE!W36="","",_ARA_ORTAK_EKSTRE!W36),IF(_ARA_ORTAK_EKSTRE!AJ36="","",_ARA_ORTAK_EKSTRE!AJ36))</f>
        <v/>
      </c>
      <c r="L45" s="168" t="str">
        <f>IF($C$3="ÖMER KARTAL",IF(_ARA_ORTAK_EKSTRE!X36="","",_ARA_ORTAK_EKSTRE!X36),IF(_ARA_ORTAK_EKSTRE!AK36="","",_ARA_ORTAK_EKSTRE!AK36))</f>
        <v/>
      </c>
      <c r="M45" s="156" t="str">
        <f>IF($C$3="ÖMER KARTAL",IF(_ARA_ORTAK_EKSTRE!Y36="","",_ARA_ORTAK_EKSTRE!Y36),IF(_ARA_ORTAK_EKSTRE!AL36="","",_ARA_ORTAK_EKSTRE!AL36))</f>
        <v/>
      </c>
    </row>
    <row r="46" spans="2:13" ht="29.25" customHeight="1">
      <c r="B46" s="163" t="str">
        <f>IF($C$3="ÖMER KARTAL",IF(_ARA_ORTAK_EKSTRE!N37="","",_ARA_ORTAK_EKSTRE!N37),IF(_ARA_ORTAK_EKSTRE!AA37="","",_ARA_ORTAK_EKSTRE!AA37))</f>
        <v/>
      </c>
      <c r="C46" s="164" t="str">
        <f>IF($C$3="ÖMER KARTAL",IF(_ARA_ORTAK_EKSTRE!O37="","",_ARA_ORTAK_EKSTRE!O37),IF(_ARA_ORTAK_EKSTRE!AB37="","",_ARA_ORTAK_EKSTRE!AB37))</f>
        <v/>
      </c>
      <c r="D46" s="164" t="str">
        <f>IF($C$3="ÖMER KARTAL",IF(_ARA_ORTAK_EKSTRE!P37="","",_ARA_ORTAK_EKSTRE!P37),IF(_ARA_ORTAK_EKSTRE!AC37="","",_ARA_ORTAK_EKSTRE!AC37))</f>
        <v/>
      </c>
      <c r="E46" s="164" t="str">
        <f>IF($C$3="ÖMER KARTAL",IF(_ARA_ORTAK_EKSTRE!Q37="","",_ARA_ORTAK_EKSTRE!Q37),IF(_ARA_ORTAK_EKSTRE!AD37="","",_ARA_ORTAK_EKSTRE!AD37))</f>
        <v/>
      </c>
      <c r="F46" s="164" t="str">
        <f>IF($C$3="ÖMER KARTAL",IF(_ARA_ORTAK_EKSTRE!R37="","",_ARA_ORTAK_EKSTRE!R37),IF(_ARA_ORTAK_EKSTRE!AE37="","",_ARA_ORTAK_EKSTRE!AE37))</f>
        <v/>
      </c>
      <c r="G46" s="159" t="str">
        <f>IF($C$3="ÖMER KARTAL",IF(_ARA_ORTAK_EKSTRE!S37="","",_ARA_ORTAK_EKSTRE!S37),IF(_ARA_ORTAK_EKSTRE!AF37="","",_ARA_ORTAK_EKSTRE!AF37))</f>
        <v/>
      </c>
      <c r="H46" s="168" t="str">
        <f>IF($C$3="ÖMER KARTAL",IF(_ARA_ORTAK_EKSTRE!T37="","",_ARA_ORTAK_EKSTRE!T37),IF(_ARA_ORTAK_EKSTRE!AG37="","",_ARA_ORTAK_EKSTRE!AG37))</f>
        <v/>
      </c>
      <c r="I46" s="168" t="str">
        <f>IF($C$3="ÖMER KARTAL",IF(_ARA_ORTAK_EKSTRE!U37="","",_ARA_ORTAK_EKSTRE!U37),IF(_ARA_ORTAK_EKSTRE!AH37="","",_ARA_ORTAK_EKSTRE!AH37))</f>
        <v/>
      </c>
      <c r="J46" s="168" t="str">
        <f>IF($C$3="ÖMER KARTAL",IF(_ARA_ORTAK_EKSTRE!V37="","",_ARA_ORTAK_EKSTRE!V37),IF(_ARA_ORTAK_EKSTRE!AI37="","",_ARA_ORTAK_EKSTRE!AI37))</f>
        <v/>
      </c>
      <c r="K46" s="168" t="str">
        <f>IF($C$3="ÖMER KARTAL",IF(_ARA_ORTAK_EKSTRE!W37="","",_ARA_ORTAK_EKSTRE!W37),IF(_ARA_ORTAK_EKSTRE!AJ37="","",_ARA_ORTAK_EKSTRE!AJ37))</f>
        <v/>
      </c>
      <c r="L46" s="168" t="str">
        <f>IF($C$3="ÖMER KARTAL",IF(_ARA_ORTAK_EKSTRE!X37="","",_ARA_ORTAK_EKSTRE!X37),IF(_ARA_ORTAK_EKSTRE!AK37="","",_ARA_ORTAK_EKSTRE!AK37))</f>
        <v/>
      </c>
      <c r="M46" s="156" t="str">
        <f>IF($C$3="ÖMER KARTAL",IF(_ARA_ORTAK_EKSTRE!Y37="","",_ARA_ORTAK_EKSTRE!Y37),IF(_ARA_ORTAK_EKSTRE!AL37="","",_ARA_ORTAK_EKSTRE!AL37))</f>
        <v/>
      </c>
    </row>
    <row r="47" spans="2:13" ht="29.25" customHeight="1">
      <c r="B47" s="163" t="str">
        <f>IF($C$3="ÖMER KARTAL",IF(_ARA_ORTAK_EKSTRE!N38="","",_ARA_ORTAK_EKSTRE!N38),IF(_ARA_ORTAK_EKSTRE!AA38="","",_ARA_ORTAK_EKSTRE!AA38))</f>
        <v/>
      </c>
      <c r="C47" s="164" t="str">
        <f>IF($C$3="ÖMER KARTAL",IF(_ARA_ORTAK_EKSTRE!O38="","",_ARA_ORTAK_EKSTRE!O38),IF(_ARA_ORTAK_EKSTRE!AB38="","",_ARA_ORTAK_EKSTRE!AB38))</f>
        <v/>
      </c>
      <c r="D47" s="164" t="str">
        <f>IF($C$3="ÖMER KARTAL",IF(_ARA_ORTAK_EKSTRE!P38="","",_ARA_ORTAK_EKSTRE!P38),IF(_ARA_ORTAK_EKSTRE!AC38="","",_ARA_ORTAK_EKSTRE!AC38))</f>
        <v/>
      </c>
      <c r="E47" s="164" t="str">
        <f>IF($C$3="ÖMER KARTAL",IF(_ARA_ORTAK_EKSTRE!Q38="","",_ARA_ORTAK_EKSTRE!Q38),IF(_ARA_ORTAK_EKSTRE!AD38="","",_ARA_ORTAK_EKSTRE!AD38))</f>
        <v/>
      </c>
      <c r="F47" s="164" t="str">
        <f>IF($C$3="ÖMER KARTAL",IF(_ARA_ORTAK_EKSTRE!R38="","",_ARA_ORTAK_EKSTRE!R38),IF(_ARA_ORTAK_EKSTRE!AE38="","",_ARA_ORTAK_EKSTRE!AE38))</f>
        <v/>
      </c>
      <c r="G47" s="159" t="str">
        <f>IF($C$3="ÖMER KARTAL",IF(_ARA_ORTAK_EKSTRE!S38="","",_ARA_ORTAK_EKSTRE!S38),IF(_ARA_ORTAK_EKSTRE!AF38="","",_ARA_ORTAK_EKSTRE!AF38))</f>
        <v/>
      </c>
      <c r="H47" s="168" t="str">
        <f>IF($C$3="ÖMER KARTAL",IF(_ARA_ORTAK_EKSTRE!T38="","",_ARA_ORTAK_EKSTRE!T38),IF(_ARA_ORTAK_EKSTRE!AG38="","",_ARA_ORTAK_EKSTRE!AG38))</f>
        <v/>
      </c>
      <c r="I47" s="168" t="str">
        <f>IF($C$3="ÖMER KARTAL",IF(_ARA_ORTAK_EKSTRE!U38="","",_ARA_ORTAK_EKSTRE!U38),IF(_ARA_ORTAK_EKSTRE!AH38="","",_ARA_ORTAK_EKSTRE!AH38))</f>
        <v/>
      </c>
      <c r="J47" s="168" t="str">
        <f>IF($C$3="ÖMER KARTAL",IF(_ARA_ORTAK_EKSTRE!V38="","",_ARA_ORTAK_EKSTRE!V38),IF(_ARA_ORTAK_EKSTRE!AI38="","",_ARA_ORTAK_EKSTRE!AI38))</f>
        <v/>
      </c>
      <c r="K47" s="168" t="str">
        <f>IF($C$3="ÖMER KARTAL",IF(_ARA_ORTAK_EKSTRE!W38="","",_ARA_ORTAK_EKSTRE!W38),IF(_ARA_ORTAK_EKSTRE!AJ38="","",_ARA_ORTAK_EKSTRE!AJ38))</f>
        <v/>
      </c>
      <c r="L47" s="168" t="str">
        <f>IF($C$3="ÖMER KARTAL",IF(_ARA_ORTAK_EKSTRE!X38="","",_ARA_ORTAK_EKSTRE!X38),IF(_ARA_ORTAK_EKSTRE!AK38="","",_ARA_ORTAK_EKSTRE!AK38))</f>
        <v/>
      </c>
      <c r="M47" s="156" t="str">
        <f>IF($C$3="ÖMER KARTAL",IF(_ARA_ORTAK_EKSTRE!Y38="","",_ARA_ORTAK_EKSTRE!Y38),IF(_ARA_ORTAK_EKSTRE!AL38="","",_ARA_ORTAK_EKSTRE!AL38))</f>
        <v/>
      </c>
    </row>
    <row r="48" spans="2:13" ht="29.25" customHeight="1">
      <c r="B48" s="163" t="str">
        <f>IF($C$3="ÖMER KARTAL",IF(_ARA_ORTAK_EKSTRE!N39="","",_ARA_ORTAK_EKSTRE!N39),IF(_ARA_ORTAK_EKSTRE!AA39="","",_ARA_ORTAK_EKSTRE!AA39))</f>
        <v/>
      </c>
      <c r="C48" s="164" t="str">
        <f>IF($C$3="ÖMER KARTAL",IF(_ARA_ORTAK_EKSTRE!O39="","",_ARA_ORTAK_EKSTRE!O39),IF(_ARA_ORTAK_EKSTRE!AB39="","",_ARA_ORTAK_EKSTRE!AB39))</f>
        <v/>
      </c>
      <c r="D48" s="164" t="str">
        <f>IF($C$3="ÖMER KARTAL",IF(_ARA_ORTAK_EKSTRE!P39="","",_ARA_ORTAK_EKSTRE!P39),IF(_ARA_ORTAK_EKSTRE!AC39="","",_ARA_ORTAK_EKSTRE!AC39))</f>
        <v/>
      </c>
      <c r="E48" s="164" t="str">
        <f>IF($C$3="ÖMER KARTAL",IF(_ARA_ORTAK_EKSTRE!Q39="","",_ARA_ORTAK_EKSTRE!Q39),IF(_ARA_ORTAK_EKSTRE!AD39="","",_ARA_ORTAK_EKSTRE!AD39))</f>
        <v/>
      </c>
      <c r="F48" s="164" t="str">
        <f>IF($C$3="ÖMER KARTAL",IF(_ARA_ORTAK_EKSTRE!R39="","",_ARA_ORTAK_EKSTRE!R39),IF(_ARA_ORTAK_EKSTRE!AE39="","",_ARA_ORTAK_EKSTRE!AE39))</f>
        <v/>
      </c>
      <c r="G48" s="159" t="str">
        <f>IF($C$3="ÖMER KARTAL",IF(_ARA_ORTAK_EKSTRE!S39="","",_ARA_ORTAK_EKSTRE!S39),IF(_ARA_ORTAK_EKSTRE!AF39="","",_ARA_ORTAK_EKSTRE!AF39))</f>
        <v/>
      </c>
      <c r="H48" s="168" t="str">
        <f>IF($C$3="ÖMER KARTAL",IF(_ARA_ORTAK_EKSTRE!T39="","",_ARA_ORTAK_EKSTRE!T39),IF(_ARA_ORTAK_EKSTRE!AG39="","",_ARA_ORTAK_EKSTRE!AG39))</f>
        <v/>
      </c>
      <c r="I48" s="168" t="str">
        <f>IF($C$3="ÖMER KARTAL",IF(_ARA_ORTAK_EKSTRE!U39="","",_ARA_ORTAK_EKSTRE!U39),IF(_ARA_ORTAK_EKSTRE!AH39="","",_ARA_ORTAK_EKSTRE!AH39))</f>
        <v/>
      </c>
      <c r="J48" s="168" t="str">
        <f>IF($C$3="ÖMER KARTAL",IF(_ARA_ORTAK_EKSTRE!V39="","",_ARA_ORTAK_EKSTRE!V39),IF(_ARA_ORTAK_EKSTRE!AI39="","",_ARA_ORTAK_EKSTRE!AI39))</f>
        <v/>
      </c>
      <c r="K48" s="168" t="str">
        <f>IF($C$3="ÖMER KARTAL",IF(_ARA_ORTAK_EKSTRE!W39="","",_ARA_ORTAK_EKSTRE!W39),IF(_ARA_ORTAK_EKSTRE!AJ39="","",_ARA_ORTAK_EKSTRE!AJ39))</f>
        <v/>
      </c>
      <c r="L48" s="168" t="str">
        <f>IF($C$3="ÖMER KARTAL",IF(_ARA_ORTAK_EKSTRE!X39="","",_ARA_ORTAK_EKSTRE!X39),IF(_ARA_ORTAK_EKSTRE!AK39="","",_ARA_ORTAK_EKSTRE!AK39))</f>
        <v/>
      </c>
      <c r="M48" s="156" t="str">
        <f>IF($C$3="ÖMER KARTAL",IF(_ARA_ORTAK_EKSTRE!Y39="","",_ARA_ORTAK_EKSTRE!Y39),IF(_ARA_ORTAK_EKSTRE!AL39="","",_ARA_ORTAK_EKSTRE!AL39))</f>
        <v/>
      </c>
    </row>
    <row r="49" spans="2:13" ht="29.25" customHeight="1">
      <c r="B49" s="163" t="str">
        <f>IF($C$3="ÖMER KARTAL",IF(_ARA_ORTAK_EKSTRE!N40="","",_ARA_ORTAK_EKSTRE!N40),IF(_ARA_ORTAK_EKSTRE!AA40="","",_ARA_ORTAK_EKSTRE!AA40))</f>
        <v/>
      </c>
      <c r="C49" s="164" t="str">
        <f>IF($C$3="ÖMER KARTAL",IF(_ARA_ORTAK_EKSTRE!O40="","",_ARA_ORTAK_EKSTRE!O40),IF(_ARA_ORTAK_EKSTRE!AB40="","",_ARA_ORTAK_EKSTRE!AB40))</f>
        <v/>
      </c>
      <c r="D49" s="164" t="str">
        <f>IF($C$3="ÖMER KARTAL",IF(_ARA_ORTAK_EKSTRE!P40="","",_ARA_ORTAK_EKSTRE!P40),IF(_ARA_ORTAK_EKSTRE!AC40="","",_ARA_ORTAK_EKSTRE!AC40))</f>
        <v/>
      </c>
      <c r="E49" s="164" t="str">
        <f>IF($C$3="ÖMER KARTAL",IF(_ARA_ORTAK_EKSTRE!Q40="","",_ARA_ORTAK_EKSTRE!Q40),IF(_ARA_ORTAK_EKSTRE!AD40="","",_ARA_ORTAK_EKSTRE!AD40))</f>
        <v/>
      </c>
      <c r="F49" s="164" t="str">
        <f>IF($C$3="ÖMER KARTAL",IF(_ARA_ORTAK_EKSTRE!R40="","",_ARA_ORTAK_EKSTRE!R40),IF(_ARA_ORTAK_EKSTRE!AE40="","",_ARA_ORTAK_EKSTRE!AE40))</f>
        <v/>
      </c>
      <c r="G49" s="159" t="str">
        <f>IF($C$3="ÖMER KARTAL",IF(_ARA_ORTAK_EKSTRE!S40="","",_ARA_ORTAK_EKSTRE!S40),IF(_ARA_ORTAK_EKSTRE!AF40="","",_ARA_ORTAK_EKSTRE!AF40))</f>
        <v/>
      </c>
      <c r="H49" s="168" t="str">
        <f>IF($C$3="ÖMER KARTAL",IF(_ARA_ORTAK_EKSTRE!T40="","",_ARA_ORTAK_EKSTRE!T40),IF(_ARA_ORTAK_EKSTRE!AG40="","",_ARA_ORTAK_EKSTRE!AG40))</f>
        <v/>
      </c>
      <c r="I49" s="168" t="str">
        <f>IF($C$3="ÖMER KARTAL",IF(_ARA_ORTAK_EKSTRE!U40="","",_ARA_ORTAK_EKSTRE!U40),IF(_ARA_ORTAK_EKSTRE!AH40="","",_ARA_ORTAK_EKSTRE!AH40))</f>
        <v/>
      </c>
      <c r="J49" s="168" t="str">
        <f>IF($C$3="ÖMER KARTAL",IF(_ARA_ORTAK_EKSTRE!V40="","",_ARA_ORTAK_EKSTRE!V40),IF(_ARA_ORTAK_EKSTRE!AI40="","",_ARA_ORTAK_EKSTRE!AI40))</f>
        <v/>
      </c>
      <c r="K49" s="168" t="str">
        <f>IF($C$3="ÖMER KARTAL",IF(_ARA_ORTAK_EKSTRE!W40="","",_ARA_ORTAK_EKSTRE!W40),IF(_ARA_ORTAK_EKSTRE!AJ40="","",_ARA_ORTAK_EKSTRE!AJ40))</f>
        <v/>
      </c>
      <c r="L49" s="168" t="str">
        <f>IF($C$3="ÖMER KARTAL",IF(_ARA_ORTAK_EKSTRE!X40="","",_ARA_ORTAK_EKSTRE!X40),IF(_ARA_ORTAK_EKSTRE!AK40="","",_ARA_ORTAK_EKSTRE!AK40))</f>
        <v/>
      </c>
      <c r="M49" s="156" t="str">
        <f>IF($C$3="ÖMER KARTAL",IF(_ARA_ORTAK_EKSTRE!Y40="","",_ARA_ORTAK_EKSTRE!Y40),IF(_ARA_ORTAK_EKSTRE!AL40="","",_ARA_ORTAK_EKSTRE!AL40))</f>
        <v/>
      </c>
    </row>
    <row r="50" spans="2:13" ht="29.25" customHeight="1">
      <c r="B50" s="163" t="str">
        <f>IF($C$3="ÖMER KARTAL",IF(_ARA_ORTAK_EKSTRE!N41="","",_ARA_ORTAK_EKSTRE!N41),IF(_ARA_ORTAK_EKSTRE!AA41="","",_ARA_ORTAK_EKSTRE!AA41))</f>
        <v/>
      </c>
      <c r="C50" s="164" t="str">
        <f>IF($C$3="ÖMER KARTAL",IF(_ARA_ORTAK_EKSTRE!O41="","",_ARA_ORTAK_EKSTRE!O41),IF(_ARA_ORTAK_EKSTRE!AB41="","",_ARA_ORTAK_EKSTRE!AB41))</f>
        <v/>
      </c>
      <c r="D50" s="164" t="str">
        <f>IF($C$3="ÖMER KARTAL",IF(_ARA_ORTAK_EKSTRE!P41="","",_ARA_ORTAK_EKSTRE!P41),IF(_ARA_ORTAK_EKSTRE!AC41="","",_ARA_ORTAK_EKSTRE!AC41))</f>
        <v/>
      </c>
      <c r="E50" s="164" t="str">
        <f>IF($C$3="ÖMER KARTAL",IF(_ARA_ORTAK_EKSTRE!Q41="","",_ARA_ORTAK_EKSTRE!Q41),IF(_ARA_ORTAK_EKSTRE!AD41="","",_ARA_ORTAK_EKSTRE!AD41))</f>
        <v/>
      </c>
      <c r="F50" s="164" t="str">
        <f>IF($C$3="ÖMER KARTAL",IF(_ARA_ORTAK_EKSTRE!R41="","",_ARA_ORTAK_EKSTRE!R41),IF(_ARA_ORTAK_EKSTRE!AE41="","",_ARA_ORTAK_EKSTRE!AE41))</f>
        <v/>
      </c>
      <c r="G50" s="159" t="str">
        <f>IF($C$3="ÖMER KARTAL",IF(_ARA_ORTAK_EKSTRE!S41="","",_ARA_ORTAK_EKSTRE!S41),IF(_ARA_ORTAK_EKSTRE!AF41="","",_ARA_ORTAK_EKSTRE!AF41))</f>
        <v/>
      </c>
      <c r="H50" s="168" t="str">
        <f>IF($C$3="ÖMER KARTAL",IF(_ARA_ORTAK_EKSTRE!T41="","",_ARA_ORTAK_EKSTRE!T41),IF(_ARA_ORTAK_EKSTRE!AG41="","",_ARA_ORTAK_EKSTRE!AG41))</f>
        <v/>
      </c>
      <c r="I50" s="168" t="str">
        <f>IF($C$3="ÖMER KARTAL",IF(_ARA_ORTAK_EKSTRE!U41="","",_ARA_ORTAK_EKSTRE!U41),IF(_ARA_ORTAK_EKSTRE!AH41="","",_ARA_ORTAK_EKSTRE!AH41))</f>
        <v/>
      </c>
      <c r="J50" s="168" t="str">
        <f>IF($C$3="ÖMER KARTAL",IF(_ARA_ORTAK_EKSTRE!V41="","",_ARA_ORTAK_EKSTRE!V41),IF(_ARA_ORTAK_EKSTRE!AI41="","",_ARA_ORTAK_EKSTRE!AI41))</f>
        <v/>
      </c>
      <c r="K50" s="168" t="str">
        <f>IF($C$3="ÖMER KARTAL",IF(_ARA_ORTAK_EKSTRE!W41="","",_ARA_ORTAK_EKSTRE!W41),IF(_ARA_ORTAK_EKSTRE!AJ41="","",_ARA_ORTAK_EKSTRE!AJ41))</f>
        <v/>
      </c>
      <c r="L50" s="168" t="str">
        <f>IF($C$3="ÖMER KARTAL",IF(_ARA_ORTAK_EKSTRE!X41="","",_ARA_ORTAK_EKSTRE!X41),IF(_ARA_ORTAK_EKSTRE!AK41="","",_ARA_ORTAK_EKSTRE!AK41))</f>
        <v/>
      </c>
      <c r="M50" s="156" t="str">
        <f>IF($C$3="ÖMER KARTAL",IF(_ARA_ORTAK_EKSTRE!Y41="","",_ARA_ORTAK_EKSTRE!Y41),IF(_ARA_ORTAK_EKSTRE!AL41="","",_ARA_ORTAK_EKSTRE!AL41))</f>
        <v/>
      </c>
    </row>
    <row r="51" spans="2:13" ht="29.25" customHeight="1">
      <c r="B51" s="163" t="str">
        <f>IF($C$3="ÖMER KARTAL",IF(_ARA_ORTAK_EKSTRE!N42="","",_ARA_ORTAK_EKSTRE!N42),IF(_ARA_ORTAK_EKSTRE!AA42="","",_ARA_ORTAK_EKSTRE!AA42))</f>
        <v/>
      </c>
      <c r="C51" s="164" t="str">
        <f>IF($C$3="ÖMER KARTAL",IF(_ARA_ORTAK_EKSTRE!O42="","",_ARA_ORTAK_EKSTRE!O42),IF(_ARA_ORTAK_EKSTRE!AB42="","",_ARA_ORTAK_EKSTRE!AB42))</f>
        <v/>
      </c>
      <c r="D51" s="164" t="str">
        <f>IF($C$3="ÖMER KARTAL",IF(_ARA_ORTAK_EKSTRE!P42="","",_ARA_ORTAK_EKSTRE!P42),IF(_ARA_ORTAK_EKSTRE!AC42="","",_ARA_ORTAK_EKSTRE!AC42))</f>
        <v/>
      </c>
      <c r="E51" s="164" t="str">
        <f>IF($C$3="ÖMER KARTAL",IF(_ARA_ORTAK_EKSTRE!Q42="","",_ARA_ORTAK_EKSTRE!Q42),IF(_ARA_ORTAK_EKSTRE!AD42="","",_ARA_ORTAK_EKSTRE!AD42))</f>
        <v/>
      </c>
      <c r="F51" s="164" t="str">
        <f>IF($C$3="ÖMER KARTAL",IF(_ARA_ORTAK_EKSTRE!R42="","",_ARA_ORTAK_EKSTRE!R42),IF(_ARA_ORTAK_EKSTRE!AE42="","",_ARA_ORTAK_EKSTRE!AE42))</f>
        <v/>
      </c>
      <c r="G51" s="159" t="str">
        <f>IF($C$3="ÖMER KARTAL",IF(_ARA_ORTAK_EKSTRE!S42="","",_ARA_ORTAK_EKSTRE!S42),IF(_ARA_ORTAK_EKSTRE!AF42="","",_ARA_ORTAK_EKSTRE!AF42))</f>
        <v/>
      </c>
      <c r="H51" s="168" t="str">
        <f>IF($C$3="ÖMER KARTAL",IF(_ARA_ORTAK_EKSTRE!T42="","",_ARA_ORTAK_EKSTRE!T42),IF(_ARA_ORTAK_EKSTRE!AG42="","",_ARA_ORTAK_EKSTRE!AG42))</f>
        <v/>
      </c>
      <c r="I51" s="168" t="str">
        <f>IF($C$3="ÖMER KARTAL",IF(_ARA_ORTAK_EKSTRE!U42="","",_ARA_ORTAK_EKSTRE!U42),IF(_ARA_ORTAK_EKSTRE!AH42="","",_ARA_ORTAK_EKSTRE!AH42))</f>
        <v/>
      </c>
      <c r="J51" s="168" t="str">
        <f>IF($C$3="ÖMER KARTAL",IF(_ARA_ORTAK_EKSTRE!V42="","",_ARA_ORTAK_EKSTRE!V42),IF(_ARA_ORTAK_EKSTRE!AI42="","",_ARA_ORTAK_EKSTRE!AI42))</f>
        <v/>
      </c>
      <c r="K51" s="168" t="str">
        <f>IF($C$3="ÖMER KARTAL",IF(_ARA_ORTAK_EKSTRE!W42="","",_ARA_ORTAK_EKSTRE!W42),IF(_ARA_ORTAK_EKSTRE!AJ42="","",_ARA_ORTAK_EKSTRE!AJ42))</f>
        <v/>
      </c>
      <c r="L51" s="168" t="str">
        <f>IF($C$3="ÖMER KARTAL",IF(_ARA_ORTAK_EKSTRE!X42="","",_ARA_ORTAK_EKSTRE!X42),IF(_ARA_ORTAK_EKSTRE!AK42="","",_ARA_ORTAK_EKSTRE!AK42))</f>
        <v/>
      </c>
      <c r="M51" s="156" t="str">
        <f>IF($C$3="ÖMER KARTAL",IF(_ARA_ORTAK_EKSTRE!Y42="","",_ARA_ORTAK_EKSTRE!Y42),IF(_ARA_ORTAK_EKSTRE!AL42="","",_ARA_ORTAK_EKSTRE!AL42))</f>
        <v/>
      </c>
    </row>
    <row r="52" spans="2:13" ht="29.25" customHeight="1">
      <c r="B52" s="163" t="str">
        <f>IF($C$3="ÖMER KARTAL",IF(_ARA_ORTAK_EKSTRE!N43="","",_ARA_ORTAK_EKSTRE!N43),IF(_ARA_ORTAK_EKSTRE!AA43="","",_ARA_ORTAK_EKSTRE!AA43))</f>
        <v/>
      </c>
      <c r="C52" s="164" t="str">
        <f>IF($C$3="ÖMER KARTAL",IF(_ARA_ORTAK_EKSTRE!O43="","",_ARA_ORTAK_EKSTRE!O43),IF(_ARA_ORTAK_EKSTRE!AB43="","",_ARA_ORTAK_EKSTRE!AB43))</f>
        <v/>
      </c>
      <c r="D52" s="164" t="str">
        <f>IF($C$3="ÖMER KARTAL",IF(_ARA_ORTAK_EKSTRE!P43="","",_ARA_ORTAK_EKSTRE!P43),IF(_ARA_ORTAK_EKSTRE!AC43="","",_ARA_ORTAK_EKSTRE!AC43))</f>
        <v/>
      </c>
      <c r="E52" s="164" t="str">
        <f>IF($C$3="ÖMER KARTAL",IF(_ARA_ORTAK_EKSTRE!Q43="","",_ARA_ORTAK_EKSTRE!Q43),IF(_ARA_ORTAK_EKSTRE!AD43="","",_ARA_ORTAK_EKSTRE!AD43))</f>
        <v/>
      </c>
      <c r="F52" s="164" t="str">
        <f>IF($C$3="ÖMER KARTAL",IF(_ARA_ORTAK_EKSTRE!R43="","",_ARA_ORTAK_EKSTRE!R43),IF(_ARA_ORTAK_EKSTRE!AE43="","",_ARA_ORTAK_EKSTRE!AE43))</f>
        <v/>
      </c>
      <c r="G52" s="159" t="str">
        <f>IF($C$3="ÖMER KARTAL",IF(_ARA_ORTAK_EKSTRE!S43="","",_ARA_ORTAK_EKSTRE!S43),IF(_ARA_ORTAK_EKSTRE!AF43="","",_ARA_ORTAK_EKSTRE!AF43))</f>
        <v/>
      </c>
      <c r="H52" s="168" t="str">
        <f>IF($C$3="ÖMER KARTAL",IF(_ARA_ORTAK_EKSTRE!T43="","",_ARA_ORTAK_EKSTRE!T43),IF(_ARA_ORTAK_EKSTRE!AG43="","",_ARA_ORTAK_EKSTRE!AG43))</f>
        <v/>
      </c>
      <c r="I52" s="168" t="str">
        <f>IF($C$3="ÖMER KARTAL",IF(_ARA_ORTAK_EKSTRE!U43="","",_ARA_ORTAK_EKSTRE!U43),IF(_ARA_ORTAK_EKSTRE!AH43="","",_ARA_ORTAK_EKSTRE!AH43))</f>
        <v/>
      </c>
      <c r="J52" s="168" t="str">
        <f>IF($C$3="ÖMER KARTAL",IF(_ARA_ORTAK_EKSTRE!V43="","",_ARA_ORTAK_EKSTRE!V43),IF(_ARA_ORTAK_EKSTRE!AI43="","",_ARA_ORTAK_EKSTRE!AI43))</f>
        <v/>
      </c>
      <c r="K52" s="168" t="str">
        <f>IF($C$3="ÖMER KARTAL",IF(_ARA_ORTAK_EKSTRE!W43="","",_ARA_ORTAK_EKSTRE!W43),IF(_ARA_ORTAK_EKSTRE!AJ43="","",_ARA_ORTAK_EKSTRE!AJ43))</f>
        <v/>
      </c>
      <c r="L52" s="168" t="str">
        <f>IF($C$3="ÖMER KARTAL",IF(_ARA_ORTAK_EKSTRE!X43="","",_ARA_ORTAK_EKSTRE!X43),IF(_ARA_ORTAK_EKSTRE!AK43="","",_ARA_ORTAK_EKSTRE!AK43))</f>
        <v/>
      </c>
      <c r="M52" s="156" t="str">
        <f>IF($C$3="ÖMER KARTAL",IF(_ARA_ORTAK_EKSTRE!Y43="","",_ARA_ORTAK_EKSTRE!Y43),IF(_ARA_ORTAK_EKSTRE!AL43="","",_ARA_ORTAK_EKSTRE!AL43))</f>
        <v/>
      </c>
    </row>
    <row r="53" spans="2:13" ht="29.25" customHeight="1">
      <c r="B53" s="163" t="str">
        <f>IF($C$3="ÖMER KARTAL",IF(_ARA_ORTAK_EKSTRE!N44="","",_ARA_ORTAK_EKSTRE!N44),IF(_ARA_ORTAK_EKSTRE!AA44="","",_ARA_ORTAK_EKSTRE!AA44))</f>
        <v/>
      </c>
      <c r="C53" s="164" t="str">
        <f>IF($C$3="ÖMER KARTAL",IF(_ARA_ORTAK_EKSTRE!O44="","",_ARA_ORTAK_EKSTRE!O44),IF(_ARA_ORTAK_EKSTRE!AB44="","",_ARA_ORTAK_EKSTRE!AB44))</f>
        <v/>
      </c>
      <c r="D53" s="164" t="str">
        <f>IF($C$3="ÖMER KARTAL",IF(_ARA_ORTAK_EKSTRE!P44="","",_ARA_ORTAK_EKSTRE!P44),IF(_ARA_ORTAK_EKSTRE!AC44="","",_ARA_ORTAK_EKSTRE!AC44))</f>
        <v/>
      </c>
      <c r="E53" s="164" t="str">
        <f>IF($C$3="ÖMER KARTAL",IF(_ARA_ORTAK_EKSTRE!Q44="","",_ARA_ORTAK_EKSTRE!Q44),IF(_ARA_ORTAK_EKSTRE!AD44="","",_ARA_ORTAK_EKSTRE!AD44))</f>
        <v/>
      </c>
      <c r="F53" s="164" t="str">
        <f>IF($C$3="ÖMER KARTAL",IF(_ARA_ORTAK_EKSTRE!R44="","",_ARA_ORTAK_EKSTRE!R44),IF(_ARA_ORTAK_EKSTRE!AE44="","",_ARA_ORTAK_EKSTRE!AE44))</f>
        <v/>
      </c>
      <c r="G53" s="159" t="str">
        <f>IF($C$3="ÖMER KARTAL",IF(_ARA_ORTAK_EKSTRE!S44="","",_ARA_ORTAK_EKSTRE!S44),IF(_ARA_ORTAK_EKSTRE!AF44="","",_ARA_ORTAK_EKSTRE!AF44))</f>
        <v/>
      </c>
      <c r="H53" s="168" t="str">
        <f>IF($C$3="ÖMER KARTAL",IF(_ARA_ORTAK_EKSTRE!T44="","",_ARA_ORTAK_EKSTRE!T44),IF(_ARA_ORTAK_EKSTRE!AG44="","",_ARA_ORTAK_EKSTRE!AG44))</f>
        <v/>
      </c>
      <c r="I53" s="168" t="str">
        <f>IF($C$3="ÖMER KARTAL",IF(_ARA_ORTAK_EKSTRE!U44="","",_ARA_ORTAK_EKSTRE!U44),IF(_ARA_ORTAK_EKSTRE!AH44="","",_ARA_ORTAK_EKSTRE!AH44))</f>
        <v/>
      </c>
      <c r="J53" s="168" t="str">
        <f>IF($C$3="ÖMER KARTAL",IF(_ARA_ORTAK_EKSTRE!V44="","",_ARA_ORTAK_EKSTRE!V44),IF(_ARA_ORTAK_EKSTRE!AI44="","",_ARA_ORTAK_EKSTRE!AI44))</f>
        <v/>
      </c>
      <c r="K53" s="168" t="str">
        <f>IF($C$3="ÖMER KARTAL",IF(_ARA_ORTAK_EKSTRE!W44="","",_ARA_ORTAK_EKSTRE!W44),IF(_ARA_ORTAK_EKSTRE!AJ44="","",_ARA_ORTAK_EKSTRE!AJ44))</f>
        <v/>
      </c>
      <c r="L53" s="168" t="str">
        <f>IF($C$3="ÖMER KARTAL",IF(_ARA_ORTAK_EKSTRE!X44="","",_ARA_ORTAK_EKSTRE!X44),IF(_ARA_ORTAK_EKSTRE!AK44="","",_ARA_ORTAK_EKSTRE!AK44))</f>
        <v/>
      </c>
      <c r="M53" s="156" t="str">
        <f>IF($C$3="ÖMER KARTAL",IF(_ARA_ORTAK_EKSTRE!Y44="","",_ARA_ORTAK_EKSTRE!Y44),IF(_ARA_ORTAK_EKSTRE!AL44="","",_ARA_ORTAK_EKSTRE!AL44))</f>
        <v/>
      </c>
    </row>
    <row r="54" spans="2:13" ht="29.25" customHeight="1">
      <c r="B54" s="163" t="str">
        <f>IF($C$3="ÖMER KARTAL",IF(_ARA_ORTAK_EKSTRE!N45="","",_ARA_ORTAK_EKSTRE!N45),IF(_ARA_ORTAK_EKSTRE!AA45="","",_ARA_ORTAK_EKSTRE!AA45))</f>
        <v/>
      </c>
      <c r="C54" s="164" t="str">
        <f>IF($C$3="ÖMER KARTAL",IF(_ARA_ORTAK_EKSTRE!O45="","",_ARA_ORTAK_EKSTRE!O45),IF(_ARA_ORTAK_EKSTRE!AB45="","",_ARA_ORTAK_EKSTRE!AB45))</f>
        <v/>
      </c>
      <c r="D54" s="164" t="str">
        <f>IF($C$3="ÖMER KARTAL",IF(_ARA_ORTAK_EKSTRE!P45="","",_ARA_ORTAK_EKSTRE!P45),IF(_ARA_ORTAK_EKSTRE!AC45="","",_ARA_ORTAK_EKSTRE!AC45))</f>
        <v/>
      </c>
      <c r="E54" s="164" t="str">
        <f>IF($C$3="ÖMER KARTAL",IF(_ARA_ORTAK_EKSTRE!Q45="","",_ARA_ORTAK_EKSTRE!Q45),IF(_ARA_ORTAK_EKSTRE!AD45="","",_ARA_ORTAK_EKSTRE!AD45))</f>
        <v/>
      </c>
      <c r="F54" s="164" t="str">
        <f>IF($C$3="ÖMER KARTAL",IF(_ARA_ORTAK_EKSTRE!R45="","",_ARA_ORTAK_EKSTRE!R45),IF(_ARA_ORTAK_EKSTRE!AE45="","",_ARA_ORTAK_EKSTRE!AE45))</f>
        <v/>
      </c>
      <c r="G54" s="159" t="str">
        <f>IF($C$3="ÖMER KARTAL",IF(_ARA_ORTAK_EKSTRE!S45="","",_ARA_ORTAK_EKSTRE!S45),IF(_ARA_ORTAK_EKSTRE!AF45="","",_ARA_ORTAK_EKSTRE!AF45))</f>
        <v/>
      </c>
      <c r="H54" s="168" t="str">
        <f>IF($C$3="ÖMER KARTAL",IF(_ARA_ORTAK_EKSTRE!T45="","",_ARA_ORTAK_EKSTRE!T45),IF(_ARA_ORTAK_EKSTRE!AG45="","",_ARA_ORTAK_EKSTRE!AG45))</f>
        <v/>
      </c>
      <c r="I54" s="168" t="str">
        <f>IF($C$3="ÖMER KARTAL",IF(_ARA_ORTAK_EKSTRE!U45="","",_ARA_ORTAK_EKSTRE!U45),IF(_ARA_ORTAK_EKSTRE!AH45="","",_ARA_ORTAK_EKSTRE!AH45))</f>
        <v/>
      </c>
      <c r="J54" s="168" t="str">
        <f>IF($C$3="ÖMER KARTAL",IF(_ARA_ORTAK_EKSTRE!V45="","",_ARA_ORTAK_EKSTRE!V45),IF(_ARA_ORTAK_EKSTRE!AI45="","",_ARA_ORTAK_EKSTRE!AI45))</f>
        <v/>
      </c>
      <c r="K54" s="168" t="str">
        <f>IF($C$3="ÖMER KARTAL",IF(_ARA_ORTAK_EKSTRE!W45="","",_ARA_ORTAK_EKSTRE!W45),IF(_ARA_ORTAK_EKSTRE!AJ45="","",_ARA_ORTAK_EKSTRE!AJ45))</f>
        <v/>
      </c>
      <c r="L54" s="168" t="str">
        <f>IF($C$3="ÖMER KARTAL",IF(_ARA_ORTAK_EKSTRE!X45="","",_ARA_ORTAK_EKSTRE!X45),IF(_ARA_ORTAK_EKSTRE!AK45="","",_ARA_ORTAK_EKSTRE!AK45))</f>
        <v/>
      </c>
      <c r="M54" s="156" t="str">
        <f>IF($C$3="ÖMER KARTAL",IF(_ARA_ORTAK_EKSTRE!Y45="","",_ARA_ORTAK_EKSTRE!Y45),IF(_ARA_ORTAK_EKSTRE!AL45="","",_ARA_ORTAK_EKSTRE!AL45))</f>
        <v/>
      </c>
    </row>
    <row r="55" spans="2:13" ht="29.25" customHeight="1">
      <c r="B55" s="163" t="str">
        <f>IF($C$3="ÖMER KARTAL",IF(_ARA_ORTAK_EKSTRE!N46="","",_ARA_ORTAK_EKSTRE!N46),IF(_ARA_ORTAK_EKSTRE!AA46="","",_ARA_ORTAK_EKSTRE!AA46))</f>
        <v/>
      </c>
      <c r="C55" s="164" t="str">
        <f>IF($C$3="ÖMER KARTAL",IF(_ARA_ORTAK_EKSTRE!O46="","",_ARA_ORTAK_EKSTRE!O46),IF(_ARA_ORTAK_EKSTRE!AB46="","",_ARA_ORTAK_EKSTRE!AB46))</f>
        <v/>
      </c>
      <c r="D55" s="164" t="str">
        <f>IF($C$3="ÖMER KARTAL",IF(_ARA_ORTAK_EKSTRE!P46="","",_ARA_ORTAK_EKSTRE!P46),IF(_ARA_ORTAK_EKSTRE!AC46="","",_ARA_ORTAK_EKSTRE!AC46))</f>
        <v/>
      </c>
      <c r="E55" s="164" t="str">
        <f>IF($C$3="ÖMER KARTAL",IF(_ARA_ORTAK_EKSTRE!Q46="","",_ARA_ORTAK_EKSTRE!Q46),IF(_ARA_ORTAK_EKSTRE!AD46="","",_ARA_ORTAK_EKSTRE!AD46))</f>
        <v/>
      </c>
      <c r="F55" s="164" t="str">
        <f>IF($C$3="ÖMER KARTAL",IF(_ARA_ORTAK_EKSTRE!R46="","",_ARA_ORTAK_EKSTRE!R46),IF(_ARA_ORTAK_EKSTRE!AE46="","",_ARA_ORTAK_EKSTRE!AE46))</f>
        <v/>
      </c>
      <c r="G55" s="159" t="str">
        <f>IF($C$3="ÖMER KARTAL",IF(_ARA_ORTAK_EKSTRE!S46="","",_ARA_ORTAK_EKSTRE!S46),IF(_ARA_ORTAK_EKSTRE!AF46="","",_ARA_ORTAK_EKSTRE!AF46))</f>
        <v/>
      </c>
      <c r="H55" s="168" t="str">
        <f>IF($C$3="ÖMER KARTAL",IF(_ARA_ORTAK_EKSTRE!T46="","",_ARA_ORTAK_EKSTRE!T46),IF(_ARA_ORTAK_EKSTRE!AG46="","",_ARA_ORTAK_EKSTRE!AG46))</f>
        <v/>
      </c>
      <c r="I55" s="168" t="str">
        <f>IF($C$3="ÖMER KARTAL",IF(_ARA_ORTAK_EKSTRE!U46="","",_ARA_ORTAK_EKSTRE!U46),IF(_ARA_ORTAK_EKSTRE!AH46="","",_ARA_ORTAK_EKSTRE!AH46))</f>
        <v/>
      </c>
      <c r="J55" s="168" t="str">
        <f>IF($C$3="ÖMER KARTAL",IF(_ARA_ORTAK_EKSTRE!V46="","",_ARA_ORTAK_EKSTRE!V46),IF(_ARA_ORTAK_EKSTRE!AI46="","",_ARA_ORTAK_EKSTRE!AI46))</f>
        <v/>
      </c>
      <c r="K55" s="168" t="str">
        <f>IF($C$3="ÖMER KARTAL",IF(_ARA_ORTAK_EKSTRE!W46="","",_ARA_ORTAK_EKSTRE!W46),IF(_ARA_ORTAK_EKSTRE!AJ46="","",_ARA_ORTAK_EKSTRE!AJ46))</f>
        <v/>
      </c>
      <c r="L55" s="168" t="str">
        <f>IF($C$3="ÖMER KARTAL",IF(_ARA_ORTAK_EKSTRE!X46="","",_ARA_ORTAK_EKSTRE!X46),IF(_ARA_ORTAK_EKSTRE!AK46="","",_ARA_ORTAK_EKSTRE!AK46))</f>
        <v/>
      </c>
      <c r="M55" s="156" t="str">
        <f>IF($C$3="ÖMER KARTAL",IF(_ARA_ORTAK_EKSTRE!Y46="","",_ARA_ORTAK_EKSTRE!Y46),IF(_ARA_ORTAK_EKSTRE!AL46="","",_ARA_ORTAK_EKSTRE!AL46))</f>
        <v/>
      </c>
    </row>
    <row r="56" spans="2:13" ht="29.25" customHeight="1">
      <c r="B56" s="163" t="str">
        <f>IF($C$3="ÖMER KARTAL",IF(_ARA_ORTAK_EKSTRE!N47="","",_ARA_ORTAK_EKSTRE!N47),IF(_ARA_ORTAK_EKSTRE!AA47="","",_ARA_ORTAK_EKSTRE!AA47))</f>
        <v/>
      </c>
      <c r="C56" s="164" t="str">
        <f>IF($C$3="ÖMER KARTAL",IF(_ARA_ORTAK_EKSTRE!O47="","",_ARA_ORTAK_EKSTRE!O47),IF(_ARA_ORTAK_EKSTRE!AB47="","",_ARA_ORTAK_EKSTRE!AB47))</f>
        <v/>
      </c>
      <c r="D56" s="164" t="str">
        <f>IF($C$3="ÖMER KARTAL",IF(_ARA_ORTAK_EKSTRE!P47="","",_ARA_ORTAK_EKSTRE!P47),IF(_ARA_ORTAK_EKSTRE!AC47="","",_ARA_ORTAK_EKSTRE!AC47))</f>
        <v/>
      </c>
      <c r="E56" s="164" t="str">
        <f>IF($C$3="ÖMER KARTAL",IF(_ARA_ORTAK_EKSTRE!Q47="","",_ARA_ORTAK_EKSTRE!Q47),IF(_ARA_ORTAK_EKSTRE!AD47="","",_ARA_ORTAK_EKSTRE!AD47))</f>
        <v/>
      </c>
      <c r="F56" s="164" t="str">
        <f>IF($C$3="ÖMER KARTAL",IF(_ARA_ORTAK_EKSTRE!R47="","",_ARA_ORTAK_EKSTRE!R47),IF(_ARA_ORTAK_EKSTRE!AE47="","",_ARA_ORTAK_EKSTRE!AE47))</f>
        <v/>
      </c>
      <c r="G56" s="159" t="str">
        <f>IF($C$3="ÖMER KARTAL",IF(_ARA_ORTAK_EKSTRE!S47="","",_ARA_ORTAK_EKSTRE!S47),IF(_ARA_ORTAK_EKSTRE!AF47="","",_ARA_ORTAK_EKSTRE!AF47))</f>
        <v/>
      </c>
      <c r="H56" s="168" t="str">
        <f>IF($C$3="ÖMER KARTAL",IF(_ARA_ORTAK_EKSTRE!T47="","",_ARA_ORTAK_EKSTRE!T47),IF(_ARA_ORTAK_EKSTRE!AG47="","",_ARA_ORTAK_EKSTRE!AG47))</f>
        <v/>
      </c>
      <c r="I56" s="168" t="str">
        <f>IF($C$3="ÖMER KARTAL",IF(_ARA_ORTAK_EKSTRE!U47="","",_ARA_ORTAK_EKSTRE!U47),IF(_ARA_ORTAK_EKSTRE!AH47="","",_ARA_ORTAK_EKSTRE!AH47))</f>
        <v/>
      </c>
      <c r="J56" s="168" t="str">
        <f>IF($C$3="ÖMER KARTAL",IF(_ARA_ORTAK_EKSTRE!V47="","",_ARA_ORTAK_EKSTRE!V47),IF(_ARA_ORTAK_EKSTRE!AI47="","",_ARA_ORTAK_EKSTRE!AI47))</f>
        <v/>
      </c>
      <c r="K56" s="168" t="str">
        <f>IF($C$3="ÖMER KARTAL",IF(_ARA_ORTAK_EKSTRE!W47="","",_ARA_ORTAK_EKSTRE!W47),IF(_ARA_ORTAK_EKSTRE!AJ47="","",_ARA_ORTAK_EKSTRE!AJ47))</f>
        <v/>
      </c>
      <c r="L56" s="168" t="str">
        <f>IF($C$3="ÖMER KARTAL",IF(_ARA_ORTAK_EKSTRE!X47="","",_ARA_ORTAK_EKSTRE!X47),IF(_ARA_ORTAK_EKSTRE!AK47="","",_ARA_ORTAK_EKSTRE!AK47))</f>
        <v/>
      </c>
      <c r="M56" s="156" t="str">
        <f>IF($C$3="ÖMER KARTAL",IF(_ARA_ORTAK_EKSTRE!Y47="","",_ARA_ORTAK_EKSTRE!Y47),IF(_ARA_ORTAK_EKSTRE!AL47="","",_ARA_ORTAK_EKSTRE!AL47))</f>
        <v/>
      </c>
    </row>
    <row r="57" spans="2:13" ht="29.25" customHeight="1">
      <c r="B57" s="163" t="str">
        <f>IF($C$3="ÖMER KARTAL",IF(_ARA_ORTAK_EKSTRE!N48="","",_ARA_ORTAK_EKSTRE!N48),IF(_ARA_ORTAK_EKSTRE!AA48="","",_ARA_ORTAK_EKSTRE!AA48))</f>
        <v/>
      </c>
      <c r="C57" s="164" t="str">
        <f>IF($C$3="ÖMER KARTAL",IF(_ARA_ORTAK_EKSTRE!O48="","",_ARA_ORTAK_EKSTRE!O48),IF(_ARA_ORTAK_EKSTRE!AB48="","",_ARA_ORTAK_EKSTRE!AB48))</f>
        <v/>
      </c>
      <c r="D57" s="164" t="str">
        <f>IF($C$3="ÖMER KARTAL",IF(_ARA_ORTAK_EKSTRE!P48="","",_ARA_ORTAK_EKSTRE!P48),IF(_ARA_ORTAK_EKSTRE!AC48="","",_ARA_ORTAK_EKSTRE!AC48))</f>
        <v/>
      </c>
      <c r="E57" s="164" t="str">
        <f>IF($C$3="ÖMER KARTAL",IF(_ARA_ORTAK_EKSTRE!Q48="","",_ARA_ORTAK_EKSTRE!Q48),IF(_ARA_ORTAK_EKSTRE!AD48="","",_ARA_ORTAK_EKSTRE!AD48))</f>
        <v/>
      </c>
      <c r="F57" s="164" t="str">
        <f>IF($C$3="ÖMER KARTAL",IF(_ARA_ORTAK_EKSTRE!R48="","",_ARA_ORTAK_EKSTRE!R48),IF(_ARA_ORTAK_EKSTRE!AE48="","",_ARA_ORTAK_EKSTRE!AE48))</f>
        <v/>
      </c>
      <c r="G57" s="159" t="str">
        <f>IF($C$3="ÖMER KARTAL",IF(_ARA_ORTAK_EKSTRE!S48="","",_ARA_ORTAK_EKSTRE!S48),IF(_ARA_ORTAK_EKSTRE!AF48="","",_ARA_ORTAK_EKSTRE!AF48))</f>
        <v/>
      </c>
      <c r="H57" s="168" t="str">
        <f>IF($C$3="ÖMER KARTAL",IF(_ARA_ORTAK_EKSTRE!T48="","",_ARA_ORTAK_EKSTRE!T48),IF(_ARA_ORTAK_EKSTRE!AG48="","",_ARA_ORTAK_EKSTRE!AG48))</f>
        <v/>
      </c>
      <c r="I57" s="168" t="str">
        <f>IF($C$3="ÖMER KARTAL",IF(_ARA_ORTAK_EKSTRE!U48="","",_ARA_ORTAK_EKSTRE!U48),IF(_ARA_ORTAK_EKSTRE!AH48="","",_ARA_ORTAK_EKSTRE!AH48))</f>
        <v/>
      </c>
      <c r="J57" s="168" t="str">
        <f>IF($C$3="ÖMER KARTAL",IF(_ARA_ORTAK_EKSTRE!V48="","",_ARA_ORTAK_EKSTRE!V48),IF(_ARA_ORTAK_EKSTRE!AI48="","",_ARA_ORTAK_EKSTRE!AI48))</f>
        <v/>
      </c>
      <c r="K57" s="168" t="str">
        <f>IF($C$3="ÖMER KARTAL",IF(_ARA_ORTAK_EKSTRE!W48="","",_ARA_ORTAK_EKSTRE!W48),IF(_ARA_ORTAK_EKSTRE!AJ48="","",_ARA_ORTAK_EKSTRE!AJ48))</f>
        <v/>
      </c>
      <c r="L57" s="168" t="str">
        <f>IF($C$3="ÖMER KARTAL",IF(_ARA_ORTAK_EKSTRE!X48="","",_ARA_ORTAK_EKSTRE!X48),IF(_ARA_ORTAK_EKSTRE!AK48="","",_ARA_ORTAK_EKSTRE!AK48))</f>
        <v/>
      </c>
      <c r="M57" s="156" t="str">
        <f>IF($C$3="ÖMER KARTAL",IF(_ARA_ORTAK_EKSTRE!Y48="","",_ARA_ORTAK_EKSTRE!Y48),IF(_ARA_ORTAK_EKSTRE!AL48="","",_ARA_ORTAK_EKSTRE!AL48))</f>
        <v/>
      </c>
    </row>
    <row r="58" spans="2:13" ht="29.25" customHeight="1">
      <c r="B58" s="163" t="str">
        <f>IF($C$3="ÖMER KARTAL",IF(_ARA_ORTAK_EKSTRE!N49="","",_ARA_ORTAK_EKSTRE!N49),IF(_ARA_ORTAK_EKSTRE!AA49="","",_ARA_ORTAK_EKSTRE!AA49))</f>
        <v/>
      </c>
      <c r="C58" s="164" t="str">
        <f>IF($C$3="ÖMER KARTAL",IF(_ARA_ORTAK_EKSTRE!O49="","",_ARA_ORTAK_EKSTRE!O49),IF(_ARA_ORTAK_EKSTRE!AB49="","",_ARA_ORTAK_EKSTRE!AB49))</f>
        <v/>
      </c>
      <c r="D58" s="164" t="str">
        <f>IF($C$3="ÖMER KARTAL",IF(_ARA_ORTAK_EKSTRE!P49="","",_ARA_ORTAK_EKSTRE!P49),IF(_ARA_ORTAK_EKSTRE!AC49="","",_ARA_ORTAK_EKSTRE!AC49))</f>
        <v/>
      </c>
      <c r="E58" s="164" t="str">
        <f>IF($C$3="ÖMER KARTAL",IF(_ARA_ORTAK_EKSTRE!Q49="","",_ARA_ORTAK_EKSTRE!Q49),IF(_ARA_ORTAK_EKSTRE!AD49="","",_ARA_ORTAK_EKSTRE!AD49))</f>
        <v/>
      </c>
      <c r="F58" s="164" t="str">
        <f>IF($C$3="ÖMER KARTAL",IF(_ARA_ORTAK_EKSTRE!R49="","",_ARA_ORTAK_EKSTRE!R49),IF(_ARA_ORTAK_EKSTRE!AE49="","",_ARA_ORTAK_EKSTRE!AE49))</f>
        <v/>
      </c>
      <c r="G58" s="159" t="str">
        <f>IF($C$3="ÖMER KARTAL",IF(_ARA_ORTAK_EKSTRE!S49="","",_ARA_ORTAK_EKSTRE!S49),IF(_ARA_ORTAK_EKSTRE!AF49="","",_ARA_ORTAK_EKSTRE!AF49))</f>
        <v/>
      </c>
      <c r="H58" s="168" t="str">
        <f>IF($C$3="ÖMER KARTAL",IF(_ARA_ORTAK_EKSTRE!T49="","",_ARA_ORTAK_EKSTRE!T49),IF(_ARA_ORTAK_EKSTRE!AG49="","",_ARA_ORTAK_EKSTRE!AG49))</f>
        <v/>
      </c>
      <c r="I58" s="168" t="str">
        <f>IF($C$3="ÖMER KARTAL",IF(_ARA_ORTAK_EKSTRE!U49="","",_ARA_ORTAK_EKSTRE!U49),IF(_ARA_ORTAK_EKSTRE!AH49="","",_ARA_ORTAK_EKSTRE!AH49))</f>
        <v/>
      </c>
      <c r="J58" s="168" t="str">
        <f>IF($C$3="ÖMER KARTAL",IF(_ARA_ORTAK_EKSTRE!V49="","",_ARA_ORTAK_EKSTRE!V49),IF(_ARA_ORTAK_EKSTRE!AI49="","",_ARA_ORTAK_EKSTRE!AI49))</f>
        <v/>
      </c>
      <c r="K58" s="168" t="str">
        <f>IF($C$3="ÖMER KARTAL",IF(_ARA_ORTAK_EKSTRE!W49="","",_ARA_ORTAK_EKSTRE!W49),IF(_ARA_ORTAK_EKSTRE!AJ49="","",_ARA_ORTAK_EKSTRE!AJ49))</f>
        <v/>
      </c>
      <c r="L58" s="168" t="str">
        <f>IF($C$3="ÖMER KARTAL",IF(_ARA_ORTAK_EKSTRE!X49="","",_ARA_ORTAK_EKSTRE!X49),IF(_ARA_ORTAK_EKSTRE!AK49="","",_ARA_ORTAK_EKSTRE!AK49))</f>
        <v/>
      </c>
      <c r="M58" s="156" t="str">
        <f>IF($C$3="ÖMER KARTAL",IF(_ARA_ORTAK_EKSTRE!Y49="","",_ARA_ORTAK_EKSTRE!Y49),IF(_ARA_ORTAK_EKSTRE!AL49="","",_ARA_ORTAK_EKSTRE!AL49))</f>
        <v/>
      </c>
    </row>
    <row r="59" spans="2:13" ht="29.25" customHeight="1">
      <c r="B59" s="163" t="str">
        <f>IF($C$3="ÖMER KARTAL",IF(_ARA_ORTAK_EKSTRE!N50="","",_ARA_ORTAK_EKSTRE!N50),IF(_ARA_ORTAK_EKSTRE!AA50="","",_ARA_ORTAK_EKSTRE!AA50))</f>
        <v/>
      </c>
      <c r="C59" s="164" t="str">
        <f>IF($C$3="ÖMER KARTAL",IF(_ARA_ORTAK_EKSTRE!O50="","",_ARA_ORTAK_EKSTRE!O50),IF(_ARA_ORTAK_EKSTRE!AB50="","",_ARA_ORTAK_EKSTRE!AB50))</f>
        <v/>
      </c>
      <c r="D59" s="164" t="str">
        <f>IF($C$3="ÖMER KARTAL",IF(_ARA_ORTAK_EKSTRE!P50="","",_ARA_ORTAK_EKSTRE!P50),IF(_ARA_ORTAK_EKSTRE!AC50="","",_ARA_ORTAK_EKSTRE!AC50))</f>
        <v/>
      </c>
      <c r="E59" s="164" t="str">
        <f>IF($C$3="ÖMER KARTAL",IF(_ARA_ORTAK_EKSTRE!Q50="","",_ARA_ORTAK_EKSTRE!Q50),IF(_ARA_ORTAK_EKSTRE!AD50="","",_ARA_ORTAK_EKSTRE!AD50))</f>
        <v/>
      </c>
      <c r="F59" s="164" t="str">
        <f>IF($C$3="ÖMER KARTAL",IF(_ARA_ORTAK_EKSTRE!R50="","",_ARA_ORTAK_EKSTRE!R50),IF(_ARA_ORTAK_EKSTRE!AE50="","",_ARA_ORTAK_EKSTRE!AE50))</f>
        <v/>
      </c>
      <c r="G59" s="159" t="str">
        <f>IF($C$3="ÖMER KARTAL",IF(_ARA_ORTAK_EKSTRE!S50="","",_ARA_ORTAK_EKSTRE!S50),IF(_ARA_ORTAK_EKSTRE!AF50="","",_ARA_ORTAK_EKSTRE!AF50))</f>
        <v/>
      </c>
      <c r="H59" s="168" t="str">
        <f>IF($C$3="ÖMER KARTAL",IF(_ARA_ORTAK_EKSTRE!T50="","",_ARA_ORTAK_EKSTRE!T50),IF(_ARA_ORTAK_EKSTRE!AG50="","",_ARA_ORTAK_EKSTRE!AG50))</f>
        <v/>
      </c>
      <c r="I59" s="168" t="str">
        <f>IF($C$3="ÖMER KARTAL",IF(_ARA_ORTAK_EKSTRE!U50="","",_ARA_ORTAK_EKSTRE!U50),IF(_ARA_ORTAK_EKSTRE!AH50="","",_ARA_ORTAK_EKSTRE!AH50))</f>
        <v/>
      </c>
      <c r="J59" s="168" t="str">
        <f>IF($C$3="ÖMER KARTAL",IF(_ARA_ORTAK_EKSTRE!V50="","",_ARA_ORTAK_EKSTRE!V50),IF(_ARA_ORTAK_EKSTRE!AI50="","",_ARA_ORTAK_EKSTRE!AI50))</f>
        <v/>
      </c>
      <c r="K59" s="168" t="str">
        <f>IF($C$3="ÖMER KARTAL",IF(_ARA_ORTAK_EKSTRE!W50="","",_ARA_ORTAK_EKSTRE!W50),IF(_ARA_ORTAK_EKSTRE!AJ50="","",_ARA_ORTAK_EKSTRE!AJ50))</f>
        <v/>
      </c>
      <c r="L59" s="168" t="str">
        <f>IF($C$3="ÖMER KARTAL",IF(_ARA_ORTAK_EKSTRE!X50="","",_ARA_ORTAK_EKSTRE!X50),IF(_ARA_ORTAK_EKSTRE!AK50="","",_ARA_ORTAK_EKSTRE!AK50))</f>
        <v/>
      </c>
      <c r="M59" s="156" t="str">
        <f>IF($C$3="ÖMER KARTAL",IF(_ARA_ORTAK_EKSTRE!Y50="","",_ARA_ORTAK_EKSTRE!Y50),IF(_ARA_ORTAK_EKSTRE!AL50="","",_ARA_ORTAK_EKSTRE!AL50))</f>
        <v/>
      </c>
    </row>
    <row r="60" spans="2:13" ht="29.25" customHeight="1">
      <c r="B60" s="163" t="str">
        <f>IF($C$3="ÖMER KARTAL",IF(_ARA_ORTAK_EKSTRE!N51="","",_ARA_ORTAK_EKSTRE!N51),IF(_ARA_ORTAK_EKSTRE!AA51="","",_ARA_ORTAK_EKSTRE!AA51))</f>
        <v/>
      </c>
      <c r="C60" s="164" t="str">
        <f>IF($C$3="ÖMER KARTAL",IF(_ARA_ORTAK_EKSTRE!O51="","",_ARA_ORTAK_EKSTRE!O51),IF(_ARA_ORTAK_EKSTRE!AB51="","",_ARA_ORTAK_EKSTRE!AB51))</f>
        <v/>
      </c>
      <c r="D60" s="164" t="str">
        <f>IF($C$3="ÖMER KARTAL",IF(_ARA_ORTAK_EKSTRE!P51="","",_ARA_ORTAK_EKSTRE!P51),IF(_ARA_ORTAK_EKSTRE!AC51="","",_ARA_ORTAK_EKSTRE!AC51))</f>
        <v/>
      </c>
      <c r="E60" s="164" t="str">
        <f>IF($C$3="ÖMER KARTAL",IF(_ARA_ORTAK_EKSTRE!Q51="","",_ARA_ORTAK_EKSTRE!Q51),IF(_ARA_ORTAK_EKSTRE!AD51="","",_ARA_ORTAK_EKSTRE!AD51))</f>
        <v/>
      </c>
      <c r="F60" s="164" t="str">
        <f>IF($C$3="ÖMER KARTAL",IF(_ARA_ORTAK_EKSTRE!R51="","",_ARA_ORTAK_EKSTRE!R51),IF(_ARA_ORTAK_EKSTRE!AE51="","",_ARA_ORTAK_EKSTRE!AE51))</f>
        <v/>
      </c>
      <c r="G60" s="159" t="str">
        <f>IF($C$3="ÖMER KARTAL",IF(_ARA_ORTAK_EKSTRE!S51="","",_ARA_ORTAK_EKSTRE!S51),IF(_ARA_ORTAK_EKSTRE!AF51="","",_ARA_ORTAK_EKSTRE!AF51))</f>
        <v/>
      </c>
      <c r="H60" s="168" t="str">
        <f>IF($C$3="ÖMER KARTAL",IF(_ARA_ORTAK_EKSTRE!T51="","",_ARA_ORTAK_EKSTRE!T51),IF(_ARA_ORTAK_EKSTRE!AG51="","",_ARA_ORTAK_EKSTRE!AG51))</f>
        <v/>
      </c>
      <c r="I60" s="168" t="str">
        <f>IF($C$3="ÖMER KARTAL",IF(_ARA_ORTAK_EKSTRE!U51="","",_ARA_ORTAK_EKSTRE!U51),IF(_ARA_ORTAK_EKSTRE!AH51="","",_ARA_ORTAK_EKSTRE!AH51))</f>
        <v/>
      </c>
      <c r="J60" s="168" t="str">
        <f>IF($C$3="ÖMER KARTAL",IF(_ARA_ORTAK_EKSTRE!V51="","",_ARA_ORTAK_EKSTRE!V51),IF(_ARA_ORTAK_EKSTRE!AI51="","",_ARA_ORTAK_EKSTRE!AI51))</f>
        <v/>
      </c>
      <c r="K60" s="168" t="str">
        <f>IF($C$3="ÖMER KARTAL",IF(_ARA_ORTAK_EKSTRE!W51="","",_ARA_ORTAK_EKSTRE!W51),IF(_ARA_ORTAK_EKSTRE!AJ51="","",_ARA_ORTAK_EKSTRE!AJ51))</f>
        <v/>
      </c>
      <c r="L60" s="168" t="str">
        <f>IF($C$3="ÖMER KARTAL",IF(_ARA_ORTAK_EKSTRE!X51="","",_ARA_ORTAK_EKSTRE!X51),IF(_ARA_ORTAK_EKSTRE!AK51="","",_ARA_ORTAK_EKSTRE!AK51))</f>
        <v/>
      </c>
      <c r="M60" s="156" t="str">
        <f>IF($C$3="ÖMER KARTAL",IF(_ARA_ORTAK_EKSTRE!Y51="","",_ARA_ORTAK_EKSTRE!Y51),IF(_ARA_ORTAK_EKSTRE!AL51="","",_ARA_ORTAK_EKSTRE!AL51))</f>
        <v/>
      </c>
    </row>
    <row r="61" spans="2:13" ht="29.25" customHeight="1">
      <c r="B61" s="163" t="str">
        <f>IF($C$3="ÖMER KARTAL",IF(_ARA_ORTAK_EKSTRE!N52="","",_ARA_ORTAK_EKSTRE!N52),IF(_ARA_ORTAK_EKSTRE!AA52="","",_ARA_ORTAK_EKSTRE!AA52))</f>
        <v/>
      </c>
      <c r="C61" s="164" t="str">
        <f>IF($C$3="ÖMER KARTAL",IF(_ARA_ORTAK_EKSTRE!O52="","",_ARA_ORTAK_EKSTRE!O52),IF(_ARA_ORTAK_EKSTRE!AB52="","",_ARA_ORTAK_EKSTRE!AB52))</f>
        <v/>
      </c>
      <c r="D61" s="164" t="str">
        <f>IF($C$3="ÖMER KARTAL",IF(_ARA_ORTAK_EKSTRE!P52="","",_ARA_ORTAK_EKSTRE!P52),IF(_ARA_ORTAK_EKSTRE!AC52="","",_ARA_ORTAK_EKSTRE!AC52))</f>
        <v/>
      </c>
      <c r="E61" s="164" t="str">
        <f>IF($C$3="ÖMER KARTAL",IF(_ARA_ORTAK_EKSTRE!Q52="","",_ARA_ORTAK_EKSTRE!Q52),IF(_ARA_ORTAK_EKSTRE!AD52="","",_ARA_ORTAK_EKSTRE!AD52))</f>
        <v/>
      </c>
      <c r="F61" s="164" t="str">
        <f>IF($C$3="ÖMER KARTAL",IF(_ARA_ORTAK_EKSTRE!R52="","",_ARA_ORTAK_EKSTRE!R52),IF(_ARA_ORTAK_EKSTRE!AE52="","",_ARA_ORTAK_EKSTRE!AE52))</f>
        <v/>
      </c>
      <c r="G61" s="159" t="str">
        <f>IF($C$3="ÖMER KARTAL",IF(_ARA_ORTAK_EKSTRE!S52="","",_ARA_ORTAK_EKSTRE!S52),IF(_ARA_ORTAK_EKSTRE!AF52="","",_ARA_ORTAK_EKSTRE!AF52))</f>
        <v/>
      </c>
      <c r="H61" s="168" t="str">
        <f>IF($C$3="ÖMER KARTAL",IF(_ARA_ORTAK_EKSTRE!T52="","",_ARA_ORTAK_EKSTRE!T52),IF(_ARA_ORTAK_EKSTRE!AG52="","",_ARA_ORTAK_EKSTRE!AG52))</f>
        <v/>
      </c>
      <c r="I61" s="168" t="str">
        <f>IF($C$3="ÖMER KARTAL",IF(_ARA_ORTAK_EKSTRE!U52="","",_ARA_ORTAK_EKSTRE!U52),IF(_ARA_ORTAK_EKSTRE!AH52="","",_ARA_ORTAK_EKSTRE!AH52))</f>
        <v/>
      </c>
      <c r="J61" s="168" t="str">
        <f>IF($C$3="ÖMER KARTAL",IF(_ARA_ORTAK_EKSTRE!V52="","",_ARA_ORTAK_EKSTRE!V52),IF(_ARA_ORTAK_EKSTRE!AI52="","",_ARA_ORTAK_EKSTRE!AI52))</f>
        <v/>
      </c>
      <c r="K61" s="168" t="str">
        <f>IF($C$3="ÖMER KARTAL",IF(_ARA_ORTAK_EKSTRE!W52="","",_ARA_ORTAK_EKSTRE!W52),IF(_ARA_ORTAK_EKSTRE!AJ52="","",_ARA_ORTAK_EKSTRE!AJ52))</f>
        <v/>
      </c>
      <c r="L61" s="168" t="str">
        <f>IF($C$3="ÖMER KARTAL",IF(_ARA_ORTAK_EKSTRE!X52="","",_ARA_ORTAK_EKSTRE!X52),IF(_ARA_ORTAK_EKSTRE!AK52="","",_ARA_ORTAK_EKSTRE!AK52))</f>
        <v/>
      </c>
      <c r="M61" s="156" t="str">
        <f>IF($C$3="ÖMER KARTAL",IF(_ARA_ORTAK_EKSTRE!Y52="","",_ARA_ORTAK_EKSTRE!Y52),IF(_ARA_ORTAK_EKSTRE!AL52="","",_ARA_ORTAK_EKSTRE!AL52))</f>
        <v/>
      </c>
    </row>
    <row r="62" spans="2:13" ht="29.25" customHeight="1">
      <c r="B62" s="163" t="str">
        <f>IF($C$3="ÖMER KARTAL",IF(_ARA_ORTAK_EKSTRE!N53="","",_ARA_ORTAK_EKSTRE!N53),IF(_ARA_ORTAK_EKSTRE!AA53="","",_ARA_ORTAK_EKSTRE!AA53))</f>
        <v/>
      </c>
      <c r="C62" s="164" t="str">
        <f>IF($C$3="ÖMER KARTAL",IF(_ARA_ORTAK_EKSTRE!O53="","",_ARA_ORTAK_EKSTRE!O53),IF(_ARA_ORTAK_EKSTRE!AB53="","",_ARA_ORTAK_EKSTRE!AB53))</f>
        <v/>
      </c>
      <c r="D62" s="164" t="str">
        <f>IF($C$3="ÖMER KARTAL",IF(_ARA_ORTAK_EKSTRE!P53="","",_ARA_ORTAK_EKSTRE!P53),IF(_ARA_ORTAK_EKSTRE!AC53="","",_ARA_ORTAK_EKSTRE!AC53))</f>
        <v/>
      </c>
      <c r="E62" s="164" t="str">
        <f>IF($C$3="ÖMER KARTAL",IF(_ARA_ORTAK_EKSTRE!Q53="","",_ARA_ORTAK_EKSTRE!Q53),IF(_ARA_ORTAK_EKSTRE!AD53="","",_ARA_ORTAK_EKSTRE!AD53))</f>
        <v/>
      </c>
      <c r="F62" s="164" t="str">
        <f>IF($C$3="ÖMER KARTAL",IF(_ARA_ORTAK_EKSTRE!R53="","",_ARA_ORTAK_EKSTRE!R53),IF(_ARA_ORTAK_EKSTRE!AE53="","",_ARA_ORTAK_EKSTRE!AE53))</f>
        <v/>
      </c>
      <c r="G62" s="159" t="str">
        <f>IF($C$3="ÖMER KARTAL",IF(_ARA_ORTAK_EKSTRE!S53="","",_ARA_ORTAK_EKSTRE!S53),IF(_ARA_ORTAK_EKSTRE!AF53="","",_ARA_ORTAK_EKSTRE!AF53))</f>
        <v/>
      </c>
      <c r="H62" s="168" t="str">
        <f>IF($C$3="ÖMER KARTAL",IF(_ARA_ORTAK_EKSTRE!T53="","",_ARA_ORTAK_EKSTRE!T53),IF(_ARA_ORTAK_EKSTRE!AG53="","",_ARA_ORTAK_EKSTRE!AG53))</f>
        <v/>
      </c>
      <c r="I62" s="168" t="str">
        <f>IF($C$3="ÖMER KARTAL",IF(_ARA_ORTAK_EKSTRE!U53="","",_ARA_ORTAK_EKSTRE!U53),IF(_ARA_ORTAK_EKSTRE!AH53="","",_ARA_ORTAK_EKSTRE!AH53))</f>
        <v/>
      </c>
      <c r="J62" s="168" t="str">
        <f>IF($C$3="ÖMER KARTAL",IF(_ARA_ORTAK_EKSTRE!V53="","",_ARA_ORTAK_EKSTRE!V53),IF(_ARA_ORTAK_EKSTRE!AI53="","",_ARA_ORTAK_EKSTRE!AI53))</f>
        <v/>
      </c>
      <c r="K62" s="168" t="str">
        <f>IF($C$3="ÖMER KARTAL",IF(_ARA_ORTAK_EKSTRE!W53="","",_ARA_ORTAK_EKSTRE!W53),IF(_ARA_ORTAK_EKSTRE!AJ53="","",_ARA_ORTAK_EKSTRE!AJ53))</f>
        <v/>
      </c>
      <c r="L62" s="168" t="str">
        <f>IF($C$3="ÖMER KARTAL",IF(_ARA_ORTAK_EKSTRE!X53="","",_ARA_ORTAK_EKSTRE!X53),IF(_ARA_ORTAK_EKSTRE!AK53="","",_ARA_ORTAK_EKSTRE!AK53))</f>
        <v/>
      </c>
      <c r="M62" s="156" t="str">
        <f>IF($C$3="ÖMER KARTAL",IF(_ARA_ORTAK_EKSTRE!Y53="","",_ARA_ORTAK_EKSTRE!Y53),IF(_ARA_ORTAK_EKSTRE!AL53="","",_ARA_ORTAK_EKSTRE!AL53))</f>
        <v/>
      </c>
    </row>
    <row r="63" spans="2:13" ht="29.25" customHeight="1">
      <c r="B63" s="163" t="str">
        <f>IF($C$3="ÖMER KARTAL",IF(_ARA_ORTAK_EKSTRE!N54="","",_ARA_ORTAK_EKSTRE!N54),IF(_ARA_ORTAK_EKSTRE!AA54="","",_ARA_ORTAK_EKSTRE!AA54))</f>
        <v/>
      </c>
      <c r="C63" s="164" t="str">
        <f>IF($C$3="ÖMER KARTAL",IF(_ARA_ORTAK_EKSTRE!O54="","",_ARA_ORTAK_EKSTRE!O54),IF(_ARA_ORTAK_EKSTRE!AB54="","",_ARA_ORTAK_EKSTRE!AB54))</f>
        <v/>
      </c>
      <c r="D63" s="164" t="str">
        <f>IF($C$3="ÖMER KARTAL",IF(_ARA_ORTAK_EKSTRE!P54="","",_ARA_ORTAK_EKSTRE!P54),IF(_ARA_ORTAK_EKSTRE!AC54="","",_ARA_ORTAK_EKSTRE!AC54))</f>
        <v/>
      </c>
      <c r="E63" s="164" t="str">
        <f>IF($C$3="ÖMER KARTAL",IF(_ARA_ORTAK_EKSTRE!Q54="","",_ARA_ORTAK_EKSTRE!Q54),IF(_ARA_ORTAK_EKSTRE!AD54="","",_ARA_ORTAK_EKSTRE!AD54))</f>
        <v/>
      </c>
      <c r="F63" s="164" t="str">
        <f>IF($C$3="ÖMER KARTAL",IF(_ARA_ORTAK_EKSTRE!R54="","",_ARA_ORTAK_EKSTRE!R54),IF(_ARA_ORTAK_EKSTRE!AE54="","",_ARA_ORTAK_EKSTRE!AE54))</f>
        <v/>
      </c>
      <c r="G63" s="159" t="str">
        <f>IF($C$3="ÖMER KARTAL",IF(_ARA_ORTAK_EKSTRE!S54="","",_ARA_ORTAK_EKSTRE!S54),IF(_ARA_ORTAK_EKSTRE!AF54="","",_ARA_ORTAK_EKSTRE!AF54))</f>
        <v/>
      </c>
      <c r="H63" s="168" t="str">
        <f>IF($C$3="ÖMER KARTAL",IF(_ARA_ORTAK_EKSTRE!T54="","",_ARA_ORTAK_EKSTRE!T54),IF(_ARA_ORTAK_EKSTRE!AG54="","",_ARA_ORTAK_EKSTRE!AG54))</f>
        <v/>
      </c>
      <c r="I63" s="168" t="str">
        <f>IF($C$3="ÖMER KARTAL",IF(_ARA_ORTAK_EKSTRE!U54="","",_ARA_ORTAK_EKSTRE!U54),IF(_ARA_ORTAK_EKSTRE!AH54="","",_ARA_ORTAK_EKSTRE!AH54))</f>
        <v/>
      </c>
      <c r="J63" s="168" t="str">
        <f>IF($C$3="ÖMER KARTAL",IF(_ARA_ORTAK_EKSTRE!V54="","",_ARA_ORTAK_EKSTRE!V54),IF(_ARA_ORTAK_EKSTRE!AI54="","",_ARA_ORTAK_EKSTRE!AI54))</f>
        <v/>
      </c>
      <c r="K63" s="168" t="str">
        <f>IF($C$3="ÖMER KARTAL",IF(_ARA_ORTAK_EKSTRE!W54="","",_ARA_ORTAK_EKSTRE!W54),IF(_ARA_ORTAK_EKSTRE!AJ54="","",_ARA_ORTAK_EKSTRE!AJ54))</f>
        <v/>
      </c>
      <c r="L63" s="168" t="str">
        <f>IF($C$3="ÖMER KARTAL",IF(_ARA_ORTAK_EKSTRE!X54="","",_ARA_ORTAK_EKSTRE!X54),IF(_ARA_ORTAK_EKSTRE!AK54="","",_ARA_ORTAK_EKSTRE!AK54))</f>
        <v/>
      </c>
      <c r="M63" s="156" t="str">
        <f>IF($C$3="ÖMER KARTAL",IF(_ARA_ORTAK_EKSTRE!Y54="","",_ARA_ORTAK_EKSTRE!Y54),IF(_ARA_ORTAK_EKSTRE!AL54="","",_ARA_ORTAK_EKSTRE!AL54))</f>
        <v/>
      </c>
    </row>
    <row r="64" spans="2:13" ht="29.25" customHeight="1">
      <c r="B64" s="163" t="str">
        <f>IF($C$3="ÖMER KARTAL",IF(_ARA_ORTAK_EKSTRE!N55="","",_ARA_ORTAK_EKSTRE!N55),IF(_ARA_ORTAK_EKSTRE!AA55="","",_ARA_ORTAK_EKSTRE!AA55))</f>
        <v/>
      </c>
      <c r="C64" s="164" t="str">
        <f>IF($C$3="ÖMER KARTAL",IF(_ARA_ORTAK_EKSTRE!O55="","",_ARA_ORTAK_EKSTRE!O55),IF(_ARA_ORTAK_EKSTRE!AB55="","",_ARA_ORTAK_EKSTRE!AB55))</f>
        <v/>
      </c>
      <c r="D64" s="164" t="str">
        <f>IF($C$3="ÖMER KARTAL",IF(_ARA_ORTAK_EKSTRE!P55="","",_ARA_ORTAK_EKSTRE!P55),IF(_ARA_ORTAK_EKSTRE!AC55="","",_ARA_ORTAK_EKSTRE!AC55))</f>
        <v/>
      </c>
      <c r="E64" s="164" t="str">
        <f>IF($C$3="ÖMER KARTAL",IF(_ARA_ORTAK_EKSTRE!Q55="","",_ARA_ORTAK_EKSTRE!Q55),IF(_ARA_ORTAK_EKSTRE!AD55="","",_ARA_ORTAK_EKSTRE!AD55))</f>
        <v/>
      </c>
      <c r="F64" s="164" t="str">
        <f>IF($C$3="ÖMER KARTAL",IF(_ARA_ORTAK_EKSTRE!R55="","",_ARA_ORTAK_EKSTRE!R55),IF(_ARA_ORTAK_EKSTRE!AE55="","",_ARA_ORTAK_EKSTRE!AE55))</f>
        <v/>
      </c>
      <c r="G64" s="159" t="str">
        <f>IF($C$3="ÖMER KARTAL",IF(_ARA_ORTAK_EKSTRE!S55="","",_ARA_ORTAK_EKSTRE!S55),IF(_ARA_ORTAK_EKSTRE!AF55="","",_ARA_ORTAK_EKSTRE!AF55))</f>
        <v/>
      </c>
      <c r="H64" s="168" t="str">
        <f>IF($C$3="ÖMER KARTAL",IF(_ARA_ORTAK_EKSTRE!T55="","",_ARA_ORTAK_EKSTRE!T55),IF(_ARA_ORTAK_EKSTRE!AG55="","",_ARA_ORTAK_EKSTRE!AG55))</f>
        <v/>
      </c>
      <c r="I64" s="168" t="str">
        <f>IF($C$3="ÖMER KARTAL",IF(_ARA_ORTAK_EKSTRE!U55="","",_ARA_ORTAK_EKSTRE!U55),IF(_ARA_ORTAK_EKSTRE!AH55="","",_ARA_ORTAK_EKSTRE!AH55))</f>
        <v/>
      </c>
      <c r="J64" s="168" t="str">
        <f>IF($C$3="ÖMER KARTAL",IF(_ARA_ORTAK_EKSTRE!V55="","",_ARA_ORTAK_EKSTRE!V55),IF(_ARA_ORTAK_EKSTRE!AI55="","",_ARA_ORTAK_EKSTRE!AI55))</f>
        <v/>
      </c>
      <c r="K64" s="168" t="str">
        <f>IF($C$3="ÖMER KARTAL",IF(_ARA_ORTAK_EKSTRE!W55="","",_ARA_ORTAK_EKSTRE!W55),IF(_ARA_ORTAK_EKSTRE!AJ55="","",_ARA_ORTAK_EKSTRE!AJ55))</f>
        <v/>
      </c>
      <c r="L64" s="168" t="str">
        <f>IF($C$3="ÖMER KARTAL",IF(_ARA_ORTAK_EKSTRE!X55="","",_ARA_ORTAK_EKSTRE!X55),IF(_ARA_ORTAK_EKSTRE!AK55="","",_ARA_ORTAK_EKSTRE!AK55))</f>
        <v/>
      </c>
      <c r="M64" s="156" t="str">
        <f>IF($C$3="ÖMER KARTAL",IF(_ARA_ORTAK_EKSTRE!Y55="","",_ARA_ORTAK_EKSTRE!Y55),IF(_ARA_ORTAK_EKSTRE!AL55="","",_ARA_ORTAK_EKSTRE!AL55))</f>
        <v/>
      </c>
    </row>
    <row r="65" spans="2:13" ht="29.25" customHeight="1">
      <c r="B65" s="163" t="str">
        <f>IF($C$3="ÖMER KARTAL",IF(_ARA_ORTAK_EKSTRE!N56="","",_ARA_ORTAK_EKSTRE!N56),IF(_ARA_ORTAK_EKSTRE!AA56="","",_ARA_ORTAK_EKSTRE!AA56))</f>
        <v/>
      </c>
      <c r="C65" s="164" t="str">
        <f>IF($C$3="ÖMER KARTAL",IF(_ARA_ORTAK_EKSTRE!O56="","",_ARA_ORTAK_EKSTRE!O56),IF(_ARA_ORTAK_EKSTRE!AB56="","",_ARA_ORTAK_EKSTRE!AB56))</f>
        <v/>
      </c>
      <c r="D65" s="164" t="str">
        <f>IF($C$3="ÖMER KARTAL",IF(_ARA_ORTAK_EKSTRE!P56="","",_ARA_ORTAK_EKSTRE!P56),IF(_ARA_ORTAK_EKSTRE!AC56="","",_ARA_ORTAK_EKSTRE!AC56))</f>
        <v/>
      </c>
      <c r="E65" s="164" t="str">
        <f>IF($C$3="ÖMER KARTAL",IF(_ARA_ORTAK_EKSTRE!Q56="","",_ARA_ORTAK_EKSTRE!Q56),IF(_ARA_ORTAK_EKSTRE!AD56="","",_ARA_ORTAK_EKSTRE!AD56))</f>
        <v/>
      </c>
      <c r="F65" s="164" t="str">
        <f>IF($C$3="ÖMER KARTAL",IF(_ARA_ORTAK_EKSTRE!R56="","",_ARA_ORTAK_EKSTRE!R56),IF(_ARA_ORTAK_EKSTRE!AE56="","",_ARA_ORTAK_EKSTRE!AE56))</f>
        <v/>
      </c>
      <c r="G65" s="159" t="str">
        <f>IF($C$3="ÖMER KARTAL",IF(_ARA_ORTAK_EKSTRE!S56="","",_ARA_ORTAK_EKSTRE!S56),IF(_ARA_ORTAK_EKSTRE!AF56="","",_ARA_ORTAK_EKSTRE!AF56))</f>
        <v/>
      </c>
      <c r="H65" s="168" t="str">
        <f>IF($C$3="ÖMER KARTAL",IF(_ARA_ORTAK_EKSTRE!T56="","",_ARA_ORTAK_EKSTRE!T56),IF(_ARA_ORTAK_EKSTRE!AG56="","",_ARA_ORTAK_EKSTRE!AG56))</f>
        <v/>
      </c>
      <c r="I65" s="168" t="str">
        <f>IF($C$3="ÖMER KARTAL",IF(_ARA_ORTAK_EKSTRE!U56="","",_ARA_ORTAK_EKSTRE!U56),IF(_ARA_ORTAK_EKSTRE!AH56="","",_ARA_ORTAK_EKSTRE!AH56))</f>
        <v/>
      </c>
      <c r="J65" s="168" t="str">
        <f>IF($C$3="ÖMER KARTAL",IF(_ARA_ORTAK_EKSTRE!V56="","",_ARA_ORTAK_EKSTRE!V56),IF(_ARA_ORTAK_EKSTRE!AI56="","",_ARA_ORTAK_EKSTRE!AI56))</f>
        <v/>
      </c>
      <c r="K65" s="168" t="str">
        <f>IF($C$3="ÖMER KARTAL",IF(_ARA_ORTAK_EKSTRE!W56="","",_ARA_ORTAK_EKSTRE!W56),IF(_ARA_ORTAK_EKSTRE!AJ56="","",_ARA_ORTAK_EKSTRE!AJ56))</f>
        <v/>
      </c>
      <c r="L65" s="168" t="str">
        <f>IF($C$3="ÖMER KARTAL",IF(_ARA_ORTAK_EKSTRE!X56="","",_ARA_ORTAK_EKSTRE!X56),IF(_ARA_ORTAK_EKSTRE!AK56="","",_ARA_ORTAK_EKSTRE!AK56))</f>
        <v/>
      </c>
      <c r="M65" s="156" t="str">
        <f>IF($C$3="ÖMER KARTAL",IF(_ARA_ORTAK_EKSTRE!Y56="","",_ARA_ORTAK_EKSTRE!Y56),IF(_ARA_ORTAK_EKSTRE!AL56="","",_ARA_ORTAK_EKSTRE!AL56))</f>
        <v/>
      </c>
    </row>
    <row r="66" spans="2:13" ht="29.25" customHeight="1">
      <c r="B66" s="163" t="str">
        <f>IF($C$3="ÖMER KARTAL",IF(_ARA_ORTAK_EKSTRE!N57="","",_ARA_ORTAK_EKSTRE!N57),IF(_ARA_ORTAK_EKSTRE!AA57="","",_ARA_ORTAK_EKSTRE!AA57))</f>
        <v/>
      </c>
      <c r="C66" s="164" t="str">
        <f>IF($C$3="ÖMER KARTAL",IF(_ARA_ORTAK_EKSTRE!O57="","",_ARA_ORTAK_EKSTRE!O57),IF(_ARA_ORTAK_EKSTRE!AB57="","",_ARA_ORTAK_EKSTRE!AB57))</f>
        <v/>
      </c>
      <c r="D66" s="164" t="str">
        <f>IF($C$3="ÖMER KARTAL",IF(_ARA_ORTAK_EKSTRE!P57="","",_ARA_ORTAK_EKSTRE!P57),IF(_ARA_ORTAK_EKSTRE!AC57="","",_ARA_ORTAK_EKSTRE!AC57))</f>
        <v/>
      </c>
      <c r="E66" s="164" t="str">
        <f>IF($C$3="ÖMER KARTAL",IF(_ARA_ORTAK_EKSTRE!Q57="","",_ARA_ORTAK_EKSTRE!Q57),IF(_ARA_ORTAK_EKSTRE!AD57="","",_ARA_ORTAK_EKSTRE!AD57))</f>
        <v/>
      </c>
      <c r="F66" s="164" t="str">
        <f>IF($C$3="ÖMER KARTAL",IF(_ARA_ORTAK_EKSTRE!R57="","",_ARA_ORTAK_EKSTRE!R57),IF(_ARA_ORTAK_EKSTRE!AE57="","",_ARA_ORTAK_EKSTRE!AE57))</f>
        <v/>
      </c>
      <c r="G66" s="159" t="str">
        <f>IF($C$3="ÖMER KARTAL",IF(_ARA_ORTAK_EKSTRE!S57="","",_ARA_ORTAK_EKSTRE!S57),IF(_ARA_ORTAK_EKSTRE!AF57="","",_ARA_ORTAK_EKSTRE!AF57))</f>
        <v/>
      </c>
      <c r="H66" s="168" t="str">
        <f>IF($C$3="ÖMER KARTAL",IF(_ARA_ORTAK_EKSTRE!T57="","",_ARA_ORTAK_EKSTRE!T57),IF(_ARA_ORTAK_EKSTRE!AG57="","",_ARA_ORTAK_EKSTRE!AG57))</f>
        <v/>
      </c>
      <c r="I66" s="168" t="str">
        <f>IF($C$3="ÖMER KARTAL",IF(_ARA_ORTAK_EKSTRE!U57="","",_ARA_ORTAK_EKSTRE!U57),IF(_ARA_ORTAK_EKSTRE!AH57="","",_ARA_ORTAK_EKSTRE!AH57))</f>
        <v/>
      </c>
      <c r="J66" s="168" t="str">
        <f>IF($C$3="ÖMER KARTAL",IF(_ARA_ORTAK_EKSTRE!V57="","",_ARA_ORTAK_EKSTRE!V57),IF(_ARA_ORTAK_EKSTRE!AI57="","",_ARA_ORTAK_EKSTRE!AI57))</f>
        <v/>
      </c>
      <c r="K66" s="168" t="str">
        <f>IF($C$3="ÖMER KARTAL",IF(_ARA_ORTAK_EKSTRE!W57="","",_ARA_ORTAK_EKSTRE!W57),IF(_ARA_ORTAK_EKSTRE!AJ57="","",_ARA_ORTAK_EKSTRE!AJ57))</f>
        <v/>
      </c>
      <c r="L66" s="168" t="str">
        <f>IF($C$3="ÖMER KARTAL",IF(_ARA_ORTAK_EKSTRE!X57="","",_ARA_ORTAK_EKSTRE!X57),IF(_ARA_ORTAK_EKSTRE!AK57="","",_ARA_ORTAK_EKSTRE!AK57))</f>
        <v/>
      </c>
      <c r="M66" s="156" t="str">
        <f>IF($C$3="ÖMER KARTAL",IF(_ARA_ORTAK_EKSTRE!Y57="","",_ARA_ORTAK_EKSTRE!Y57),IF(_ARA_ORTAK_EKSTRE!AL57="","",_ARA_ORTAK_EKSTRE!AL57))</f>
        <v/>
      </c>
    </row>
    <row r="67" spans="2:13" ht="29.25" customHeight="1">
      <c r="B67" s="163" t="str">
        <f>IF($C$3="ÖMER KARTAL",IF(_ARA_ORTAK_EKSTRE!N58="","",_ARA_ORTAK_EKSTRE!N58),IF(_ARA_ORTAK_EKSTRE!AA58="","",_ARA_ORTAK_EKSTRE!AA58))</f>
        <v/>
      </c>
      <c r="C67" s="164" t="str">
        <f>IF($C$3="ÖMER KARTAL",IF(_ARA_ORTAK_EKSTRE!O58="","",_ARA_ORTAK_EKSTRE!O58),IF(_ARA_ORTAK_EKSTRE!AB58="","",_ARA_ORTAK_EKSTRE!AB58))</f>
        <v/>
      </c>
      <c r="D67" s="164" t="str">
        <f>IF($C$3="ÖMER KARTAL",IF(_ARA_ORTAK_EKSTRE!P58="","",_ARA_ORTAK_EKSTRE!P58),IF(_ARA_ORTAK_EKSTRE!AC58="","",_ARA_ORTAK_EKSTRE!AC58))</f>
        <v/>
      </c>
      <c r="E67" s="164" t="str">
        <f>IF($C$3="ÖMER KARTAL",IF(_ARA_ORTAK_EKSTRE!Q58="","",_ARA_ORTAK_EKSTRE!Q58),IF(_ARA_ORTAK_EKSTRE!AD58="","",_ARA_ORTAK_EKSTRE!AD58))</f>
        <v/>
      </c>
      <c r="F67" s="164" t="str">
        <f>IF($C$3="ÖMER KARTAL",IF(_ARA_ORTAK_EKSTRE!R58="","",_ARA_ORTAK_EKSTRE!R58),IF(_ARA_ORTAK_EKSTRE!AE58="","",_ARA_ORTAK_EKSTRE!AE58))</f>
        <v/>
      </c>
      <c r="G67" s="159" t="str">
        <f>IF($C$3="ÖMER KARTAL",IF(_ARA_ORTAK_EKSTRE!S58="","",_ARA_ORTAK_EKSTRE!S58),IF(_ARA_ORTAK_EKSTRE!AF58="","",_ARA_ORTAK_EKSTRE!AF58))</f>
        <v/>
      </c>
      <c r="H67" s="168" t="str">
        <f>IF($C$3="ÖMER KARTAL",IF(_ARA_ORTAK_EKSTRE!T58="","",_ARA_ORTAK_EKSTRE!T58),IF(_ARA_ORTAK_EKSTRE!AG58="","",_ARA_ORTAK_EKSTRE!AG58))</f>
        <v/>
      </c>
      <c r="I67" s="168" t="str">
        <f>IF($C$3="ÖMER KARTAL",IF(_ARA_ORTAK_EKSTRE!U58="","",_ARA_ORTAK_EKSTRE!U58),IF(_ARA_ORTAK_EKSTRE!AH58="","",_ARA_ORTAK_EKSTRE!AH58))</f>
        <v/>
      </c>
      <c r="J67" s="168" t="str">
        <f>IF($C$3="ÖMER KARTAL",IF(_ARA_ORTAK_EKSTRE!V58="","",_ARA_ORTAK_EKSTRE!V58),IF(_ARA_ORTAK_EKSTRE!AI58="","",_ARA_ORTAK_EKSTRE!AI58))</f>
        <v/>
      </c>
      <c r="K67" s="168" t="str">
        <f>IF($C$3="ÖMER KARTAL",IF(_ARA_ORTAK_EKSTRE!W58="","",_ARA_ORTAK_EKSTRE!W58),IF(_ARA_ORTAK_EKSTRE!AJ58="","",_ARA_ORTAK_EKSTRE!AJ58))</f>
        <v/>
      </c>
      <c r="L67" s="168" t="str">
        <f>IF($C$3="ÖMER KARTAL",IF(_ARA_ORTAK_EKSTRE!X58="","",_ARA_ORTAK_EKSTRE!X58),IF(_ARA_ORTAK_EKSTRE!AK58="","",_ARA_ORTAK_EKSTRE!AK58))</f>
        <v/>
      </c>
      <c r="M67" s="156" t="str">
        <f>IF($C$3="ÖMER KARTAL",IF(_ARA_ORTAK_EKSTRE!Y58="","",_ARA_ORTAK_EKSTRE!Y58),IF(_ARA_ORTAK_EKSTRE!AL58="","",_ARA_ORTAK_EKSTRE!AL58))</f>
        <v/>
      </c>
    </row>
    <row r="68" spans="2:13" ht="29.25" customHeight="1">
      <c r="B68" s="163" t="str">
        <f>IF($C$3="ÖMER KARTAL",IF(_ARA_ORTAK_EKSTRE!N59="","",_ARA_ORTAK_EKSTRE!N59),IF(_ARA_ORTAK_EKSTRE!AA59="","",_ARA_ORTAK_EKSTRE!AA59))</f>
        <v/>
      </c>
      <c r="C68" s="164" t="str">
        <f>IF($C$3="ÖMER KARTAL",IF(_ARA_ORTAK_EKSTRE!O59="","",_ARA_ORTAK_EKSTRE!O59),IF(_ARA_ORTAK_EKSTRE!AB59="","",_ARA_ORTAK_EKSTRE!AB59))</f>
        <v/>
      </c>
      <c r="D68" s="164" t="str">
        <f>IF($C$3="ÖMER KARTAL",IF(_ARA_ORTAK_EKSTRE!P59="","",_ARA_ORTAK_EKSTRE!P59),IF(_ARA_ORTAK_EKSTRE!AC59="","",_ARA_ORTAK_EKSTRE!AC59))</f>
        <v/>
      </c>
      <c r="E68" s="164" t="str">
        <f>IF($C$3="ÖMER KARTAL",IF(_ARA_ORTAK_EKSTRE!Q59="","",_ARA_ORTAK_EKSTRE!Q59),IF(_ARA_ORTAK_EKSTRE!AD59="","",_ARA_ORTAK_EKSTRE!AD59))</f>
        <v/>
      </c>
      <c r="F68" s="164" t="str">
        <f>IF($C$3="ÖMER KARTAL",IF(_ARA_ORTAK_EKSTRE!R59="","",_ARA_ORTAK_EKSTRE!R59),IF(_ARA_ORTAK_EKSTRE!AE59="","",_ARA_ORTAK_EKSTRE!AE59))</f>
        <v/>
      </c>
      <c r="G68" s="159" t="str">
        <f>IF($C$3="ÖMER KARTAL",IF(_ARA_ORTAK_EKSTRE!S59="","",_ARA_ORTAK_EKSTRE!S59),IF(_ARA_ORTAK_EKSTRE!AF59="","",_ARA_ORTAK_EKSTRE!AF59))</f>
        <v/>
      </c>
      <c r="H68" s="168" t="str">
        <f>IF($C$3="ÖMER KARTAL",IF(_ARA_ORTAK_EKSTRE!T59="","",_ARA_ORTAK_EKSTRE!T59),IF(_ARA_ORTAK_EKSTRE!AG59="","",_ARA_ORTAK_EKSTRE!AG59))</f>
        <v/>
      </c>
      <c r="I68" s="168" t="str">
        <f>IF($C$3="ÖMER KARTAL",IF(_ARA_ORTAK_EKSTRE!U59="","",_ARA_ORTAK_EKSTRE!U59),IF(_ARA_ORTAK_EKSTRE!AH59="","",_ARA_ORTAK_EKSTRE!AH59))</f>
        <v/>
      </c>
      <c r="J68" s="168" t="str">
        <f>IF($C$3="ÖMER KARTAL",IF(_ARA_ORTAK_EKSTRE!V59="","",_ARA_ORTAK_EKSTRE!V59),IF(_ARA_ORTAK_EKSTRE!AI59="","",_ARA_ORTAK_EKSTRE!AI59))</f>
        <v/>
      </c>
      <c r="K68" s="168" t="str">
        <f>IF($C$3="ÖMER KARTAL",IF(_ARA_ORTAK_EKSTRE!W59="","",_ARA_ORTAK_EKSTRE!W59),IF(_ARA_ORTAK_EKSTRE!AJ59="","",_ARA_ORTAK_EKSTRE!AJ59))</f>
        <v/>
      </c>
      <c r="L68" s="168" t="str">
        <f>IF($C$3="ÖMER KARTAL",IF(_ARA_ORTAK_EKSTRE!X59="","",_ARA_ORTAK_EKSTRE!X59),IF(_ARA_ORTAK_EKSTRE!AK59="","",_ARA_ORTAK_EKSTRE!AK59))</f>
        <v/>
      </c>
      <c r="M68" s="156" t="str">
        <f>IF($C$3="ÖMER KARTAL",IF(_ARA_ORTAK_EKSTRE!Y59="","",_ARA_ORTAK_EKSTRE!Y59),IF(_ARA_ORTAK_EKSTRE!AL59="","",_ARA_ORTAK_EKSTRE!AL59))</f>
        <v/>
      </c>
    </row>
    <row r="69" spans="2:13" ht="29.25" customHeight="1">
      <c r="B69" s="163" t="str">
        <f>IF($C$3="ÖMER KARTAL",IF(_ARA_ORTAK_EKSTRE!N60="","",_ARA_ORTAK_EKSTRE!N60),IF(_ARA_ORTAK_EKSTRE!AA60="","",_ARA_ORTAK_EKSTRE!AA60))</f>
        <v/>
      </c>
      <c r="C69" s="164" t="str">
        <f>IF($C$3="ÖMER KARTAL",IF(_ARA_ORTAK_EKSTRE!O60="","",_ARA_ORTAK_EKSTRE!O60),IF(_ARA_ORTAK_EKSTRE!AB60="","",_ARA_ORTAK_EKSTRE!AB60))</f>
        <v/>
      </c>
      <c r="D69" s="164" t="str">
        <f>IF($C$3="ÖMER KARTAL",IF(_ARA_ORTAK_EKSTRE!P60="","",_ARA_ORTAK_EKSTRE!P60),IF(_ARA_ORTAK_EKSTRE!AC60="","",_ARA_ORTAK_EKSTRE!AC60))</f>
        <v/>
      </c>
      <c r="E69" s="164" t="str">
        <f>IF($C$3="ÖMER KARTAL",IF(_ARA_ORTAK_EKSTRE!Q60="","",_ARA_ORTAK_EKSTRE!Q60),IF(_ARA_ORTAK_EKSTRE!AD60="","",_ARA_ORTAK_EKSTRE!AD60))</f>
        <v/>
      </c>
      <c r="F69" s="164" t="str">
        <f>IF($C$3="ÖMER KARTAL",IF(_ARA_ORTAK_EKSTRE!R60="","",_ARA_ORTAK_EKSTRE!R60),IF(_ARA_ORTAK_EKSTRE!AE60="","",_ARA_ORTAK_EKSTRE!AE60))</f>
        <v/>
      </c>
      <c r="G69" s="159" t="str">
        <f>IF($C$3="ÖMER KARTAL",IF(_ARA_ORTAK_EKSTRE!S60="","",_ARA_ORTAK_EKSTRE!S60),IF(_ARA_ORTAK_EKSTRE!AF60="","",_ARA_ORTAK_EKSTRE!AF60))</f>
        <v/>
      </c>
      <c r="H69" s="168" t="str">
        <f>IF($C$3="ÖMER KARTAL",IF(_ARA_ORTAK_EKSTRE!T60="","",_ARA_ORTAK_EKSTRE!T60),IF(_ARA_ORTAK_EKSTRE!AG60="","",_ARA_ORTAK_EKSTRE!AG60))</f>
        <v/>
      </c>
      <c r="I69" s="168" t="str">
        <f>IF($C$3="ÖMER KARTAL",IF(_ARA_ORTAK_EKSTRE!U60="","",_ARA_ORTAK_EKSTRE!U60),IF(_ARA_ORTAK_EKSTRE!AH60="","",_ARA_ORTAK_EKSTRE!AH60))</f>
        <v/>
      </c>
      <c r="J69" s="168" t="str">
        <f>IF($C$3="ÖMER KARTAL",IF(_ARA_ORTAK_EKSTRE!V60="","",_ARA_ORTAK_EKSTRE!V60),IF(_ARA_ORTAK_EKSTRE!AI60="","",_ARA_ORTAK_EKSTRE!AI60))</f>
        <v/>
      </c>
      <c r="K69" s="168" t="str">
        <f>IF($C$3="ÖMER KARTAL",IF(_ARA_ORTAK_EKSTRE!W60="","",_ARA_ORTAK_EKSTRE!W60),IF(_ARA_ORTAK_EKSTRE!AJ60="","",_ARA_ORTAK_EKSTRE!AJ60))</f>
        <v/>
      </c>
      <c r="L69" s="168" t="str">
        <f>IF($C$3="ÖMER KARTAL",IF(_ARA_ORTAK_EKSTRE!X60="","",_ARA_ORTAK_EKSTRE!X60),IF(_ARA_ORTAK_EKSTRE!AK60="","",_ARA_ORTAK_EKSTRE!AK60))</f>
        <v/>
      </c>
      <c r="M69" s="156" t="str">
        <f>IF($C$3="ÖMER KARTAL",IF(_ARA_ORTAK_EKSTRE!Y60="","",_ARA_ORTAK_EKSTRE!Y60),IF(_ARA_ORTAK_EKSTRE!AL60="","",_ARA_ORTAK_EKSTRE!AL60))</f>
        <v/>
      </c>
    </row>
    <row r="70" spans="2:13" ht="29.25" customHeight="1">
      <c r="B70" s="163" t="str">
        <f>IF($C$3="ÖMER KARTAL",IF(_ARA_ORTAK_EKSTRE!N61="","",_ARA_ORTAK_EKSTRE!N61),IF(_ARA_ORTAK_EKSTRE!AA61="","",_ARA_ORTAK_EKSTRE!AA61))</f>
        <v/>
      </c>
      <c r="C70" s="164" t="str">
        <f>IF($C$3="ÖMER KARTAL",IF(_ARA_ORTAK_EKSTRE!O61="","",_ARA_ORTAK_EKSTRE!O61),IF(_ARA_ORTAK_EKSTRE!AB61="","",_ARA_ORTAK_EKSTRE!AB61))</f>
        <v/>
      </c>
      <c r="D70" s="164" t="str">
        <f>IF($C$3="ÖMER KARTAL",IF(_ARA_ORTAK_EKSTRE!P61="","",_ARA_ORTAK_EKSTRE!P61),IF(_ARA_ORTAK_EKSTRE!AC61="","",_ARA_ORTAK_EKSTRE!AC61))</f>
        <v/>
      </c>
      <c r="E70" s="164" t="str">
        <f>IF($C$3="ÖMER KARTAL",IF(_ARA_ORTAK_EKSTRE!Q61="","",_ARA_ORTAK_EKSTRE!Q61),IF(_ARA_ORTAK_EKSTRE!AD61="","",_ARA_ORTAK_EKSTRE!AD61))</f>
        <v/>
      </c>
      <c r="F70" s="164" t="str">
        <f>IF($C$3="ÖMER KARTAL",IF(_ARA_ORTAK_EKSTRE!R61="","",_ARA_ORTAK_EKSTRE!R61),IF(_ARA_ORTAK_EKSTRE!AE61="","",_ARA_ORTAK_EKSTRE!AE61))</f>
        <v/>
      </c>
      <c r="G70" s="159" t="str">
        <f>IF($C$3="ÖMER KARTAL",IF(_ARA_ORTAK_EKSTRE!S61="","",_ARA_ORTAK_EKSTRE!S61),IF(_ARA_ORTAK_EKSTRE!AF61="","",_ARA_ORTAK_EKSTRE!AF61))</f>
        <v/>
      </c>
      <c r="H70" s="168" t="str">
        <f>IF($C$3="ÖMER KARTAL",IF(_ARA_ORTAK_EKSTRE!T61="","",_ARA_ORTAK_EKSTRE!T61),IF(_ARA_ORTAK_EKSTRE!AG61="","",_ARA_ORTAK_EKSTRE!AG61))</f>
        <v/>
      </c>
      <c r="I70" s="168" t="str">
        <f>IF($C$3="ÖMER KARTAL",IF(_ARA_ORTAK_EKSTRE!U61="","",_ARA_ORTAK_EKSTRE!U61),IF(_ARA_ORTAK_EKSTRE!AH61="","",_ARA_ORTAK_EKSTRE!AH61))</f>
        <v/>
      </c>
      <c r="J70" s="168" t="str">
        <f>IF($C$3="ÖMER KARTAL",IF(_ARA_ORTAK_EKSTRE!V61="","",_ARA_ORTAK_EKSTRE!V61),IF(_ARA_ORTAK_EKSTRE!AI61="","",_ARA_ORTAK_EKSTRE!AI61))</f>
        <v/>
      </c>
      <c r="K70" s="168" t="str">
        <f>IF($C$3="ÖMER KARTAL",IF(_ARA_ORTAK_EKSTRE!W61="","",_ARA_ORTAK_EKSTRE!W61),IF(_ARA_ORTAK_EKSTRE!AJ61="","",_ARA_ORTAK_EKSTRE!AJ61))</f>
        <v/>
      </c>
      <c r="L70" s="168" t="str">
        <f>IF($C$3="ÖMER KARTAL",IF(_ARA_ORTAK_EKSTRE!X61="","",_ARA_ORTAK_EKSTRE!X61),IF(_ARA_ORTAK_EKSTRE!AK61="","",_ARA_ORTAK_EKSTRE!AK61))</f>
        <v/>
      </c>
      <c r="M70" s="156" t="str">
        <f>IF($C$3="ÖMER KARTAL",IF(_ARA_ORTAK_EKSTRE!Y61="","",_ARA_ORTAK_EKSTRE!Y61),IF(_ARA_ORTAK_EKSTRE!AL61="","",_ARA_ORTAK_EKSTRE!AL61))</f>
        <v/>
      </c>
    </row>
    <row r="71" spans="2:13" ht="29.25" customHeight="1">
      <c r="B71" s="163" t="str">
        <f>IF($C$3="ÖMER KARTAL",IF(_ARA_ORTAK_EKSTRE!N62="","",_ARA_ORTAK_EKSTRE!N62),IF(_ARA_ORTAK_EKSTRE!AA62="","",_ARA_ORTAK_EKSTRE!AA62))</f>
        <v/>
      </c>
      <c r="C71" s="164" t="str">
        <f>IF($C$3="ÖMER KARTAL",IF(_ARA_ORTAK_EKSTRE!O62="","",_ARA_ORTAK_EKSTRE!O62),IF(_ARA_ORTAK_EKSTRE!AB62="","",_ARA_ORTAK_EKSTRE!AB62))</f>
        <v/>
      </c>
      <c r="D71" s="164" t="str">
        <f>IF($C$3="ÖMER KARTAL",IF(_ARA_ORTAK_EKSTRE!P62="","",_ARA_ORTAK_EKSTRE!P62),IF(_ARA_ORTAK_EKSTRE!AC62="","",_ARA_ORTAK_EKSTRE!AC62))</f>
        <v/>
      </c>
      <c r="E71" s="164" t="str">
        <f>IF($C$3="ÖMER KARTAL",IF(_ARA_ORTAK_EKSTRE!Q62="","",_ARA_ORTAK_EKSTRE!Q62),IF(_ARA_ORTAK_EKSTRE!AD62="","",_ARA_ORTAK_EKSTRE!AD62))</f>
        <v/>
      </c>
      <c r="F71" s="164" t="str">
        <f>IF($C$3="ÖMER KARTAL",IF(_ARA_ORTAK_EKSTRE!R62="","",_ARA_ORTAK_EKSTRE!R62),IF(_ARA_ORTAK_EKSTRE!AE62="","",_ARA_ORTAK_EKSTRE!AE62))</f>
        <v/>
      </c>
      <c r="G71" s="159" t="str">
        <f>IF($C$3="ÖMER KARTAL",IF(_ARA_ORTAK_EKSTRE!S62="","",_ARA_ORTAK_EKSTRE!S62),IF(_ARA_ORTAK_EKSTRE!AF62="","",_ARA_ORTAK_EKSTRE!AF62))</f>
        <v/>
      </c>
      <c r="H71" s="168" t="str">
        <f>IF($C$3="ÖMER KARTAL",IF(_ARA_ORTAK_EKSTRE!T62="","",_ARA_ORTAK_EKSTRE!T62),IF(_ARA_ORTAK_EKSTRE!AG62="","",_ARA_ORTAK_EKSTRE!AG62))</f>
        <v/>
      </c>
      <c r="I71" s="168" t="str">
        <f>IF($C$3="ÖMER KARTAL",IF(_ARA_ORTAK_EKSTRE!U62="","",_ARA_ORTAK_EKSTRE!U62),IF(_ARA_ORTAK_EKSTRE!AH62="","",_ARA_ORTAK_EKSTRE!AH62))</f>
        <v/>
      </c>
      <c r="J71" s="168" t="str">
        <f>IF($C$3="ÖMER KARTAL",IF(_ARA_ORTAK_EKSTRE!V62="","",_ARA_ORTAK_EKSTRE!V62),IF(_ARA_ORTAK_EKSTRE!AI62="","",_ARA_ORTAK_EKSTRE!AI62))</f>
        <v/>
      </c>
      <c r="K71" s="168" t="str">
        <f>IF($C$3="ÖMER KARTAL",IF(_ARA_ORTAK_EKSTRE!W62="","",_ARA_ORTAK_EKSTRE!W62),IF(_ARA_ORTAK_EKSTRE!AJ62="","",_ARA_ORTAK_EKSTRE!AJ62))</f>
        <v/>
      </c>
      <c r="L71" s="168" t="str">
        <f>IF($C$3="ÖMER KARTAL",IF(_ARA_ORTAK_EKSTRE!X62="","",_ARA_ORTAK_EKSTRE!X62),IF(_ARA_ORTAK_EKSTRE!AK62="","",_ARA_ORTAK_EKSTRE!AK62))</f>
        <v/>
      </c>
      <c r="M71" s="156" t="str">
        <f>IF($C$3="ÖMER KARTAL",IF(_ARA_ORTAK_EKSTRE!Y62="","",_ARA_ORTAK_EKSTRE!Y62),IF(_ARA_ORTAK_EKSTRE!AL62="","",_ARA_ORTAK_EKSTRE!AL62))</f>
        <v/>
      </c>
    </row>
    <row r="72" spans="2:13" ht="29.25" customHeight="1">
      <c r="B72" s="163" t="str">
        <f>IF($C$3="ÖMER KARTAL",IF(_ARA_ORTAK_EKSTRE!N63="","",_ARA_ORTAK_EKSTRE!N63),IF(_ARA_ORTAK_EKSTRE!AA63="","",_ARA_ORTAK_EKSTRE!AA63))</f>
        <v/>
      </c>
      <c r="C72" s="164" t="str">
        <f>IF($C$3="ÖMER KARTAL",IF(_ARA_ORTAK_EKSTRE!O63="","",_ARA_ORTAK_EKSTRE!O63),IF(_ARA_ORTAK_EKSTRE!AB63="","",_ARA_ORTAK_EKSTRE!AB63))</f>
        <v/>
      </c>
      <c r="D72" s="164" t="str">
        <f>IF($C$3="ÖMER KARTAL",IF(_ARA_ORTAK_EKSTRE!P63="","",_ARA_ORTAK_EKSTRE!P63),IF(_ARA_ORTAK_EKSTRE!AC63="","",_ARA_ORTAK_EKSTRE!AC63))</f>
        <v/>
      </c>
      <c r="E72" s="164" t="str">
        <f>IF($C$3="ÖMER KARTAL",IF(_ARA_ORTAK_EKSTRE!Q63="","",_ARA_ORTAK_EKSTRE!Q63),IF(_ARA_ORTAK_EKSTRE!AD63="","",_ARA_ORTAK_EKSTRE!AD63))</f>
        <v/>
      </c>
      <c r="F72" s="164" t="str">
        <f>IF($C$3="ÖMER KARTAL",IF(_ARA_ORTAK_EKSTRE!R63="","",_ARA_ORTAK_EKSTRE!R63),IF(_ARA_ORTAK_EKSTRE!AE63="","",_ARA_ORTAK_EKSTRE!AE63))</f>
        <v/>
      </c>
      <c r="G72" s="159" t="str">
        <f>IF($C$3="ÖMER KARTAL",IF(_ARA_ORTAK_EKSTRE!S63="","",_ARA_ORTAK_EKSTRE!S63),IF(_ARA_ORTAK_EKSTRE!AF63="","",_ARA_ORTAK_EKSTRE!AF63))</f>
        <v/>
      </c>
      <c r="H72" s="168" t="str">
        <f>IF($C$3="ÖMER KARTAL",IF(_ARA_ORTAK_EKSTRE!T63="","",_ARA_ORTAK_EKSTRE!T63),IF(_ARA_ORTAK_EKSTRE!AG63="","",_ARA_ORTAK_EKSTRE!AG63))</f>
        <v/>
      </c>
      <c r="I72" s="168" t="str">
        <f>IF($C$3="ÖMER KARTAL",IF(_ARA_ORTAK_EKSTRE!U63="","",_ARA_ORTAK_EKSTRE!U63),IF(_ARA_ORTAK_EKSTRE!AH63="","",_ARA_ORTAK_EKSTRE!AH63))</f>
        <v/>
      </c>
      <c r="J72" s="168" t="str">
        <f>IF($C$3="ÖMER KARTAL",IF(_ARA_ORTAK_EKSTRE!V63="","",_ARA_ORTAK_EKSTRE!V63),IF(_ARA_ORTAK_EKSTRE!AI63="","",_ARA_ORTAK_EKSTRE!AI63))</f>
        <v/>
      </c>
      <c r="K72" s="168" t="str">
        <f>IF($C$3="ÖMER KARTAL",IF(_ARA_ORTAK_EKSTRE!W63="","",_ARA_ORTAK_EKSTRE!W63),IF(_ARA_ORTAK_EKSTRE!AJ63="","",_ARA_ORTAK_EKSTRE!AJ63))</f>
        <v/>
      </c>
      <c r="L72" s="168" t="str">
        <f>IF($C$3="ÖMER KARTAL",IF(_ARA_ORTAK_EKSTRE!X63="","",_ARA_ORTAK_EKSTRE!X63),IF(_ARA_ORTAK_EKSTRE!AK63="","",_ARA_ORTAK_EKSTRE!AK63))</f>
        <v/>
      </c>
      <c r="M72" s="156" t="str">
        <f>IF($C$3="ÖMER KARTAL",IF(_ARA_ORTAK_EKSTRE!Y63="","",_ARA_ORTAK_EKSTRE!Y63),IF(_ARA_ORTAK_EKSTRE!AL63="","",_ARA_ORTAK_EKSTRE!AL63))</f>
        <v/>
      </c>
    </row>
    <row r="73" spans="2:13" ht="29.25" customHeight="1">
      <c r="B73" s="163" t="str">
        <f>IF($C$3="ÖMER KARTAL",IF(_ARA_ORTAK_EKSTRE!N64="","",_ARA_ORTAK_EKSTRE!N64),IF(_ARA_ORTAK_EKSTRE!AA64="","",_ARA_ORTAK_EKSTRE!AA64))</f>
        <v/>
      </c>
      <c r="C73" s="164" t="str">
        <f>IF($C$3="ÖMER KARTAL",IF(_ARA_ORTAK_EKSTRE!O64="","",_ARA_ORTAK_EKSTRE!O64),IF(_ARA_ORTAK_EKSTRE!AB64="","",_ARA_ORTAK_EKSTRE!AB64))</f>
        <v/>
      </c>
      <c r="D73" s="164" t="str">
        <f>IF($C$3="ÖMER KARTAL",IF(_ARA_ORTAK_EKSTRE!P64="","",_ARA_ORTAK_EKSTRE!P64),IF(_ARA_ORTAK_EKSTRE!AC64="","",_ARA_ORTAK_EKSTRE!AC64))</f>
        <v/>
      </c>
      <c r="E73" s="164" t="str">
        <f>IF($C$3="ÖMER KARTAL",IF(_ARA_ORTAK_EKSTRE!Q64="","",_ARA_ORTAK_EKSTRE!Q64),IF(_ARA_ORTAK_EKSTRE!AD64="","",_ARA_ORTAK_EKSTRE!AD64))</f>
        <v/>
      </c>
      <c r="F73" s="164" t="str">
        <f>IF($C$3="ÖMER KARTAL",IF(_ARA_ORTAK_EKSTRE!R64="","",_ARA_ORTAK_EKSTRE!R64),IF(_ARA_ORTAK_EKSTRE!AE64="","",_ARA_ORTAK_EKSTRE!AE64))</f>
        <v/>
      </c>
      <c r="G73" s="159" t="str">
        <f>IF($C$3="ÖMER KARTAL",IF(_ARA_ORTAK_EKSTRE!S64="","",_ARA_ORTAK_EKSTRE!S64),IF(_ARA_ORTAK_EKSTRE!AF64="","",_ARA_ORTAK_EKSTRE!AF64))</f>
        <v/>
      </c>
      <c r="H73" s="168" t="str">
        <f>IF($C$3="ÖMER KARTAL",IF(_ARA_ORTAK_EKSTRE!T64="","",_ARA_ORTAK_EKSTRE!T64),IF(_ARA_ORTAK_EKSTRE!AG64="","",_ARA_ORTAK_EKSTRE!AG64))</f>
        <v/>
      </c>
      <c r="I73" s="168" t="str">
        <f>IF($C$3="ÖMER KARTAL",IF(_ARA_ORTAK_EKSTRE!U64="","",_ARA_ORTAK_EKSTRE!U64),IF(_ARA_ORTAK_EKSTRE!AH64="","",_ARA_ORTAK_EKSTRE!AH64))</f>
        <v/>
      </c>
      <c r="J73" s="168" t="str">
        <f>IF($C$3="ÖMER KARTAL",IF(_ARA_ORTAK_EKSTRE!V64="","",_ARA_ORTAK_EKSTRE!V64),IF(_ARA_ORTAK_EKSTRE!AI64="","",_ARA_ORTAK_EKSTRE!AI64))</f>
        <v/>
      </c>
      <c r="K73" s="168" t="str">
        <f>IF($C$3="ÖMER KARTAL",IF(_ARA_ORTAK_EKSTRE!W64="","",_ARA_ORTAK_EKSTRE!W64),IF(_ARA_ORTAK_EKSTRE!AJ64="","",_ARA_ORTAK_EKSTRE!AJ64))</f>
        <v/>
      </c>
      <c r="L73" s="168" t="str">
        <f>IF($C$3="ÖMER KARTAL",IF(_ARA_ORTAK_EKSTRE!X64="","",_ARA_ORTAK_EKSTRE!X64),IF(_ARA_ORTAK_EKSTRE!AK64="","",_ARA_ORTAK_EKSTRE!AK64))</f>
        <v/>
      </c>
      <c r="M73" s="156" t="str">
        <f>IF($C$3="ÖMER KARTAL",IF(_ARA_ORTAK_EKSTRE!Y64="","",_ARA_ORTAK_EKSTRE!Y64),IF(_ARA_ORTAK_EKSTRE!AL64="","",_ARA_ORTAK_EKSTRE!AL64))</f>
        <v/>
      </c>
    </row>
    <row r="74" spans="2:13" ht="29.25" customHeight="1">
      <c r="B74" s="163" t="str">
        <f>IF($C$3="ÖMER KARTAL",IF(_ARA_ORTAK_EKSTRE!N65="","",_ARA_ORTAK_EKSTRE!N65),IF(_ARA_ORTAK_EKSTRE!AA65="","",_ARA_ORTAK_EKSTRE!AA65))</f>
        <v/>
      </c>
      <c r="C74" s="164" t="str">
        <f>IF($C$3="ÖMER KARTAL",IF(_ARA_ORTAK_EKSTRE!O65="","",_ARA_ORTAK_EKSTRE!O65),IF(_ARA_ORTAK_EKSTRE!AB65="","",_ARA_ORTAK_EKSTRE!AB65))</f>
        <v/>
      </c>
      <c r="D74" s="164" t="str">
        <f>IF($C$3="ÖMER KARTAL",IF(_ARA_ORTAK_EKSTRE!P65="","",_ARA_ORTAK_EKSTRE!P65),IF(_ARA_ORTAK_EKSTRE!AC65="","",_ARA_ORTAK_EKSTRE!AC65))</f>
        <v/>
      </c>
      <c r="E74" s="164" t="str">
        <f>IF($C$3="ÖMER KARTAL",IF(_ARA_ORTAK_EKSTRE!Q65="","",_ARA_ORTAK_EKSTRE!Q65),IF(_ARA_ORTAK_EKSTRE!AD65="","",_ARA_ORTAK_EKSTRE!AD65))</f>
        <v/>
      </c>
      <c r="F74" s="164" t="str">
        <f>IF($C$3="ÖMER KARTAL",IF(_ARA_ORTAK_EKSTRE!R65="","",_ARA_ORTAK_EKSTRE!R65),IF(_ARA_ORTAK_EKSTRE!AE65="","",_ARA_ORTAK_EKSTRE!AE65))</f>
        <v/>
      </c>
      <c r="G74" s="159" t="str">
        <f>IF($C$3="ÖMER KARTAL",IF(_ARA_ORTAK_EKSTRE!S65="","",_ARA_ORTAK_EKSTRE!S65),IF(_ARA_ORTAK_EKSTRE!AF65="","",_ARA_ORTAK_EKSTRE!AF65))</f>
        <v/>
      </c>
      <c r="H74" s="168" t="str">
        <f>IF($C$3="ÖMER KARTAL",IF(_ARA_ORTAK_EKSTRE!T65="","",_ARA_ORTAK_EKSTRE!T65),IF(_ARA_ORTAK_EKSTRE!AG65="","",_ARA_ORTAK_EKSTRE!AG65))</f>
        <v/>
      </c>
      <c r="I74" s="168" t="str">
        <f>IF($C$3="ÖMER KARTAL",IF(_ARA_ORTAK_EKSTRE!U65="","",_ARA_ORTAK_EKSTRE!U65),IF(_ARA_ORTAK_EKSTRE!AH65="","",_ARA_ORTAK_EKSTRE!AH65))</f>
        <v/>
      </c>
      <c r="J74" s="168" t="str">
        <f>IF($C$3="ÖMER KARTAL",IF(_ARA_ORTAK_EKSTRE!V65="","",_ARA_ORTAK_EKSTRE!V65),IF(_ARA_ORTAK_EKSTRE!AI65="","",_ARA_ORTAK_EKSTRE!AI65))</f>
        <v/>
      </c>
      <c r="K74" s="168" t="str">
        <f>IF($C$3="ÖMER KARTAL",IF(_ARA_ORTAK_EKSTRE!W65="","",_ARA_ORTAK_EKSTRE!W65),IF(_ARA_ORTAK_EKSTRE!AJ65="","",_ARA_ORTAK_EKSTRE!AJ65))</f>
        <v/>
      </c>
      <c r="L74" s="168" t="str">
        <f>IF($C$3="ÖMER KARTAL",IF(_ARA_ORTAK_EKSTRE!X65="","",_ARA_ORTAK_EKSTRE!X65),IF(_ARA_ORTAK_EKSTRE!AK65="","",_ARA_ORTAK_EKSTRE!AK65))</f>
        <v/>
      </c>
      <c r="M74" s="156" t="str">
        <f>IF($C$3="ÖMER KARTAL",IF(_ARA_ORTAK_EKSTRE!Y65="","",_ARA_ORTAK_EKSTRE!Y65),IF(_ARA_ORTAK_EKSTRE!AL65="","",_ARA_ORTAK_EKSTRE!AL65))</f>
        <v/>
      </c>
    </row>
    <row r="75" spans="2:13" ht="29.25" customHeight="1">
      <c r="B75" s="163" t="str">
        <f>IF($C$3="ÖMER KARTAL",IF(_ARA_ORTAK_EKSTRE!N66="","",_ARA_ORTAK_EKSTRE!N66),IF(_ARA_ORTAK_EKSTRE!AA66="","",_ARA_ORTAK_EKSTRE!AA66))</f>
        <v/>
      </c>
      <c r="C75" s="164" t="str">
        <f>IF($C$3="ÖMER KARTAL",IF(_ARA_ORTAK_EKSTRE!O66="","",_ARA_ORTAK_EKSTRE!O66),IF(_ARA_ORTAK_EKSTRE!AB66="","",_ARA_ORTAK_EKSTRE!AB66))</f>
        <v/>
      </c>
      <c r="D75" s="164" t="str">
        <f>IF($C$3="ÖMER KARTAL",IF(_ARA_ORTAK_EKSTRE!P66="","",_ARA_ORTAK_EKSTRE!P66),IF(_ARA_ORTAK_EKSTRE!AC66="","",_ARA_ORTAK_EKSTRE!AC66))</f>
        <v/>
      </c>
      <c r="E75" s="164" t="str">
        <f>IF($C$3="ÖMER KARTAL",IF(_ARA_ORTAK_EKSTRE!Q66="","",_ARA_ORTAK_EKSTRE!Q66),IF(_ARA_ORTAK_EKSTRE!AD66="","",_ARA_ORTAK_EKSTRE!AD66))</f>
        <v/>
      </c>
      <c r="F75" s="164" t="str">
        <f>IF($C$3="ÖMER KARTAL",IF(_ARA_ORTAK_EKSTRE!R66="","",_ARA_ORTAK_EKSTRE!R66),IF(_ARA_ORTAK_EKSTRE!AE66="","",_ARA_ORTAK_EKSTRE!AE66))</f>
        <v/>
      </c>
      <c r="G75" s="159" t="str">
        <f>IF($C$3="ÖMER KARTAL",IF(_ARA_ORTAK_EKSTRE!S66="","",_ARA_ORTAK_EKSTRE!S66),IF(_ARA_ORTAK_EKSTRE!AF66="","",_ARA_ORTAK_EKSTRE!AF66))</f>
        <v/>
      </c>
      <c r="H75" s="168" t="str">
        <f>IF($C$3="ÖMER KARTAL",IF(_ARA_ORTAK_EKSTRE!T66="","",_ARA_ORTAK_EKSTRE!T66),IF(_ARA_ORTAK_EKSTRE!AG66="","",_ARA_ORTAK_EKSTRE!AG66))</f>
        <v/>
      </c>
      <c r="I75" s="168" t="str">
        <f>IF($C$3="ÖMER KARTAL",IF(_ARA_ORTAK_EKSTRE!U66="","",_ARA_ORTAK_EKSTRE!U66),IF(_ARA_ORTAK_EKSTRE!AH66="","",_ARA_ORTAK_EKSTRE!AH66))</f>
        <v/>
      </c>
      <c r="J75" s="168" t="str">
        <f>IF($C$3="ÖMER KARTAL",IF(_ARA_ORTAK_EKSTRE!V66="","",_ARA_ORTAK_EKSTRE!V66),IF(_ARA_ORTAK_EKSTRE!AI66="","",_ARA_ORTAK_EKSTRE!AI66))</f>
        <v/>
      </c>
      <c r="K75" s="168" t="str">
        <f>IF($C$3="ÖMER KARTAL",IF(_ARA_ORTAK_EKSTRE!W66="","",_ARA_ORTAK_EKSTRE!W66),IF(_ARA_ORTAK_EKSTRE!AJ66="","",_ARA_ORTAK_EKSTRE!AJ66))</f>
        <v/>
      </c>
      <c r="L75" s="168" t="str">
        <f>IF($C$3="ÖMER KARTAL",IF(_ARA_ORTAK_EKSTRE!X66="","",_ARA_ORTAK_EKSTRE!X66),IF(_ARA_ORTAK_EKSTRE!AK66="","",_ARA_ORTAK_EKSTRE!AK66))</f>
        <v/>
      </c>
      <c r="M75" s="156" t="str">
        <f>IF($C$3="ÖMER KARTAL",IF(_ARA_ORTAK_EKSTRE!Y66="","",_ARA_ORTAK_EKSTRE!Y66),IF(_ARA_ORTAK_EKSTRE!AL66="","",_ARA_ORTAK_EKSTRE!AL66))</f>
        <v/>
      </c>
    </row>
    <row r="76" spans="2:13" ht="29.25" customHeight="1">
      <c r="B76" s="163" t="str">
        <f>IF($C$3="ÖMER KARTAL",IF(_ARA_ORTAK_EKSTRE!N67="","",_ARA_ORTAK_EKSTRE!N67),IF(_ARA_ORTAK_EKSTRE!AA67="","",_ARA_ORTAK_EKSTRE!AA67))</f>
        <v/>
      </c>
      <c r="C76" s="164" t="str">
        <f>IF($C$3="ÖMER KARTAL",IF(_ARA_ORTAK_EKSTRE!O67="","",_ARA_ORTAK_EKSTRE!O67),IF(_ARA_ORTAK_EKSTRE!AB67="","",_ARA_ORTAK_EKSTRE!AB67))</f>
        <v/>
      </c>
      <c r="D76" s="164" t="str">
        <f>IF($C$3="ÖMER KARTAL",IF(_ARA_ORTAK_EKSTRE!P67="","",_ARA_ORTAK_EKSTRE!P67),IF(_ARA_ORTAK_EKSTRE!AC67="","",_ARA_ORTAK_EKSTRE!AC67))</f>
        <v/>
      </c>
      <c r="E76" s="164" t="str">
        <f>IF($C$3="ÖMER KARTAL",IF(_ARA_ORTAK_EKSTRE!Q67="","",_ARA_ORTAK_EKSTRE!Q67),IF(_ARA_ORTAK_EKSTRE!AD67="","",_ARA_ORTAK_EKSTRE!AD67))</f>
        <v/>
      </c>
      <c r="F76" s="164" t="str">
        <f>IF($C$3="ÖMER KARTAL",IF(_ARA_ORTAK_EKSTRE!R67="","",_ARA_ORTAK_EKSTRE!R67),IF(_ARA_ORTAK_EKSTRE!AE67="","",_ARA_ORTAK_EKSTRE!AE67))</f>
        <v/>
      </c>
      <c r="G76" s="159" t="str">
        <f>IF($C$3="ÖMER KARTAL",IF(_ARA_ORTAK_EKSTRE!S67="","",_ARA_ORTAK_EKSTRE!S67),IF(_ARA_ORTAK_EKSTRE!AF67="","",_ARA_ORTAK_EKSTRE!AF67))</f>
        <v/>
      </c>
      <c r="H76" s="168" t="str">
        <f>IF($C$3="ÖMER KARTAL",IF(_ARA_ORTAK_EKSTRE!T67="","",_ARA_ORTAK_EKSTRE!T67),IF(_ARA_ORTAK_EKSTRE!AG67="","",_ARA_ORTAK_EKSTRE!AG67))</f>
        <v/>
      </c>
      <c r="I76" s="168" t="str">
        <f>IF($C$3="ÖMER KARTAL",IF(_ARA_ORTAK_EKSTRE!U67="","",_ARA_ORTAK_EKSTRE!U67),IF(_ARA_ORTAK_EKSTRE!AH67="","",_ARA_ORTAK_EKSTRE!AH67))</f>
        <v/>
      </c>
      <c r="J76" s="168" t="str">
        <f>IF($C$3="ÖMER KARTAL",IF(_ARA_ORTAK_EKSTRE!V67="","",_ARA_ORTAK_EKSTRE!V67),IF(_ARA_ORTAK_EKSTRE!AI67="","",_ARA_ORTAK_EKSTRE!AI67))</f>
        <v/>
      </c>
      <c r="K76" s="168" t="str">
        <f>IF($C$3="ÖMER KARTAL",IF(_ARA_ORTAK_EKSTRE!W67="","",_ARA_ORTAK_EKSTRE!W67),IF(_ARA_ORTAK_EKSTRE!AJ67="","",_ARA_ORTAK_EKSTRE!AJ67))</f>
        <v/>
      </c>
      <c r="L76" s="168" t="str">
        <f>IF($C$3="ÖMER KARTAL",IF(_ARA_ORTAK_EKSTRE!X67="","",_ARA_ORTAK_EKSTRE!X67),IF(_ARA_ORTAK_EKSTRE!AK67="","",_ARA_ORTAK_EKSTRE!AK67))</f>
        <v/>
      </c>
      <c r="M76" s="156" t="str">
        <f>IF($C$3="ÖMER KARTAL",IF(_ARA_ORTAK_EKSTRE!Y67="","",_ARA_ORTAK_EKSTRE!Y67),IF(_ARA_ORTAK_EKSTRE!AL67="","",_ARA_ORTAK_EKSTRE!AL67))</f>
        <v/>
      </c>
    </row>
    <row r="77" spans="2:13" ht="29.25" customHeight="1">
      <c r="B77" s="163" t="str">
        <f>IF($C$3="ÖMER KARTAL",IF(_ARA_ORTAK_EKSTRE!N68="","",_ARA_ORTAK_EKSTRE!N68),IF(_ARA_ORTAK_EKSTRE!AA68="","",_ARA_ORTAK_EKSTRE!AA68))</f>
        <v/>
      </c>
      <c r="C77" s="164" t="str">
        <f>IF($C$3="ÖMER KARTAL",IF(_ARA_ORTAK_EKSTRE!O68="","",_ARA_ORTAK_EKSTRE!O68),IF(_ARA_ORTAK_EKSTRE!AB68="","",_ARA_ORTAK_EKSTRE!AB68))</f>
        <v/>
      </c>
      <c r="D77" s="164" t="str">
        <f>IF($C$3="ÖMER KARTAL",IF(_ARA_ORTAK_EKSTRE!P68="","",_ARA_ORTAK_EKSTRE!P68),IF(_ARA_ORTAK_EKSTRE!AC68="","",_ARA_ORTAK_EKSTRE!AC68))</f>
        <v/>
      </c>
      <c r="E77" s="164" t="str">
        <f>IF($C$3="ÖMER KARTAL",IF(_ARA_ORTAK_EKSTRE!Q68="","",_ARA_ORTAK_EKSTRE!Q68),IF(_ARA_ORTAK_EKSTRE!AD68="","",_ARA_ORTAK_EKSTRE!AD68))</f>
        <v/>
      </c>
      <c r="F77" s="164" t="str">
        <f>IF($C$3="ÖMER KARTAL",IF(_ARA_ORTAK_EKSTRE!R68="","",_ARA_ORTAK_EKSTRE!R68),IF(_ARA_ORTAK_EKSTRE!AE68="","",_ARA_ORTAK_EKSTRE!AE68))</f>
        <v/>
      </c>
      <c r="G77" s="159" t="str">
        <f>IF($C$3="ÖMER KARTAL",IF(_ARA_ORTAK_EKSTRE!S68="","",_ARA_ORTAK_EKSTRE!S68),IF(_ARA_ORTAK_EKSTRE!AF68="","",_ARA_ORTAK_EKSTRE!AF68))</f>
        <v/>
      </c>
      <c r="H77" s="168" t="str">
        <f>IF($C$3="ÖMER KARTAL",IF(_ARA_ORTAK_EKSTRE!T68="","",_ARA_ORTAK_EKSTRE!T68),IF(_ARA_ORTAK_EKSTRE!AG68="","",_ARA_ORTAK_EKSTRE!AG68))</f>
        <v/>
      </c>
      <c r="I77" s="168" t="str">
        <f>IF($C$3="ÖMER KARTAL",IF(_ARA_ORTAK_EKSTRE!U68="","",_ARA_ORTAK_EKSTRE!U68),IF(_ARA_ORTAK_EKSTRE!AH68="","",_ARA_ORTAK_EKSTRE!AH68))</f>
        <v/>
      </c>
      <c r="J77" s="168" t="str">
        <f>IF($C$3="ÖMER KARTAL",IF(_ARA_ORTAK_EKSTRE!V68="","",_ARA_ORTAK_EKSTRE!V68),IF(_ARA_ORTAK_EKSTRE!AI68="","",_ARA_ORTAK_EKSTRE!AI68))</f>
        <v/>
      </c>
      <c r="K77" s="168" t="str">
        <f>IF($C$3="ÖMER KARTAL",IF(_ARA_ORTAK_EKSTRE!W68="","",_ARA_ORTAK_EKSTRE!W68),IF(_ARA_ORTAK_EKSTRE!AJ68="","",_ARA_ORTAK_EKSTRE!AJ68))</f>
        <v/>
      </c>
      <c r="L77" s="168" t="str">
        <f>IF($C$3="ÖMER KARTAL",IF(_ARA_ORTAK_EKSTRE!X68="","",_ARA_ORTAK_EKSTRE!X68),IF(_ARA_ORTAK_EKSTRE!AK68="","",_ARA_ORTAK_EKSTRE!AK68))</f>
        <v/>
      </c>
      <c r="M77" s="156" t="str">
        <f>IF($C$3="ÖMER KARTAL",IF(_ARA_ORTAK_EKSTRE!Y68="","",_ARA_ORTAK_EKSTRE!Y68),IF(_ARA_ORTAK_EKSTRE!AL68="","",_ARA_ORTAK_EKSTRE!AL68))</f>
        <v/>
      </c>
    </row>
    <row r="78" spans="2:13" ht="29.25" customHeight="1">
      <c r="B78" s="163" t="str">
        <f>IF($C$3="ÖMER KARTAL",IF(_ARA_ORTAK_EKSTRE!N69="","",_ARA_ORTAK_EKSTRE!N69),IF(_ARA_ORTAK_EKSTRE!AA69="","",_ARA_ORTAK_EKSTRE!AA69))</f>
        <v/>
      </c>
      <c r="C78" s="164" t="str">
        <f>IF($C$3="ÖMER KARTAL",IF(_ARA_ORTAK_EKSTRE!O69="","",_ARA_ORTAK_EKSTRE!O69),IF(_ARA_ORTAK_EKSTRE!AB69="","",_ARA_ORTAK_EKSTRE!AB69))</f>
        <v/>
      </c>
      <c r="D78" s="164" t="str">
        <f>IF($C$3="ÖMER KARTAL",IF(_ARA_ORTAK_EKSTRE!P69="","",_ARA_ORTAK_EKSTRE!P69),IF(_ARA_ORTAK_EKSTRE!AC69="","",_ARA_ORTAK_EKSTRE!AC69))</f>
        <v/>
      </c>
      <c r="E78" s="164" t="str">
        <f>IF($C$3="ÖMER KARTAL",IF(_ARA_ORTAK_EKSTRE!Q69="","",_ARA_ORTAK_EKSTRE!Q69),IF(_ARA_ORTAK_EKSTRE!AD69="","",_ARA_ORTAK_EKSTRE!AD69))</f>
        <v/>
      </c>
      <c r="F78" s="164" t="str">
        <f>IF($C$3="ÖMER KARTAL",IF(_ARA_ORTAK_EKSTRE!R69="","",_ARA_ORTAK_EKSTRE!R69),IF(_ARA_ORTAK_EKSTRE!AE69="","",_ARA_ORTAK_EKSTRE!AE69))</f>
        <v/>
      </c>
      <c r="G78" s="159" t="str">
        <f>IF($C$3="ÖMER KARTAL",IF(_ARA_ORTAK_EKSTRE!S69="","",_ARA_ORTAK_EKSTRE!S69),IF(_ARA_ORTAK_EKSTRE!AF69="","",_ARA_ORTAK_EKSTRE!AF69))</f>
        <v/>
      </c>
      <c r="H78" s="168" t="str">
        <f>IF($C$3="ÖMER KARTAL",IF(_ARA_ORTAK_EKSTRE!T69="","",_ARA_ORTAK_EKSTRE!T69),IF(_ARA_ORTAK_EKSTRE!AG69="","",_ARA_ORTAK_EKSTRE!AG69))</f>
        <v/>
      </c>
      <c r="I78" s="168" t="str">
        <f>IF($C$3="ÖMER KARTAL",IF(_ARA_ORTAK_EKSTRE!U69="","",_ARA_ORTAK_EKSTRE!U69),IF(_ARA_ORTAK_EKSTRE!AH69="","",_ARA_ORTAK_EKSTRE!AH69))</f>
        <v/>
      </c>
      <c r="J78" s="168" t="str">
        <f>IF($C$3="ÖMER KARTAL",IF(_ARA_ORTAK_EKSTRE!V69="","",_ARA_ORTAK_EKSTRE!V69),IF(_ARA_ORTAK_EKSTRE!AI69="","",_ARA_ORTAK_EKSTRE!AI69))</f>
        <v/>
      </c>
      <c r="K78" s="168" t="str">
        <f>IF($C$3="ÖMER KARTAL",IF(_ARA_ORTAK_EKSTRE!W69="","",_ARA_ORTAK_EKSTRE!W69),IF(_ARA_ORTAK_EKSTRE!AJ69="","",_ARA_ORTAK_EKSTRE!AJ69))</f>
        <v/>
      </c>
      <c r="L78" s="168" t="str">
        <f>IF($C$3="ÖMER KARTAL",IF(_ARA_ORTAK_EKSTRE!X69="","",_ARA_ORTAK_EKSTRE!X69),IF(_ARA_ORTAK_EKSTRE!AK69="","",_ARA_ORTAK_EKSTRE!AK69))</f>
        <v/>
      </c>
      <c r="M78" s="156" t="str">
        <f>IF($C$3="ÖMER KARTAL",IF(_ARA_ORTAK_EKSTRE!Y69="","",_ARA_ORTAK_EKSTRE!Y69),IF(_ARA_ORTAK_EKSTRE!AL69="","",_ARA_ORTAK_EKSTRE!AL69))</f>
        <v/>
      </c>
    </row>
    <row r="79" spans="2:13" ht="29.25" customHeight="1">
      <c r="B79" s="163" t="str">
        <f>IF($C$3="ÖMER KARTAL",IF(_ARA_ORTAK_EKSTRE!N70="","",_ARA_ORTAK_EKSTRE!N70),IF(_ARA_ORTAK_EKSTRE!AA70="","",_ARA_ORTAK_EKSTRE!AA70))</f>
        <v/>
      </c>
      <c r="C79" s="164" t="str">
        <f>IF($C$3="ÖMER KARTAL",IF(_ARA_ORTAK_EKSTRE!O70="","",_ARA_ORTAK_EKSTRE!O70),IF(_ARA_ORTAK_EKSTRE!AB70="","",_ARA_ORTAK_EKSTRE!AB70))</f>
        <v/>
      </c>
      <c r="D79" s="164" t="str">
        <f>IF($C$3="ÖMER KARTAL",IF(_ARA_ORTAK_EKSTRE!P70="","",_ARA_ORTAK_EKSTRE!P70),IF(_ARA_ORTAK_EKSTRE!AC70="","",_ARA_ORTAK_EKSTRE!AC70))</f>
        <v/>
      </c>
      <c r="E79" s="164" t="str">
        <f>IF($C$3="ÖMER KARTAL",IF(_ARA_ORTAK_EKSTRE!Q70="","",_ARA_ORTAK_EKSTRE!Q70),IF(_ARA_ORTAK_EKSTRE!AD70="","",_ARA_ORTAK_EKSTRE!AD70))</f>
        <v/>
      </c>
      <c r="F79" s="164" t="str">
        <f>IF($C$3="ÖMER KARTAL",IF(_ARA_ORTAK_EKSTRE!R70="","",_ARA_ORTAK_EKSTRE!R70),IF(_ARA_ORTAK_EKSTRE!AE70="","",_ARA_ORTAK_EKSTRE!AE70))</f>
        <v/>
      </c>
      <c r="G79" s="159" t="str">
        <f>IF($C$3="ÖMER KARTAL",IF(_ARA_ORTAK_EKSTRE!S70="","",_ARA_ORTAK_EKSTRE!S70),IF(_ARA_ORTAK_EKSTRE!AF70="","",_ARA_ORTAK_EKSTRE!AF70))</f>
        <v/>
      </c>
      <c r="H79" s="168" t="str">
        <f>IF($C$3="ÖMER KARTAL",IF(_ARA_ORTAK_EKSTRE!T70="","",_ARA_ORTAK_EKSTRE!T70),IF(_ARA_ORTAK_EKSTRE!AG70="","",_ARA_ORTAK_EKSTRE!AG70))</f>
        <v/>
      </c>
      <c r="I79" s="168" t="str">
        <f>IF($C$3="ÖMER KARTAL",IF(_ARA_ORTAK_EKSTRE!U70="","",_ARA_ORTAK_EKSTRE!U70),IF(_ARA_ORTAK_EKSTRE!AH70="","",_ARA_ORTAK_EKSTRE!AH70))</f>
        <v/>
      </c>
      <c r="J79" s="168" t="str">
        <f>IF($C$3="ÖMER KARTAL",IF(_ARA_ORTAK_EKSTRE!V70="","",_ARA_ORTAK_EKSTRE!V70),IF(_ARA_ORTAK_EKSTRE!AI70="","",_ARA_ORTAK_EKSTRE!AI70))</f>
        <v/>
      </c>
      <c r="K79" s="168" t="str">
        <f>IF($C$3="ÖMER KARTAL",IF(_ARA_ORTAK_EKSTRE!W70="","",_ARA_ORTAK_EKSTRE!W70),IF(_ARA_ORTAK_EKSTRE!AJ70="","",_ARA_ORTAK_EKSTRE!AJ70))</f>
        <v/>
      </c>
      <c r="L79" s="168" t="str">
        <f>IF($C$3="ÖMER KARTAL",IF(_ARA_ORTAK_EKSTRE!X70="","",_ARA_ORTAK_EKSTRE!X70),IF(_ARA_ORTAK_EKSTRE!AK70="","",_ARA_ORTAK_EKSTRE!AK70))</f>
        <v/>
      </c>
      <c r="M79" s="156" t="str">
        <f>IF($C$3="ÖMER KARTAL",IF(_ARA_ORTAK_EKSTRE!Y70="","",_ARA_ORTAK_EKSTRE!Y70),IF(_ARA_ORTAK_EKSTRE!AL70="","",_ARA_ORTAK_EKSTRE!AL70))</f>
        <v/>
      </c>
    </row>
    <row r="80" spans="2:13" ht="29.25" customHeight="1">
      <c r="B80" s="163" t="str">
        <f>IF($C$3="ÖMER KARTAL",IF(_ARA_ORTAK_EKSTRE!N71="","",_ARA_ORTAK_EKSTRE!N71),IF(_ARA_ORTAK_EKSTRE!AA71="","",_ARA_ORTAK_EKSTRE!AA71))</f>
        <v/>
      </c>
      <c r="C80" s="164" t="str">
        <f>IF($C$3="ÖMER KARTAL",IF(_ARA_ORTAK_EKSTRE!O71="","",_ARA_ORTAK_EKSTRE!O71),IF(_ARA_ORTAK_EKSTRE!AB71="","",_ARA_ORTAK_EKSTRE!AB71))</f>
        <v/>
      </c>
      <c r="D80" s="164" t="str">
        <f>IF($C$3="ÖMER KARTAL",IF(_ARA_ORTAK_EKSTRE!P71="","",_ARA_ORTAK_EKSTRE!P71),IF(_ARA_ORTAK_EKSTRE!AC71="","",_ARA_ORTAK_EKSTRE!AC71))</f>
        <v/>
      </c>
      <c r="E80" s="164" t="str">
        <f>IF($C$3="ÖMER KARTAL",IF(_ARA_ORTAK_EKSTRE!Q71="","",_ARA_ORTAK_EKSTRE!Q71),IF(_ARA_ORTAK_EKSTRE!AD71="","",_ARA_ORTAK_EKSTRE!AD71))</f>
        <v/>
      </c>
      <c r="F80" s="164" t="str">
        <f>IF($C$3="ÖMER KARTAL",IF(_ARA_ORTAK_EKSTRE!R71="","",_ARA_ORTAK_EKSTRE!R71),IF(_ARA_ORTAK_EKSTRE!AE71="","",_ARA_ORTAK_EKSTRE!AE71))</f>
        <v/>
      </c>
      <c r="G80" s="159" t="str">
        <f>IF($C$3="ÖMER KARTAL",IF(_ARA_ORTAK_EKSTRE!S71="","",_ARA_ORTAK_EKSTRE!S71),IF(_ARA_ORTAK_EKSTRE!AF71="","",_ARA_ORTAK_EKSTRE!AF71))</f>
        <v/>
      </c>
      <c r="H80" s="168" t="str">
        <f>IF($C$3="ÖMER KARTAL",IF(_ARA_ORTAK_EKSTRE!T71="","",_ARA_ORTAK_EKSTRE!T71),IF(_ARA_ORTAK_EKSTRE!AG71="","",_ARA_ORTAK_EKSTRE!AG71))</f>
        <v/>
      </c>
      <c r="I80" s="168" t="str">
        <f>IF($C$3="ÖMER KARTAL",IF(_ARA_ORTAK_EKSTRE!U71="","",_ARA_ORTAK_EKSTRE!U71),IF(_ARA_ORTAK_EKSTRE!AH71="","",_ARA_ORTAK_EKSTRE!AH71))</f>
        <v/>
      </c>
      <c r="J80" s="168" t="str">
        <f>IF($C$3="ÖMER KARTAL",IF(_ARA_ORTAK_EKSTRE!V71="","",_ARA_ORTAK_EKSTRE!V71),IF(_ARA_ORTAK_EKSTRE!AI71="","",_ARA_ORTAK_EKSTRE!AI71))</f>
        <v/>
      </c>
      <c r="K80" s="168" t="str">
        <f>IF($C$3="ÖMER KARTAL",IF(_ARA_ORTAK_EKSTRE!W71="","",_ARA_ORTAK_EKSTRE!W71),IF(_ARA_ORTAK_EKSTRE!AJ71="","",_ARA_ORTAK_EKSTRE!AJ71))</f>
        <v/>
      </c>
      <c r="L80" s="168" t="str">
        <f>IF($C$3="ÖMER KARTAL",IF(_ARA_ORTAK_EKSTRE!X71="","",_ARA_ORTAK_EKSTRE!X71),IF(_ARA_ORTAK_EKSTRE!AK71="","",_ARA_ORTAK_EKSTRE!AK71))</f>
        <v/>
      </c>
      <c r="M80" s="156" t="str">
        <f>IF($C$3="ÖMER KARTAL",IF(_ARA_ORTAK_EKSTRE!Y71="","",_ARA_ORTAK_EKSTRE!Y71),IF(_ARA_ORTAK_EKSTRE!AL71="","",_ARA_ORTAK_EKSTRE!AL71))</f>
        <v/>
      </c>
    </row>
    <row r="81" spans="2:13" ht="29.25" customHeight="1">
      <c r="B81" s="163" t="str">
        <f>IF($C$3="ÖMER KARTAL",IF(_ARA_ORTAK_EKSTRE!N72="","",_ARA_ORTAK_EKSTRE!N72),IF(_ARA_ORTAK_EKSTRE!AA72="","",_ARA_ORTAK_EKSTRE!AA72))</f>
        <v/>
      </c>
      <c r="C81" s="164" t="str">
        <f>IF($C$3="ÖMER KARTAL",IF(_ARA_ORTAK_EKSTRE!O72="","",_ARA_ORTAK_EKSTRE!O72),IF(_ARA_ORTAK_EKSTRE!AB72="","",_ARA_ORTAK_EKSTRE!AB72))</f>
        <v/>
      </c>
      <c r="D81" s="164" t="str">
        <f>IF($C$3="ÖMER KARTAL",IF(_ARA_ORTAK_EKSTRE!P72="","",_ARA_ORTAK_EKSTRE!P72),IF(_ARA_ORTAK_EKSTRE!AC72="","",_ARA_ORTAK_EKSTRE!AC72))</f>
        <v/>
      </c>
      <c r="E81" s="164" t="str">
        <f>IF($C$3="ÖMER KARTAL",IF(_ARA_ORTAK_EKSTRE!Q72="","",_ARA_ORTAK_EKSTRE!Q72),IF(_ARA_ORTAK_EKSTRE!AD72="","",_ARA_ORTAK_EKSTRE!AD72))</f>
        <v/>
      </c>
      <c r="F81" s="164" t="str">
        <f>IF($C$3="ÖMER KARTAL",IF(_ARA_ORTAK_EKSTRE!R72="","",_ARA_ORTAK_EKSTRE!R72),IF(_ARA_ORTAK_EKSTRE!AE72="","",_ARA_ORTAK_EKSTRE!AE72))</f>
        <v/>
      </c>
      <c r="G81" s="159" t="str">
        <f>IF($C$3="ÖMER KARTAL",IF(_ARA_ORTAK_EKSTRE!S72="","",_ARA_ORTAK_EKSTRE!S72),IF(_ARA_ORTAK_EKSTRE!AF72="","",_ARA_ORTAK_EKSTRE!AF72))</f>
        <v/>
      </c>
      <c r="H81" s="168" t="str">
        <f>IF($C$3="ÖMER KARTAL",IF(_ARA_ORTAK_EKSTRE!T72="","",_ARA_ORTAK_EKSTRE!T72),IF(_ARA_ORTAK_EKSTRE!AG72="","",_ARA_ORTAK_EKSTRE!AG72))</f>
        <v/>
      </c>
      <c r="I81" s="168" t="str">
        <f>IF($C$3="ÖMER KARTAL",IF(_ARA_ORTAK_EKSTRE!U72="","",_ARA_ORTAK_EKSTRE!U72),IF(_ARA_ORTAK_EKSTRE!AH72="","",_ARA_ORTAK_EKSTRE!AH72))</f>
        <v/>
      </c>
      <c r="J81" s="168" t="str">
        <f>IF($C$3="ÖMER KARTAL",IF(_ARA_ORTAK_EKSTRE!V72="","",_ARA_ORTAK_EKSTRE!V72),IF(_ARA_ORTAK_EKSTRE!AI72="","",_ARA_ORTAK_EKSTRE!AI72))</f>
        <v/>
      </c>
      <c r="K81" s="168" t="str">
        <f>IF($C$3="ÖMER KARTAL",IF(_ARA_ORTAK_EKSTRE!W72="","",_ARA_ORTAK_EKSTRE!W72),IF(_ARA_ORTAK_EKSTRE!AJ72="","",_ARA_ORTAK_EKSTRE!AJ72))</f>
        <v/>
      </c>
      <c r="L81" s="168" t="str">
        <f>IF($C$3="ÖMER KARTAL",IF(_ARA_ORTAK_EKSTRE!X72="","",_ARA_ORTAK_EKSTRE!X72),IF(_ARA_ORTAK_EKSTRE!AK72="","",_ARA_ORTAK_EKSTRE!AK72))</f>
        <v/>
      </c>
      <c r="M81" s="156" t="str">
        <f>IF($C$3="ÖMER KARTAL",IF(_ARA_ORTAK_EKSTRE!Y72="","",_ARA_ORTAK_EKSTRE!Y72),IF(_ARA_ORTAK_EKSTRE!AL72="","",_ARA_ORTAK_EKSTRE!AL72))</f>
        <v/>
      </c>
    </row>
    <row r="82" spans="2:13" ht="29.25" customHeight="1">
      <c r="B82" s="163" t="str">
        <f>IF($C$3="ÖMER KARTAL",IF(_ARA_ORTAK_EKSTRE!N73="","",_ARA_ORTAK_EKSTRE!N73),IF(_ARA_ORTAK_EKSTRE!AA73="","",_ARA_ORTAK_EKSTRE!AA73))</f>
        <v/>
      </c>
      <c r="C82" s="164" t="str">
        <f>IF($C$3="ÖMER KARTAL",IF(_ARA_ORTAK_EKSTRE!O73="","",_ARA_ORTAK_EKSTRE!O73),IF(_ARA_ORTAK_EKSTRE!AB73="","",_ARA_ORTAK_EKSTRE!AB73))</f>
        <v/>
      </c>
      <c r="D82" s="164" t="str">
        <f>IF($C$3="ÖMER KARTAL",IF(_ARA_ORTAK_EKSTRE!P73="","",_ARA_ORTAK_EKSTRE!P73),IF(_ARA_ORTAK_EKSTRE!AC73="","",_ARA_ORTAK_EKSTRE!AC73))</f>
        <v/>
      </c>
      <c r="E82" s="164" t="str">
        <f>IF($C$3="ÖMER KARTAL",IF(_ARA_ORTAK_EKSTRE!Q73="","",_ARA_ORTAK_EKSTRE!Q73),IF(_ARA_ORTAK_EKSTRE!AD73="","",_ARA_ORTAK_EKSTRE!AD73))</f>
        <v/>
      </c>
      <c r="F82" s="164" t="str">
        <f>IF($C$3="ÖMER KARTAL",IF(_ARA_ORTAK_EKSTRE!R73="","",_ARA_ORTAK_EKSTRE!R73),IF(_ARA_ORTAK_EKSTRE!AE73="","",_ARA_ORTAK_EKSTRE!AE73))</f>
        <v/>
      </c>
      <c r="G82" s="159" t="str">
        <f>IF($C$3="ÖMER KARTAL",IF(_ARA_ORTAK_EKSTRE!S73="","",_ARA_ORTAK_EKSTRE!S73),IF(_ARA_ORTAK_EKSTRE!AF73="","",_ARA_ORTAK_EKSTRE!AF73))</f>
        <v/>
      </c>
      <c r="H82" s="168" t="str">
        <f>IF($C$3="ÖMER KARTAL",IF(_ARA_ORTAK_EKSTRE!T73="","",_ARA_ORTAK_EKSTRE!T73),IF(_ARA_ORTAK_EKSTRE!AG73="","",_ARA_ORTAK_EKSTRE!AG73))</f>
        <v/>
      </c>
      <c r="I82" s="168" t="str">
        <f>IF($C$3="ÖMER KARTAL",IF(_ARA_ORTAK_EKSTRE!U73="","",_ARA_ORTAK_EKSTRE!U73),IF(_ARA_ORTAK_EKSTRE!AH73="","",_ARA_ORTAK_EKSTRE!AH73))</f>
        <v/>
      </c>
      <c r="J82" s="168" t="str">
        <f>IF($C$3="ÖMER KARTAL",IF(_ARA_ORTAK_EKSTRE!V73="","",_ARA_ORTAK_EKSTRE!V73),IF(_ARA_ORTAK_EKSTRE!AI73="","",_ARA_ORTAK_EKSTRE!AI73))</f>
        <v/>
      </c>
      <c r="K82" s="168" t="str">
        <f>IF($C$3="ÖMER KARTAL",IF(_ARA_ORTAK_EKSTRE!W73="","",_ARA_ORTAK_EKSTRE!W73),IF(_ARA_ORTAK_EKSTRE!AJ73="","",_ARA_ORTAK_EKSTRE!AJ73))</f>
        <v/>
      </c>
      <c r="L82" s="168" t="str">
        <f>IF($C$3="ÖMER KARTAL",IF(_ARA_ORTAK_EKSTRE!X73="","",_ARA_ORTAK_EKSTRE!X73),IF(_ARA_ORTAK_EKSTRE!AK73="","",_ARA_ORTAK_EKSTRE!AK73))</f>
        <v/>
      </c>
      <c r="M82" s="156" t="str">
        <f>IF($C$3="ÖMER KARTAL",IF(_ARA_ORTAK_EKSTRE!Y73="","",_ARA_ORTAK_EKSTRE!Y73),IF(_ARA_ORTAK_EKSTRE!AL73="","",_ARA_ORTAK_EKSTRE!AL73))</f>
        <v/>
      </c>
    </row>
    <row r="83" spans="2:13" ht="29.25" customHeight="1">
      <c r="B83" s="163" t="str">
        <f>IF($C$3="ÖMER KARTAL",IF(_ARA_ORTAK_EKSTRE!N74="","",_ARA_ORTAK_EKSTRE!N74),IF(_ARA_ORTAK_EKSTRE!AA74="","",_ARA_ORTAK_EKSTRE!AA74))</f>
        <v/>
      </c>
      <c r="C83" s="164" t="str">
        <f>IF($C$3="ÖMER KARTAL",IF(_ARA_ORTAK_EKSTRE!O74="","",_ARA_ORTAK_EKSTRE!O74),IF(_ARA_ORTAK_EKSTRE!AB74="","",_ARA_ORTAK_EKSTRE!AB74))</f>
        <v/>
      </c>
      <c r="D83" s="164" t="str">
        <f>IF($C$3="ÖMER KARTAL",IF(_ARA_ORTAK_EKSTRE!P74="","",_ARA_ORTAK_EKSTRE!P74),IF(_ARA_ORTAK_EKSTRE!AC74="","",_ARA_ORTAK_EKSTRE!AC74))</f>
        <v/>
      </c>
      <c r="E83" s="164" t="str">
        <f>IF($C$3="ÖMER KARTAL",IF(_ARA_ORTAK_EKSTRE!Q74="","",_ARA_ORTAK_EKSTRE!Q74),IF(_ARA_ORTAK_EKSTRE!AD74="","",_ARA_ORTAK_EKSTRE!AD74))</f>
        <v/>
      </c>
      <c r="F83" s="164" t="str">
        <f>IF($C$3="ÖMER KARTAL",IF(_ARA_ORTAK_EKSTRE!R74="","",_ARA_ORTAK_EKSTRE!R74),IF(_ARA_ORTAK_EKSTRE!AE74="","",_ARA_ORTAK_EKSTRE!AE74))</f>
        <v/>
      </c>
      <c r="G83" s="159" t="str">
        <f>IF($C$3="ÖMER KARTAL",IF(_ARA_ORTAK_EKSTRE!S74="","",_ARA_ORTAK_EKSTRE!S74),IF(_ARA_ORTAK_EKSTRE!AF74="","",_ARA_ORTAK_EKSTRE!AF74))</f>
        <v/>
      </c>
      <c r="H83" s="168" t="str">
        <f>IF($C$3="ÖMER KARTAL",IF(_ARA_ORTAK_EKSTRE!T74="","",_ARA_ORTAK_EKSTRE!T74),IF(_ARA_ORTAK_EKSTRE!AG74="","",_ARA_ORTAK_EKSTRE!AG74))</f>
        <v/>
      </c>
      <c r="I83" s="168" t="str">
        <f>IF($C$3="ÖMER KARTAL",IF(_ARA_ORTAK_EKSTRE!U74="","",_ARA_ORTAK_EKSTRE!U74),IF(_ARA_ORTAK_EKSTRE!AH74="","",_ARA_ORTAK_EKSTRE!AH74))</f>
        <v/>
      </c>
      <c r="J83" s="168" t="str">
        <f>IF($C$3="ÖMER KARTAL",IF(_ARA_ORTAK_EKSTRE!V74="","",_ARA_ORTAK_EKSTRE!V74),IF(_ARA_ORTAK_EKSTRE!AI74="","",_ARA_ORTAK_EKSTRE!AI74))</f>
        <v/>
      </c>
      <c r="K83" s="168" t="str">
        <f>IF($C$3="ÖMER KARTAL",IF(_ARA_ORTAK_EKSTRE!W74="","",_ARA_ORTAK_EKSTRE!W74),IF(_ARA_ORTAK_EKSTRE!AJ74="","",_ARA_ORTAK_EKSTRE!AJ74))</f>
        <v/>
      </c>
      <c r="L83" s="168" t="str">
        <f>IF($C$3="ÖMER KARTAL",IF(_ARA_ORTAK_EKSTRE!X74="","",_ARA_ORTAK_EKSTRE!X74),IF(_ARA_ORTAK_EKSTRE!AK74="","",_ARA_ORTAK_EKSTRE!AK74))</f>
        <v/>
      </c>
      <c r="M83" s="156" t="str">
        <f>IF($C$3="ÖMER KARTAL",IF(_ARA_ORTAK_EKSTRE!Y74="","",_ARA_ORTAK_EKSTRE!Y74),IF(_ARA_ORTAK_EKSTRE!AL74="","",_ARA_ORTAK_EKSTRE!AL74))</f>
        <v/>
      </c>
    </row>
    <row r="84" spans="2:13" ht="29.25" customHeight="1">
      <c r="B84" s="163" t="str">
        <f>IF($C$3="ÖMER KARTAL",IF(_ARA_ORTAK_EKSTRE!N75="","",_ARA_ORTAK_EKSTRE!N75),IF(_ARA_ORTAK_EKSTRE!AA75="","",_ARA_ORTAK_EKSTRE!AA75))</f>
        <v/>
      </c>
      <c r="C84" s="164" t="str">
        <f>IF($C$3="ÖMER KARTAL",IF(_ARA_ORTAK_EKSTRE!O75="","",_ARA_ORTAK_EKSTRE!O75),IF(_ARA_ORTAK_EKSTRE!AB75="","",_ARA_ORTAK_EKSTRE!AB75))</f>
        <v/>
      </c>
      <c r="D84" s="164" t="str">
        <f>IF($C$3="ÖMER KARTAL",IF(_ARA_ORTAK_EKSTRE!P75="","",_ARA_ORTAK_EKSTRE!P75),IF(_ARA_ORTAK_EKSTRE!AC75="","",_ARA_ORTAK_EKSTRE!AC75))</f>
        <v/>
      </c>
      <c r="E84" s="164" t="str">
        <f>IF($C$3="ÖMER KARTAL",IF(_ARA_ORTAK_EKSTRE!Q75="","",_ARA_ORTAK_EKSTRE!Q75),IF(_ARA_ORTAK_EKSTRE!AD75="","",_ARA_ORTAK_EKSTRE!AD75))</f>
        <v/>
      </c>
      <c r="F84" s="164" t="str">
        <f>IF($C$3="ÖMER KARTAL",IF(_ARA_ORTAK_EKSTRE!R75="","",_ARA_ORTAK_EKSTRE!R75),IF(_ARA_ORTAK_EKSTRE!AE75="","",_ARA_ORTAK_EKSTRE!AE75))</f>
        <v/>
      </c>
      <c r="G84" s="159" t="str">
        <f>IF($C$3="ÖMER KARTAL",IF(_ARA_ORTAK_EKSTRE!S75="","",_ARA_ORTAK_EKSTRE!S75),IF(_ARA_ORTAK_EKSTRE!AF75="","",_ARA_ORTAK_EKSTRE!AF75))</f>
        <v/>
      </c>
      <c r="H84" s="168" t="str">
        <f>IF($C$3="ÖMER KARTAL",IF(_ARA_ORTAK_EKSTRE!T75="","",_ARA_ORTAK_EKSTRE!T75),IF(_ARA_ORTAK_EKSTRE!AG75="","",_ARA_ORTAK_EKSTRE!AG75))</f>
        <v/>
      </c>
      <c r="I84" s="168" t="str">
        <f>IF($C$3="ÖMER KARTAL",IF(_ARA_ORTAK_EKSTRE!U75="","",_ARA_ORTAK_EKSTRE!U75),IF(_ARA_ORTAK_EKSTRE!AH75="","",_ARA_ORTAK_EKSTRE!AH75))</f>
        <v/>
      </c>
      <c r="J84" s="168" t="str">
        <f>IF($C$3="ÖMER KARTAL",IF(_ARA_ORTAK_EKSTRE!V75="","",_ARA_ORTAK_EKSTRE!V75),IF(_ARA_ORTAK_EKSTRE!AI75="","",_ARA_ORTAK_EKSTRE!AI75))</f>
        <v/>
      </c>
      <c r="K84" s="168" t="str">
        <f>IF($C$3="ÖMER KARTAL",IF(_ARA_ORTAK_EKSTRE!W75="","",_ARA_ORTAK_EKSTRE!W75),IF(_ARA_ORTAK_EKSTRE!AJ75="","",_ARA_ORTAK_EKSTRE!AJ75))</f>
        <v/>
      </c>
      <c r="L84" s="168" t="str">
        <f>IF($C$3="ÖMER KARTAL",IF(_ARA_ORTAK_EKSTRE!X75="","",_ARA_ORTAK_EKSTRE!X75),IF(_ARA_ORTAK_EKSTRE!AK75="","",_ARA_ORTAK_EKSTRE!AK75))</f>
        <v/>
      </c>
      <c r="M84" s="156" t="str">
        <f>IF($C$3="ÖMER KARTAL",IF(_ARA_ORTAK_EKSTRE!Y75="","",_ARA_ORTAK_EKSTRE!Y75),IF(_ARA_ORTAK_EKSTRE!AL75="","",_ARA_ORTAK_EKSTRE!AL75))</f>
        <v/>
      </c>
    </row>
    <row r="85" spans="2:13" ht="29.25" customHeight="1">
      <c r="B85" s="163" t="str">
        <f>IF($C$3="ÖMER KARTAL",IF(_ARA_ORTAK_EKSTRE!N76="","",_ARA_ORTAK_EKSTRE!N76),IF(_ARA_ORTAK_EKSTRE!AA76="","",_ARA_ORTAK_EKSTRE!AA76))</f>
        <v/>
      </c>
      <c r="C85" s="164" t="str">
        <f>IF($C$3="ÖMER KARTAL",IF(_ARA_ORTAK_EKSTRE!O76="","",_ARA_ORTAK_EKSTRE!O76),IF(_ARA_ORTAK_EKSTRE!AB76="","",_ARA_ORTAK_EKSTRE!AB76))</f>
        <v/>
      </c>
      <c r="D85" s="164" t="str">
        <f>IF($C$3="ÖMER KARTAL",IF(_ARA_ORTAK_EKSTRE!P76="","",_ARA_ORTAK_EKSTRE!P76),IF(_ARA_ORTAK_EKSTRE!AC76="","",_ARA_ORTAK_EKSTRE!AC76))</f>
        <v/>
      </c>
      <c r="E85" s="164" t="str">
        <f>IF($C$3="ÖMER KARTAL",IF(_ARA_ORTAK_EKSTRE!Q76="","",_ARA_ORTAK_EKSTRE!Q76),IF(_ARA_ORTAK_EKSTRE!AD76="","",_ARA_ORTAK_EKSTRE!AD76))</f>
        <v/>
      </c>
      <c r="F85" s="164" t="str">
        <f>IF($C$3="ÖMER KARTAL",IF(_ARA_ORTAK_EKSTRE!R76="","",_ARA_ORTAK_EKSTRE!R76),IF(_ARA_ORTAK_EKSTRE!AE76="","",_ARA_ORTAK_EKSTRE!AE76))</f>
        <v/>
      </c>
      <c r="G85" s="159" t="str">
        <f>IF($C$3="ÖMER KARTAL",IF(_ARA_ORTAK_EKSTRE!S76="","",_ARA_ORTAK_EKSTRE!S76),IF(_ARA_ORTAK_EKSTRE!AF76="","",_ARA_ORTAK_EKSTRE!AF76))</f>
        <v/>
      </c>
      <c r="H85" s="168" t="str">
        <f>IF($C$3="ÖMER KARTAL",IF(_ARA_ORTAK_EKSTRE!T76="","",_ARA_ORTAK_EKSTRE!T76),IF(_ARA_ORTAK_EKSTRE!AG76="","",_ARA_ORTAK_EKSTRE!AG76))</f>
        <v/>
      </c>
      <c r="I85" s="168" t="str">
        <f>IF($C$3="ÖMER KARTAL",IF(_ARA_ORTAK_EKSTRE!U76="","",_ARA_ORTAK_EKSTRE!U76),IF(_ARA_ORTAK_EKSTRE!AH76="","",_ARA_ORTAK_EKSTRE!AH76))</f>
        <v/>
      </c>
      <c r="J85" s="168" t="str">
        <f>IF($C$3="ÖMER KARTAL",IF(_ARA_ORTAK_EKSTRE!V76="","",_ARA_ORTAK_EKSTRE!V76),IF(_ARA_ORTAK_EKSTRE!AI76="","",_ARA_ORTAK_EKSTRE!AI76))</f>
        <v/>
      </c>
      <c r="K85" s="168" t="str">
        <f>IF($C$3="ÖMER KARTAL",IF(_ARA_ORTAK_EKSTRE!W76="","",_ARA_ORTAK_EKSTRE!W76),IF(_ARA_ORTAK_EKSTRE!AJ76="","",_ARA_ORTAK_EKSTRE!AJ76))</f>
        <v/>
      </c>
      <c r="L85" s="168" t="str">
        <f>IF($C$3="ÖMER KARTAL",IF(_ARA_ORTAK_EKSTRE!X76="","",_ARA_ORTAK_EKSTRE!X76),IF(_ARA_ORTAK_EKSTRE!AK76="","",_ARA_ORTAK_EKSTRE!AK76))</f>
        <v/>
      </c>
      <c r="M85" s="156" t="str">
        <f>IF($C$3="ÖMER KARTAL",IF(_ARA_ORTAK_EKSTRE!Y76="","",_ARA_ORTAK_EKSTRE!Y76),IF(_ARA_ORTAK_EKSTRE!AL76="","",_ARA_ORTAK_EKSTRE!AL76))</f>
        <v/>
      </c>
    </row>
    <row r="86" spans="2:13" ht="29.25" customHeight="1">
      <c r="B86" s="163" t="str">
        <f>IF($C$3="ÖMER KARTAL",IF(_ARA_ORTAK_EKSTRE!N77="","",_ARA_ORTAK_EKSTRE!N77),IF(_ARA_ORTAK_EKSTRE!AA77="","",_ARA_ORTAK_EKSTRE!AA77))</f>
        <v/>
      </c>
      <c r="C86" s="164" t="str">
        <f>IF($C$3="ÖMER KARTAL",IF(_ARA_ORTAK_EKSTRE!O77="","",_ARA_ORTAK_EKSTRE!O77),IF(_ARA_ORTAK_EKSTRE!AB77="","",_ARA_ORTAK_EKSTRE!AB77))</f>
        <v/>
      </c>
      <c r="D86" s="164" t="str">
        <f>IF($C$3="ÖMER KARTAL",IF(_ARA_ORTAK_EKSTRE!P77="","",_ARA_ORTAK_EKSTRE!P77),IF(_ARA_ORTAK_EKSTRE!AC77="","",_ARA_ORTAK_EKSTRE!AC77))</f>
        <v/>
      </c>
      <c r="E86" s="164" t="str">
        <f>IF($C$3="ÖMER KARTAL",IF(_ARA_ORTAK_EKSTRE!Q77="","",_ARA_ORTAK_EKSTRE!Q77),IF(_ARA_ORTAK_EKSTRE!AD77="","",_ARA_ORTAK_EKSTRE!AD77))</f>
        <v/>
      </c>
      <c r="F86" s="164" t="str">
        <f>IF($C$3="ÖMER KARTAL",IF(_ARA_ORTAK_EKSTRE!R77="","",_ARA_ORTAK_EKSTRE!R77),IF(_ARA_ORTAK_EKSTRE!AE77="","",_ARA_ORTAK_EKSTRE!AE77))</f>
        <v/>
      </c>
      <c r="G86" s="159" t="str">
        <f>IF($C$3="ÖMER KARTAL",IF(_ARA_ORTAK_EKSTRE!S77="","",_ARA_ORTAK_EKSTRE!S77),IF(_ARA_ORTAK_EKSTRE!AF77="","",_ARA_ORTAK_EKSTRE!AF77))</f>
        <v/>
      </c>
      <c r="H86" s="168" t="str">
        <f>IF($C$3="ÖMER KARTAL",IF(_ARA_ORTAK_EKSTRE!T77="","",_ARA_ORTAK_EKSTRE!T77),IF(_ARA_ORTAK_EKSTRE!AG77="","",_ARA_ORTAK_EKSTRE!AG77))</f>
        <v/>
      </c>
      <c r="I86" s="168" t="str">
        <f>IF($C$3="ÖMER KARTAL",IF(_ARA_ORTAK_EKSTRE!U77="","",_ARA_ORTAK_EKSTRE!U77),IF(_ARA_ORTAK_EKSTRE!AH77="","",_ARA_ORTAK_EKSTRE!AH77))</f>
        <v/>
      </c>
      <c r="J86" s="168" t="str">
        <f>IF($C$3="ÖMER KARTAL",IF(_ARA_ORTAK_EKSTRE!V77="","",_ARA_ORTAK_EKSTRE!V77),IF(_ARA_ORTAK_EKSTRE!AI77="","",_ARA_ORTAK_EKSTRE!AI77))</f>
        <v/>
      </c>
      <c r="K86" s="168" t="str">
        <f>IF($C$3="ÖMER KARTAL",IF(_ARA_ORTAK_EKSTRE!W77="","",_ARA_ORTAK_EKSTRE!W77),IF(_ARA_ORTAK_EKSTRE!AJ77="","",_ARA_ORTAK_EKSTRE!AJ77))</f>
        <v/>
      </c>
      <c r="L86" s="168" t="str">
        <f>IF($C$3="ÖMER KARTAL",IF(_ARA_ORTAK_EKSTRE!X77="","",_ARA_ORTAK_EKSTRE!X77),IF(_ARA_ORTAK_EKSTRE!AK77="","",_ARA_ORTAK_EKSTRE!AK77))</f>
        <v/>
      </c>
      <c r="M86" s="156" t="str">
        <f>IF($C$3="ÖMER KARTAL",IF(_ARA_ORTAK_EKSTRE!Y77="","",_ARA_ORTAK_EKSTRE!Y77),IF(_ARA_ORTAK_EKSTRE!AL77="","",_ARA_ORTAK_EKSTRE!AL77))</f>
        <v/>
      </c>
    </row>
    <row r="87" spans="2:13" ht="29.25" customHeight="1">
      <c r="B87" s="163" t="str">
        <f>IF($C$3="ÖMER KARTAL",IF(_ARA_ORTAK_EKSTRE!N78="","",_ARA_ORTAK_EKSTRE!N78),IF(_ARA_ORTAK_EKSTRE!AA78="","",_ARA_ORTAK_EKSTRE!AA78))</f>
        <v/>
      </c>
      <c r="C87" s="164" t="str">
        <f>IF($C$3="ÖMER KARTAL",IF(_ARA_ORTAK_EKSTRE!O78="","",_ARA_ORTAK_EKSTRE!O78),IF(_ARA_ORTAK_EKSTRE!AB78="","",_ARA_ORTAK_EKSTRE!AB78))</f>
        <v/>
      </c>
      <c r="D87" s="164" t="str">
        <f>IF($C$3="ÖMER KARTAL",IF(_ARA_ORTAK_EKSTRE!P78="","",_ARA_ORTAK_EKSTRE!P78),IF(_ARA_ORTAK_EKSTRE!AC78="","",_ARA_ORTAK_EKSTRE!AC78))</f>
        <v/>
      </c>
      <c r="E87" s="164" t="str">
        <f>IF($C$3="ÖMER KARTAL",IF(_ARA_ORTAK_EKSTRE!Q78="","",_ARA_ORTAK_EKSTRE!Q78),IF(_ARA_ORTAK_EKSTRE!AD78="","",_ARA_ORTAK_EKSTRE!AD78))</f>
        <v/>
      </c>
      <c r="F87" s="164" t="str">
        <f>IF($C$3="ÖMER KARTAL",IF(_ARA_ORTAK_EKSTRE!R78="","",_ARA_ORTAK_EKSTRE!R78),IF(_ARA_ORTAK_EKSTRE!AE78="","",_ARA_ORTAK_EKSTRE!AE78))</f>
        <v/>
      </c>
      <c r="G87" s="159" t="str">
        <f>IF($C$3="ÖMER KARTAL",IF(_ARA_ORTAK_EKSTRE!S78="","",_ARA_ORTAK_EKSTRE!S78),IF(_ARA_ORTAK_EKSTRE!AF78="","",_ARA_ORTAK_EKSTRE!AF78))</f>
        <v/>
      </c>
      <c r="H87" s="168" t="str">
        <f>IF($C$3="ÖMER KARTAL",IF(_ARA_ORTAK_EKSTRE!T78="","",_ARA_ORTAK_EKSTRE!T78),IF(_ARA_ORTAK_EKSTRE!AG78="","",_ARA_ORTAK_EKSTRE!AG78))</f>
        <v/>
      </c>
      <c r="I87" s="168" t="str">
        <f>IF($C$3="ÖMER KARTAL",IF(_ARA_ORTAK_EKSTRE!U78="","",_ARA_ORTAK_EKSTRE!U78),IF(_ARA_ORTAK_EKSTRE!AH78="","",_ARA_ORTAK_EKSTRE!AH78))</f>
        <v/>
      </c>
      <c r="J87" s="168" t="str">
        <f>IF($C$3="ÖMER KARTAL",IF(_ARA_ORTAK_EKSTRE!V78="","",_ARA_ORTAK_EKSTRE!V78),IF(_ARA_ORTAK_EKSTRE!AI78="","",_ARA_ORTAK_EKSTRE!AI78))</f>
        <v/>
      </c>
      <c r="K87" s="168" t="str">
        <f>IF($C$3="ÖMER KARTAL",IF(_ARA_ORTAK_EKSTRE!W78="","",_ARA_ORTAK_EKSTRE!W78),IF(_ARA_ORTAK_EKSTRE!AJ78="","",_ARA_ORTAK_EKSTRE!AJ78))</f>
        <v/>
      </c>
      <c r="L87" s="168" t="str">
        <f>IF($C$3="ÖMER KARTAL",IF(_ARA_ORTAK_EKSTRE!X78="","",_ARA_ORTAK_EKSTRE!X78),IF(_ARA_ORTAK_EKSTRE!AK78="","",_ARA_ORTAK_EKSTRE!AK78))</f>
        <v/>
      </c>
      <c r="M87" s="156" t="str">
        <f>IF($C$3="ÖMER KARTAL",IF(_ARA_ORTAK_EKSTRE!Y78="","",_ARA_ORTAK_EKSTRE!Y78),IF(_ARA_ORTAK_EKSTRE!AL78="","",_ARA_ORTAK_EKSTRE!AL78))</f>
        <v/>
      </c>
    </row>
    <row r="88" spans="2:13" ht="29.25" customHeight="1">
      <c r="B88" s="163" t="str">
        <f>IF($C$3="ÖMER KARTAL",IF(_ARA_ORTAK_EKSTRE!N79="","",_ARA_ORTAK_EKSTRE!N79),IF(_ARA_ORTAK_EKSTRE!AA79="","",_ARA_ORTAK_EKSTRE!AA79))</f>
        <v/>
      </c>
      <c r="C88" s="164" t="str">
        <f>IF($C$3="ÖMER KARTAL",IF(_ARA_ORTAK_EKSTRE!O79="","",_ARA_ORTAK_EKSTRE!O79),IF(_ARA_ORTAK_EKSTRE!AB79="","",_ARA_ORTAK_EKSTRE!AB79))</f>
        <v/>
      </c>
      <c r="D88" s="164" t="str">
        <f>IF($C$3="ÖMER KARTAL",IF(_ARA_ORTAK_EKSTRE!P79="","",_ARA_ORTAK_EKSTRE!P79),IF(_ARA_ORTAK_EKSTRE!AC79="","",_ARA_ORTAK_EKSTRE!AC79))</f>
        <v/>
      </c>
      <c r="E88" s="164" t="str">
        <f>IF($C$3="ÖMER KARTAL",IF(_ARA_ORTAK_EKSTRE!Q79="","",_ARA_ORTAK_EKSTRE!Q79),IF(_ARA_ORTAK_EKSTRE!AD79="","",_ARA_ORTAK_EKSTRE!AD79))</f>
        <v/>
      </c>
      <c r="F88" s="164" t="str">
        <f>IF($C$3="ÖMER KARTAL",IF(_ARA_ORTAK_EKSTRE!R79="","",_ARA_ORTAK_EKSTRE!R79),IF(_ARA_ORTAK_EKSTRE!AE79="","",_ARA_ORTAK_EKSTRE!AE79))</f>
        <v/>
      </c>
      <c r="G88" s="159" t="str">
        <f>IF($C$3="ÖMER KARTAL",IF(_ARA_ORTAK_EKSTRE!S79="","",_ARA_ORTAK_EKSTRE!S79),IF(_ARA_ORTAK_EKSTRE!AF79="","",_ARA_ORTAK_EKSTRE!AF79))</f>
        <v/>
      </c>
      <c r="H88" s="168" t="str">
        <f>IF($C$3="ÖMER KARTAL",IF(_ARA_ORTAK_EKSTRE!T79="","",_ARA_ORTAK_EKSTRE!T79),IF(_ARA_ORTAK_EKSTRE!AG79="","",_ARA_ORTAK_EKSTRE!AG79))</f>
        <v/>
      </c>
      <c r="I88" s="168" t="str">
        <f>IF($C$3="ÖMER KARTAL",IF(_ARA_ORTAK_EKSTRE!U79="","",_ARA_ORTAK_EKSTRE!U79),IF(_ARA_ORTAK_EKSTRE!AH79="","",_ARA_ORTAK_EKSTRE!AH79))</f>
        <v/>
      </c>
      <c r="J88" s="168" t="str">
        <f>IF($C$3="ÖMER KARTAL",IF(_ARA_ORTAK_EKSTRE!V79="","",_ARA_ORTAK_EKSTRE!V79),IF(_ARA_ORTAK_EKSTRE!AI79="","",_ARA_ORTAK_EKSTRE!AI79))</f>
        <v/>
      </c>
      <c r="K88" s="168" t="str">
        <f>IF($C$3="ÖMER KARTAL",IF(_ARA_ORTAK_EKSTRE!W79="","",_ARA_ORTAK_EKSTRE!W79),IF(_ARA_ORTAK_EKSTRE!AJ79="","",_ARA_ORTAK_EKSTRE!AJ79))</f>
        <v/>
      </c>
      <c r="L88" s="168" t="str">
        <f>IF($C$3="ÖMER KARTAL",IF(_ARA_ORTAK_EKSTRE!X79="","",_ARA_ORTAK_EKSTRE!X79),IF(_ARA_ORTAK_EKSTRE!AK79="","",_ARA_ORTAK_EKSTRE!AK79))</f>
        <v/>
      </c>
      <c r="M88" s="156" t="str">
        <f>IF($C$3="ÖMER KARTAL",IF(_ARA_ORTAK_EKSTRE!Y79="","",_ARA_ORTAK_EKSTRE!Y79),IF(_ARA_ORTAK_EKSTRE!AL79="","",_ARA_ORTAK_EKSTRE!AL79))</f>
        <v/>
      </c>
    </row>
    <row r="89" spans="2:13" ht="29.25" customHeight="1">
      <c r="B89" s="163" t="str">
        <f>IF($C$3="ÖMER KARTAL",IF(_ARA_ORTAK_EKSTRE!N80="","",_ARA_ORTAK_EKSTRE!N80),IF(_ARA_ORTAK_EKSTRE!AA80="","",_ARA_ORTAK_EKSTRE!AA80))</f>
        <v/>
      </c>
      <c r="C89" s="164" t="str">
        <f>IF($C$3="ÖMER KARTAL",IF(_ARA_ORTAK_EKSTRE!O80="","",_ARA_ORTAK_EKSTRE!O80),IF(_ARA_ORTAK_EKSTRE!AB80="","",_ARA_ORTAK_EKSTRE!AB80))</f>
        <v/>
      </c>
      <c r="D89" s="164" t="str">
        <f>IF($C$3="ÖMER KARTAL",IF(_ARA_ORTAK_EKSTRE!P80="","",_ARA_ORTAK_EKSTRE!P80),IF(_ARA_ORTAK_EKSTRE!AC80="","",_ARA_ORTAK_EKSTRE!AC80))</f>
        <v/>
      </c>
      <c r="E89" s="164" t="str">
        <f>IF($C$3="ÖMER KARTAL",IF(_ARA_ORTAK_EKSTRE!Q80="","",_ARA_ORTAK_EKSTRE!Q80),IF(_ARA_ORTAK_EKSTRE!AD80="","",_ARA_ORTAK_EKSTRE!AD80))</f>
        <v/>
      </c>
      <c r="F89" s="164" t="str">
        <f>IF($C$3="ÖMER KARTAL",IF(_ARA_ORTAK_EKSTRE!R80="","",_ARA_ORTAK_EKSTRE!R80),IF(_ARA_ORTAK_EKSTRE!AE80="","",_ARA_ORTAK_EKSTRE!AE80))</f>
        <v/>
      </c>
      <c r="G89" s="159" t="str">
        <f>IF($C$3="ÖMER KARTAL",IF(_ARA_ORTAK_EKSTRE!S80="","",_ARA_ORTAK_EKSTRE!S80),IF(_ARA_ORTAK_EKSTRE!AF80="","",_ARA_ORTAK_EKSTRE!AF80))</f>
        <v/>
      </c>
      <c r="H89" s="168" t="str">
        <f>IF($C$3="ÖMER KARTAL",IF(_ARA_ORTAK_EKSTRE!T80="","",_ARA_ORTAK_EKSTRE!T80),IF(_ARA_ORTAK_EKSTRE!AG80="","",_ARA_ORTAK_EKSTRE!AG80))</f>
        <v/>
      </c>
      <c r="I89" s="168" t="str">
        <f>IF($C$3="ÖMER KARTAL",IF(_ARA_ORTAK_EKSTRE!U80="","",_ARA_ORTAK_EKSTRE!U80),IF(_ARA_ORTAK_EKSTRE!AH80="","",_ARA_ORTAK_EKSTRE!AH80))</f>
        <v/>
      </c>
      <c r="J89" s="168" t="str">
        <f>IF($C$3="ÖMER KARTAL",IF(_ARA_ORTAK_EKSTRE!V80="","",_ARA_ORTAK_EKSTRE!V80),IF(_ARA_ORTAK_EKSTRE!AI80="","",_ARA_ORTAK_EKSTRE!AI80))</f>
        <v/>
      </c>
      <c r="K89" s="168" t="str">
        <f>IF($C$3="ÖMER KARTAL",IF(_ARA_ORTAK_EKSTRE!W80="","",_ARA_ORTAK_EKSTRE!W80),IF(_ARA_ORTAK_EKSTRE!AJ80="","",_ARA_ORTAK_EKSTRE!AJ80))</f>
        <v/>
      </c>
      <c r="L89" s="168" t="str">
        <f>IF($C$3="ÖMER KARTAL",IF(_ARA_ORTAK_EKSTRE!X80="","",_ARA_ORTAK_EKSTRE!X80),IF(_ARA_ORTAK_EKSTRE!AK80="","",_ARA_ORTAK_EKSTRE!AK80))</f>
        <v/>
      </c>
      <c r="M89" s="156" t="str">
        <f>IF($C$3="ÖMER KARTAL",IF(_ARA_ORTAK_EKSTRE!Y80="","",_ARA_ORTAK_EKSTRE!Y80),IF(_ARA_ORTAK_EKSTRE!AL80="","",_ARA_ORTAK_EKSTRE!AL80))</f>
        <v/>
      </c>
    </row>
    <row r="90" spans="2:13" ht="29.25" customHeight="1">
      <c r="B90" s="163" t="str">
        <f>IF($C$3="ÖMER KARTAL",IF(_ARA_ORTAK_EKSTRE!N81="","",_ARA_ORTAK_EKSTRE!N81),IF(_ARA_ORTAK_EKSTRE!AA81="","",_ARA_ORTAK_EKSTRE!AA81))</f>
        <v/>
      </c>
      <c r="C90" s="164" t="str">
        <f>IF($C$3="ÖMER KARTAL",IF(_ARA_ORTAK_EKSTRE!O81="","",_ARA_ORTAK_EKSTRE!O81),IF(_ARA_ORTAK_EKSTRE!AB81="","",_ARA_ORTAK_EKSTRE!AB81))</f>
        <v/>
      </c>
      <c r="D90" s="164" t="str">
        <f>IF($C$3="ÖMER KARTAL",IF(_ARA_ORTAK_EKSTRE!P81="","",_ARA_ORTAK_EKSTRE!P81),IF(_ARA_ORTAK_EKSTRE!AC81="","",_ARA_ORTAK_EKSTRE!AC81))</f>
        <v/>
      </c>
      <c r="E90" s="164" t="str">
        <f>IF($C$3="ÖMER KARTAL",IF(_ARA_ORTAK_EKSTRE!Q81="","",_ARA_ORTAK_EKSTRE!Q81),IF(_ARA_ORTAK_EKSTRE!AD81="","",_ARA_ORTAK_EKSTRE!AD81))</f>
        <v/>
      </c>
      <c r="F90" s="164" t="str">
        <f>IF($C$3="ÖMER KARTAL",IF(_ARA_ORTAK_EKSTRE!R81="","",_ARA_ORTAK_EKSTRE!R81),IF(_ARA_ORTAK_EKSTRE!AE81="","",_ARA_ORTAK_EKSTRE!AE81))</f>
        <v/>
      </c>
      <c r="G90" s="159" t="str">
        <f>IF($C$3="ÖMER KARTAL",IF(_ARA_ORTAK_EKSTRE!S81="","",_ARA_ORTAK_EKSTRE!S81),IF(_ARA_ORTAK_EKSTRE!AF81="","",_ARA_ORTAK_EKSTRE!AF81))</f>
        <v/>
      </c>
      <c r="H90" s="168" t="str">
        <f>IF($C$3="ÖMER KARTAL",IF(_ARA_ORTAK_EKSTRE!T81="","",_ARA_ORTAK_EKSTRE!T81),IF(_ARA_ORTAK_EKSTRE!AG81="","",_ARA_ORTAK_EKSTRE!AG81))</f>
        <v/>
      </c>
      <c r="I90" s="168" t="str">
        <f>IF($C$3="ÖMER KARTAL",IF(_ARA_ORTAK_EKSTRE!U81="","",_ARA_ORTAK_EKSTRE!U81),IF(_ARA_ORTAK_EKSTRE!AH81="","",_ARA_ORTAK_EKSTRE!AH81))</f>
        <v/>
      </c>
      <c r="J90" s="168" t="str">
        <f>IF($C$3="ÖMER KARTAL",IF(_ARA_ORTAK_EKSTRE!V81="","",_ARA_ORTAK_EKSTRE!V81),IF(_ARA_ORTAK_EKSTRE!AI81="","",_ARA_ORTAK_EKSTRE!AI81))</f>
        <v/>
      </c>
      <c r="K90" s="168" t="str">
        <f>IF($C$3="ÖMER KARTAL",IF(_ARA_ORTAK_EKSTRE!W81="","",_ARA_ORTAK_EKSTRE!W81),IF(_ARA_ORTAK_EKSTRE!AJ81="","",_ARA_ORTAK_EKSTRE!AJ81))</f>
        <v/>
      </c>
      <c r="L90" s="168" t="str">
        <f>IF($C$3="ÖMER KARTAL",IF(_ARA_ORTAK_EKSTRE!X81="","",_ARA_ORTAK_EKSTRE!X81),IF(_ARA_ORTAK_EKSTRE!AK81="","",_ARA_ORTAK_EKSTRE!AK81))</f>
        <v/>
      </c>
      <c r="M90" s="156" t="str">
        <f>IF($C$3="ÖMER KARTAL",IF(_ARA_ORTAK_EKSTRE!Y81="","",_ARA_ORTAK_EKSTRE!Y81),IF(_ARA_ORTAK_EKSTRE!AL81="","",_ARA_ORTAK_EKSTRE!AL81))</f>
        <v/>
      </c>
    </row>
    <row r="91" spans="2:13" ht="29.25" customHeight="1">
      <c r="B91" s="163" t="str">
        <f>IF($C$3="ÖMER KARTAL",IF(_ARA_ORTAK_EKSTRE!N82="","",_ARA_ORTAK_EKSTRE!N82),IF(_ARA_ORTAK_EKSTRE!AA82="","",_ARA_ORTAK_EKSTRE!AA82))</f>
        <v/>
      </c>
      <c r="C91" s="164" t="str">
        <f>IF($C$3="ÖMER KARTAL",IF(_ARA_ORTAK_EKSTRE!O82="","",_ARA_ORTAK_EKSTRE!O82),IF(_ARA_ORTAK_EKSTRE!AB82="","",_ARA_ORTAK_EKSTRE!AB82))</f>
        <v/>
      </c>
      <c r="D91" s="164" t="str">
        <f>IF($C$3="ÖMER KARTAL",IF(_ARA_ORTAK_EKSTRE!P82="","",_ARA_ORTAK_EKSTRE!P82),IF(_ARA_ORTAK_EKSTRE!AC82="","",_ARA_ORTAK_EKSTRE!AC82))</f>
        <v/>
      </c>
      <c r="E91" s="164" t="str">
        <f>IF($C$3="ÖMER KARTAL",IF(_ARA_ORTAK_EKSTRE!Q82="","",_ARA_ORTAK_EKSTRE!Q82),IF(_ARA_ORTAK_EKSTRE!AD82="","",_ARA_ORTAK_EKSTRE!AD82))</f>
        <v/>
      </c>
      <c r="F91" s="164" t="str">
        <f>IF($C$3="ÖMER KARTAL",IF(_ARA_ORTAK_EKSTRE!R82="","",_ARA_ORTAK_EKSTRE!R82),IF(_ARA_ORTAK_EKSTRE!AE82="","",_ARA_ORTAK_EKSTRE!AE82))</f>
        <v/>
      </c>
      <c r="G91" s="159" t="str">
        <f>IF($C$3="ÖMER KARTAL",IF(_ARA_ORTAK_EKSTRE!S82="","",_ARA_ORTAK_EKSTRE!S82),IF(_ARA_ORTAK_EKSTRE!AF82="","",_ARA_ORTAK_EKSTRE!AF82))</f>
        <v/>
      </c>
      <c r="H91" s="168" t="str">
        <f>IF($C$3="ÖMER KARTAL",IF(_ARA_ORTAK_EKSTRE!T82="","",_ARA_ORTAK_EKSTRE!T82),IF(_ARA_ORTAK_EKSTRE!AG82="","",_ARA_ORTAK_EKSTRE!AG82))</f>
        <v/>
      </c>
      <c r="I91" s="168" t="str">
        <f>IF($C$3="ÖMER KARTAL",IF(_ARA_ORTAK_EKSTRE!U82="","",_ARA_ORTAK_EKSTRE!U82),IF(_ARA_ORTAK_EKSTRE!AH82="","",_ARA_ORTAK_EKSTRE!AH82))</f>
        <v/>
      </c>
      <c r="J91" s="168" t="str">
        <f>IF($C$3="ÖMER KARTAL",IF(_ARA_ORTAK_EKSTRE!V82="","",_ARA_ORTAK_EKSTRE!V82),IF(_ARA_ORTAK_EKSTRE!AI82="","",_ARA_ORTAK_EKSTRE!AI82))</f>
        <v/>
      </c>
      <c r="K91" s="168" t="str">
        <f>IF($C$3="ÖMER KARTAL",IF(_ARA_ORTAK_EKSTRE!W82="","",_ARA_ORTAK_EKSTRE!W82),IF(_ARA_ORTAK_EKSTRE!AJ82="","",_ARA_ORTAK_EKSTRE!AJ82))</f>
        <v/>
      </c>
      <c r="L91" s="168" t="str">
        <f>IF($C$3="ÖMER KARTAL",IF(_ARA_ORTAK_EKSTRE!X82="","",_ARA_ORTAK_EKSTRE!X82),IF(_ARA_ORTAK_EKSTRE!AK82="","",_ARA_ORTAK_EKSTRE!AK82))</f>
        <v/>
      </c>
      <c r="M91" s="156" t="str">
        <f>IF($C$3="ÖMER KARTAL",IF(_ARA_ORTAK_EKSTRE!Y82="","",_ARA_ORTAK_EKSTRE!Y82),IF(_ARA_ORTAK_EKSTRE!AL82="","",_ARA_ORTAK_EKSTRE!AL82))</f>
        <v/>
      </c>
    </row>
    <row r="92" spans="2:13" ht="29.25" customHeight="1">
      <c r="B92" s="163" t="str">
        <f>IF($C$3="ÖMER KARTAL",IF(_ARA_ORTAK_EKSTRE!N83="","",_ARA_ORTAK_EKSTRE!N83),IF(_ARA_ORTAK_EKSTRE!AA83="","",_ARA_ORTAK_EKSTRE!AA83))</f>
        <v/>
      </c>
      <c r="C92" s="164" t="str">
        <f>IF($C$3="ÖMER KARTAL",IF(_ARA_ORTAK_EKSTRE!O83="","",_ARA_ORTAK_EKSTRE!O83),IF(_ARA_ORTAK_EKSTRE!AB83="","",_ARA_ORTAK_EKSTRE!AB83))</f>
        <v/>
      </c>
      <c r="D92" s="164" t="str">
        <f>IF($C$3="ÖMER KARTAL",IF(_ARA_ORTAK_EKSTRE!P83="","",_ARA_ORTAK_EKSTRE!P83),IF(_ARA_ORTAK_EKSTRE!AC83="","",_ARA_ORTAK_EKSTRE!AC83))</f>
        <v/>
      </c>
      <c r="E92" s="164" t="str">
        <f>IF($C$3="ÖMER KARTAL",IF(_ARA_ORTAK_EKSTRE!Q83="","",_ARA_ORTAK_EKSTRE!Q83),IF(_ARA_ORTAK_EKSTRE!AD83="","",_ARA_ORTAK_EKSTRE!AD83))</f>
        <v/>
      </c>
      <c r="F92" s="164" t="str">
        <f>IF($C$3="ÖMER KARTAL",IF(_ARA_ORTAK_EKSTRE!R83="","",_ARA_ORTAK_EKSTRE!R83),IF(_ARA_ORTAK_EKSTRE!AE83="","",_ARA_ORTAK_EKSTRE!AE83))</f>
        <v/>
      </c>
      <c r="G92" s="159" t="str">
        <f>IF($C$3="ÖMER KARTAL",IF(_ARA_ORTAK_EKSTRE!S83="","",_ARA_ORTAK_EKSTRE!S83),IF(_ARA_ORTAK_EKSTRE!AF83="","",_ARA_ORTAK_EKSTRE!AF83))</f>
        <v/>
      </c>
      <c r="H92" s="168" t="str">
        <f>IF($C$3="ÖMER KARTAL",IF(_ARA_ORTAK_EKSTRE!T83="","",_ARA_ORTAK_EKSTRE!T83),IF(_ARA_ORTAK_EKSTRE!AG83="","",_ARA_ORTAK_EKSTRE!AG83))</f>
        <v/>
      </c>
      <c r="I92" s="168" t="str">
        <f>IF($C$3="ÖMER KARTAL",IF(_ARA_ORTAK_EKSTRE!U83="","",_ARA_ORTAK_EKSTRE!U83),IF(_ARA_ORTAK_EKSTRE!AH83="","",_ARA_ORTAK_EKSTRE!AH83))</f>
        <v/>
      </c>
      <c r="J92" s="168" t="str">
        <f>IF($C$3="ÖMER KARTAL",IF(_ARA_ORTAK_EKSTRE!V83="","",_ARA_ORTAK_EKSTRE!V83),IF(_ARA_ORTAK_EKSTRE!AI83="","",_ARA_ORTAK_EKSTRE!AI83))</f>
        <v/>
      </c>
      <c r="K92" s="168" t="str">
        <f>IF($C$3="ÖMER KARTAL",IF(_ARA_ORTAK_EKSTRE!W83="","",_ARA_ORTAK_EKSTRE!W83),IF(_ARA_ORTAK_EKSTRE!AJ83="","",_ARA_ORTAK_EKSTRE!AJ83))</f>
        <v/>
      </c>
      <c r="L92" s="168" t="str">
        <f>IF($C$3="ÖMER KARTAL",IF(_ARA_ORTAK_EKSTRE!X83="","",_ARA_ORTAK_EKSTRE!X83),IF(_ARA_ORTAK_EKSTRE!AK83="","",_ARA_ORTAK_EKSTRE!AK83))</f>
        <v/>
      </c>
      <c r="M92" s="156" t="str">
        <f>IF($C$3="ÖMER KARTAL",IF(_ARA_ORTAK_EKSTRE!Y83="","",_ARA_ORTAK_EKSTRE!Y83),IF(_ARA_ORTAK_EKSTRE!AL83="","",_ARA_ORTAK_EKSTRE!AL83))</f>
        <v/>
      </c>
    </row>
    <row r="93" spans="2:13" ht="29.25" customHeight="1">
      <c r="B93" s="163" t="str">
        <f>IF($C$3="ÖMER KARTAL",IF(_ARA_ORTAK_EKSTRE!N84="","",_ARA_ORTAK_EKSTRE!N84),IF(_ARA_ORTAK_EKSTRE!AA84="","",_ARA_ORTAK_EKSTRE!AA84))</f>
        <v/>
      </c>
      <c r="C93" s="164" t="str">
        <f>IF($C$3="ÖMER KARTAL",IF(_ARA_ORTAK_EKSTRE!O84="","",_ARA_ORTAK_EKSTRE!O84),IF(_ARA_ORTAK_EKSTRE!AB84="","",_ARA_ORTAK_EKSTRE!AB84))</f>
        <v/>
      </c>
      <c r="D93" s="164" t="str">
        <f>IF($C$3="ÖMER KARTAL",IF(_ARA_ORTAK_EKSTRE!P84="","",_ARA_ORTAK_EKSTRE!P84),IF(_ARA_ORTAK_EKSTRE!AC84="","",_ARA_ORTAK_EKSTRE!AC84))</f>
        <v/>
      </c>
      <c r="E93" s="164" t="str">
        <f>IF($C$3="ÖMER KARTAL",IF(_ARA_ORTAK_EKSTRE!Q84="","",_ARA_ORTAK_EKSTRE!Q84),IF(_ARA_ORTAK_EKSTRE!AD84="","",_ARA_ORTAK_EKSTRE!AD84))</f>
        <v/>
      </c>
      <c r="F93" s="164" t="str">
        <f>IF($C$3="ÖMER KARTAL",IF(_ARA_ORTAK_EKSTRE!R84="","",_ARA_ORTAK_EKSTRE!R84),IF(_ARA_ORTAK_EKSTRE!AE84="","",_ARA_ORTAK_EKSTRE!AE84))</f>
        <v/>
      </c>
      <c r="G93" s="159" t="str">
        <f>IF($C$3="ÖMER KARTAL",IF(_ARA_ORTAK_EKSTRE!S84="","",_ARA_ORTAK_EKSTRE!S84),IF(_ARA_ORTAK_EKSTRE!AF84="","",_ARA_ORTAK_EKSTRE!AF84))</f>
        <v/>
      </c>
      <c r="H93" s="168" t="str">
        <f>IF($C$3="ÖMER KARTAL",IF(_ARA_ORTAK_EKSTRE!T84="","",_ARA_ORTAK_EKSTRE!T84),IF(_ARA_ORTAK_EKSTRE!AG84="","",_ARA_ORTAK_EKSTRE!AG84))</f>
        <v/>
      </c>
      <c r="I93" s="168" t="str">
        <f>IF($C$3="ÖMER KARTAL",IF(_ARA_ORTAK_EKSTRE!U84="","",_ARA_ORTAK_EKSTRE!U84),IF(_ARA_ORTAK_EKSTRE!AH84="","",_ARA_ORTAK_EKSTRE!AH84))</f>
        <v/>
      </c>
      <c r="J93" s="168" t="str">
        <f>IF($C$3="ÖMER KARTAL",IF(_ARA_ORTAK_EKSTRE!V84="","",_ARA_ORTAK_EKSTRE!V84),IF(_ARA_ORTAK_EKSTRE!AI84="","",_ARA_ORTAK_EKSTRE!AI84))</f>
        <v/>
      </c>
      <c r="K93" s="168" t="str">
        <f>IF($C$3="ÖMER KARTAL",IF(_ARA_ORTAK_EKSTRE!W84="","",_ARA_ORTAK_EKSTRE!W84),IF(_ARA_ORTAK_EKSTRE!AJ84="","",_ARA_ORTAK_EKSTRE!AJ84))</f>
        <v/>
      </c>
      <c r="L93" s="168" t="str">
        <f>IF($C$3="ÖMER KARTAL",IF(_ARA_ORTAK_EKSTRE!X84="","",_ARA_ORTAK_EKSTRE!X84),IF(_ARA_ORTAK_EKSTRE!AK84="","",_ARA_ORTAK_EKSTRE!AK84))</f>
        <v/>
      </c>
      <c r="M93" s="156" t="str">
        <f>IF($C$3="ÖMER KARTAL",IF(_ARA_ORTAK_EKSTRE!Y84="","",_ARA_ORTAK_EKSTRE!Y84),IF(_ARA_ORTAK_EKSTRE!AL84="","",_ARA_ORTAK_EKSTRE!AL84))</f>
        <v/>
      </c>
    </row>
    <row r="94" spans="2:13" ht="29.25" customHeight="1">
      <c r="B94" s="163" t="str">
        <f>IF($C$3="ÖMER KARTAL",IF(_ARA_ORTAK_EKSTRE!N85="","",_ARA_ORTAK_EKSTRE!N85),IF(_ARA_ORTAK_EKSTRE!AA85="","",_ARA_ORTAK_EKSTRE!AA85))</f>
        <v/>
      </c>
      <c r="C94" s="164" t="str">
        <f>IF($C$3="ÖMER KARTAL",IF(_ARA_ORTAK_EKSTRE!O85="","",_ARA_ORTAK_EKSTRE!O85),IF(_ARA_ORTAK_EKSTRE!AB85="","",_ARA_ORTAK_EKSTRE!AB85))</f>
        <v/>
      </c>
      <c r="D94" s="164" t="str">
        <f>IF($C$3="ÖMER KARTAL",IF(_ARA_ORTAK_EKSTRE!P85="","",_ARA_ORTAK_EKSTRE!P85),IF(_ARA_ORTAK_EKSTRE!AC85="","",_ARA_ORTAK_EKSTRE!AC85))</f>
        <v/>
      </c>
      <c r="E94" s="164" t="str">
        <f>IF($C$3="ÖMER KARTAL",IF(_ARA_ORTAK_EKSTRE!Q85="","",_ARA_ORTAK_EKSTRE!Q85),IF(_ARA_ORTAK_EKSTRE!AD85="","",_ARA_ORTAK_EKSTRE!AD85))</f>
        <v/>
      </c>
      <c r="F94" s="164" t="str">
        <f>IF($C$3="ÖMER KARTAL",IF(_ARA_ORTAK_EKSTRE!R85="","",_ARA_ORTAK_EKSTRE!R85),IF(_ARA_ORTAK_EKSTRE!AE85="","",_ARA_ORTAK_EKSTRE!AE85))</f>
        <v/>
      </c>
      <c r="G94" s="159" t="str">
        <f>IF($C$3="ÖMER KARTAL",IF(_ARA_ORTAK_EKSTRE!S85="","",_ARA_ORTAK_EKSTRE!S85),IF(_ARA_ORTAK_EKSTRE!AF85="","",_ARA_ORTAK_EKSTRE!AF85))</f>
        <v/>
      </c>
      <c r="H94" s="168" t="str">
        <f>IF($C$3="ÖMER KARTAL",IF(_ARA_ORTAK_EKSTRE!T85="","",_ARA_ORTAK_EKSTRE!T85),IF(_ARA_ORTAK_EKSTRE!AG85="","",_ARA_ORTAK_EKSTRE!AG85))</f>
        <v/>
      </c>
      <c r="I94" s="168" t="str">
        <f>IF($C$3="ÖMER KARTAL",IF(_ARA_ORTAK_EKSTRE!U85="","",_ARA_ORTAK_EKSTRE!U85),IF(_ARA_ORTAK_EKSTRE!AH85="","",_ARA_ORTAK_EKSTRE!AH85))</f>
        <v/>
      </c>
      <c r="J94" s="168" t="str">
        <f>IF($C$3="ÖMER KARTAL",IF(_ARA_ORTAK_EKSTRE!V85="","",_ARA_ORTAK_EKSTRE!V85),IF(_ARA_ORTAK_EKSTRE!AI85="","",_ARA_ORTAK_EKSTRE!AI85))</f>
        <v/>
      </c>
      <c r="K94" s="168" t="str">
        <f>IF($C$3="ÖMER KARTAL",IF(_ARA_ORTAK_EKSTRE!W85="","",_ARA_ORTAK_EKSTRE!W85),IF(_ARA_ORTAK_EKSTRE!AJ85="","",_ARA_ORTAK_EKSTRE!AJ85))</f>
        <v/>
      </c>
      <c r="L94" s="168" t="str">
        <f>IF($C$3="ÖMER KARTAL",IF(_ARA_ORTAK_EKSTRE!X85="","",_ARA_ORTAK_EKSTRE!X85),IF(_ARA_ORTAK_EKSTRE!AK85="","",_ARA_ORTAK_EKSTRE!AK85))</f>
        <v/>
      </c>
      <c r="M94" s="156" t="str">
        <f>IF($C$3="ÖMER KARTAL",IF(_ARA_ORTAK_EKSTRE!Y85="","",_ARA_ORTAK_EKSTRE!Y85),IF(_ARA_ORTAK_EKSTRE!AL85="","",_ARA_ORTAK_EKSTRE!AL85))</f>
        <v/>
      </c>
    </row>
    <row r="95" spans="2:13" ht="29.25" customHeight="1">
      <c r="B95" s="163" t="str">
        <f>IF($C$3="ÖMER KARTAL",IF(_ARA_ORTAK_EKSTRE!N86="","",_ARA_ORTAK_EKSTRE!N86),IF(_ARA_ORTAK_EKSTRE!AA86="","",_ARA_ORTAK_EKSTRE!AA86))</f>
        <v/>
      </c>
      <c r="C95" s="164" t="str">
        <f>IF($C$3="ÖMER KARTAL",IF(_ARA_ORTAK_EKSTRE!O86="","",_ARA_ORTAK_EKSTRE!O86),IF(_ARA_ORTAK_EKSTRE!AB86="","",_ARA_ORTAK_EKSTRE!AB86))</f>
        <v/>
      </c>
      <c r="D95" s="164" t="str">
        <f>IF($C$3="ÖMER KARTAL",IF(_ARA_ORTAK_EKSTRE!P86="","",_ARA_ORTAK_EKSTRE!P86),IF(_ARA_ORTAK_EKSTRE!AC86="","",_ARA_ORTAK_EKSTRE!AC86))</f>
        <v/>
      </c>
      <c r="E95" s="164" t="str">
        <f>IF($C$3="ÖMER KARTAL",IF(_ARA_ORTAK_EKSTRE!Q86="","",_ARA_ORTAK_EKSTRE!Q86),IF(_ARA_ORTAK_EKSTRE!AD86="","",_ARA_ORTAK_EKSTRE!AD86))</f>
        <v/>
      </c>
      <c r="F95" s="164" t="str">
        <f>IF($C$3="ÖMER KARTAL",IF(_ARA_ORTAK_EKSTRE!R86="","",_ARA_ORTAK_EKSTRE!R86),IF(_ARA_ORTAK_EKSTRE!AE86="","",_ARA_ORTAK_EKSTRE!AE86))</f>
        <v/>
      </c>
      <c r="G95" s="159" t="str">
        <f>IF($C$3="ÖMER KARTAL",IF(_ARA_ORTAK_EKSTRE!S86="","",_ARA_ORTAK_EKSTRE!S86),IF(_ARA_ORTAK_EKSTRE!AF86="","",_ARA_ORTAK_EKSTRE!AF86))</f>
        <v/>
      </c>
      <c r="H95" s="168" t="str">
        <f>IF($C$3="ÖMER KARTAL",IF(_ARA_ORTAK_EKSTRE!T86="","",_ARA_ORTAK_EKSTRE!T86),IF(_ARA_ORTAK_EKSTRE!AG86="","",_ARA_ORTAK_EKSTRE!AG86))</f>
        <v/>
      </c>
      <c r="I95" s="168" t="str">
        <f>IF($C$3="ÖMER KARTAL",IF(_ARA_ORTAK_EKSTRE!U86="","",_ARA_ORTAK_EKSTRE!U86),IF(_ARA_ORTAK_EKSTRE!AH86="","",_ARA_ORTAK_EKSTRE!AH86))</f>
        <v/>
      </c>
      <c r="J95" s="168" t="str">
        <f>IF($C$3="ÖMER KARTAL",IF(_ARA_ORTAK_EKSTRE!V86="","",_ARA_ORTAK_EKSTRE!V86),IF(_ARA_ORTAK_EKSTRE!AI86="","",_ARA_ORTAK_EKSTRE!AI86))</f>
        <v/>
      </c>
      <c r="K95" s="168" t="str">
        <f>IF($C$3="ÖMER KARTAL",IF(_ARA_ORTAK_EKSTRE!W86="","",_ARA_ORTAK_EKSTRE!W86),IF(_ARA_ORTAK_EKSTRE!AJ86="","",_ARA_ORTAK_EKSTRE!AJ86))</f>
        <v/>
      </c>
      <c r="L95" s="168" t="str">
        <f>IF($C$3="ÖMER KARTAL",IF(_ARA_ORTAK_EKSTRE!X86="","",_ARA_ORTAK_EKSTRE!X86),IF(_ARA_ORTAK_EKSTRE!AK86="","",_ARA_ORTAK_EKSTRE!AK86))</f>
        <v/>
      </c>
      <c r="M95" s="156" t="str">
        <f>IF($C$3="ÖMER KARTAL",IF(_ARA_ORTAK_EKSTRE!Y86="","",_ARA_ORTAK_EKSTRE!Y86),IF(_ARA_ORTAK_EKSTRE!AL86="","",_ARA_ORTAK_EKSTRE!AL86))</f>
        <v/>
      </c>
    </row>
    <row r="96" spans="2:13" ht="29.25" customHeight="1">
      <c r="B96" s="163" t="str">
        <f>IF($C$3="ÖMER KARTAL",IF(_ARA_ORTAK_EKSTRE!N87="","",_ARA_ORTAK_EKSTRE!N87),IF(_ARA_ORTAK_EKSTRE!AA87="","",_ARA_ORTAK_EKSTRE!AA87))</f>
        <v/>
      </c>
      <c r="C96" s="164" t="str">
        <f>IF($C$3="ÖMER KARTAL",IF(_ARA_ORTAK_EKSTRE!O87="","",_ARA_ORTAK_EKSTRE!O87),IF(_ARA_ORTAK_EKSTRE!AB87="","",_ARA_ORTAK_EKSTRE!AB87))</f>
        <v/>
      </c>
      <c r="D96" s="164" t="str">
        <f>IF($C$3="ÖMER KARTAL",IF(_ARA_ORTAK_EKSTRE!P87="","",_ARA_ORTAK_EKSTRE!P87),IF(_ARA_ORTAK_EKSTRE!AC87="","",_ARA_ORTAK_EKSTRE!AC87))</f>
        <v/>
      </c>
      <c r="E96" s="164" t="str">
        <f>IF($C$3="ÖMER KARTAL",IF(_ARA_ORTAK_EKSTRE!Q87="","",_ARA_ORTAK_EKSTRE!Q87),IF(_ARA_ORTAK_EKSTRE!AD87="","",_ARA_ORTAK_EKSTRE!AD87))</f>
        <v/>
      </c>
      <c r="F96" s="164" t="str">
        <f>IF($C$3="ÖMER KARTAL",IF(_ARA_ORTAK_EKSTRE!R87="","",_ARA_ORTAK_EKSTRE!R87),IF(_ARA_ORTAK_EKSTRE!AE87="","",_ARA_ORTAK_EKSTRE!AE87))</f>
        <v/>
      </c>
      <c r="G96" s="159" t="str">
        <f>IF($C$3="ÖMER KARTAL",IF(_ARA_ORTAK_EKSTRE!S87="","",_ARA_ORTAK_EKSTRE!S87),IF(_ARA_ORTAK_EKSTRE!AF87="","",_ARA_ORTAK_EKSTRE!AF87))</f>
        <v/>
      </c>
      <c r="H96" s="168" t="str">
        <f>IF($C$3="ÖMER KARTAL",IF(_ARA_ORTAK_EKSTRE!T87="","",_ARA_ORTAK_EKSTRE!T87),IF(_ARA_ORTAK_EKSTRE!AG87="","",_ARA_ORTAK_EKSTRE!AG87))</f>
        <v/>
      </c>
      <c r="I96" s="168" t="str">
        <f>IF($C$3="ÖMER KARTAL",IF(_ARA_ORTAK_EKSTRE!U87="","",_ARA_ORTAK_EKSTRE!U87),IF(_ARA_ORTAK_EKSTRE!AH87="","",_ARA_ORTAK_EKSTRE!AH87))</f>
        <v/>
      </c>
      <c r="J96" s="168" t="str">
        <f>IF($C$3="ÖMER KARTAL",IF(_ARA_ORTAK_EKSTRE!V87="","",_ARA_ORTAK_EKSTRE!V87),IF(_ARA_ORTAK_EKSTRE!AI87="","",_ARA_ORTAK_EKSTRE!AI87))</f>
        <v/>
      </c>
      <c r="K96" s="168" t="str">
        <f>IF($C$3="ÖMER KARTAL",IF(_ARA_ORTAK_EKSTRE!W87="","",_ARA_ORTAK_EKSTRE!W87),IF(_ARA_ORTAK_EKSTRE!AJ87="","",_ARA_ORTAK_EKSTRE!AJ87))</f>
        <v/>
      </c>
      <c r="L96" s="168" t="str">
        <f>IF($C$3="ÖMER KARTAL",IF(_ARA_ORTAK_EKSTRE!X87="","",_ARA_ORTAK_EKSTRE!X87),IF(_ARA_ORTAK_EKSTRE!AK87="","",_ARA_ORTAK_EKSTRE!AK87))</f>
        <v/>
      </c>
      <c r="M96" s="156" t="str">
        <f>IF($C$3="ÖMER KARTAL",IF(_ARA_ORTAK_EKSTRE!Y87="","",_ARA_ORTAK_EKSTRE!Y87),IF(_ARA_ORTAK_EKSTRE!AL87="","",_ARA_ORTAK_EKSTRE!AL87))</f>
        <v/>
      </c>
    </row>
    <row r="97" spans="2:13" ht="29.25" customHeight="1">
      <c r="B97" s="163" t="str">
        <f>IF($C$3="ÖMER KARTAL",IF(_ARA_ORTAK_EKSTRE!N88="","",_ARA_ORTAK_EKSTRE!N88),IF(_ARA_ORTAK_EKSTRE!AA88="","",_ARA_ORTAK_EKSTRE!AA88))</f>
        <v/>
      </c>
      <c r="C97" s="164" t="str">
        <f>IF($C$3="ÖMER KARTAL",IF(_ARA_ORTAK_EKSTRE!O88="","",_ARA_ORTAK_EKSTRE!O88),IF(_ARA_ORTAK_EKSTRE!AB88="","",_ARA_ORTAK_EKSTRE!AB88))</f>
        <v/>
      </c>
      <c r="D97" s="164" t="str">
        <f>IF($C$3="ÖMER KARTAL",IF(_ARA_ORTAK_EKSTRE!P88="","",_ARA_ORTAK_EKSTRE!P88),IF(_ARA_ORTAK_EKSTRE!AC88="","",_ARA_ORTAK_EKSTRE!AC88))</f>
        <v/>
      </c>
      <c r="E97" s="164" t="str">
        <f>IF($C$3="ÖMER KARTAL",IF(_ARA_ORTAK_EKSTRE!Q88="","",_ARA_ORTAK_EKSTRE!Q88),IF(_ARA_ORTAK_EKSTRE!AD88="","",_ARA_ORTAK_EKSTRE!AD88))</f>
        <v/>
      </c>
      <c r="F97" s="164" t="str">
        <f>IF($C$3="ÖMER KARTAL",IF(_ARA_ORTAK_EKSTRE!R88="","",_ARA_ORTAK_EKSTRE!R88),IF(_ARA_ORTAK_EKSTRE!AE88="","",_ARA_ORTAK_EKSTRE!AE88))</f>
        <v/>
      </c>
      <c r="G97" s="159" t="str">
        <f>IF($C$3="ÖMER KARTAL",IF(_ARA_ORTAK_EKSTRE!S88="","",_ARA_ORTAK_EKSTRE!S88),IF(_ARA_ORTAK_EKSTRE!AF88="","",_ARA_ORTAK_EKSTRE!AF88))</f>
        <v/>
      </c>
      <c r="H97" s="168" t="str">
        <f>IF($C$3="ÖMER KARTAL",IF(_ARA_ORTAK_EKSTRE!T88="","",_ARA_ORTAK_EKSTRE!T88),IF(_ARA_ORTAK_EKSTRE!AG88="","",_ARA_ORTAK_EKSTRE!AG88))</f>
        <v/>
      </c>
      <c r="I97" s="168" t="str">
        <f>IF($C$3="ÖMER KARTAL",IF(_ARA_ORTAK_EKSTRE!U88="","",_ARA_ORTAK_EKSTRE!U88),IF(_ARA_ORTAK_EKSTRE!AH88="","",_ARA_ORTAK_EKSTRE!AH88))</f>
        <v/>
      </c>
      <c r="J97" s="168" t="str">
        <f>IF($C$3="ÖMER KARTAL",IF(_ARA_ORTAK_EKSTRE!V88="","",_ARA_ORTAK_EKSTRE!V88),IF(_ARA_ORTAK_EKSTRE!AI88="","",_ARA_ORTAK_EKSTRE!AI88))</f>
        <v/>
      </c>
      <c r="K97" s="168" t="str">
        <f>IF($C$3="ÖMER KARTAL",IF(_ARA_ORTAK_EKSTRE!W88="","",_ARA_ORTAK_EKSTRE!W88),IF(_ARA_ORTAK_EKSTRE!AJ88="","",_ARA_ORTAK_EKSTRE!AJ88))</f>
        <v/>
      </c>
      <c r="L97" s="168" t="str">
        <f>IF($C$3="ÖMER KARTAL",IF(_ARA_ORTAK_EKSTRE!X88="","",_ARA_ORTAK_EKSTRE!X88),IF(_ARA_ORTAK_EKSTRE!AK88="","",_ARA_ORTAK_EKSTRE!AK88))</f>
        <v/>
      </c>
      <c r="M97" s="156" t="str">
        <f>IF($C$3="ÖMER KARTAL",IF(_ARA_ORTAK_EKSTRE!Y88="","",_ARA_ORTAK_EKSTRE!Y88),IF(_ARA_ORTAK_EKSTRE!AL88="","",_ARA_ORTAK_EKSTRE!AL88))</f>
        <v/>
      </c>
    </row>
    <row r="98" spans="2:13" ht="29.25" customHeight="1">
      <c r="B98" s="163" t="str">
        <f>IF($C$3="ÖMER KARTAL",IF(_ARA_ORTAK_EKSTRE!N89="","",_ARA_ORTAK_EKSTRE!N89),IF(_ARA_ORTAK_EKSTRE!AA89="","",_ARA_ORTAK_EKSTRE!AA89))</f>
        <v/>
      </c>
      <c r="C98" s="164" t="str">
        <f>IF($C$3="ÖMER KARTAL",IF(_ARA_ORTAK_EKSTRE!O89="","",_ARA_ORTAK_EKSTRE!O89),IF(_ARA_ORTAK_EKSTRE!AB89="","",_ARA_ORTAK_EKSTRE!AB89))</f>
        <v/>
      </c>
      <c r="D98" s="164" t="str">
        <f>IF($C$3="ÖMER KARTAL",IF(_ARA_ORTAK_EKSTRE!P89="","",_ARA_ORTAK_EKSTRE!P89),IF(_ARA_ORTAK_EKSTRE!AC89="","",_ARA_ORTAK_EKSTRE!AC89))</f>
        <v/>
      </c>
      <c r="E98" s="164" t="str">
        <f>IF($C$3="ÖMER KARTAL",IF(_ARA_ORTAK_EKSTRE!Q89="","",_ARA_ORTAK_EKSTRE!Q89),IF(_ARA_ORTAK_EKSTRE!AD89="","",_ARA_ORTAK_EKSTRE!AD89))</f>
        <v/>
      </c>
      <c r="F98" s="164" t="str">
        <f>IF($C$3="ÖMER KARTAL",IF(_ARA_ORTAK_EKSTRE!R89="","",_ARA_ORTAK_EKSTRE!R89),IF(_ARA_ORTAK_EKSTRE!AE89="","",_ARA_ORTAK_EKSTRE!AE89))</f>
        <v/>
      </c>
      <c r="G98" s="159" t="str">
        <f>IF($C$3="ÖMER KARTAL",IF(_ARA_ORTAK_EKSTRE!S89="","",_ARA_ORTAK_EKSTRE!S89),IF(_ARA_ORTAK_EKSTRE!AF89="","",_ARA_ORTAK_EKSTRE!AF89))</f>
        <v/>
      </c>
      <c r="H98" s="168" t="str">
        <f>IF($C$3="ÖMER KARTAL",IF(_ARA_ORTAK_EKSTRE!T89="","",_ARA_ORTAK_EKSTRE!T89),IF(_ARA_ORTAK_EKSTRE!AG89="","",_ARA_ORTAK_EKSTRE!AG89))</f>
        <v/>
      </c>
      <c r="I98" s="168" t="str">
        <f>IF($C$3="ÖMER KARTAL",IF(_ARA_ORTAK_EKSTRE!U89="","",_ARA_ORTAK_EKSTRE!U89),IF(_ARA_ORTAK_EKSTRE!AH89="","",_ARA_ORTAK_EKSTRE!AH89))</f>
        <v/>
      </c>
      <c r="J98" s="168" t="str">
        <f>IF($C$3="ÖMER KARTAL",IF(_ARA_ORTAK_EKSTRE!V89="","",_ARA_ORTAK_EKSTRE!V89),IF(_ARA_ORTAK_EKSTRE!AI89="","",_ARA_ORTAK_EKSTRE!AI89))</f>
        <v/>
      </c>
      <c r="K98" s="168" t="str">
        <f>IF($C$3="ÖMER KARTAL",IF(_ARA_ORTAK_EKSTRE!W89="","",_ARA_ORTAK_EKSTRE!W89),IF(_ARA_ORTAK_EKSTRE!AJ89="","",_ARA_ORTAK_EKSTRE!AJ89))</f>
        <v/>
      </c>
      <c r="L98" s="168" t="str">
        <f>IF($C$3="ÖMER KARTAL",IF(_ARA_ORTAK_EKSTRE!X89="","",_ARA_ORTAK_EKSTRE!X89),IF(_ARA_ORTAK_EKSTRE!AK89="","",_ARA_ORTAK_EKSTRE!AK89))</f>
        <v/>
      </c>
      <c r="M98" s="156" t="str">
        <f>IF($C$3="ÖMER KARTAL",IF(_ARA_ORTAK_EKSTRE!Y89="","",_ARA_ORTAK_EKSTRE!Y89),IF(_ARA_ORTAK_EKSTRE!AL89="","",_ARA_ORTAK_EKSTRE!AL89))</f>
        <v/>
      </c>
    </row>
    <row r="99" spans="2:13" ht="29.25" customHeight="1">
      <c r="B99" s="163" t="str">
        <f>IF($C$3="ÖMER KARTAL",IF(_ARA_ORTAK_EKSTRE!N90="","",_ARA_ORTAK_EKSTRE!N90),IF(_ARA_ORTAK_EKSTRE!AA90="","",_ARA_ORTAK_EKSTRE!AA90))</f>
        <v/>
      </c>
      <c r="C99" s="164" t="str">
        <f>IF($C$3="ÖMER KARTAL",IF(_ARA_ORTAK_EKSTRE!O90="","",_ARA_ORTAK_EKSTRE!O90),IF(_ARA_ORTAK_EKSTRE!AB90="","",_ARA_ORTAK_EKSTRE!AB90))</f>
        <v/>
      </c>
      <c r="D99" s="164" t="str">
        <f>IF($C$3="ÖMER KARTAL",IF(_ARA_ORTAK_EKSTRE!P90="","",_ARA_ORTAK_EKSTRE!P90),IF(_ARA_ORTAK_EKSTRE!AC90="","",_ARA_ORTAK_EKSTRE!AC90))</f>
        <v/>
      </c>
      <c r="E99" s="164" t="str">
        <f>IF($C$3="ÖMER KARTAL",IF(_ARA_ORTAK_EKSTRE!Q90="","",_ARA_ORTAK_EKSTRE!Q90),IF(_ARA_ORTAK_EKSTRE!AD90="","",_ARA_ORTAK_EKSTRE!AD90))</f>
        <v/>
      </c>
      <c r="F99" s="164" t="str">
        <f>IF($C$3="ÖMER KARTAL",IF(_ARA_ORTAK_EKSTRE!R90="","",_ARA_ORTAK_EKSTRE!R90),IF(_ARA_ORTAK_EKSTRE!AE90="","",_ARA_ORTAK_EKSTRE!AE90))</f>
        <v/>
      </c>
      <c r="G99" s="159" t="str">
        <f>IF($C$3="ÖMER KARTAL",IF(_ARA_ORTAK_EKSTRE!S90="","",_ARA_ORTAK_EKSTRE!S90),IF(_ARA_ORTAK_EKSTRE!AF90="","",_ARA_ORTAK_EKSTRE!AF90))</f>
        <v/>
      </c>
      <c r="H99" s="168" t="str">
        <f>IF($C$3="ÖMER KARTAL",IF(_ARA_ORTAK_EKSTRE!T90="","",_ARA_ORTAK_EKSTRE!T90),IF(_ARA_ORTAK_EKSTRE!AG90="","",_ARA_ORTAK_EKSTRE!AG90))</f>
        <v/>
      </c>
      <c r="I99" s="168" t="str">
        <f>IF($C$3="ÖMER KARTAL",IF(_ARA_ORTAK_EKSTRE!U90="","",_ARA_ORTAK_EKSTRE!U90),IF(_ARA_ORTAK_EKSTRE!AH90="","",_ARA_ORTAK_EKSTRE!AH90))</f>
        <v/>
      </c>
      <c r="J99" s="168" t="str">
        <f>IF($C$3="ÖMER KARTAL",IF(_ARA_ORTAK_EKSTRE!V90="","",_ARA_ORTAK_EKSTRE!V90),IF(_ARA_ORTAK_EKSTRE!AI90="","",_ARA_ORTAK_EKSTRE!AI90))</f>
        <v/>
      </c>
      <c r="K99" s="168" t="str">
        <f>IF($C$3="ÖMER KARTAL",IF(_ARA_ORTAK_EKSTRE!W90="","",_ARA_ORTAK_EKSTRE!W90),IF(_ARA_ORTAK_EKSTRE!AJ90="","",_ARA_ORTAK_EKSTRE!AJ90))</f>
        <v/>
      </c>
      <c r="L99" s="168" t="str">
        <f>IF($C$3="ÖMER KARTAL",IF(_ARA_ORTAK_EKSTRE!X90="","",_ARA_ORTAK_EKSTRE!X90),IF(_ARA_ORTAK_EKSTRE!AK90="","",_ARA_ORTAK_EKSTRE!AK90))</f>
        <v/>
      </c>
      <c r="M99" s="156" t="str">
        <f>IF($C$3="ÖMER KARTAL",IF(_ARA_ORTAK_EKSTRE!Y90="","",_ARA_ORTAK_EKSTRE!Y90),IF(_ARA_ORTAK_EKSTRE!AL90="","",_ARA_ORTAK_EKSTRE!AL90))</f>
        <v/>
      </c>
    </row>
    <row r="100" spans="2:13" ht="29.25" customHeight="1">
      <c r="B100" s="163" t="str">
        <f>IF($C$3="ÖMER KARTAL",IF(_ARA_ORTAK_EKSTRE!N91="","",_ARA_ORTAK_EKSTRE!N91),IF(_ARA_ORTAK_EKSTRE!AA91="","",_ARA_ORTAK_EKSTRE!AA91))</f>
        <v/>
      </c>
      <c r="C100" s="164" t="str">
        <f>IF($C$3="ÖMER KARTAL",IF(_ARA_ORTAK_EKSTRE!O91="","",_ARA_ORTAK_EKSTRE!O91),IF(_ARA_ORTAK_EKSTRE!AB91="","",_ARA_ORTAK_EKSTRE!AB91))</f>
        <v/>
      </c>
      <c r="D100" s="164" t="str">
        <f>IF($C$3="ÖMER KARTAL",IF(_ARA_ORTAK_EKSTRE!P91="","",_ARA_ORTAK_EKSTRE!P91),IF(_ARA_ORTAK_EKSTRE!AC91="","",_ARA_ORTAK_EKSTRE!AC91))</f>
        <v/>
      </c>
      <c r="E100" s="164" t="str">
        <f>IF($C$3="ÖMER KARTAL",IF(_ARA_ORTAK_EKSTRE!Q91="","",_ARA_ORTAK_EKSTRE!Q91),IF(_ARA_ORTAK_EKSTRE!AD91="","",_ARA_ORTAK_EKSTRE!AD91))</f>
        <v/>
      </c>
      <c r="F100" s="164" t="str">
        <f>IF($C$3="ÖMER KARTAL",IF(_ARA_ORTAK_EKSTRE!R91="","",_ARA_ORTAK_EKSTRE!R91),IF(_ARA_ORTAK_EKSTRE!AE91="","",_ARA_ORTAK_EKSTRE!AE91))</f>
        <v/>
      </c>
      <c r="G100" s="159" t="str">
        <f>IF($C$3="ÖMER KARTAL",IF(_ARA_ORTAK_EKSTRE!S91="","",_ARA_ORTAK_EKSTRE!S91),IF(_ARA_ORTAK_EKSTRE!AF91="","",_ARA_ORTAK_EKSTRE!AF91))</f>
        <v/>
      </c>
      <c r="H100" s="168" t="str">
        <f>IF($C$3="ÖMER KARTAL",IF(_ARA_ORTAK_EKSTRE!T91="","",_ARA_ORTAK_EKSTRE!T91),IF(_ARA_ORTAK_EKSTRE!AG91="","",_ARA_ORTAK_EKSTRE!AG91))</f>
        <v/>
      </c>
      <c r="I100" s="168" t="str">
        <f>IF($C$3="ÖMER KARTAL",IF(_ARA_ORTAK_EKSTRE!U91="","",_ARA_ORTAK_EKSTRE!U91),IF(_ARA_ORTAK_EKSTRE!AH91="","",_ARA_ORTAK_EKSTRE!AH91))</f>
        <v/>
      </c>
      <c r="J100" s="168" t="str">
        <f>IF($C$3="ÖMER KARTAL",IF(_ARA_ORTAK_EKSTRE!V91="","",_ARA_ORTAK_EKSTRE!V91),IF(_ARA_ORTAK_EKSTRE!AI91="","",_ARA_ORTAK_EKSTRE!AI91))</f>
        <v/>
      </c>
      <c r="K100" s="168" t="str">
        <f>IF($C$3="ÖMER KARTAL",IF(_ARA_ORTAK_EKSTRE!W91="","",_ARA_ORTAK_EKSTRE!W91),IF(_ARA_ORTAK_EKSTRE!AJ91="","",_ARA_ORTAK_EKSTRE!AJ91))</f>
        <v/>
      </c>
      <c r="L100" s="168" t="str">
        <f>IF($C$3="ÖMER KARTAL",IF(_ARA_ORTAK_EKSTRE!X91="","",_ARA_ORTAK_EKSTRE!X91),IF(_ARA_ORTAK_EKSTRE!AK91="","",_ARA_ORTAK_EKSTRE!AK91))</f>
        <v/>
      </c>
      <c r="M100" s="156" t="str">
        <f>IF($C$3="ÖMER KARTAL",IF(_ARA_ORTAK_EKSTRE!Y91="","",_ARA_ORTAK_EKSTRE!Y91),IF(_ARA_ORTAK_EKSTRE!AL91="","",_ARA_ORTAK_EKSTRE!AL91))</f>
        <v/>
      </c>
    </row>
    <row r="101" spans="2:13" ht="29.25" customHeight="1">
      <c r="B101" s="163" t="str">
        <f>IF($C$3="ÖMER KARTAL",IF(_ARA_ORTAK_EKSTRE!N92="","",_ARA_ORTAK_EKSTRE!N92),IF(_ARA_ORTAK_EKSTRE!AA92="","",_ARA_ORTAK_EKSTRE!AA92))</f>
        <v/>
      </c>
      <c r="C101" s="164" t="str">
        <f>IF($C$3="ÖMER KARTAL",IF(_ARA_ORTAK_EKSTRE!O92="","",_ARA_ORTAK_EKSTRE!O92),IF(_ARA_ORTAK_EKSTRE!AB92="","",_ARA_ORTAK_EKSTRE!AB92))</f>
        <v/>
      </c>
      <c r="D101" s="164" t="str">
        <f>IF($C$3="ÖMER KARTAL",IF(_ARA_ORTAK_EKSTRE!P92="","",_ARA_ORTAK_EKSTRE!P92),IF(_ARA_ORTAK_EKSTRE!AC92="","",_ARA_ORTAK_EKSTRE!AC92))</f>
        <v/>
      </c>
      <c r="E101" s="164" t="str">
        <f>IF($C$3="ÖMER KARTAL",IF(_ARA_ORTAK_EKSTRE!Q92="","",_ARA_ORTAK_EKSTRE!Q92),IF(_ARA_ORTAK_EKSTRE!AD92="","",_ARA_ORTAK_EKSTRE!AD92))</f>
        <v/>
      </c>
      <c r="F101" s="164" t="str">
        <f>IF($C$3="ÖMER KARTAL",IF(_ARA_ORTAK_EKSTRE!R92="","",_ARA_ORTAK_EKSTRE!R92),IF(_ARA_ORTAK_EKSTRE!AE92="","",_ARA_ORTAK_EKSTRE!AE92))</f>
        <v/>
      </c>
      <c r="G101" s="159" t="str">
        <f>IF($C$3="ÖMER KARTAL",IF(_ARA_ORTAK_EKSTRE!S92="","",_ARA_ORTAK_EKSTRE!S92),IF(_ARA_ORTAK_EKSTRE!AF92="","",_ARA_ORTAK_EKSTRE!AF92))</f>
        <v/>
      </c>
      <c r="H101" s="168" t="str">
        <f>IF($C$3="ÖMER KARTAL",IF(_ARA_ORTAK_EKSTRE!T92="","",_ARA_ORTAK_EKSTRE!T92),IF(_ARA_ORTAK_EKSTRE!AG92="","",_ARA_ORTAK_EKSTRE!AG92))</f>
        <v/>
      </c>
      <c r="I101" s="168" t="str">
        <f>IF($C$3="ÖMER KARTAL",IF(_ARA_ORTAK_EKSTRE!U92="","",_ARA_ORTAK_EKSTRE!U92),IF(_ARA_ORTAK_EKSTRE!AH92="","",_ARA_ORTAK_EKSTRE!AH92))</f>
        <v/>
      </c>
      <c r="J101" s="168" t="str">
        <f>IF($C$3="ÖMER KARTAL",IF(_ARA_ORTAK_EKSTRE!V92="","",_ARA_ORTAK_EKSTRE!V92),IF(_ARA_ORTAK_EKSTRE!AI92="","",_ARA_ORTAK_EKSTRE!AI92))</f>
        <v/>
      </c>
      <c r="K101" s="168" t="str">
        <f>IF($C$3="ÖMER KARTAL",IF(_ARA_ORTAK_EKSTRE!W92="","",_ARA_ORTAK_EKSTRE!W92),IF(_ARA_ORTAK_EKSTRE!AJ92="","",_ARA_ORTAK_EKSTRE!AJ92))</f>
        <v/>
      </c>
      <c r="L101" s="168" t="str">
        <f>IF($C$3="ÖMER KARTAL",IF(_ARA_ORTAK_EKSTRE!X92="","",_ARA_ORTAK_EKSTRE!X92),IF(_ARA_ORTAK_EKSTRE!AK92="","",_ARA_ORTAK_EKSTRE!AK92))</f>
        <v/>
      </c>
      <c r="M101" s="156" t="str">
        <f>IF($C$3="ÖMER KARTAL",IF(_ARA_ORTAK_EKSTRE!Y92="","",_ARA_ORTAK_EKSTRE!Y92),IF(_ARA_ORTAK_EKSTRE!AL92="","",_ARA_ORTAK_EKSTRE!AL92))</f>
        <v/>
      </c>
    </row>
    <row r="102" spans="2:13" ht="29.25" customHeight="1">
      <c r="B102" s="163" t="str">
        <f>IF($C$3="ÖMER KARTAL",IF(_ARA_ORTAK_EKSTRE!N93="","",_ARA_ORTAK_EKSTRE!N93),IF(_ARA_ORTAK_EKSTRE!AA93="","",_ARA_ORTAK_EKSTRE!AA93))</f>
        <v/>
      </c>
      <c r="C102" s="164" t="str">
        <f>IF($C$3="ÖMER KARTAL",IF(_ARA_ORTAK_EKSTRE!O93="","",_ARA_ORTAK_EKSTRE!O93),IF(_ARA_ORTAK_EKSTRE!AB93="","",_ARA_ORTAK_EKSTRE!AB93))</f>
        <v/>
      </c>
      <c r="D102" s="164" t="str">
        <f>IF($C$3="ÖMER KARTAL",IF(_ARA_ORTAK_EKSTRE!P93="","",_ARA_ORTAK_EKSTRE!P93),IF(_ARA_ORTAK_EKSTRE!AC93="","",_ARA_ORTAK_EKSTRE!AC93))</f>
        <v/>
      </c>
      <c r="E102" s="164" t="str">
        <f>IF($C$3="ÖMER KARTAL",IF(_ARA_ORTAK_EKSTRE!Q93="","",_ARA_ORTAK_EKSTRE!Q93),IF(_ARA_ORTAK_EKSTRE!AD93="","",_ARA_ORTAK_EKSTRE!AD93))</f>
        <v/>
      </c>
      <c r="F102" s="164" t="str">
        <f>IF($C$3="ÖMER KARTAL",IF(_ARA_ORTAK_EKSTRE!R93="","",_ARA_ORTAK_EKSTRE!R93),IF(_ARA_ORTAK_EKSTRE!AE93="","",_ARA_ORTAK_EKSTRE!AE93))</f>
        <v/>
      </c>
      <c r="G102" s="159" t="str">
        <f>IF($C$3="ÖMER KARTAL",IF(_ARA_ORTAK_EKSTRE!S93="","",_ARA_ORTAK_EKSTRE!S93),IF(_ARA_ORTAK_EKSTRE!AF93="","",_ARA_ORTAK_EKSTRE!AF93))</f>
        <v/>
      </c>
      <c r="H102" s="168" t="str">
        <f>IF($C$3="ÖMER KARTAL",IF(_ARA_ORTAK_EKSTRE!T93="","",_ARA_ORTAK_EKSTRE!T93),IF(_ARA_ORTAK_EKSTRE!AG93="","",_ARA_ORTAK_EKSTRE!AG93))</f>
        <v/>
      </c>
      <c r="I102" s="168" t="str">
        <f>IF($C$3="ÖMER KARTAL",IF(_ARA_ORTAK_EKSTRE!U93="","",_ARA_ORTAK_EKSTRE!U93),IF(_ARA_ORTAK_EKSTRE!AH93="","",_ARA_ORTAK_EKSTRE!AH93))</f>
        <v/>
      </c>
      <c r="J102" s="168" t="str">
        <f>IF($C$3="ÖMER KARTAL",IF(_ARA_ORTAK_EKSTRE!V93="","",_ARA_ORTAK_EKSTRE!V93),IF(_ARA_ORTAK_EKSTRE!AI93="","",_ARA_ORTAK_EKSTRE!AI93))</f>
        <v/>
      </c>
      <c r="K102" s="168" t="str">
        <f>IF($C$3="ÖMER KARTAL",IF(_ARA_ORTAK_EKSTRE!W93="","",_ARA_ORTAK_EKSTRE!W93),IF(_ARA_ORTAK_EKSTRE!AJ93="","",_ARA_ORTAK_EKSTRE!AJ93))</f>
        <v/>
      </c>
      <c r="L102" s="168" t="str">
        <f>IF($C$3="ÖMER KARTAL",IF(_ARA_ORTAK_EKSTRE!X93="","",_ARA_ORTAK_EKSTRE!X93),IF(_ARA_ORTAK_EKSTRE!AK93="","",_ARA_ORTAK_EKSTRE!AK93))</f>
        <v/>
      </c>
      <c r="M102" s="156" t="str">
        <f>IF($C$3="ÖMER KARTAL",IF(_ARA_ORTAK_EKSTRE!Y93="","",_ARA_ORTAK_EKSTRE!Y93),IF(_ARA_ORTAK_EKSTRE!AL93="","",_ARA_ORTAK_EKSTRE!AL93))</f>
        <v/>
      </c>
    </row>
    <row r="103" spans="2:13" ht="29.25" customHeight="1">
      <c r="B103" s="163" t="str">
        <f>IF($C$3="ÖMER KARTAL",IF(_ARA_ORTAK_EKSTRE!N94="","",_ARA_ORTAK_EKSTRE!N94),IF(_ARA_ORTAK_EKSTRE!AA94="","",_ARA_ORTAK_EKSTRE!AA94))</f>
        <v/>
      </c>
      <c r="C103" s="164" t="str">
        <f>IF($C$3="ÖMER KARTAL",IF(_ARA_ORTAK_EKSTRE!O94="","",_ARA_ORTAK_EKSTRE!O94),IF(_ARA_ORTAK_EKSTRE!AB94="","",_ARA_ORTAK_EKSTRE!AB94))</f>
        <v/>
      </c>
      <c r="D103" s="164" t="str">
        <f>IF($C$3="ÖMER KARTAL",IF(_ARA_ORTAK_EKSTRE!P94="","",_ARA_ORTAK_EKSTRE!P94),IF(_ARA_ORTAK_EKSTRE!AC94="","",_ARA_ORTAK_EKSTRE!AC94))</f>
        <v/>
      </c>
      <c r="E103" s="164" t="str">
        <f>IF($C$3="ÖMER KARTAL",IF(_ARA_ORTAK_EKSTRE!Q94="","",_ARA_ORTAK_EKSTRE!Q94),IF(_ARA_ORTAK_EKSTRE!AD94="","",_ARA_ORTAK_EKSTRE!AD94))</f>
        <v/>
      </c>
      <c r="F103" s="164" t="str">
        <f>IF($C$3="ÖMER KARTAL",IF(_ARA_ORTAK_EKSTRE!R94="","",_ARA_ORTAK_EKSTRE!R94),IF(_ARA_ORTAK_EKSTRE!AE94="","",_ARA_ORTAK_EKSTRE!AE94))</f>
        <v/>
      </c>
      <c r="G103" s="159" t="str">
        <f>IF($C$3="ÖMER KARTAL",IF(_ARA_ORTAK_EKSTRE!S94="","",_ARA_ORTAK_EKSTRE!S94),IF(_ARA_ORTAK_EKSTRE!AF94="","",_ARA_ORTAK_EKSTRE!AF94))</f>
        <v/>
      </c>
      <c r="H103" s="168" t="str">
        <f>IF($C$3="ÖMER KARTAL",IF(_ARA_ORTAK_EKSTRE!T94="","",_ARA_ORTAK_EKSTRE!T94),IF(_ARA_ORTAK_EKSTRE!AG94="","",_ARA_ORTAK_EKSTRE!AG94))</f>
        <v/>
      </c>
      <c r="I103" s="168" t="str">
        <f>IF($C$3="ÖMER KARTAL",IF(_ARA_ORTAK_EKSTRE!U94="","",_ARA_ORTAK_EKSTRE!U94),IF(_ARA_ORTAK_EKSTRE!AH94="","",_ARA_ORTAK_EKSTRE!AH94))</f>
        <v/>
      </c>
      <c r="J103" s="168" t="str">
        <f>IF($C$3="ÖMER KARTAL",IF(_ARA_ORTAK_EKSTRE!V94="","",_ARA_ORTAK_EKSTRE!V94),IF(_ARA_ORTAK_EKSTRE!AI94="","",_ARA_ORTAK_EKSTRE!AI94))</f>
        <v/>
      </c>
      <c r="K103" s="168" t="str">
        <f>IF($C$3="ÖMER KARTAL",IF(_ARA_ORTAK_EKSTRE!W94="","",_ARA_ORTAK_EKSTRE!W94),IF(_ARA_ORTAK_EKSTRE!AJ94="","",_ARA_ORTAK_EKSTRE!AJ94))</f>
        <v/>
      </c>
      <c r="L103" s="168" t="str">
        <f>IF($C$3="ÖMER KARTAL",IF(_ARA_ORTAK_EKSTRE!X94="","",_ARA_ORTAK_EKSTRE!X94),IF(_ARA_ORTAK_EKSTRE!AK94="","",_ARA_ORTAK_EKSTRE!AK94))</f>
        <v/>
      </c>
      <c r="M103" s="156" t="str">
        <f>IF($C$3="ÖMER KARTAL",IF(_ARA_ORTAK_EKSTRE!Y94="","",_ARA_ORTAK_EKSTRE!Y94),IF(_ARA_ORTAK_EKSTRE!AL94="","",_ARA_ORTAK_EKSTRE!AL94))</f>
        <v/>
      </c>
    </row>
    <row r="104" spans="2:13" ht="29.25" customHeight="1">
      <c r="B104" s="163" t="str">
        <f>IF($C$3="ÖMER KARTAL",IF(_ARA_ORTAK_EKSTRE!N95="","",_ARA_ORTAK_EKSTRE!N95),IF(_ARA_ORTAK_EKSTRE!AA95="","",_ARA_ORTAK_EKSTRE!AA95))</f>
        <v/>
      </c>
      <c r="C104" s="164" t="str">
        <f>IF($C$3="ÖMER KARTAL",IF(_ARA_ORTAK_EKSTRE!O95="","",_ARA_ORTAK_EKSTRE!O95),IF(_ARA_ORTAK_EKSTRE!AB95="","",_ARA_ORTAK_EKSTRE!AB95))</f>
        <v/>
      </c>
      <c r="D104" s="164" t="str">
        <f>IF($C$3="ÖMER KARTAL",IF(_ARA_ORTAK_EKSTRE!P95="","",_ARA_ORTAK_EKSTRE!P95),IF(_ARA_ORTAK_EKSTRE!AC95="","",_ARA_ORTAK_EKSTRE!AC95))</f>
        <v/>
      </c>
      <c r="E104" s="164" t="str">
        <f>IF($C$3="ÖMER KARTAL",IF(_ARA_ORTAK_EKSTRE!Q95="","",_ARA_ORTAK_EKSTRE!Q95),IF(_ARA_ORTAK_EKSTRE!AD95="","",_ARA_ORTAK_EKSTRE!AD95))</f>
        <v/>
      </c>
      <c r="F104" s="164" t="str">
        <f>IF($C$3="ÖMER KARTAL",IF(_ARA_ORTAK_EKSTRE!R95="","",_ARA_ORTAK_EKSTRE!R95),IF(_ARA_ORTAK_EKSTRE!AE95="","",_ARA_ORTAK_EKSTRE!AE95))</f>
        <v/>
      </c>
      <c r="G104" s="159" t="str">
        <f>IF($C$3="ÖMER KARTAL",IF(_ARA_ORTAK_EKSTRE!S95="","",_ARA_ORTAK_EKSTRE!S95),IF(_ARA_ORTAK_EKSTRE!AF95="","",_ARA_ORTAK_EKSTRE!AF95))</f>
        <v/>
      </c>
      <c r="H104" s="168" t="str">
        <f>IF($C$3="ÖMER KARTAL",IF(_ARA_ORTAK_EKSTRE!T95="","",_ARA_ORTAK_EKSTRE!T95),IF(_ARA_ORTAK_EKSTRE!AG95="","",_ARA_ORTAK_EKSTRE!AG95))</f>
        <v/>
      </c>
      <c r="I104" s="168" t="str">
        <f>IF($C$3="ÖMER KARTAL",IF(_ARA_ORTAK_EKSTRE!U95="","",_ARA_ORTAK_EKSTRE!U95),IF(_ARA_ORTAK_EKSTRE!AH95="","",_ARA_ORTAK_EKSTRE!AH95))</f>
        <v/>
      </c>
      <c r="J104" s="168" t="str">
        <f>IF($C$3="ÖMER KARTAL",IF(_ARA_ORTAK_EKSTRE!V95="","",_ARA_ORTAK_EKSTRE!V95),IF(_ARA_ORTAK_EKSTRE!AI95="","",_ARA_ORTAK_EKSTRE!AI95))</f>
        <v/>
      </c>
      <c r="K104" s="168" t="str">
        <f>IF($C$3="ÖMER KARTAL",IF(_ARA_ORTAK_EKSTRE!W95="","",_ARA_ORTAK_EKSTRE!W95),IF(_ARA_ORTAK_EKSTRE!AJ95="","",_ARA_ORTAK_EKSTRE!AJ95))</f>
        <v/>
      </c>
      <c r="L104" s="168" t="str">
        <f>IF($C$3="ÖMER KARTAL",IF(_ARA_ORTAK_EKSTRE!X95="","",_ARA_ORTAK_EKSTRE!X95),IF(_ARA_ORTAK_EKSTRE!AK95="","",_ARA_ORTAK_EKSTRE!AK95))</f>
        <v/>
      </c>
      <c r="M104" s="156" t="str">
        <f>IF($C$3="ÖMER KARTAL",IF(_ARA_ORTAK_EKSTRE!Y95="","",_ARA_ORTAK_EKSTRE!Y95),IF(_ARA_ORTAK_EKSTRE!AL95="","",_ARA_ORTAK_EKSTRE!AL95))</f>
        <v/>
      </c>
    </row>
    <row r="105" spans="2:13" ht="29.25" customHeight="1">
      <c r="B105" s="163" t="str">
        <f>IF($C$3="ÖMER KARTAL",IF(_ARA_ORTAK_EKSTRE!N96="","",_ARA_ORTAK_EKSTRE!N96),IF(_ARA_ORTAK_EKSTRE!AA96="","",_ARA_ORTAK_EKSTRE!AA96))</f>
        <v/>
      </c>
      <c r="C105" s="164" t="str">
        <f>IF($C$3="ÖMER KARTAL",IF(_ARA_ORTAK_EKSTRE!O96="","",_ARA_ORTAK_EKSTRE!O96),IF(_ARA_ORTAK_EKSTRE!AB96="","",_ARA_ORTAK_EKSTRE!AB96))</f>
        <v/>
      </c>
      <c r="D105" s="164" t="str">
        <f>IF($C$3="ÖMER KARTAL",IF(_ARA_ORTAK_EKSTRE!P96="","",_ARA_ORTAK_EKSTRE!P96),IF(_ARA_ORTAK_EKSTRE!AC96="","",_ARA_ORTAK_EKSTRE!AC96))</f>
        <v/>
      </c>
      <c r="E105" s="164" t="str">
        <f>IF($C$3="ÖMER KARTAL",IF(_ARA_ORTAK_EKSTRE!Q96="","",_ARA_ORTAK_EKSTRE!Q96),IF(_ARA_ORTAK_EKSTRE!AD96="","",_ARA_ORTAK_EKSTRE!AD96))</f>
        <v/>
      </c>
      <c r="F105" s="164" t="str">
        <f>IF($C$3="ÖMER KARTAL",IF(_ARA_ORTAK_EKSTRE!R96="","",_ARA_ORTAK_EKSTRE!R96),IF(_ARA_ORTAK_EKSTRE!AE96="","",_ARA_ORTAK_EKSTRE!AE96))</f>
        <v/>
      </c>
      <c r="G105" s="159" t="str">
        <f>IF($C$3="ÖMER KARTAL",IF(_ARA_ORTAK_EKSTRE!S96="","",_ARA_ORTAK_EKSTRE!S96),IF(_ARA_ORTAK_EKSTRE!AF96="","",_ARA_ORTAK_EKSTRE!AF96))</f>
        <v/>
      </c>
      <c r="H105" s="168" t="str">
        <f>IF($C$3="ÖMER KARTAL",IF(_ARA_ORTAK_EKSTRE!T96="","",_ARA_ORTAK_EKSTRE!T96),IF(_ARA_ORTAK_EKSTRE!AG96="","",_ARA_ORTAK_EKSTRE!AG96))</f>
        <v/>
      </c>
      <c r="I105" s="168" t="str">
        <f>IF($C$3="ÖMER KARTAL",IF(_ARA_ORTAK_EKSTRE!U96="","",_ARA_ORTAK_EKSTRE!U96),IF(_ARA_ORTAK_EKSTRE!AH96="","",_ARA_ORTAK_EKSTRE!AH96))</f>
        <v/>
      </c>
      <c r="J105" s="168" t="str">
        <f>IF($C$3="ÖMER KARTAL",IF(_ARA_ORTAK_EKSTRE!V96="","",_ARA_ORTAK_EKSTRE!V96),IF(_ARA_ORTAK_EKSTRE!AI96="","",_ARA_ORTAK_EKSTRE!AI96))</f>
        <v/>
      </c>
      <c r="K105" s="168" t="str">
        <f>IF($C$3="ÖMER KARTAL",IF(_ARA_ORTAK_EKSTRE!W96="","",_ARA_ORTAK_EKSTRE!W96),IF(_ARA_ORTAK_EKSTRE!AJ96="","",_ARA_ORTAK_EKSTRE!AJ96))</f>
        <v/>
      </c>
      <c r="L105" s="168" t="str">
        <f>IF($C$3="ÖMER KARTAL",IF(_ARA_ORTAK_EKSTRE!X96="","",_ARA_ORTAK_EKSTRE!X96),IF(_ARA_ORTAK_EKSTRE!AK96="","",_ARA_ORTAK_EKSTRE!AK96))</f>
        <v/>
      </c>
      <c r="M105" s="156" t="str">
        <f>IF($C$3="ÖMER KARTAL",IF(_ARA_ORTAK_EKSTRE!Y96="","",_ARA_ORTAK_EKSTRE!Y96),IF(_ARA_ORTAK_EKSTRE!AL96="","",_ARA_ORTAK_EKSTRE!AL96))</f>
        <v/>
      </c>
    </row>
    <row r="106" spans="2:13" ht="29.25" customHeight="1">
      <c r="B106" s="163" t="str">
        <f>IF($C$3="ÖMER KARTAL",IF(_ARA_ORTAK_EKSTRE!N97="","",_ARA_ORTAK_EKSTRE!N97),IF(_ARA_ORTAK_EKSTRE!AA97="","",_ARA_ORTAK_EKSTRE!AA97))</f>
        <v/>
      </c>
      <c r="C106" s="164" t="str">
        <f>IF($C$3="ÖMER KARTAL",IF(_ARA_ORTAK_EKSTRE!O97="","",_ARA_ORTAK_EKSTRE!O97),IF(_ARA_ORTAK_EKSTRE!AB97="","",_ARA_ORTAK_EKSTRE!AB97))</f>
        <v/>
      </c>
      <c r="D106" s="164" t="str">
        <f>IF($C$3="ÖMER KARTAL",IF(_ARA_ORTAK_EKSTRE!P97="","",_ARA_ORTAK_EKSTRE!P97),IF(_ARA_ORTAK_EKSTRE!AC97="","",_ARA_ORTAK_EKSTRE!AC97))</f>
        <v/>
      </c>
      <c r="E106" s="164" t="str">
        <f>IF($C$3="ÖMER KARTAL",IF(_ARA_ORTAK_EKSTRE!Q97="","",_ARA_ORTAK_EKSTRE!Q97),IF(_ARA_ORTAK_EKSTRE!AD97="","",_ARA_ORTAK_EKSTRE!AD97))</f>
        <v/>
      </c>
      <c r="F106" s="164" t="str">
        <f>IF($C$3="ÖMER KARTAL",IF(_ARA_ORTAK_EKSTRE!R97="","",_ARA_ORTAK_EKSTRE!R97),IF(_ARA_ORTAK_EKSTRE!AE97="","",_ARA_ORTAK_EKSTRE!AE97))</f>
        <v/>
      </c>
      <c r="G106" s="159" t="str">
        <f>IF($C$3="ÖMER KARTAL",IF(_ARA_ORTAK_EKSTRE!S97="","",_ARA_ORTAK_EKSTRE!S97),IF(_ARA_ORTAK_EKSTRE!AF97="","",_ARA_ORTAK_EKSTRE!AF97))</f>
        <v/>
      </c>
      <c r="H106" s="168" t="str">
        <f>IF($C$3="ÖMER KARTAL",IF(_ARA_ORTAK_EKSTRE!T97="","",_ARA_ORTAK_EKSTRE!T97),IF(_ARA_ORTAK_EKSTRE!AG97="","",_ARA_ORTAK_EKSTRE!AG97))</f>
        <v/>
      </c>
      <c r="I106" s="168" t="str">
        <f>IF($C$3="ÖMER KARTAL",IF(_ARA_ORTAK_EKSTRE!U97="","",_ARA_ORTAK_EKSTRE!U97),IF(_ARA_ORTAK_EKSTRE!AH97="","",_ARA_ORTAK_EKSTRE!AH97))</f>
        <v/>
      </c>
      <c r="J106" s="168" t="str">
        <f>IF($C$3="ÖMER KARTAL",IF(_ARA_ORTAK_EKSTRE!V97="","",_ARA_ORTAK_EKSTRE!V97),IF(_ARA_ORTAK_EKSTRE!AI97="","",_ARA_ORTAK_EKSTRE!AI97))</f>
        <v/>
      </c>
      <c r="K106" s="168" t="str">
        <f>IF($C$3="ÖMER KARTAL",IF(_ARA_ORTAK_EKSTRE!W97="","",_ARA_ORTAK_EKSTRE!W97),IF(_ARA_ORTAK_EKSTRE!AJ97="","",_ARA_ORTAK_EKSTRE!AJ97))</f>
        <v/>
      </c>
      <c r="L106" s="168" t="str">
        <f>IF($C$3="ÖMER KARTAL",IF(_ARA_ORTAK_EKSTRE!X97="","",_ARA_ORTAK_EKSTRE!X97),IF(_ARA_ORTAK_EKSTRE!AK97="","",_ARA_ORTAK_EKSTRE!AK97))</f>
        <v/>
      </c>
      <c r="M106" s="156" t="str">
        <f>IF($C$3="ÖMER KARTAL",IF(_ARA_ORTAK_EKSTRE!Y97="","",_ARA_ORTAK_EKSTRE!Y97),IF(_ARA_ORTAK_EKSTRE!AL97="","",_ARA_ORTAK_EKSTRE!AL97))</f>
        <v/>
      </c>
    </row>
    <row r="107" spans="2:13" ht="29.25" customHeight="1">
      <c r="B107" s="163" t="str">
        <f>IF($C$3="ÖMER KARTAL",IF(_ARA_ORTAK_EKSTRE!N98="","",_ARA_ORTAK_EKSTRE!N98),IF(_ARA_ORTAK_EKSTRE!AA98="","",_ARA_ORTAK_EKSTRE!AA98))</f>
        <v/>
      </c>
      <c r="C107" s="164" t="str">
        <f>IF($C$3="ÖMER KARTAL",IF(_ARA_ORTAK_EKSTRE!O98="","",_ARA_ORTAK_EKSTRE!O98),IF(_ARA_ORTAK_EKSTRE!AB98="","",_ARA_ORTAK_EKSTRE!AB98))</f>
        <v/>
      </c>
      <c r="D107" s="164" t="str">
        <f>IF($C$3="ÖMER KARTAL",IF(_ARA_ORTAK_EKSTRE!P98="","",_ARA_ORTAK_EKSTRE!P98),IF(_ARA_ORTAK_EKSTRE!AC98="","",_ARA_ORTAK_EKSTRE!AC98))</f>
        <v/>
      </c>
      <c r="E107" s="164" t="str">
        <f>IF($C$3="ÖMER KARTAL",IF(_ARA_ORTAK_EKSTRE!Q98="","",_ARA_ORTAK_EKSTRE!Q98),IF(_ARA_ORTAK_EKSTRE!AD98="","",_ARA_ORTAK_EKSTRE!AD98))</f>
        <v/>
      </c>
      <c r="F107" s="164" t="str">
        <f>IF($C$3="ÖMER KARTAL",IF(_ARA_ORTAK_EKSTRE!R98="","",_ARA_ORTAK_EKSTRE!R98),IF(_ARA_ORTAK_EKSTRE!AE98="","",_ARA_ORTAK_EKSTRE!AE98))</f>
        <v/>
      </c>
      <c r="G107" s="159" t="str">
        <f>IF($C$3="ÖMER KARTAL",IF(_ARA_ORTAK_EKSTRE!S98="","",_ARA_ORTAK_EKSTRE!S98),IF(_ARA_ORTAK_EKSTRE!AF98="","",_ARA_ORTAK_EKSTRE!AF98))</f>
        <v/>
      </c>
      <c r="H107" s="168" t="str">
        <f>IF($C$3="ÖMER KARTAL",IF(_ARA_ORTAK_EKSTRE!T98="","",_ARA_ORTAK_EKSTRE!T98),IF(_ARA_ORTAK_EKSTRE!AG98="","",_ARA_ORTAK_EKSTRE!AG98))</f>
        <v/>
      </c>
      <c r="I107" s="168" t="str">
        <f>IF($C$3="ÖMER KARTAL",IF(_ARA_ORTAK_EKSTRE!U98="","",_ARA_ORTAK_EKSTRE!U98),IF(_ARA_ORTAK_EKSTRE!AH98="","",_ARA_ORTAK_EKSTRE!AH98))</f>
        <v/>
      </c>
      <c r="J107" s="168" t="str">
        <f>IF($C$3="ÖMER KARTAL",IF(_ARA_ORTAK_EKSTRE!V98="","",_ARA_ORTAK_EKSTRE!V98),IF(_ARA_ORTAK_EKSTRE!AI98="","",_ARA_ORTAK_EKSTRE!AI98))</f>
        <v/>
      </c>
      <c r="K107" s="168" t="str">
        <f>IF($C$3="ÖMER KARTAL",IF(_ARA_ORTAK_EKSTRE!W98="","",_ARA_ORTAK_EKSTRE!W98),IF(_ARA_ORTAK_EKSTRE!AJ98="","",_ARA_ORTAK_EKSTRE!AJ98))</f>
        <v/>
      </c>
      <c r="L107" s="168" t="str">
        <f>IF($C$3="ÖMER KARTAL",IF(_ARA_ORTAK_EKSTRE!X98="","",_ARA_ORTAK_EKSTRE!X98),IF(_ARA_ORTAK_EKSTRE!AK98="","",_ARA_ORTAK_EKSTRE!AK98))</f>
        <v/>
      </c>
      <c r="M107" s="156" t="str">
        <f>IF($C$3="ÖMER KARTAL",IF(_ARA_ORTAK_EKSTRE!Y98="","",_ARA_ORTAK_EKSTRE!Y98),IF(_ARA_ORTAK_EKSTRE!AL98="","",_ARA_ORTAK_EKSTRE!AL98))</f>
        <v/>
      </c>
    </row>
    <row r="108" spans="2:13" ht="29.25" customHeight="1">
      <c r="B108" s="163" t="str">
        <f>IF($C$3="ÖMER KARTAL",IF(_ARA_ORTAK_EKSTRE!N99="","",_ARA_ORTAK_EKSTRE!N99),IF(_ARA_ORTAK_EKSTRE!AA99="","",_ARA_ORTAK_EKSTRE!AA99))</f>
        <v/>
      </c>
      <c r="C108" s="164" t="str">
        <f>IF($C$3="ÖMER KARTAL",IF(_ARA_ORTAK_EKSTRE!O99="","",_ARA_ORTAK_EKSTRE!O99),IF(_ARA_ORTAK_EKSTRE!AB99="","",_ARA_ORTAK_EKSTRE!AB99))</f>
        <v/>
      </c>
      <c r="D108" s="164" t="str">
        <f>IF($C$3="ÖMER KARTAL",IF(_ARA_ORTAK_EKSTRE!P99="","",_ARA_ORTAK_EKSTRE!P99),IF(_ARA_ORTAK_EKSTRE!AC99="","",_ARA_ORTAK_EKSTRE!AC99))</f>
        <v/>
      </c>
      <c r="E108" s="164" t="str">
        <f>IF($C$3="ÖMER KARTAL",IF(_ARA_ORTAK_EKSTRE!Q99="","",_ARA_ORTAK_EKSTRE!Q99),IF(_ARA_ORTAK_EKSTRE!AD99="","",_ARA_ORTAK_EKSTRE!AD99))</f>
        <v/>
      </c>
      <c r="F108" s="164" t="str">
        <f>IF($C$3="ÖMER KARTAL",IF(_ARA_ORTAK_EKSTRE!R99="","",_ARA_ORTAK_EKSTRE!R99),IF(_ARA_ORTAK_EKSTRE!AE99="","",_ARA_ORTAK_EKSTRE!AE99))</f>
        <v/>
      </c>
      <c r="G108" s="159" t="str">
        <f>IF($C$3="ÖMER KARTAL",IF(_ARA_ORTAK_EKSTRE!S99="","",_ARA_ORTAK_EKSTRE!S99),IF(_ARA_ORTAK_EKSTRE!AF99="","",_ARA_ORTAK_EKSTRE!AF99))</f>
        <v/>
      </c>
      <c r="H108" s="168" t="str">
        <f>IF($C$3="ÖMER KARTAL",IF(_ARA_ORTAK_EKSTRE!T99="","",_ARA_ORTAK_EKSTRE!T99),IF(_ARA_ORTAK_EKSTRE!AG99="","",_ARA_ORTAK_EKSTRE!AG99))</f>
        <v/>
      </c>
      <c r="I108" s="168" t="str">
        <f>IF($C$3="ÖMER KARTAL",IF(_ARA_ORTAK_EKSTRE!U99="","",_ARA_ORTAK_EKSTRE!U99),IF(_ARA_ORTAK_EKSTRE!AH99="","",_ARA_ORTAK_EKSTRE!AH99))</f>
        <v/>
      </c>
      <c r="J108" s="168" t="str">
        <f>IF($C$3="ÖMER KARTAL",IF(_ARA_ORTAK_EKSTRE!V99="","",_ARA_ORTAK_EKSTRE!V99),IF(_ARA_ORTAK_EKSTRE!AI99="","",_ARA_ORTAK_EKSTRE!AI99))</f>
        <v/>
      </c>
      <c r="K108" s="168" t="str">
        <f>IF($C$3="ÖMER KARTAL",IF(_ARA_ORTAK_EKSTRE!W99="","",_ARA_ORTAK_EKSTRE!W99),IF(_ARA_ORTAK_EKSTRE!AJ99="","",_ARA_ORTAK_EKSTRE!AJ99))</f>
        <v/>
      </c>
      <c r="L108" s="168" t="str">
        <f>IF($C$3="ÖMER KARTAL",IF(_ARA_ORTAK_EKSTRE!X99="","",_ARA_ORTAK_EKSTRE!X99),IF(_ARA_ORTAK_EKSTRE!AK99="","",_ARA_ORTAK_EKSTRE!AK99))</f>
        <v/>
      </c>
      <c r="M108" s="156" t="str">
        <f>IF($C$3="ÖMER KARTAL",IF(_ARA_ORTAK_EKSTRE!Y99="","",_ARA_ORTAK_EKSTRE!Y99),IF(_ARA_ORTAK_EKSTRE!AL99="","",_ARA_ORTAK_EKSTRE!AL99))</f>
        <v/>
      </c>
    </row>
    <row r="109" spans="2:13" ht="29.25" customHeight="1">
      <c r="B109" s="163" t="str">
        <f>IF($C$3="ÖMER KARTAL",IF(_ARA_ORTAK_EKSTRE!N100="","",_ARA_ORTAK_EKSTRE!N100),IF(_ARA_ORTAK_EKSTRE!AA100="","",_ARA_ORTAK_EKSTRE!AA100))</f>
        <v/>
      </c>
      <c r="C109" s="164" t="str">
        <f>IF($C$3="ÖMER KARTAL",IF(_ARA_ORTAK_EKSTRE!O100="","",_ARA_ORTAK_EKSTRE!O100),IF(_ARA_ORTAK_EKSTRE!AB100="","",_ARA_ORTAK_EKSTRE!AB100))</f>
        <v/>
      </c>
      <c r="D109" s="164" t="str">
        <f>IF($C$3="ÖMER KARTAL",IF(_ARA_ORTAK_EKSTRE!P100="","",_ARA_ORTAK_EKSTRE!P100),IF(_ARA_ORTAK_EKSTRE!AC100="","",_ARA_ORTAK_EKSTRE!AC100))</f>
        <v/>
      </c>
      <c r="E109" s="164" t="str">
        <f>IF($C$3="ÖMER KARTAL",IF(_ARA_ORTAK_EKSTRE!Q100="","",_ARA_ORTAK_EKSTRE!Q100),IF(_ARA_ORTAK_EKSTRE!AD100="","",_ARA_ORTAK_EKSTRE!AD100))</f>
        <v/>
      </c>
      <c r="F109" s="164" t="str">
        <f>IF($C$3="ÖMER KARTAL",IF(_ARA_ORTAK_EKSTRE!R100="","",_ARA_ORTAK_EKSTRE!R100),IF(_ARA_ORTAK_EKSTRE!AE100="","",_ARA_ORTAK_EKSTRE!AE100))</f>
        <v/>
      </c>
      <c r="G109" s="159" t="str">
        <f>IF($C$3="ÖMER KARTAL",IF(_ARA_ORTAK_EKSTRE!S100="","",_ARA_ORTAK_EKSTRE!S100),IF(_ARA_ORTAK_EKSTRE!AF100="","",_ARA_ORTAK_EKSTRE!AF100))</f>
        <v/>
      </c>
      <c r="H109" s="168" t="str">
        <f>IF($C$3="ÖMER KARTAL",IF(_ARA_ORTAK_EKSTRE!T100="","",_ARA_ORTAK_EKSTRE!T100),IF(_ARA_ORTAK_EKSTRE!AG100="","",_ARA_ORTAK_EKSTRE!AG100))</f>
        <v/>
      </c>
      <c r="I109" s="168" t="str">
        <f>IF($C$3="ÖMER KARTAL",IF(_ARA_ORTAK_EKSTRE!U100="","",_ARA_ORTAK_EKSTRE!U100),IF(_ARA_ORTAK_EKSTRE!AH100="","",_ARA_ORTAK_EKSTRE!AH100))</f>
        <v/>
      </c>
      <c r="J109" s="168" t="str">
        <f>IF($C$3="ÖMER KARTAL",IF(_ARA_ORTAK_EKSTRE!V100="","",_ARA_ORTAK_EKSTRE!V100),IF(_ARA_ORTAK_EKSTRE!AI100="","",_ARA_ORTAK_EKSTRE!AI100))</f>
        <v/>
      </c>
      <c r="K109" s="168" t="str">
        <f>IF($C$3="ÖMER KARTAL",IF(_ARA_ORTAK_EKSTRE!W100="","",_ARA_ORTAK_EKSTRE!W100),IF(_ARA_ORTAK_EKSTRE!AJ100="","",_ARA_ORTAK_EKSTRE!AJ100))</f>
        <v/>
      </c>
      <c r="L109" s="168" t="str">
        <f>IF($C$3="ÖMER KARTAL",IF(_ARA_ORTAK_EKSTRE!X100="","",_ARA_ORTAK_EKSTRE!X100),IF(_ARA_ORTAK_EKSTRE!AK100="","",_ARA_ORTAK_EKSTRE!AK100))</f>
        <v/>
      </c>
      <c r="M109" s="156" t="str">
        <f>IF($C$3="ÖMER KARTAL",IF(_ARA_ORTAK_EKSTRE!Y100="","",_ARA_ORTAK_EKSTRE!Y100),IF(_ARA_ORTAK_EKSTRE!AL100="","",_ARA_ORTAK_EKSTRE!AL100))</f>
        <v/>
      </c>
    </row>
    <row r="110" spans="2:13" ht="29.25" customHeight="1">
      <c r="B110" s="163" t="str">
        <f>IF($C$3="ÖMER KARTAL",IF(_ARA_ORTAK_EKSTRE!N101="","",_ARA_ORTAK_EKSTRE!N101),IF(_ARA_ORTAK_EKSTRE!AA101="","",_ARA_ORTAK_EKSTRE!AA101))</f>
        <v/>
      </c>
      <c r="C110" s="164" t="str">
        <f>IF($C$3="ÖMER KARTAL",IF(_ARA_ORTAK_EKSTRE!O101="","",_ARA_ORTAK_EKSTRE!O101),IF(_ARA_ORTAK_EKSTRE!AB101="","",_ARA_ORTAK_EKSTRE!AB101))</f>
        <v/>
      </c>
      <c r="D110" s="164" t="str">
        <f>IF($C$3="ÖMER KARTAL",IF(_ARA_ORTAK_EKSTRE!P101="","",_ARA_ORTAK_EKSTRE!P101),IF(_ARA_ORTAK_EKSTRE!AC101="","",_ARA_ORTAK_EKSTRE!AC101))</f>
        <v/>
      </c>
      <c r="E110" s="164" t="str">
        <f>IF($C$3="ÖMER KARTAL",IF(_ARA_ORTAK_EKSTRE!Q101="","",_ARA_ORTAK_EKSTRE!Q101),IF(_ARA_ORTAK_EKSTRE!AD101="","",_ARA_ORTAK_EKSTRE!AD101))</f>
        <v/>
      </c>
      <c r="F110" s="164" t="str">
        <f>IF($C$3="ÖMER KARTAL",IF(_ARA_ORTAK_EKSTRE!R101="","",_ARA_ORTAK_EKSTRE!R101),IF(_ARA_ORTAK_EKSTRE!AE101="","",_ARA_ORTAK_EKSTRE!AE101))</f>
        <v/>
      </c>
      <c r="G110" s="159" t="str">
        <f>IF($C$3="ÖMER KARTAL",IF(_ARA_ORTAK_EKSTRE!S101="","",_ARA_ORTAK_EKSTRE!S101),IF(_ARA_ORTAK_EKSTRE!AF101="","",_ARA_ORTAK_EKSTRE!AF101))</f>
        <v/>
      </c>
      <c r="H110" s="168" t="str">
        <f>IF($C$3="ÖMER KARTAL",IF(_ARA_ORTAK_EKSTRE!T101="","",_ARA_ORTAK_EKSTRE!T101),IF(_ARA_ORTAK_EKSTRE!AG101="","",_ARA_ORTAK_EKSTRE!AG101))</f>
        <v/>
      </c>
      <c r="I110" s="168" t="str">
        <f>IF($C$3="ÖMER KARTAL",IF(_ARA_ORTAK_EKSTRE!U101="","",_ARA_ORTAK_EKSTRE!U101),IF(_ARA_ORTAK_EKSTRE!AH101="","",_ARA_ORTAK_EKSTRE!AH101))</f>
        <v/>
      </c>
      <c r="J110" s="168" t="str">
        <f>IF($C$3="ÖMER KARTAL",IF(_ARA_ORTAK_EKSTRE!V101="","",_ARA_ORTAK_EKSTRE!V101),IF(_ARA_ORTAK_EKSTRE!AI101="","",_ARA_ORTAK_EKSTRE!AI101))</f>
        <v/>
      </c>
      <c r="K110" s="168" t="str">
        <f>IF($C$3="ÖMER KARTAL",IF(_ARA_ORTAK_EKSTRE!W101="","",_ARA_ORTAK_EKSTRE!W101),IF(_ARA_ORTAK_EKSTRE!AJ101="","",_ARA_ORTAK_EKSTRE!AJ101))</f>
        <v/>
      </c>
      <c r="L110" s="168" t="str">
        <f>IF($C$3="ÖMER KARTAL",IF(_ARA_ORTAK_EKSTRE!X101="","",_ARA_ORTAK_EKSTRE!X101),IF(_ARA_ORTAK_EKSTRE!AK101="","",_ARA_ORTAK_EKSTRE!AK101))</f>
        <v/>
      </c>
      <c r="M110" s="156" t="str">
        <f>IF($C$3="ÖMER KARTAL",IF(_ARA_ORTAK_EKSTRE!Y101="","",_ARA_ORTAK_EKSTRE!Y101),IF(_ARA_ORTAK_EKSTRE!AL101="","",_ARA_ORTAK_EKSTRE!AL101))</f>
        <v/>
      </c>
    </row>
    <row r="111" spans="2:13" ht="29.25" customHeight="1">
      <c r="B111" s="163" t="str">
        <f>IF($C$3="ÖMER KARTAL",IF(_ARA_ORTAK_EKSTRE!N102="","",_ARA_ORTAK_EKSTRE!N102),IF(_ARA_ORTAK_EKSTRE!AA102="","",_ARA_ORTAK_EKSTRE!AA102))</f>
        <v/>
      </c>
      <c r="C111" s="164" t="str">
        <f>IF($C$3="ÖMER KARTAL",IF(_ARA_ORTAK_EKSTRE!O102="","",_ARA_ORTAK_EKSTRE!O102),IF(_ARA_ORTAK_EKSTRE!AB102="","",_ARA_ORTAK_EKSTRE!AB102))</f>
        <v/>
      </c>
      <c r="D111" s="164" t="str">
        <f>IF($C$3="ÖMER KARTAL",IF(_ARA_ORTAK_EKSTRE!P102="","",_ARA_ORTAK_EKSTRE!P102),IF(_ARA_ORTAK_EKSTRE!AC102="","",_ARA_ORTAK_EKSTRE!AC102))</f>
        <v/>
      </c>
      <c r="E111" s="164" t="str">
        <f>IF($C$3="ÖMER KARTAL",IF(_ARA_ORTAK_EKSTRE!Q102="","",_ARA_ORTAK_EKSTRE!Q102),IF(_ARA_ORTAK_EKSTRE!AD102="","",_ARA_ORTAK_EKSTRE!AD102))</f>
        <v/>
      </c>
      <c r="F111" s="164" t="str">
        <f>IF($C$3="ÖMER KARTAL",IF(_ARA_ORTAK_EKSTRE!R102="","",_ARA_ORTAK_EKSTRE!R102),IF(_ARA_ORTAK_EKSTRE!AE102="","",_ARA_ORTAK_EKSTRE!AE102))</f>
        <v/>
      </c>
      <c r="G111" s="159" t="str">
        <f>IF($C$3="ÖMER KARTAL",IF(_ARA_ORTAK_EKSTRE!S102="","",_ARA_ORTAK_EKSTRE!S102),IF(_ARA_ORTAK_EKSTRE!AF102="","",_ARA_ORTAK_EKSTRE!AF102))</f>
        <v/>
      </c>
      <c r="H111" s="168" t="str">
        <f>IF($C$3="ÖMER KARTAL",IF(_ARA_ORTAK_EKSTRE!T102="","",_ARA_ORTAK_EKSTRE!T102),IF(_ARA_ORTAK_EKSTRE!AG102="","",_ARA_ORTAK_EKSTRE!AG102))</f>
        <v/>
      </c>
      <c r="I111" s="168" t="str">
        <f>IF($C$3="ÖMER KARTAL",IF(_ARA_ORTAK_EKSTRE!U102="","",_ARA_ORTAK_EKSTRE!U102),IF(_ARA_ORTAK_EKSTRE!AH102="","",_ARA_ORTAK_EKSTRE!AH102))</f>
        <v/>
      </c>
      <c r="J111" s="168" t="str">
        <f>IF($C$3="ÖMER KARTAL",IF(_ARA_ORTAK_EKSTRE!V102="","",_ARA_ORTAK_EKSTRE!V102),IF(_ARA_ORTAK_EKSTRE!AI102="","",_ARA_ORTAK_EKSTRE!AI102))</f>
        <v/>
      </c>
      <c r="K111" s="168" t="str">
        <f>IF($C$3="ÖMER KARTAL",IF(_ARA_ORTAK_EKSTRE!W102="","",_ARA_ORTAK_EKSTRE!W102),IF(_ARA_ORTAK_EKSTRE!AJ102="","",_ARA_ORTAK_EKSTRE!AJ102))</f>
        <v/>
      </c>
      <c r="L111" s="168" t="str">
        <f>IF($C$3="ÖMER KARTAL",IF(_ARA_ORTAK_EKSTRE!X102="","",_ARA_ORTAK_EKSTRE!X102),IF(_ARA_ORTAK_EKSTRE!AK102="","",_ARA_ORTAK_EKSTRE!AK102))</f>
        <v/>
      </c>
      <c r="M111" s="156" t="str">
        <f>IF($C$3="ÖMER KARTAL",IF(_ARA_ORTAK_EKSTRE!Y102="","",_ARA_ORTAK_EKSTRE!Y102),IF(_ARA_ORTAK_EKSTRE!AL102="","",_ARA_ORTAK_EKSTRE!AL102))</f>
        <v/>
      </c>
    </row>
    <row r="112" spans="2:13" ht="29.25" customHeight="1">
      <c r="B112" s="163" t="str">
        <f>IF($C$3="ÖMER KARTAL",IF(_ARA_ORTAK_EKSTRE!N103="","",_ARA_ORTAK_EKSTRE!N103),IF(_ARA_ORTAK_EKSTRE!AA103="","",_ARA_ORTAK_EKSTRE!AA103))</f>
        <v/>
      </c>
      <c r="C112" s="164" t="str">
        <f>IF($C$3="ÖMER KARTAL",IF(_ARA_ORTAK_EKSTRE!O103="","",_ARA_ORTAK_EKSTRE!O103),IF(_ARA_ORTAK_EKSTRE!AB103="","",_ARA_ORTAK_EKSTRE!AB103))</f>
        <v/>
      </c>
      <c r="D112" s="164" t="str">
        <f>IF($C$3="ÖMER KARTAL",IF(_ARA_ORTAK_EKSTRE!P103="","",_ARA_ORTAK_EKSTRE!P103),IF(_ARA_ORTAK_EKSTRE!AC103="","",_ARA_ORTAK_EKSTRE!AC103))</f>
        <v/>
      </c>
      <c r="E112" s="164" t="str">
        <f>IF($C$3="ÖMER KARTAL",IF(_ARA_ORTAK_EKSTRE!Q103="","",_ARA_ORTAK_EKSTRE!Q103),IF(_ARA_ORTAK_EKSTRE!AD103="","",_ARA_ORTAK_EKSTRE!AD103))</f>
        <v/>
      </c>
      <c r="F112" s="164" t="str">
        <f>IF($C$3="ÖMER KARTAL",IF(_ARA_ORTAK_EKSTRE!R103="","",_ARA_ORTAK_EKSTRE!R103),IF(_ARA_ORTAK_EKSTRE!AE103="","",_ARA_ORTAK_EKSTRE!AE103))</f>
        <v/>
      </c>
      <c r="G112" s="159" t="str">
        <f>IF($C$3="ÖMER KARTAL",IF(_ARA_ORTAK_EKSTRE!S103="","",_ARA_ORTAK_EKSTRE!S103),IF(_ARA_ORTAK_EKSTRE!AF103="","",_ARA_ORTAK_EKSTRE!AF103))</f>
        <v/>
      </c>
      <c r="H112" s="168" t="str">
        <f>IF($C$3="ÖMER KARTAL",IF(_ARA_ORTAK_EKSTRE!T103="","",_ARA_ORTAK_EKSTRE!T103),IF(_ARA_ORTAK_EKSTRE!AG103="","",_ARA_ORTAK_EKSTRE!AG103))</f>
        <v/>
      </c>
      <c r="I112" s="168" t="str">
        <f>IF($C$3="ÖMER KARTAL",IF(_ARA_ORTAK_EKSTRE!U103="","",_ARA_ORTAK_EKSTRE!U103),IF(_ARA_ORTAK_EKSTRE!AH103="","",_ARA_ORTAK_EKSTRE!AH103))</f>
        <v/>
      </c>
      <c r="J112" s="168" t="str">
        <f>IF($C$3="ÖMER KARTAL",IF(_ARA_ORTAK_EKSTRE!V103="","",_ARA_ORTAK_EKSTRE!V103),IF(_ARA_ORTAK_EKSTRE!AI103="","",_ARA_ORTAK_EKSTRE!AI103))</f>
        <v/>
      </c>
      <c r="K112" s="168" t="str">
        <f>IF($C$3="ÖMER KARTAL",IF(_ARA_ORTAK_EKSTRE!W103="","",_ARA_ORTAK_EKSTRE!W103),IF(_ARA_ORTAK_EKSTRE!AJ103="","",_ARA_ORTAK_EKSTRE!AJ103))</f>
        <v/>
      </c>
      <c r="L112" s="168" t="str">
        <f>IF($C$3="ÖMER KARTAL",IF(_ARA_ORTAK_EKSTRE!X103="","",_ARA_ORTAK_EKSTRE!X103),IF(_ARA_ORTAK_EKSTRE!AK103="","",_ARA_ORTAK_EKSTRE!AK103))</f>
        <v/>
      </c>
      <c r="M112" s="156" t="str">
        <f>IF($C$3="ÖMER KARTAL",IF(_ARA_ORTAK_EKSTRE!Y103="","",_ARA_ORTAK_EKSTRE!Y103),IF(_ARA_ORTAK_EKSTRE!AL103="","",_ARA_ORTAK_EKSTRE!AL103))</f>
        <v/>
      </c>
    </row>
    <row r="113" spans="2:13" ht="29.25" customHeight="1">
      <c r="B113" s="163" t="str">
        <f>IF($C$3="ÖMER KARTAL",IF(_ARA_ORTAK_EKSTRE!N104="","",_ARA_ORTAK_EKSTRE!N104),IF(_ARA_ORTAK_EKSTRE!AA104="","",_ARA_ORTAK_EKSTRE!AA104))</f>
        <v/>
      </c>
      <c r="C113" s="164" t="str">
        <f>IF($C$3="ÖMER KARTAL",IF(_ARA_ORTAK_EKSTRE!O104="","",_ARA_ORTAK_EKSTRE!O104),IF(_ARA_ORTAK_EKSTRE!AB104="","",_ARA_ORTAK_EKSTRE!AB104))</f>
        <v/>
      </c>
      <c r="D113" s="164" t="str">
        <f>IF($C$3="ÖMER KARTAL",IF(_ARA_ORTAK_EKSTRE!P104="","",_ARA_ORTAK_EKSTRE!P104),IF(_ARA_ORTAK_EKSTRE!AC104="","",_ARA_ORTAK_EKSTRE!AC104))</f>
        <v/>
      </c>
      <c r="E113" s="164" t="str">
        <f>IF($C$3="ÖMER KARTAL",IF(_ARA_ORTAK_EKSTRE!Q104="","",_ARA_ORTAK_EKSTRE!Q104),IF(_ARA_ORTAK_EKSTRE!AD104="","",_ARA_ORTAK_EKSTRE!AD104))</f>
        <v/>
      </c>
      <c r="F113" s="164" t="str">
        <f>IF($C$3="ÖMER KARTAL",IF(_ARA_ORTAK_EKSTRE!R104="","",_ARA_ORTAK_EKSTRE!R104),IF(_ARA_ORTAK_EKSTRE!AE104="","",_ARA_ORTAK_EKSTRE!AE104))</f>
        <v/>
      </c>
      <c r="G113" s="159" t="str">
        <f>IF($C$3="ÖMER KARTAL",IF(_ARA_ORTAK_EKSTRE!S104="","",_ARA_ORTAK_EKSTRE!S104),IF(_ARA_ORTAK_EKSTRE!AF104="","",_ARA_ORTAK_EKSTRE!AF104))</f>
        <v/>
      </c>
      <c r="H113" s="168" t="str">
        <f>IF($C$3="ÖMER KARTAL",IF(_ARA_ORTAK_EKSTRE!T104="","",_ARA_ORTAK_EKSTRE!T104),IF(_ARA_ORTAK_EKSTRE!AG104="","",_ARA_ORTAK_EKSTRE!AG104))</f>
        <v/>
      </c>
      <c r="I113" s="168" t="str">
        <f>IF($C$3="ÖMER KARTAL",IF(_ARA_ORTAK_EKSTRE!U104="","",_ARA_ORTAK_EKSTRE!U104),IF(_ARA_ORTAK_EKSTRE!AH104="","",_ARA_ORTAK_EKSTRE!AH104))</f>
        <v/>
      </c>
      <c r="J113" s="168" t="str">
        <f>IF($C$3="ÖMER KARTAL",IF(_ARA_ORTAK_EKSTRE!V104="","",_ARA_ORTAK_EKSTRE!V104),IF(_ARA_ORTAK_EKSTRE!AI104="","",_ARA_ORTAK_EKSTRE!AI104))</f>
        <v/>
      </c>
      <c r="K113" s="168" t="str">
        <f>IF($C$3="ÖMER KARTAL",IF(_ARA_ORTAK_EKSTRE!W104="","",_ARA_ORTAK_EKSTRE!W104),IF(_ARA_ORTAK_EKSTRE!AJ104="","",_ARA_ORTAK_EKSTRE!AJ104))</f>
        <v/>
      </c>
      <c r="L113" s="168" t="str">
        <f>IF($C$3="ÖMER KARTAL",IF(_ARA_ORTAK_EKSTRE!X104="","",_ARA_ORTAK_EKSTRE!X104),IF(_ARA_ORTAK_EKSTRE!AK104="","",_ARA_ORTAK_EKSTRE!AK104))</f>
        <v/>
      </c>
      <c r="M113" s="156" t="str">
        <f>IF($C$3="ÖMER KARTAL",IF(_ARA_ORTAK_EKSTRE!Y104="","",_ARA_ORTAK_EKSTRE!Y104),IF(_ARA_ORTAK_EKSTRE!AL104="","",_ARA_ORTAK_EKSTRE!AL104))</f>
        <v/>
      </c>
    </row>
    <row r="114" spans="2:13" ht="29.25" customHeight="1">
      <c r="B114" s="163" t="str">
        <f>IF($C$3="ÖMER KARTAL",IF(_ARA_ORTAK_EKSTRE!N105="","",_ARA_ORTAK_EKSTRE!N105),IF(_ARA_ORTAK_EKSTRE!AA105="","",_ARA_ORTAK_EKSTRE!AA105))</f>
        <v/>
      </c>
      <c r="C114" s="164" t="str">
        <f>IF($C$3="ÖMER KARTAL",IF(_ARA_ORTAK_EKSTRE!O105="","",_ARA_ORTAK_EKSTRE!O105),IF(_ARA_ORTAK_EKSTRE!AB105="","",_ARA_ORTAK_EKSTRE!AB105))</f>
        <v/>
      </c>
      <c r="D114" s="164" t="str">
        <f>IF($C$3="ÖMER KARTAL",IF(_ARA_ORTAK_EKSTRE!P105="","",_ARA_ORTAK_EKSTRE!P105),IF(_ARA_ORTAK_EKSTRE!AC105="","",_ARA_ORTAK_EKSTRE!AC105))</f>
        <v/>
      </c>
      <c r="E114" s="164" t="str">
        <f>IF($C$3="ÖMER KARTAL",IF(_ARA_ORTAK_EKSTRE!Q105="","",_ARA_ORTAK_EKSTRE!Q105),IF(_ARA_ORTAK_EKSTRE!AD105="","",_ARA_ORTAK_EKSTRE!AD105))</f>
        <v/>
      </c>
      <c r="F114" s="164" t="str">
        <f>IF($C$3="ÖMER KARTAL",IF(_ARA_ORTAK_EKSTRE!R105="","",_ARA_ORTAK_EKSTRE!R105),IF(_ARA_ORTAK_EKSTRE!AE105="","",_ARA_ORTAK_EKSTRE!AE105))</f>
        <v/>
      </c>
      <c r="G114" s="159" t="str">
        <f>IF($C$3="ÖMER KARTAL",IF(_ARA_ORTAK_EKSTRE!S105="","",_ARA_ORTAK_EKSTRE!S105),IF(_ARA_ORTAK_EKSTRE!AF105="","",_ARA_ORTAK_EKSTRE!AF105))</f>
        <v/>
      </c>
      <c r="H114" s="168" t="str">
        <f>IF($C$3="ÖMER KARTAL",IF(_ARA_ORTAK_EKSTRE!T105="","",_ARA_ORTAK_EKSTRE!T105),IF(_ARA_ORTAK_EKSTRE!AG105="","",_ARA_ORTAK_EKSTRE!AG105))</f>
        <v/>
      </c>
      <c r="I114" s="168" t="str">
        <f>IF($C$3="ÖMER KARTAL",IF(_ARA_ORTAK_EKSTRE!U105="","",_ARA_ORTAK_EKSTRE!U105),IF(_ARA_ORTAK_EKSTRE!AH105="","",_ARA_ORTAK_EKSTRE!AH105))</f>
        <v/>
      </c>
      <c r="J114" s="168" t="str">
        <f>IF($C$3="ÖMER KARTAL",IF(_ARA_ORTAK_EKSTRE!V105="","",_ARA_ORTAK_EKSTRE!V105),IF(_ARA_ORTAK_EKSTRE!AI105="","",_ARA_ORTAK_EKSTRE!AI105))</f>
        <v/>
      </c>
      <c r="K114" s="168" t="str">
        <f>IF($C$3="ÖMER KARTAL",IF(_ARA_ORTAK_EKSTRE!W105="","",_ARA_ORTAK_EKSTRE!W105),IF(_ARA_ORTAK_EKSTRE!AJ105="","",_ARA_ORTAK_EKSTRE!AJ105))</f>
        <v/>
      </c>
      <c r="L114" s="168" t="str">
        <f>IF($C$3="ÖMER KARTAL",IF(_ARA_ORTAK_EKSTRE!X105="","",_ARA_ORTAK_EKSTRE!X105),IF(_ARA_ORTAK_EKSTRE!AK105="","",_ARA_ORTAK_EKSTRE!AK105))</f>
        <v/>
      </c>
      <c r="M114" s="156" t="str">
        <f>IF($C$3="ÖMER KARTAL",IF(_ARA_ORTAK_EKSTRE!Y105="","",_ARA_ORTAK_EKSTRE!Y105),IF(_ARA_ORTAK_EKSTRE!AL105="","",_ARA_ORTAK_EKSTRE!AL105))</f>
        <v/>
      </c>
    </row>
    <row r="115" spans="2:13" ht="29.25" customHeight="1">
      <c r="B115" s="163" t="str">
        <f>IF($C$3="ÖMER KARTAL",IF(_ARA_ORTAK_EKSTRE!N106="","",_ARA_ORTAK_EKSTRE!N106),IF(_ARA_ORTAK_EKSTRE!AA106="","",_ARA_ORTAK_EKSTRE!AA106))</f>
        <v/>
      </c>
      <c r="C115" s="164" t="str">
        <f>IF($C$3="ÖMER KARTAL",IF(_ARA_ORTAK_EKSTRE!O106="","",_ARA_ORTAK_EKSTRE!O106),IF(_ARA_ORTAK_EKSTRE!AB106="","",_ARA_ORTAK_EKSTRE!AB106))</f>
        <v/>
      </c>
      <c r="D115" s="164" t="str">
        <f>IF($C$3="ÖMER KARTAL",IF(_ARA_ORTAK_EKSTRE!P106="","",_ARA_ORTAK_EKSTRE!P106),IF(_ARA_ORTAK_EKSTRE!AC106="","",_ARA_ORTAK_EKSTRE!AC106))</f>
        <v/>
      </c>
      <c r="E115" s="164" t="str">
        <f>IF($C$3="ÖMER KARTAL",IF(_ARA_ORTAK_EKSTRE!Q106="","",_ARA_ORTAK_EKSTRE!Q106),IF(_ARA_ORTAK_EKSTRE!AD106="","",_ARA_ORTAK_EKSTRE!AD106))</f>
        <v/>
      </c>
      <c r="F115" s="164" t="str">
        <f>IF($C$3="ÖMER KARTAL",IF(_ARA_ORTAK_EKSTRE!R106="","",_ARA_ORTAK_EKSTRE!R106),IF(_ARA_ORTAK_EKSTRE!AE106="","",_ARA_ORTAK_EKSTRE!AE106))</f>
        <v/>
      </c>
      <c r="G115" s="159" t="str">
        <f>IF($C$3="ÖMER KARTAL",IF(_ARA_ORTAK_EKSTRE!S106="","",_ARA_ORTAK_EKSTRE!S106),IF(_ARA_ORTAK_EKSTRE!AF106="","",_ARA_ORTAK_EKSTRE!AF106))</f>
        <v/>
      </c>
      <c r="H115" s="168" t="str">
        <f>IF($C$3="ÖMER KARTAL",IF(_ARA_ORTAK_EKSTRE!T106="","",_ARA_ORTAK_EKSTRE!T106),IF(_ARA_ORTAK_EKSTRE!AG106="","",_ARA_ORTAK_EKSTRE!AG106))</f>
        <v/>
      </c>
      <c r="I115" s="168" t="str">
        <f>IF($C$3="ÖMER KARTAL",IF(_ARA_ORTAK_EKSTRE!U106="","",_ARA_ORTAK_EKSTRE!U106),IF(_ARA_ORTAK_EKSTRE!AH106="","",_ARA_ORTAK_EKSTRE!AH106))</f>
        <v/>
      </c>
      <c r="J115" s="168" t="str">
        <f>IF($C$3="ÖMER KARTAL",IF(_ARA_ORTAK_EKSTRE!V106="","",_ARA_ORTAK_EKSTRE!V106),IF(_ARA_ORTAK_EKSTRE!AI106="","",_ARA_ORTAK_EKSTRE!AI106))</f>
        <v/>
      </c>
      <c r="K115" s="168" t="str">
        <f>IF($C$3="ÖMER KARTAL",IF(_ARA_ORTAK_EKSTRE!W106="","",_ARA_ORTAK_EKSTRE!W106),IF(_ARA_ORTAK_EKSTRE!AJ106="","",_ARA_ORTAK_EKSTRE!AJ106))</f>
        <v/>
      </c>
      <c r="L115" s="168" t="str">
        <f>IF($C$3="ÖMER KARTAL",IF(_ARA_ORTAK_EKSTRE!X106="","",_ARA_ORTAK_EKSTRE!X106),IF(_ARA_ORTAK_EKSTRE!AK106="","",_ARA_ORTAK_EKSTRE!AK106))</f>
        <v/>
      </c>
      <c r="M115" s="156" t="str">
        <f>IF($C$3="ÖMER KARTAL",IF(_ARA_ORTAK_EKSTRE!Y106="","",_ARA_ORTAK_EKSTRE!Y106),IF(_ARA_ORTAK_EKSTRE!AL106="","",_ARA_ORTAK_EKSTRE!AL106))</f>
        <v/>
      </c>
    </row>
    <row r="116" spans="2:13" ht="29.25" customHeight="1">
      <c r="B116" s="163" t="str">
        <f>IF($C$3="ÖMER KARTAL",IF(_ARA_ORTAK_EKSTRE!N107="","",_ARA_ORTAK_EKSTRE!N107),IF(_ARA_ORTAK_EKSTRE!AA107="","",_ARA_ORTAK_EKSTRE!AA107))</f>
        <v/>
      </c>
      <c r="C116" s="164" t="str">
        <f>IF($C$3="ÖMER KARTAL",IF(_ARA_ORTAK_EKSTRE!O107="","",_ARA_ORTAK_EKSTRE!O107),IF(_ARA_ORTAK_EKSTRE!AB107="","",_ARA_ORTAK_EKSTRE!AB107))</f>
        <v/>
      </c>
      <c r="D116" s="164" t="str">
        <f>IF($C$3="ÖMER KARTAL",IF(_ARA_ORTAK_EKSTRE!P107="","",_ARA_ORTAK_EKSTRE!P107),IF(_ARA_ORTAK_EKSTRE!AC107="","",_ARA_ORTAK_EKSTRE!AC107))</f>
        <v/>
      </c>
      <c r="E116" s="164" t="str">
        <f>IF($C$3="ÖMER KARTAL",IF(_ARA_ORTAK_EKSTRE!Q107="","",_ARA_ORTAK_EKSTRE!Q107),IF(_ARA_ORTAK_EKSTRE!AD107="","",_ARA_ORTAK_EKSTRE!AD107))</f>
        <v/>
      </c>
      <c r="F116" s="164" t="str">
        <f>IF($C$3="ÖMER KARTAL",IF(_ARA_ORTAK_EKSTRE!R107="","",_ARA_ORTAK_EKSTRE!R107),IF(_ARA_ORTAK_EKSTRE!AE107="","",_ARA_ORTAK_EKSTRE!AE107))</f>
        <v/>
      </c>
      <c r="G116" s="159" t="str">
        <f>IF($C$3="ÖMER KARTAL",IF(_ARA_ORTAK_EKSTRE!S107="","",_ARA_ORTAK_EKSTRE!S107),IF(_ARA_ORTAK_EKSTRE!AF107="","",_ARA_ORTAK_EKSTRE!AF107))</f>
        <v/>
      </c>
      <c r="H116" s="168" t="str">
        <f>IF($C$3="ÖMER KARTAL",IF(_ARA_ORTAK_EKSTRE!T107="","",_ARA_ORTAK_EKSTRE!T107),IF(_ARA_ORTAK_EKSTRE!AG107="","",_ARA_ORTAK_EKSTRE!AG107))</f>
        <v/>
      </c>
      <c r="I116" s="168" t="str">
        <f>IF($C$3="ÖMER KARTAL",IF(_ARA_ORTAK_EKSTRE!U107="","",_ARA_ORTAK_EKSTRE!U107),IF(_ARA_ORTAK_EKSTRE!AH107="","",_ARA_ORTAK_EKSTRE!AH107))</f>
        <v/>
      </c>
      <c r="J116" s="168" t="str">
        <f>IF($C$3="ÖMER KARTAL",IF(_ARA_ORTAK_EKSTRE!V107="","",_ARA_ORTAK_EKSTRE!V107),IF(_ARA_ORTAK_EKSTRE!AI107="","",_ARA_ORTAK_EKSTRE!AI107))</f>
        <v/>
      </c>
      <c r="K116" s="168" t="str">
        <f>IF($C$3="ÖMER KARTAL",IF(_ARA_ORTAK_EKSTRE!W107="","",_ARA_ORTAK_EKSTRE!W107),IF(_ARA_ORTAK_EKSTRE!AJ107="","",_ARA_ORTAK_EKSTRE!AJ107))</f>
        <v/>
      </c>
      <c r="L116" s="168" t="str">
        <f>IF($C$3="ÖMER KARTAL",IF(_ARA_ORTAK_EKSTRE!X107="","",_ARA_ORTAK_EKSTRE!X107),IF(_ARA_ORTAK_EKSTRE!AK107="","",_ARA_ORTAK_EKSTRE!AK107))</f>
        <v/>
      </c>
      <c r="M116" s="156" t="str">
        <f>IF($C$3="ÖMER KARTAL",IF(_ARA_ORTAK_EKSTRE!Y107="","",_ARA_ORTAK_EKSTRE!Y107),IF(_ARA_ORTAK_EKSTRE!AL107="","",_ARA_ORTAK_EKSTRE!AL107))</f>
        <v/>
      </c>
    </row>
    <row r="117" spans="2:13" ht="29.25" customHeight="1">
      <c r="B117" s="163" t="str">
        <f>IF($C$3="ÖMER KARTAL",IF(_ARA_ORTAK_EKSTRE!N108="","",_ARA_ORTAK_EKSTRE!N108),IF(_ARA_ORTAK_EKSTRE!AA108="","",_ARA_ORTAK_EKSTRE!AA108))</f>
        <v/>
      </c>
      <c r="C117" s="164" t="str">
        <f>IF($C$3="ÖMER KARTAL",IF(_ARA_ORTAK_EKSTRE!O108="","",_ARA_ORTAK_EKSTRE!O108),IF(_ARA_ORTAK_EKSTRE!AB108="","",_ARA_ORTAK_EKSTRE!AB108))</f>
        <v/>
      </c>
      <c r="D117" s="164" t="str">
        <f>IF($C$3="ÖMER KARTAL",IF(_ARA_ORTAK_EKSTRE!P108="","",_ARA_ORTAK_EKSTRE!P108),IF(_ARA_ORTAK_EKSTRE!AC108="","",_ARA_ORTAK_EKSTRE!AC108))</f>
        <v/>
      </c>
      <c r="E117" s="164" t="str">
        <f>IF($C$3="ÖMER KARTAL",IF(_ARA_ORTAK_EKSTRE!Q108="","",_ARA_ORTAK_EKSTRE!Q108),IF(_ARA_ORTAK_EKSTRE!AD108="","",_ARA_ORTAK_EKSTRE!AD108))</f>
        <v/>
      </c>
      <c r="F117" s="164" t="str">
        <f>IF($C$3="ÖMER KARTAL",IF(_ARA_ORTAK_EKSTRE!R108="","",_ARA_ORTAK_EKSTRE!R108),IF(_ARA_ORTAK_EKSTRE!AE108="","",_ARA_ORTAK_EKSTRE!AE108))</f>
        <v/>
      </c>
      <c r="G117" s="159" t="str">
        <f>IF($C$3="ÖMER KARTAL",IF(_ARA_ORTAK_EKSTRE!S108="","",_ARA_ORTAK_EKSTRE!S108),IF(_ARA_ORTAK_EKSTRE!AF108="","",_ARA_ORTAK_EKSTRE!AF108))</f>
        <v/>
      </c>
      <c r="H117" s="168" t="str">
        <f>IF($C$3="ÖMER KARTAL",IF(_ARA_ORTAK_EKSTRE!T108="","",_ARA_ORTAK_EKSTRE!T108),IF(_ARA_ORTAK_EKSTRE!AG108="","",_ARA_ORTAK_EKSTRE!AG108))</f>
        <v/>
      </c>
      <c r="I117" s="168" t="str">
        <f>IF($C$3="ÖMER KARTAL",IF(_ARA_ORTAK_EKSTRE!U108="","",_ARA_ORTAK_EKSTRE!U108),IF(_ARA_ORTAK_EKSTRE!AH108="","",_ARA_ORTAK_EKSTRE!AH108))</f>
        <v/>
      </c>
      <c r="J117" s="168" t="str">
        <f>IF($C$3="ÖMER KARTAL",IF(_ARA_ORTAK_EKSTRE!V108="","",_ARA_ORTAK_EKSTRE!V108),IF(_ARA_ORTAK_EKSTRE!AI108="","",_ARA_ORTAK_EKSTRE!AI108))</f>
        <v/>
      </c>
      <c r="K117" s="168" t="str">
        <f>IF($C$3="ÖMER KARTAL",IF(_ARA_ORTAK_EKSTRE!W108="","",_ARA_ORTAK_EKSTRE!W108),IF(_ARA_ORTAK_EKSTRE!AJ108="","",_ARA_ORTAK_EKSTRE!AJ108))</f>
        <v/>
      </c>
      <c r="L117" s="168" t="str">
        <f>IF($C$3="ÖMER KARTAL",IF(_ARA_ORTAK_EKSTRE!X108="","",_ARA_ORTAK_EKSTRE!X108),IF(_ARA_ORTAK_EKSTRE!AK108="","",_ARA_ORTAK_EKSTRE!AK108))</f>
        <v/>
      </c>
      <c r="M117" s="156" t="str">
        <f>IF($C$3="ÖMER KARTAL",IF(_ARA_ORTAK_EKSTRE!Y108="","",_ARA_ORTAK_EKSTRE!Y108),IF(_ARA_ORTAK_EKSTRE!AL108="","",_ARA_ORTAK_EKSTRE!AL108))</f>
        <v/>
      </c>
    </row>
    <row r="118" spans="2:13" ht="29.25" customHeight="1">
      <c r="B118" s="163" t="str">
        <f>IF($C$3="ÖMER KARTAL",IF(_ARA_ORTAK_EKSTRE!N109="","",_ARA_ORTAK_EKSTRE!N109),IF(_ARA_ORTAK_EKSTRE!AA109="","",_ARA_ORTAK_EKSTRE!AA109))</f>
        <v/>
      </c>
      <c r="C118" s="164" t="str">
        <f>IF($C$3="ÖMER KARTAL",IF(_ARA_ORTAK_EKSTRE!O109="","",_ARA_ORTAK_EKSTRE!O109),IF(_ARA_ORTAK_EKSTRE!AB109="","",_ARA_ORTAK_EKSTRE!AB109))</f>
        <v/>
      </c>
      <c r="D118" s="164" t="str">
        <f>IF($C$3="ÖMER KARTAL",IF(_ARA_ORTAK_EKSTRE!P109="","",_ARA_ORTAK_EKSTRE!P109),IF(_ARA_ORTAK_EKSTRE!AC109="","",_ARA_ORTAK_EKSTRE!AC109))</f>
        <v/>
      </c>
      <c r="E118" s="164" t="str">
        <f>IF($C$3="ÖMER KARTAL",IF(_ARA_ORTAK_EKSTRE!Q109="","",_ARA_ORTAK_EKSTRE!Q109),IF(_ARA_ORTAK_EKSTRE!AD109="","",_ARA_ORTAK_EKSTRE!AD109))</f>
        <v/>
      </c>
      <c r="F118" s="164" t="str">
        <f>IF($C$3="ÖMER KARTAL",IF(_ARA_ORTAK_EKSTRE!R109="","",_ARA_ORTAK_EKSTRE!R109),IF(_ARA_ORTAK_EKSTRE!AE109="","",_ARA_ORTAK_EKSTRE!AE109))</f>
        <v/>
      </c>
      <c r="G118" s="159" t="str">
        <f>IF($C$3="ÖMER KARTAL",IF(_ARA_ORTAK_EKSTRE!S109="","",_ARA_ORTAK_EKSTRE!S109),IF(_ARA_ORTAK_EKSTRE!AF109="","",_ARA_ORTAK_EKSTRE!AF109))</f>
        <v/>
      </c>
      <c r="H118" s="168" t="str">
        <f>IF($C$3="ÖMER KARTAL",IF(_ARA_ORTAK_EKSTRE!T109="","",_ARA_ORTAK_EKSTRE!T109),IF(_ARA_ORTAK_EKSTRE!AG109="","",_ARA_ORTAK_EKSTRE!AG109))</f>
        <v/>
      </c>
      <c r="I118" s="168" t="str">
        <f>IF($C$3="ÖMER KARTAL",IF(_ARA_ORTAK_EKSTRE!U109="","",_ARA_ORTAK_EKSTRE!U109),IF(_ARA_ORTAK_EKSTRE!AH109="","",_ARA_ORTAK_EKSTRE!AH109))</f>
        <v/>
      </c>
      <c r="J118" s="168" t="str">
        <f>IF($C$3="ÖMER KARTAL",IF(_ARA_ORTAK_EKSTRE!V109="","",_ARA_ORTAK_EKSTRE!V109),IF(_ARA_ORTAK_EKSTRE!AI109="","",_ARA_ORTAK_EKSTRE!AI109))</f>
        <v/>
      </c>
      <c r="K118" s="168" t="str">
        <f>IF($C$3="ÖMER KARTAL",IF(_ARA_ORTAK_EKSTRE!W109="","",_ARA_ORTAK_EKSTRE!W109),IF(_ARA_ORTAK_EKSTRE!AJ109="","",_ARA_ORTAK_EKSTRE!AJ109))</f>
        <v/>
      </c>
      <c r="L118" s="168" t="str">
        <f>IF($C$3="ÖMER KARTAL",IF(_ARA_ORTAK_EKSTRE!X109="","",_ARA_ORTAK_EKSTRE!X109),IF(_ARA_ORTAK_EKSTRE!AK109="","",_ARA_ORTAK_EKSTRE!AK109))</f>
        <v/>
      </c>
      <c r="M118" s="156" t="str">
        <f>IF($C$3="ÖMER KARTAL",IF(_ARA_ORTAK_EKSTRE!Y109="","",_ARA_ORTAK_EKSTRE!Y109),IF(_ARA_ORTAK_EKSTRE!AL109="","",_ARA_ORTAK_EKSTRE!AL109))</f>
        <v/>
      </c>
    </row>
    <row r="119" spans="2:13" ht="29.25" customHeight="1">
      <c r="B119" s="163" t="str">
        <f>IF($C$3="ÖMER KARTAL",IF(_ARA_ORTAK_EKSTRE!N110="","",_ARA_ORTAK_EKSTRE!N110),IF(_ARA_ORTAK_EKSTRE!AA110="","",_ARA_ORTAK_EKSTRE!AA110))</f>
        <v/>
      </c>
      <c r="C119" s="164" t="str">
        <f>IF($C$3="ÖMER KARTAL",IF(_ARA_ORTAK_EKSTRE!O110="","",_ARA_ORTAK_EKSTRE!O110),IF(_ARA_ORTAK_EKSTRE!AB110="","",_ARA_ORTAK_EKSTRE!AB110))</f>
        <v/>
      </c>
      <c r="D119" s="164" t="str">
        <f>IF($C$3="ÖMER KARTAL",IF(_ARA_ORTAK_EKSTRE!P110="","",_ARA_ORTAK_EKSTRE!P110),IF(_ARA_ORTAK_EKSTRE!AC110="","",_ARA_ORTAK_EKSTRE!AC110))</f>
        <v/>
      </c>
      <c r="E119" s="164" t="str">
        <f>IF($C$3="ÖMER KARTAL",IF(_ARA_ORTAK_EKSTRE!Q110="","",_ARA_ORTAK_EKSTRE!Q110),IF(_ARA_ORTAK_EKSTRE!AD110="","",_ARA_ORTAK_EKSTRE!AD110))</f>
        <v/>
      </c>
      <c r="F119" s="164" t="str">
        <f>IF($C$3="ÖMER KARTAL",IF(_ARA_ORTAK_EKSTRE!R110="","",_ARA_ORTAK_EKSTRE!R110),IF(_ARA_ORTAK_EKSTRE!AE110="","",_ARA_ORTAK_EKSTRE!AE110))</f>
        <v/>
      </c>
      <c r="G119" s="159" t="str">
        <f>IF($C$3="ÖMER KARTAL",IF(_ARA_ORTAK_EKSTRE!S110="","",_ARA_ORTAK_EKSTRE!S110),IF(_ARA_ORTAK_EKSTRE!AF110="","",_ARA_ORTAK_EKSTRE!AF110))</f>
        <v/>
      </c>
      <c r="H119" s="168" t="str">
        <f>IF($C$3="ÖMER KARTAL",IF(_ARA_ORTAK_EKSTRE!T110="","",_ARA_ORTAK_EKSTRE!T110),IF(_ARA_ORTAK_EKSTRE!AG110="","",_ARA_ORTAK_EKSTRE!AG110))</f>
        <v/>
      </c>
      <c r="I119" s="168" t="str">
        <f>IF($C$3="ÖMER KARTAL",IF(_ARA_ORTAK_EKSTRE!U110="","",_ARA_ORTAK_EKSTRE!U110),IF(_ARA_ORTAK_EKSTRE!AH110="","",_ARA_ORTAK_EKSTRE!AH110))</f>
        <v/>
      </c>
      <c r="J119" s="168" t="str">
        <f>IF($C$3="ÖMER KARTAL",IF(_ARA_ORTAK_EKSTRE!V110="","",_ARA_ORTAK_EKSTRE!V110),IF(_ARA_ORTAK_EKSTRE!AI110="","",_ARA_ORTAK_EKSTRE!AI110))</f>
        <v/>
      </c>
      <c r="K119" s="168" t="str">
        <f>IF($C$3="ÖMER KARTAL",IF(_ARA_ORTAK_EKSTRE!W110="","",_ARA_ORTAK_EKSTRE!W110),IF(_ARA_ORTAK_EKSTRE!AJ110="","",_ARA_ORTAK_EKSTRE!AJ110))</f>
        <v/>
      </c>
      <c r="L119" s="168" t="str">
        <f>IF($C$3="ÖMER KARTAL",IF(_ARA_ORTAK_EKSTRE!X110="","",_ARA_ORTAK_EKSTRE!X110),IF(_ARA_ORTAK_EKSTRE!AK110="","",_ARA_ORTAK_EKSTRE!AK110))</f>
        <v/>
      </c>
      <c r="M119" s="156" t="str">
        <f>IF($C$3="ÖMER KARTAL",IF(_ARA_ORTAK_EKSTRE!Y110="","",_ARA_ORTAK_EKSTRE!Y110),IF(_ARA_ORTAK_EKSTRE!AL110="","",_ARA_ORTAK_EKSTRE!AL110))</f>
        <v/>
      </c>
    </row>
    <row r="120" spans="2:13" ht="29.25" customHeight="1">
      <c r="B120" s="163" t="str">
        <f>IF($C$3="ÖMER KARTAL",IF(_ARA_ORTAK_EKSTRE!N111="","",_ARA_ORTAK_EKSTRE!N111),IF(_ARA_ORTAK_EKSTRE!AA111="","",_ARA_ORTAK_EKSTRE!AA111))</f>
        <v/>
      </c>
      <c r="C120" s="164" t="str">
        <f>IF($C$3="ÖMER KARTAL",IF(_ARA_ORTAK_EKSTRE!O111="","",_ARA_ORTAK_EKSTRE!O111),IF(_ARA_ORTAK_EKSTRE!AB111="","",_ARA_ORTAK_EKSTRE!AB111))</f>
        <v/>
      </c>
      <c r="D120" s="164" t="str">
        <f>IF($C$3="ÖMER KARTAL",IF(_ARA_ORTAK_EKSTRE!P111="","",_ARA_ORTAK_EKSTRE!P111),IF(_ARA_ORTAK_EKSTRE!AC111="","",_ARA_ORTAK_EKSTRE!AC111))</f>
        <v/>
      </c>
      <c r="E120" s="164" t="str">
        <f>IF($C$3="ÖMER KARTAL",IF(_ARA_ORTAK_EKSTRE!Q111="","",_ARA_ORTAK_EKSTRE!Q111),IF(_ARA_ORTAK_EKSTRE!AD111="","",_ARA_ORTAK_EKSTRE!AD111))</f>
        <v/>
      </c>
      <c r="F120" s="164" t="str">
        <f>IF($C$3="ÖMER KARTAL",IF(_ARA_ORTAK_EKSTRE!R111="","",_ARA_ORTAK_EKSTRE!R111),IF(_ARA_ORTAK_EKSTRE!AE111="","",_ARA_ORTAK_EKSTRE!AE111))</f>
        <v/>
      </c>
      <c r="G120" s="159" t="str">
        <f>IF($C$3="ÖMER KARTAL",IF(_ARA_ORTAK_EKSTRE!S111="","",_ARA_ORTAK_EKSTRE!S111),IF(_ARA_ORTAK_EKSTRE!AF111="","",_ARA_ORTAK_EKSTRE!AF111))</f>
        <v/>
      </c>
      <c r="H120" s="168" t="str">
        <f>IF($C$3="ÖMER KARTAL",IF(_ARA_ORTAK_EKSTRE!T111="","",_ARA_ORTAK_EKSTRE!T111),IF(_ARA_ORTAK_EKSTRE!AG111="","",_ARA_ORTAK_EKSTRE!AG111))</f>
        <v/>
      </c>
      <c r="I120" s="168" t="str">
        <f>IF($C$3="ÖMER KARTAL",IF(_ARA_ORTAK_EKSTRE!U111="","",_ARA_ORTAK_EKSTRE!U111),IF(_ARA_ORTAK_EKSTRE!AH111="","",_ARA_ORTAK_EKSTRE!AH111))</f>
        <v/>
      </c>
      <c r="J120" s="168" t="str">
        <f>IF($C$3="ÖMER KARTAL",IF(_ARA_ORTAK_EKSTRE!V111="","",_ARA_ORTAK_EKSTRE!V111),IF(_ARA_ORTAK_EKSTRE!AI111="","",_ARA_ORTAK_EKSTRE!AI111))</f>
        <v/>
      </c>
      <c r="K120" s="168" t="str">
        <f>IF($C$3="ÖMER KARTAL",IF(_ARA_ORTAK_EKSTRE!W111="","",_ARA_ORTAK_EKSTRE!W111),IF(_ARA_ORTAK_EKSTRE!AJ111="","",_ARA_ORTAK_EKSTRE!AJ111))</f>
        <v/>
      </c>
      <c r="L120" s="168" t="str">
        <f>IF($C$3="ÖMER KARTAL",IF(_ARA_ORTAK_EKSTRE!X111="","",_ARA_ORTAK_EKSTRE!X111),IF(_ARA_ORTAK_EKSTRE!AK111="","",_ARA_ORTAK_EKSTRE!AK111))</f>
        <v/>
      </c>
      <c r="M120" s="156" t="str">
        <f>IF($C$3="ÖMER KARTAL",IF(_ARA_ORTAK_EKSTRE!Y111="","",_ARA_ORTAK_EKSTRE!Y111),IF(_ARA_ORTAK_EKSTRE!AL111="","",_ARA_ORTAK_EKSTRE!AL111))</f>
        <v/>
      </c>
    </row>
    <row r="121" spans="2:13" ht="29.25" customHeight="1">
      <c r="B121" s="163" t="str">
        <f>IF($C$3="ÖMER KARTAL",IF(_ARA_ORTAK_EKSTRE!N112="","",_ARA_ORTAK_EKSTRE!N112),IF(_ARA_ORTAK_EKSTRE!AA112="","",_ARA_ORTAK_EKSTRE!AA112))</f>
        <v/>
      </c>
      <c r="C121" s="164" t="str">
        <f>IF($C$3="ÖMER KARTAL",IF(_ARA_ORTAK_EKSTRE!O112="","",_ARA_ORTAK_EKSTRE!O112),IF(_ARA_ORTAK_EKSTRE!AB112="","",_ARA_ORTAK_EKSTRE!AB112))</f>
        <v/>
      </c>
      <c r="D121" s="164" t="str">
        <f>IF($C$3="ÖMER KARTAL",IF(_ARA_ORTAK_EKSTRE!P112="","",_ARA_ORTAK_EKSTRE!P112),IF(_ARA_ORTAK_EKSTRE!AC112="","",_ARA_ORTAK_EKSTRE!AC112))</f>
        <v/>
      </c>
      <c r="E121" s="164" t="str">
        <f>IF($C$3="ÖMER KARTAL",IF(_ARA_ORTAK_EKSTRE!Q112="","",_ARA_ORTAK_EKSTRE!Q112),IF(_ARA_ORTAK_EKSTRE!AD112="","",_ARA_ORTAK_EKSTRE!AD112))</f>
        <v/>
      </c>
      <c r="F121" s="164" t="str">
        <f>IF($C$3="ÖMER KARTAL",IF(_ARA_ORTAK_EKSTRE!R112="","",_ARA_ORTAK_EKSTRE!R112),IF(_ARA_ORTAK_EKSTRE!AE112="","",_ARA_ORTAK_EKSTRE!AE112))</f>
        <v/>
      </c>
      <c r="G121" s="159" t="str">
        <f>IF($C$3="ÖMER KARTAL",IF(_ARA_ORTAK_EKSTRE!S112="","",_ARA_ORTAK_EKSTRE!S112),IF(_ARA_ORTAK_EKSTRE!AF112="","",_ARA_ORTAK_EKSTRE!AF112))</f>
        <v/>
      </c>
      <c r="H121" s="168" t="str">
        <f>IF($C$3="ÖMER KARTAL",IF(_ARA_ORTAK_EKSTRE!T112="","",_ARA_ORTAK_EKSTRE!T112),IF(_ARA_ORTAK_EKSTRE!AG112="","",_ARA_ORTAK_EKSTRE!AG112))</f>
        <v/>
      </c>
      <c r="I121" s="168" t="str">
        <f>IF($C$3="ÖMER KARTAL",IF(_ARA_ORTAK_EKSTRE!U112="","",_ARA_ORTAK_EKSTRE!U112),IF(_ARA_ORTAK_EKSTRE!AH112="","",_ARA_ORTAK_EKSTRE!AH112))</f>
        <v/>
      </c>
      <c r="J121" s="168" t="str">
        <f>IF($C$3="ÖMER KARTAL",IF(_ARA_ORTAK_EKSTRE!V112="","",_ARA_ORTAK_EKSTRE!V112),IF(_ARA_ORTAK_EKSTRE!AI112="","",_ARA_ORTAK_EKSTRE!AI112))</f>
        <v/>
      </c>
      <c r="K121" s="168" t="str">
        <f>IF($C$3="ÖMER KARTAL",IF(_ARA_ORTAK_EKSTRE!W112="","",_ARA_ORTAK_EKSTRE!W112),IF(_ARA_ORTAK_EKSTRE!AJ112="","",_ARA_ORTAK_EKSTRE!AJ112))</f>
        <v/>
      </c>
      <c r="L121" s="168" t="str">
        <f>IF($C$3="ÖMER KARTAL",IF(_ARA_ORTAK_EKSTRE!X112="","",_ARA_ORTAK_EKSTRE!X112),IF(_ARA_ORTAK_EKSTRE!AK112="","",_ARA_ORTAK_EKSTRE!AK112))</f>
        <v/>
      </c>
      <c r="M121" s="156" t="str">
        <f>IF($C$3="ÖMER KARTAL",IF(_ARA_ORTAK_EKSTRE!Y112="","",_ARA_ORTAK_EKSTRE!Y112),IF(_ARA_ORTAK_EKSTRE!AL112="","",_ARA_ORTAK_EKSTRE!AL112))</f>
        <v/>
      </c>
    </row>
    <row r="122" spans="2:13" ht="29.25" customHeight="1">
      <c r="B122" s="163" t="str">
        <f>IF($C$3="ÖMER KARTAL",IF(_ARA_ORTAK_EKSTRE!N113="","",_ARA_ORTAK_EKSTRE!N113),IF(_ARA_ORTAK_EKSTRE!AA113="","",_ARA_ORTAK_EKSTRE!AA113))</f>
        <v/>
      </c>
      <c r="C122" s="164" t="str">
        <f>IF($C$3="ÖMER KARTAL",IF(_ARA_ORTAK_EKSTRE!O113="","",_ARA_ORTAK_EKSTRE!O113),IF(_ARA_ORTAK_EKSTRE!AB113="","",_ARA_ORTAK_EKSTRE!AB113))</f>
        <v/>
      </c>
      <c r="D122" s="164" t="str">
        <f>IF($C$3="ÖMER KARTAL",IF(_ARA_ORTAK_EKSTRE!P113="","",_ARA_ORTAK_EKSTRE!P113),IF(_ARA_ORTAK_EKSTRE!AC113="","",_ARA_ORTAK_EKSTRE!AC113))</f>
        <v/>
      </c>
      <c r="E122" s="164" t="str">
        <f>IF($C$3="ÖMER KARTAL",IF(_ARA_ORTAK_EKSTRE!Q113="","",_ARA_ORTAK_EKSTRE!Q113),IF(_ARA_ORTAK_EKSTRE!AD113="","",_ARA_ORTAK_EKSTRE!AD113))</f>
        <v/>
      </c>
      <c r="F122" s="164" t="str">
        <f>IF($C$3="ÖMER KARTAL",IF(_ARA_ORTAK_EKSTRE!R113="","",_ARA_ORTAK_EKSTRE!R113),IF(_ARA_ORTAK_EKSTRE!AE113="","",_ARA_ORTAK_EKSTRE!AE113))</f>
        <v/>
      </c>
      <c r="G122" s="159" t="str">
        <f>IF($C$3="ÖMER KARTAL",IF(_ARA_ORTAK_EKSTRE!S113="","",_ARA_ORTAK_EKSTRE!S113),IF(_ARA_ORTAK_EKSTRE!AF113="","",_ARA_ORTAK_EKSTRE!AF113))</f>
        <v/>
      </c>
      <c r="H122" s="168" t="str">
        <f>IF($C$3="ÖMER KARTAL",IF(_ARA_ORTAK_EKSTRE!T113="","",_ARA_ORTAK_EKSTRE!T113),IF(_ARA_ORTAK_EKSTRE!AG113="","",_ARA_ORTAK_EKSTRE!AG113))</f>
        <v/>
      </c>
      <c r="I122" s="168" t="str">
        <f>IF($C$3="ÖMER KARTAL",IF(_ARA_ORTAK_EKSTRE!U113="","",_ARA_ORTAK_EKSTRE!U113),IF(_ARA_ORTAK_EKSTRE!AH113="","",_ARA_ORTAK_EKSTRE!AH113))</f>
        <v/>
      </c>
      <c r="J122" s="168" t="str">
        <f>IF($C$3="ÖMER KARTAL",IF(_ARA_ORTAK_EKSTRE!V113="","",_ARA_ORTAK_EKSTRE!V113),IF(_ARA_ORTAK_EKSTRE!AI113="","",_ARA_ORTAK_EKSTRE!AI113))</f>
        <v/>
      </c>
      <c r="K122" s="168" t="str">
        <f>IF($C$3="ÖMER KARTAL",IF(_ARA_ORTAK_EKSTRE!W113="","",_ARA_ORTAK_EKSTRE!W113),IF(_ARA_ORTAK_EKSTRE!AJ113="","",_ARA_ORTAK_EKSTRE!AJ113))</f>
        <v/>
      </c>
      <c r="L122" s="168" t="str">
        <f>IF($C$3="ÖMER KARTAL",IF(_ARA_ORTAK_EKSTRE!X113="","",_ARA_ORTAK_EKSTRE!X113),IF(_ARA_ORTAK_EKSTRE!AK113="","",_ARA_ORTAK_EKSTRE!AK113))</f>
        <v/>
      </c>
      <c r="M122" s="156" t="str">
        <f>IF($C$3="ÖMER KARTAL",IF(_ARA_ORTAK_EKSTRE!Y113="","",_ARA_ORTAK_EKSTRE!Y113),IF(_ARA_ORTAK_EKSTRE!AL113="","",_ARA_ORTAK_EKSTRE!AL113))</f>
        <v/>
      </c>
    </row>
    <row r="123" spans="2:13" ht="29.25" customHeight="1">
      <c r="B123" s="163" t="str">
        <f>IF($C$3="ÖMER KARTAL",IF(_ARA_ORTAK_EKSTRE!N114="","",_ARA_ORTAK_EKSTRE!N114),IF(_ARA_ORTAK_EKSTRE!AA114="","",_ARA_ORTAK_EKSTRE!AA114))</f>
        <v/>
      </c>
      <c r="C123" s="164" t="str">
        <f>IF($C$3="ÖMER KARTAL",IF(_ARA_ORTAK_EKSTRE!O114="","",_ARA_ORTAK_EKSTRE!O114),IF(_ARA_ORTAK_EKSTRE!AB114="","",_ARA_ORTAK_EKSTRE!AB114))</f>
        <v/>
      </c>
      <c r="D123" s="164" t="str">
        <f>IF($C$3="ÖMER KARTAL",IF(_ARA_ORTAK_EKSTRE!P114="","",_ARA_ORTAK_EKSTRE!P114),IF(_ARA_ORTAK_EKSTRE!AC114="","",_ARA_ORTAK_EKSTRE!AC114))</f>
        <v/>
      </c>
      <c r="E123" s="164" t="str">
        <f>IF($C$3="ÖMER KARTAL",IF(_ARA_ORTAK_EKSTRE!Q114="","",_ARA_ORTAK_EKSTRE!Q114),IF(_ARA_ORTAK_EKSTRE!AD114="","",_ARA_ORTAK_EKSTRE!AD114))</f>
        <v/>
      </c>
      <c r="F123" s="164" t="str">
        <f>IF($C$3="ÖMER KARTAL",IF(_ARA_ORTAK_EKSTRE!R114="","",_ARA_ORTAK_EKSTRE!R114),IF(_ARA_ORTAK_EKSTRE!AE114="","",_ARA_ORTAK_EKSTRE!AE114))</f>
        <v/>
      </c>
      <c r="G123" s="159" t="str">
        <f>IF($C$3="ÖMER KARTAL",IF(_ARA_ORTAK_EKSTRE!S114="","",_ARA_ORTAK_EKSTRE!S114),IF(_ARA_ORTAK_EKSTRE!AF114="","",_ARA_ORTAK_EKSTRE!AF114))</f>
        <v/>
      </c>
      <c r="H123" s="168" t="str">
        <f>IF($C$3="ÖMER KARTAL",IF(_ARA_ORTAK_EKSTRE!T114="","",_ARA_ORTAK_EKSTRE!T114),IF(_ARA_ORTAK_EKSTRE!AG114="","",_ARA_ORTAK_EKSTRE!AG114))</f>
        <v/>
      </c>
      <c r="I123" s="168" t="str">
        <f>IF($C$3="ÖMER KARTAL",IF(_ARA_ORTAK_EKSTRE!U114="","",_ARA_ORTAK_EKSTRE!U114),IF(_ARA_ORTAK_EKSTRE!AH114="","",_ARA_ORTAK_EKSTRE!AH114))</f>
        <v/>
      </c>
      <c r="J123" s="168" t="str">
        <f>IF($C$3="ÖMER KARTAL",IF(_ARA_ORTAK_EKSTRE!V114="","",_ARA_ORTAK_EKSTRE!V114),IF(_ARA_ORTAK_EKSTRE!AI114="","",_ARA_ORTAK_EKSTRE!AI114))</f>
        <v/>
      </c>
      <c r="K123" s="168" t="str">
        <f>IF($C$3="ÖMER KARTAL",IF(_ARA_ORTAK_EKSTRE!W114="","",_ARA_ORTAK_EKSTRE!W114),IF(_ARA_ORTAK_EKSTRE!AJ114="","",_ARA_ORTAK_EKSTRE!AJ114))</f>
        <v/>
      </c>
      <c r="L123" s="168" t="str">
        <f>IF($C$3="ÖMER KARTAL",IF(_ARA_ORTAK_EKSTRE!X114="","",_ARA_ORTAK_EKSTRE!X114),IF(_ARA_ORTAK_EKSTRE!AK114="","",_ARA_ORTAK_EKSTRE!AK114))</f>
        <v/>
      </c>
      <c r="M123" s="156" t="str">
        <f>IF($C$3="ÖMER KARTAL",IF(_ARA_ORTAK_EKSTRE!Y114="","",_ARA_ORTAK_EKSTRE!Y114),IF(_ARA_ORTAK_EKSTRE!AL114="","",_ARA_ORTAK_EKSTRE!AL114))</f>
        <v/>
      </c>
    </row>
    <row r="124" spans="2:13" ht="29.25" customHeight="1">
      <c r="B124" s="163" t="str">
        <f>IF($C$3="ÖMER KARTAL",IF(_ARA_ORTAK_EKSTRE!N115="","",_ARA_ORTAK_EKSTRE!N115),IF(_ARA_ORTAK_EKSTRE!AA115="","",_ARA_ORTAK_EKSTRE!AA115))</f>
        <v/>
      </c>
      <c r="C124" s="164" t="str">
        <f>IF($C$3="ÖMER KARTAL",IF(_ARA_ORTAK_EKSTRE!O115="","",_ARA_ORTAK_EKSTRE!O115),IF(_ARA_ORTAK_EKSTRE!AB115="","",_ARA_ORTAK_EKSTRE!AB115))</f>
        <v/>
      </c>
      <c r="D124" s="164" t="str">
        <f>IF($C$3="ÖMER KARTAL",IF(_ARA_ORTAK_EKSTRE!P115="","",_ARA_ORTAK_EKSTRE!P115),IF(_ARA_ORTAK_EKSTRE!AC115="","",_ARA_ORTAK_EKSTRE!AC115))</f>
        <v/>
      </c>
      <c r="E124" s="164" t="str">
        <f>IF($C$3="ÖMER KARTAL",IF(_ARA_ORTAK_EKSTRE!Q115="","",_ARA_ORTAK_EKSTRE!Q115),IF(_ARA_ORTAK_EKSTRE!AD115="","",_ARA_ORTAK_EKSTRE!AD115))</f>
        <v/>
      </c>
      <c r="F124" s="164" t="str">
        <f>IF($C$3="ÖMER KARTAL",IF(_ARA_ORTAK_EKSTRE!R115="","",_ARA_ORTAK_EKSTRE!R115),IF(_ARA_ORTAK_EKSTRE!AE115="","",_ARA_ORTAK_EKSTRE!AE115))</f>
        <v/>
      </c>
      <c r="G124" s="159" t="str">
        <f>IF($C$3="ÖMER KARTAL",IF(_ARA_ORTAK_EKSTRE!S115="","",_ARA_ORTAK_EKSTRE!S115),IF(_ARA_ORTAK_EKSTRE!AF115="","",_ARA_ORTAK_EKSTRE!AF115))</f>
        <v/>
      </c>
      <c r="H124" s="168" t="str">
        <f>IF($C$3="ÖMER KARTAL",IF(_ARA_ORTAK_EKSTRE!T115="","",_ARA_ORTAK_EKSTRE!T115),IF(_ARA_ORTAK_EKSTRE!AG115="","",_ARA_ORTAK_EKSTRE!AG115))</f>
        <v/>
      </c>
      <c r="I124" s="168" t="str">
        <f>IF($C$3="ÖMER KARTAL",IF(_ARA_ORTAK_EKSTRE!U115="","",_ARA_ORTAK_EKSTRE!U115),IF(_ARA_ORTAK_EKSTRE!AH115="","",_ARA_ORTAK_EKSTRE!AH115))</f>
        <v/>
      </c>
      <c r="J124" s="168" t="str">
        <f>IF($C$3="ÖMER KARTAL",IF(_ARA_ORTAK_EKSTRE!V115="","",_ARA_ORTAK_EKSTRE!V115),IF(_ARA_ORTAK_EKSTRE!AI115="","",_ARA_ORTAK_EKSTRE!AI115))</f>
        <v/>
      </c>
      <c r="K124" s="168" t="str">
        <f>IF($C$3="ÖMER KARTAL",IF(_ARA_ORTAK_EKSTRE!W115="","",_ARA_ORTAK_EKSTRE!W115),IF(_ARA_ORTAK_EKSTRE!AJ115="","",_ARA_ORTAK_EKSTRE!AJ115))</f>
        <v/>
      </c>
      <c r="L124" s="168" t="str">
        <f>IF($C$3="ÖMER KARTAL",IF(_ARA_ORTAK_EKSTRE!X115="","",_ARA_ORTAK_EKSTRE!X115),IF(_ARA_ORTAK_EKSTRE!AK115="","",_ARA_ORTAK_EKSTRE!AK115))</f>
        <v/>
      </c>
      <c r="M124" s="156" t="str">
        <f>IF($C$3="ÖMER KARTAL",IF(_ARA_ORTAK_EKSTRE!Y115="","",_ARA_ORTAK_EKSTRE!Y115),IF(_ARA_ORTAK_EKSTRE!AL115="","",_ARA_ORTAK_EKSTRE!AL115))</f>
        <v/>
      </c>
    </row>
    <row r="125" spans="2:13" ht="29.25" customHeight="1">
      <c r="B125" s="163" t="str">
        <f>IF($C$3="ÖMER KARTAL",IF(_ARA_ORTAK_EKSTRE!N116="","",_ARA_ORTAK_EKSTRE!N116),IF(_ARA_ORTAK_EKSTRE!AA116="","",_ARA_ORTAK_EKSTRE!AA116))</f>
        <v/>
      </c>
      <c r="C125" s="164" t="str">
        <f>IF($C$3="ÖMER KARTAL",IF(_ARA_ORTAK_EKSTRE!O116="","",_ARA_ORTAK_EKSTRE!O116),IF(_ARA_ORTAK_EKSTRE!AB116="","",_ARA_ORTAK_EKSTRE!AB116))</f>
        <v/>
      </c>
      <c r="D125" s="164" t="str">
        <f>IF($C$3="ÖMER KARTAL",IF(_ARA_ORTAK_EKSTRE!P116="","",_ARA_ORTAK_EKSTRE!P116),IF(_ARA_ORTAK_EKSTRE!AC116="","",_ARA_ORTAK_EKSTRE!AC116))</f>
        <v/>
      </c>
      <c r="E125" s="164" t="str">
        <f>IF($C$3="ÖMER KARTAL",IF(_ARA_ORTAK_EKSTRE!Q116="","",_ARA_ORTAK_EKSTRE!Q116),IF(_ARA_ORTAK_EKSTRE!AD116="","",_ARA_ORTAK_EKSTRE!AD116))</f>
        <v/>
      </c>
      <c r="F125" s="164" t="str">
        <f>IF($C$3="ÖMER KARTAL",IF(_ARA_ORTAK_EKSTRE!R116="","",_ARA_ORTAK_EKSTRE!R116),IF(_ARA_ORTAK_EKSTRE!AE116="","",_ARA_ORTAK_EKSTRE!AE116))</f>
        <v/>
      </c>
      <c r="G125" s="159" t="str">
        <f>IF($C$3="ÖMER KARTAL",IF(_ARA_ORTAK_EKSTRE!S116="","",_ARA_ORTAK_EKSTRE!S116),IF(_ARA_ORTAK_EKSTRE!AF116="","",_ARA_ORTAK_EKSTRE!AF116))</f>
        <v/>
      </c>
      <c r="H125" s="168" t="str">
        <f>IF($C$3="ÖMER KARTAL",IF(_ARA_ORTAK_EKSTRE!T116="","",_ARA_ORTAK_EKSTRE!T116),IF(_ARA_ORTAK_EKSTRE!AG116="","",_ARA_ORTAK_EKSTRE!AG116))</f>
        <v/>
      </c>
      <c r="I125" s="168" t="str">
        <f>IF($C$3="ÖMER KARTAL",IF(_ARA_ORTAK_EKSTRE!U116="","",_ARA_ORTAK_EKSTRE!U116),IF(_ARA_ORTAK_EKSTRE!AH116="","",_ARA_ORTAK_EKSTRE!AH116))</f>
        <v/>
      </c>
      <c r="J125" s="168" t="str">
        <f>IF($C$3="ÖMER KARTAL",IF(_ARA_ORTAK_EKSTRE!V116="","",_ARA_ORTAK_EKSTRE!V116),IF(_ARA_ORTAK_EKSTRE!AI116="","",_ARA_ORTAK_EKSTRE!AI116))</f>
        <v/>
      </c>
      <c r="K125" s="168" t="str">
        <f>IF($C$3="ÖMER KARTAL",IF(_ARA_ORTAK_EKSTRE!W116="","",_ARA_ORTAK_EKSTRE!W116),IF(_ARA_ORTAK_EKSTRE!AJ116="","",_ARA_ORTAK_EKSTRE!AJ116))</f>
        <v/>
      </c>
      <c r="L125" s="168" t="str">
        <f>IF($C$3="ÖMER KARTAL",IF(_ARA_ORTAK_EKSTRE!X116="","",_ARA_ORTAK_EKSTRE!X116),IF(_ARA_ORTAK_EKSTRE!AK116="","",_ARA_ORTAK_EKSTRE!AK116))</f>
        <v/>
      </c>
      <c r="M125" s="156" t="str">
        <f>IF($C$3="ÖMER KARTAL",IF(_ARA_ORTAK_EKSTRE!Y116="","",_ARA_ORTAK_EKSTRE!Y116),IF(_ARA_ORTAK_EKSTRE!AL116="","",_ARA_ORTAK_EKSTRE!AL116))</f>
        <v/>
      </c>
    </row>
    <row r="126" spans="2:13" ht="29.25" customHeight="1">
      <c r="B126" s="163" t="str">
        <f>IF($C$3="ÖMER KARTAL",IF(_ARA_ORTAK_EKSTRE!N117="","",_ARA_ORTAK_EKSTRE!N117),IF(_ARA_ORTAK_EKSTRE!AA117="","",_ARA_ORTAK_EKSTRE!AA117))</f>
        <v/>
      </c>
      <c r="C126" s="164" t="str">
        <f>IF($C$3="ÖMER KARTAL",IF(_ARA_ORTAK_EKSTRE!O117="","",_ARA_ORTAK_EKSTRE!O117),IF(_ARA_ORTAK_EKSTRE!AB117="","",_ARA_ORTAK_EKSTRE!AB117))</f>
        <v/>
      </c>
      <c r="D126" s="164" t="str">
        <f>IF($C$3="ÖMER KARTAL",IF(_ARA_ORTAK_EKSTRE!P117="","",_ARA_ORTAK_EKSTRE!P117),IF(_ARA_ORTAK_EKSTRE!AC117="","",_ARA_ORTAK_EKSTRE!AC117))</f>
        <v/>
      </c>
      <c r="E126" s="164" t="str">
        <f>IF($C$3="ÖMER KARTAL",IF(_ARA_ORTAK_EKSTRE!Q117="","",_ARA_ORTAK_EKSTRE!Q117),IF(_ARA_ORTAK_EKSTRE!AD117="","",_ARA_ORTAK_EKSTRE!AD117))</f>
        <v/>
      </c>
      <c r="F126" s="164" t="str">
        <f>IF($C$3="ÖMER KARTAL",IF(_ARA_ORTAK_EKSTRE!R117="","",_ARA_ORTAK_EKSTRE!R117),IF(_ARA_ORTAK_EKSTRE!AE117="","",_ARA_ORTAK_EKSTRE!AE117))</f>
        <v/>
      </c>
      <c r="G126" s="159" t="str">
        <f>IF($C$3="ÖMER KARTAL",IF(_ARA_ORTAK_EKSTRE!S117="","",_ARA_ORTAK_EKSTRE!S117),IF(_ARA_ORTAK_EKSTRE!AF117="","",_ARA_ORTAK_EKSTRE!AF117))</f>
        <v/>
      </c>
      <c r="H126" s="168" t="str">
        <f>IF($C$3="ÖMER KARTAL",IF(_ARA_ORTAK_EKSTRE!T117="","",_ARA_ORTAK_EKSTRE!T117),IF(_ARA_ORTAK_EKSTRE!AG117="","",_ARA_ORTAK_EKSTRE!AG117))</f>
        <v/>
      </c>
      <c r="I126" s="168" t="str">
        <f>IF($C$3="ÖMER KARTAL",IF(_ARA_ORTAK_EKSTRE!U117="","",_ARA_ORTAK_EKSTRE!U117),IF(_ARA_ORTAK_EKSTRE!AH117="","",_ARA_ORTAK_EKSTRE!AH117))</f>
        <v/>
      </c>
      <c r="J126" s="168" t="str">
        <f>IF($C$3="ÖMER KARTAL",IF(_ARA_ORTAK_EKSTRE!V117="","",_ARA_ORTAK_EKSTRE!V117),IF(_ARA_ORTAK_EKSTRE!AI117="","",_ARA_ORTAK_EKSTRE!AI117))</f>
        <v/>
      </c>
      <c r="K126" s="168" t="str">
        <f>IF($C$3="ÖMER KARTAL",IF(_ARA_ORTAK_EKSTRE!W117="","",_ARA_ORTAK_EKSTRE!W117),IF(_ARA_ORTAK_EKSTRE!AJ117="","",_ARA_ORTAK_EKSTRE!AJ117))</f>
        <v/>
      </c>
      <c r="L126" s="168" t="str">
        <f>IF($C$3="ÖMER KARTAL",IF(_ARA_ORTAK_EKSTRE!X117="","",_ARA_ORTAK_EKSTRE!X117),IF(_ARA_ORTAK_EKSTRE!AK117="","",_ARA_ORTAK_EKSTRE!AK117))</f>
        <v/>
      </c>
      <c r="M126" s="156" t="str">
        <f>IF($C$3="ÖMER KARTAL",IF(_ARA_ORTAK_EKSTRE!Y117="","",_ARA_ORTAK_EKSTRE!Y117),IF(_ARA_ORTAK_EKSTRE!AL117="","",_ARA_ORTAK_EKSTRE!AL117))</f>
        <v/>
      </c>
    </row>
    <row r="127" spans="2:13" ht="29.25" customHeight="1">
      <c r="B127" s="163" t="str">
        <f>IF($C$3="ÖMER KARTAL",IF(_ARA_ORTAK_EKSTRE!N118="","",_ARA_ORTAK_EKSTRE!N118),IF(_ARA_ORTAK_EKSTRE!AA118="","",_ARA_ORTAK_EKSTRE!AA118))</f>
        <v/>
      </c>
      <c r="C127" s="164" t="str">
        <f>IF($C$3="ÖMER KARTAL",IF(_ARA_ORTAK_EKSTRE!O118="","",_ARA_ORTAK_EKSTRE!O118),IF(_ARA_ORTAK_EKSTRE!AB118="","",_ARA_ORTAK_EKSTRE!AB118))</f>
        <v/>
      </c>
      <c r="D127" s="164" t="str">
        <f>IF($C$3="ÖMER KARTAL",IF(_ARA_ORTAK_EKSTRE!P118="","",_ARA_ORTAK_EKSTRE!P118),IF(_ARA_ORTAK_EKSTRE!AC118="","",_ARA_ORTAK_EKSTRE!AC118))</f>
        <v/>
      </c>
      <c r="E127" s="164" t="str">
        <f>IF($C$3="ÖMER KARTAL",IF(_ARA_ORTAK_EKSTRE!Q118="","",_ARA_ORTAK_EKSTRE!Q118),IF(_ARA_ORTAK_EKSTRE!AD118="","",_ARA_ORTAK_EKSTRE!AD118))</f>
        <v/>
      </c>
      <c r="F127" s="164" t="str">
        <f>IF($C$3="ÖMER KARTAL",IF(_ARA_ORTAK_EKSTRE!R118="","",_ARA_ORTAK_EKSTRE!R118),IF(_ARA_ORTAK_EKSTRE!AE118="","",_ARA_ORTAK_EKSTRE!AE118))</f>
        <v/>
      </c>
      <c r="G127" s="159" t="str">
        <f>IF($C$3="ÖMER KARTAL",IF(_ARA_ORTAK_EKSTRE!S118="","",_ARA_ORTAK_EKSTRE!S118),IF(_ARA_ORTAK_EKSTRE!AF118="","",_ARA_ORTAK_EKSTRE!AF118))</f>
        <v/>
      </c>
      <c r="H127" s="168" t="str">
        <f>IF($C$3="ÖMER KARTAL",IF(_ARA_ORTAK_EKSTRE!T118="","",_ARA_ORTAK_EKSTRE!T118),IF(_ARA_ORTAK_EKSTRE!AG118="","",_ARA_ORTAK_EKSTRE!AG118))</f>
        <v/>
      </c>
      <c r="I127" s="168" t="str">
        <f>IF($C$3="ÖMER KARTAL",IF(_ARA_ORTAK_EKSTRE!U118="","",_ARA_ORTAK_EKSTRE!U118),IF(_ARA_ORTAK_EKSTRE!AH118="","",_ARA_ORTAK_EKSTRE!AH118))</f>
        <v/>
      </c>
      <c r="J127" s="168" t="str">
        <f>IF($C$3="ÖMER KARTAL",IF(_ARA_ORTAK_EKSTRE!V118="","",_ARA_ORTAK_EKSTRE!V118),IF(_ARA_ORTAK_EKSTRE!AI118="","",_ARA_ORTAK_EKSTRE!AI118))</f>
        <v/>
      </c>
      <c r="K127" s="168" t="str">
        <f>IF($C$3="ÖMER KARTAL",IF(_ARA_ORTAK_EKSTRE!W118="","",_ARA_ORTAK_EKSTRE!W118),IF(_ARA_ORTAK_EKSTRE!AJ118="","",_ARA_ORTAK_EKSTRE!AJ118))</f>
        <v/>
      </c>
      <c r="L127" s="168" t="str">
        <f>IF($C$3="ÖMER KARTAL",IF(_ARA_ORTAK_EKSTRE!X118="","",_ARA_ORTAK_EKSTRE!X118),IF(_ARA_ORTAK_EKSTRE!AK118="","",_ARA_ORTAK_EKSTRE!AK118))</f>
        <v/>
      </c>
      <c r="M127" s="156" t="str">
        <f>IF($C$3="ÖMER KARTAL",IF(_ARA_ORTAK_EKSTRE!Y118="","",_ARA_ORTAK_EKSTRE!Y118),IF(_ARA_ORTAK_EKSTRE!AL118="","",_ARA_ORTAK_EKSTRE!AL118))</f>
        <v/>
      </c>
    </row>
    <row r="128" spans="2:13" ht="29.25" customHeight="1">
      <c r="B128" s="163" t="str">
        <f>IF($C$3="ÖMER KARTAL",IF(_ARA_ORTAK_EKSTRE!N119="","",_ARA_ORTAK_EKSTRE!N119),IF(_ARA_ORTAK_EKSTRE!AA119="","",_ARA_ORTAK_EKSTRE!AA119))</f>
        <v/>
      </c>
      <c r="C128" s="164" t="str">
        <f>IF($C$3="ÖMER KARTAL",IF(_ARA_ORTAK_EKSTRE!O119="","",_ARA_ORTAK_EKSTRE!O119),IF(_ARA_ORTAK_EKSTRE!AB119="","",_ARA_ORTAK_EKSTRE!AB119))</f>
        <v/>
      </c>
      <c r="D128" s="164" t="str">
        <f>IF($C$3="ÖMER KARTAL",IF(_ARA_ORTAK_EKSTRE!P119="","",_ARA_ORTAK_EKSTRE!P119),IF(_ARA_ORTAK_EKSTRE!AC119="","",_ARA_ORTAK_EKSTRE!AC119))</f>
        <v/>
      </c>
      <c r="E128" s="164" t="str">
        <f>IF($C$3="ÖMER KARTAL",IF(_ARA_ORTAK_EKSTRE!Q119="","",_ARA_ORTAK_EKSTRE!Q119),IF(_ARA_ORTAK_EKSTRE!AD119="","",_ARA_ORTAK_EKSTRE!AD119))</f>
        <v/>
      </c>
      <c r="F128" s="164" t="str">
        <f>IF($C$3="ÖMER KARTAL",IF(_ARA_ORTAK_EKSTRE!R119="","",_ARA_ORTAK_EKSTRE!R119),IF(_ARA_ORTAK_EKSTRE!AE119="","",_ARA_ORTAK_EKSTRE!AE119))</f>
        <v/>
      </c>
      <c r="G128" s="159" t="str">
        <f>IF($C$3="ÖMER KARTAL",IF(_ARA_ORTAK_EKSTRE!S119="","",_ARA_ORTAK_EKSTRE!S119),IF(_ARA_ORTAK_EKSTRE!AF119="","",_ARA_ORTAK_EKSTRE!AF119))</f>
        <v/>
      </c>
      <c r="H128" s="168" t="str">
        <f>IF($C$3="ÖMER KARTAL",IF(_ARA_ORTAK_EKSTRE!T119="","",_ARA_ORTAK_EKSTRE!T119),IF(_ARA_ORTAK_EKSTRE!AG119="","",_ARA_ORTAK_EKSTRE!AG119))</f>
        <v/>
      </c>
      <c r="I128" s="168" t="str">
        <f>IF($C$3="ÖMER KARTAL",IF(_ARA_ORTAK_EKSTRE!U119="","",_ARA_ORTAK_EKSTRE!U119),IF(_ARA_ORTAK_EKSTRE!AH119="","",_ARA_ORTAK_EKSTRE!AH119))</f>
        <v/>
      </c>
      <c r="J128" s="168" t="str">
        <f>IF($C$3="ÖMER KARTAL",IF(_ARA_ORTAK_EKSTRE!V119="","",_ARA_ORTAK_EKSTRE!V119),IF(_ARA_ORTAK_EKSTRE!AI119="","",_ARA_ORTAK_EKSTRE!AI119))</f>
        <v/>
      </c>
      <c r="K128" s="168" t="str">
        <f>IF($C$3="ÖMER KARTAL",IF(_ARA_ORTAK_EKSTRE!W119="","",_ARA_ORTAK_EKSTRE!W119),IF(_ARA_ORTAK_EKSTRE!AJ119="","",_ARA_ORTAK_EKSTRE!AJ119))</f>
        <v/>
      </c>
      <c r="L128" s="168" t="str">
        <f>IF($C$3="ÖMER KARTAL",IF(_ARA_ORTAK_EKSTRE!X119="","",_ARA_ORTAK_EKSTRE!X119),IF(_ARA_ORTAK_EKSTRE!AK119="","",_ARA_ORTAK_EKSTRE!AK119))</f>
        <v/>
      </c>
      <c r="M128" s="156" t="str">
        <f>IF($C$3="ÖMER KARTAL",IF(_ARA_ORTAK_EKSTRE!Y119="","",_ARA_ORTAK_EKSTRE!Y119),IF(_ARA_ORTAK_EKSTRE!AL119="","",_ARA_ORTAK_EKSTRE!AL119))</f>
        <v/>
      </c>
    </row>
    <row r="129" spans="2:13" ht="29.25" customHeight="1">
      <c r="B129" s="163" t="str">
        <f>IF($C$3="ÖMER KARTAL",IF(_ARA_ORTAK_EKSTRE!N120="","",_ARA_ORTAK_EKSTRE!N120),IF(_ARA_ORTAK_EKSTRE!AA120="","",_ARA_ORTAK_EKSTRE!AA120))</f>
        <v/>
      </c>
      <c r="C129" s="164" t="str">
        <f>IF($C$3="ÖMER KARTAL",IF(_ARA_ORTAK_EKSTRE!O120="","",_ARA_ORTAK_EKSTRE!O120),IF(_ARA_ORTAK_EKSTRE!AB120="","",_ARA_ORTAK_EKSTRE!AB120))</f>
        <v/>
      </c>
      <c r="D129" s="164" t="str">
        <f>IF($C$3="ÖMER KARTAL",IF(_ARA_ORTAK_EKSTRE!P120="","",_ARA_ORTAK_EKSTRE!P120),IF(_ARA_ORTAK_EKSTRE!AC120="","",_ARA_ORTAK_EKSTRE!AC120))</f>
        <v/>
      </c>
      <c r="E129" s="164" t="str">
        <f>IF($C$3="ÖMER KARTAL",IF(_ARA_ORTAK_EKSTRE!Q120="","",_ARA_ORTAK_EKSTRE!Q120),IF(_ARA_ORTAK_EKSTRE!AD120="","",_ARA_ORTAK_EKSTRE!AD120))</f>
        <v/>
      </c>
      <c r="F129" s="164" t="str">
        <f>IF($C$3="ÖMER KARTAL",IF(_ARA_ORTAK_EKSTRE!R120="","",_ARA_ORTAK_EKSTRE!R120),IF(_ARA_ORTAK_EKSTRE!AE120="","",_ARA_ORTAK_EKSTRE!AE120))</f>
        <v/>
      </c>
      <c r="G129" s="159" t="str">
        <f>IF($C$3="ÖMER KARTAL",IF(_ARA_ORTAK_EKSTRE!S120="","",_ARA_ORTAK_EKSTRE!S120),IF(_ARA_ORTAK_EKSTRE!AF120="","",_ARA_ORTAK_EKSTRE!AF120))</f>
        <v/>
      </c>
      <c r="H129" s="168" t="str">
        <f>IF($C$3="ÖMER KARTAL",IF(_ARA_ORTAK_EKSTRE!T120="","",_ARA_ORTAK_EKSTRE!T120),IF(_ARA_ORTAK_EKSTRE!AG120="","",_ARA_ORTAK_EKSTRE!AG120))</f>
        <v/>
      </c>
      <c r="I129" s="168" t="str">
        <f>IF($C$3="ÖMER KARTAL",IF(_ARA_ORTAK_EKSTRE!U120="","",_ARA_ORTAK_EKSTRE!U120),IF(_ARA_ORTAK_EKSTRE!AH120="","",_ARA_ORTAK_EKSTRE!AH120))</f>
        <v/>
      </c>
      <c r="J129" s="168" t="str">
        <f>IF($C$3="ÖMER KARTAL",IF(_ARA_ORTAK_EKSTRE!V120="","",_ARA_ORTAK_EKSTRE!V120),IF(_ARA_ORTAK_EKSTRE!AI120="","",_ARA_ORTAK_EKSTRE!AI120))</f>
        <v/>
      </c>
      <c r="K129" s="168" t="str">
        <f>IF($C$3="ÖMER KARTAL",IF(_ARA_ORTAK_EKSTRE!W120="","",_ARA_ORTAK_EKSTRE!W120),IF(_ARA_ORTAK_EKSTRE!AJ120="","",_ARA_ORTAK_EKSTRE!AJ120))</f>
        <v/>
      </c>
      <c r="L129" s="168" t="str">
        <f>IF($C$3="ÖMER KARTAL",IF(_ARA_ORTAK_EKSTRE!X120="","",_ARA_ORTAK_EKSTRE!X120),IF(_ARA_ORTAK_EKSTRE!AK120="","",_ARA_ORTAK_EKSTRE!AK120))</f>
        <v/>
      </c>
      <c r="M129" s="156" t="str">
        <f>IF($C$3="ÖMER KARTAL",IF(_ARA_ORTAK_EKSTRE!Y120="","",_ARA_ORTAK_EKSTRE!Y120),IF(_ARA_ORTAK_EKSTRE!AL120="","",_ARA_ORTAK_EKSTRE!AL120))</f>
        <v/>
      </c>
    </row>
    <row r="130" spans="2:13" ht="29.25" customHeight="1">
      <c r="B130" s="163" t="str">
        <f>IF($C$3="ÖMER KARTAL",IF(_ARA_ORTAK_EKSTRE!N121="","",_ARA_ORTAK_EKSTRE!N121),IF(_ARA_ORTAK_EKSTRE!AA121="","",_ARA_ORTAK_EKSTRE!AA121))</f>
        <v/>
      </c>
      <c r="C130" s="164" t="str">
        <f>IF($C$3="ÖMER KARTAL",IF(_ARA_ORTAK_EKSTRE!O121="","",_ARA_ORTAK_EKSTRE!O121),IF(_ARA_ORTAK_EKSTRE!AB121="","",_ARA_ORTAK_EKSTRE!AB121))</f>
        <v/>
      </c>
      <c r="D130" s="164" t="str">
        <f>IF($C$3="ÖMER KARTAL",IF(_ARA_ORTAK_EKSTRE!P121="","",_ARA_ORTAK_EKSTRE!P121),IF(_ARA_ORTAK_EKSTRE!AC121="","",_ARA_ORTAK_EKSTRE!AC121))</f>
        <v/>
      </c>
      <c r="E130" s="164" t="str">
        <f>IF($C$3="ÖMER KARTAL",IF(_ARA_ORTAK_EKSTRE!Q121="","",_ARA_ORTAK_EKSTRE!Q121),IF(_ARA_ORTAK_EKSTRE!AD121="","",_ARA_ORTAK_EKSTRE!AD121))</f>
        <v/>
      </c>
      <c r="F130" s="164" t="str">
        <f>IF($C$3="ÖMER KARTAL",IF(_ARA_ORTAK_EKSTRE!R121="","",_ARA_ORTAK_EKSTRE!R121),IF(_ARA_ORTAK_EKSTRE!AE121="","",_ARA_ORTAK_EKSTRE!AE121))</f>
        <v/>
      </c>
      <c r="G130" s="159" t="str">
        <f>IF($C$3="ÖMER KARTAL",IF(_ARA_ORTAK_EKSTRE!S121="","",_ARA_ORTAK_EKSTRE!S121),IF(_ARA_ORTAK_EKSTRE!AF121="","",_ARA_ORTAK_EKSTRE!AF121))</f>
        <v/>
      </c>
      <c r="H130" s="168" t="str">
        <f>IF($C$3="ÖMER KARTAL",IF(_ARA_ORTAK_EKSTRE!T121="","",_ARA_ORTAK_EKSTRE!T121),IF(_ARA_ORTAK_EKSTRE!AG121="","",_ARA_ORTAK_EKSTRE!AG121))</f>
        <v/>
      </c>
      <c r="I130" s="168" t="str">
        <f>IF($C$3="ÖMER KARTAL",IF(_ARA_ORTAK_EKSTRE!U121="","",_ARA_ORTAK_EKSTRE!U121),IF(_ARA_ORTAK_EKSTRE!AH121="","",_ARA_ORTAK_EKSTRE!AH121))</f>
        <v/>
      </c>
      <c r="J130" s="168" t="str">
        <f>IF($C$3="ÖMER KARTAL",IF(_ARA_ORTAK_EKSTRE!V121="","",_ARA_ORTAK_EKSTRE!V121),IF(_ARA_ORTAK_EKSTRE!AI121="","",_ARA_ORTAK_EKSTRE!AI121))</f>
        <v/>
      </c>
      <c r="K130" s="168" t="str">
        <f>IF($C$3="ÖMER KARTAL",IF(_ARA_ORTAK_EKSTRE!W121="","",_ARA_ORTAK_EKSTRE!W121),IF(_ARA_ORTAK_EKSTRE!AJ121="","",_ARA_ORTAK_EKSTRE!AJ121))</f>
        <v/>
      </c>
      <c r="L130" s="168" t="str">
        <f>IF($C$3="ÖMER KARTAL",IF(_ARA_ORTAK_EKSTRE!X121="","",_ARA_ORTAK_EKSTRE!X121),IF(_ARA_ORTAK_EKSTRE!AK121="","",_ARA_ORTAK_EKSTRE!AK121))</f>
        <v/>
      </c>
      <c r="M130" s="156" t="str">
        <f>IF($C$3="ÖMER KARTAL",IF(_ARA_ORTAK_EKSTRE!Y121="","",_ARA_ORTAK_EKSTRE!Y121),IF(_ARA_ORTAK_EKSTRE!AL121="","",_ARA_ORTAK_EKSTRE!AL121))</f>
        <v/>
      </c>
    </row>
    <row r="131" spans="2:13" ht="29.25" customHeight="1">
      <c r="B131" s="163" t="str">
        <f>IF($C$3="ÖMER KARTAL",IF(_ARA_ORTAK_EKSTRE!N122="","",_ARA_ORTAK_EKSTRE!N122),IF(_ARA_ORTAK_EKSTRE!AA122="","",_ARA_ORTAK_EKSTRE!AA122))</f>
        <v/>
      </c>
      <c r="C131" s="164" t="str">
        <f>IF($C$3="ÖMER KARTAL",IF(_ARA_ORTAK_EKSTRE!O122="","",_ARA_ORTAK_EKSTRE!O122),IF(_ARA_ORTAK_EKSTRE!AB122="","",_ARA_ORTAK_EKSTRE!AB122))</f>
        <v/>
      </c>
      <c r="D131" s="164" t="str">
        <f>IF($C$3="ÖMER KARTAL",IF(_ARA_ORTAK_EKSTRE!P122="","",_ARA_ORTAK_EKSTRE!P122),IF(_ARA_ORTAK_EKSTRE!AC122="","",_ARA_ORTAK_EKSTRE!AC122))</f>
        <v/>
      </c>
      <c r="E131" s="164" t="str">
        <f>IF($C$3="ÖMER KARTAL",IF(_ARA_ORTAK_EKSTRE!Q122="","",_ARA_ORTAK_EKSTRE!Q122),IF(_ARA_ORTAK_EKSTRE!AD122="","",_ARA_ORTAK_EKSTRE!AD122))</f>
        <v/>
      </c>
      <c r="F131" s="164" t="str">
        <f>IF($C$3="ÖMER KARTAL",IF(_ARA_ORTAK_EKSTRE!R122="","",_ARA_ORTAK_EKSTRE!R122),IF(_ARA_ORTAK_EKSTRE!AE122="","",_ARA_ORTAK_EKSTRE!AE122))</f>
        <v/>
      </c>
      <c r="G131" s="159" t="str">
        <f>IF($C$3="ÖMER KARTAL",IF(_ARA_ORTAK_EKSTRE!S122="","",_ARA_ORTAK_EKSTRE!S122),IF(_ARA_ORTAK_EKSTRE!AF122="","",_ARA_ORTAK_EKSTRE!AF122))</f>
        <v/>
      </c>
      <c r="H131" s="168" t="str">
        <f>IF($C$3="ÖMER KARTAL",IF(_ARA_ORTAK_EKSTRE!T122="","",_ARA_ORTAK_EKSTRE!T122),IF(_ARA_ORTAK_EKSTRE!AG122="","",_ARA_ORTAK_EKSTRE!AG122))</f>
        <v/>
      </c>
      <c r="I131" s="168" t="str">
        <f>IF($C$3="ÖMER KARTAL",IF(_ARA_ORTAK_EKSTRE!U122="","",_ARA_ORTAK_EKSTRE!U122),IF(_ARA_ORTAK_EKSTRE!AH122="","",_ARA_ORTAK_EKSTRE!AH122))</f>
        <v/>
      </c>
      <c r="J131" s="168" t="str">
        <f>IF($C$3="ÖMER KARTAL",IF(_ARA_ORTAK_EKSTRE!V122="","",_ARA_ORTAK_EKSTRE!V122),IF(_ARA_ORTAK_EKSTRE!AI122="","",_ARA_ORTAK_EKSTRE!AI122))</f>
        <v/>
      </c>
      <c r="K131" s="168" t="str">
        <f>IF($C$3="ÖMER KARTAL",IF(_ARA_ORTAK_EKSTRE!W122="","",_ARA_ORTAK_EKSTRE!W122),IF(_ARA_ORTAK_EKSTRE!AJ122="","",_ARA_ORTAK_EKSTRE!AJ122))</f>
        <v/>
      </c>
      <c r="L131" s="168" t="str">
        <f>IF($C$3="ÖMER KARTAL",IF(_ARA_ORTAK_EKSTRE!X122="","",_ARA_ORTAK_EKSTRE!X122),IF(_ARA_ORTAK_EKSTRE!AK122="","",_ARA_ORTAK_EKSTRE!AK122))</f>
        <v/>
      </c>
      <c r="M131" s="156" t="str">
        <f>IF($C$3="ÖMER KARTAL",IF(_ARA_ORTAK_EKSTRE!Y122="","",_ARA_ORTAK_EKSTRE!Y122),IF(_ARA_ORTAK_EKSTRE!AL122="","",_ARA_ORTAK_EKSTRE!AL122))</f>
        <v/>
      </c>
    </row>
    <row r="132" spans="2:13" ht="29.25" customHeight="1">
      <c r="B132" s="163" t="str">
        <f>IF($C$3="ÖMER KARTAL",IF(_ARA_ORTAK_EKSTRE!N123="","",_ARA_ORTAK_EKSTRE!N123),IF(_ARA_ORTAK_EKSTRE!AA123="","",_ARA_ORTAK_EKSTRE!AA123))</f>
        <v/>
      </c>
      <c r="C132" s="164" t="str">
        <f>IF($C$3="ÖMER KARTAL",IF(_ARA_ORTAK_EKSTRE!O123="","",_ARA_ORTAK_EKSTRE!O123),IF(_ARA_ORTAK_EKSTRE!AB123="","",_ARA_ORTAK_EKSTRE!AB123))</f>
        <v/>
      </c>
      <c r="D132" s="164" t="str">
        <f>IF($C$3="ÖMER KARTAL",IF(_ARA_ORTAK_EKSTRE!P123="","",_ARA_ORTAK_EKSTRE!P123),IF(_ARA_ORTAK_EKSTRE!AC123="","",_ARA_ORTAK_EKSTRE!AC123))</f>
        <v/>
      </c>
      <c r="E132" s="164" t="str">
        <f>IF($C$3="ÖMER KARTAL",IF(_ARA_ORTAK_EKSTRE!Q123="","",_ARA_ORTAK_EKSTRE!Q123),IF(_ARA_ORTAK_EKSTRE!AD123="","",_ARA_ORTAK_EKSTRE!AD123))</f>
        <v/>
      </c>
      <c r="F132" s="164" t="str">
        <f>IF($C$3="ÖMER KARTAL",IF(_ARA_ORTAK_EKSTRE!R123="","",_ARA_ORTAK_EKSTRE!R123),IF(_ARA_ORTAK_EKSTRE!AE123="","",_ARA_ORTAK_EKSTRE!AE123))</f>
        <v/>
      </c>
      <c r="G132" s="159" t="str">
        <f>IF($C$3="ÖMER KARTAL",IF(_ARA_ORTAK_EKSTRE!S123="","",_ARA_ORTAK_EKSTRE!S123),IF(_ARA_ORTAK_EKSTRE!AF123="","",_ARA_ORTAK_EKSTRE!AF123))</f>
        <v/>
      </c>
      <c r="H132" s="168" t="str">
        <f>IF($C$3="ÖMER KARTAL",IF(_ARA_ORTAK_EKSTRE!T123="","",_ARA_ORTAK_EKSTRE!T123),IF(_ARA_ORTAK_EKSTRE!AG123="","",_ARA_ORTAK_EKSTRE!AG123))</f>
        <v/>
      </c>
      <c r="I132" s="168" t="str">
        <f>IF($C$3="ÖMER KARTAL",IF(_ARA_ORTAK_EKSTRE!U123="","",_ARA_ORTAK_EKSTRE!U123),IF(_ARA_ORTAK_EKSTRE!AH123="","",_ARA_ORTAK_EKSTRE!AH123))</f>
        <v/>
      </c>
      <c r="J132" s="168" t="str">
        <f>IF($C$3="ÖMER KARTAL",IF(_ARA_ORTAK_EKSTRE!V123="","",_ARA_ORTAK_EKSTRE!V123),IF(_ARA_ORTAK_EKSTRE!AI123="","",_ARA_ORTAK_EKSTRE!AI123))</f>
        <v/>
      </c>
      <c r="K132" s="168" t="str">
        <f>IF($C$3="ÖMER KARTAL",IF(_ARA_ORTAK_EKSTRE!W123="","",_ARA_ORTAK_EKSTRE!W123),IF(_ARA_ORTAK_EKSTRE!AJ123="","",_ARA_ORTAK_EKSTRE!AJ123))</f>
        <v/>
      </c>
      <c r="L132" s="168" t="str">
        <f>IF($C$3="ÖMER KARTAL",IF(_ARA_ORTAK_EKSTRE!X123="","",_ARA_ORTAK_EKSTRE!X123),IF(_ARA_ORTAK_EKSTRE!AK123="","",_ARA_ORTAK_EKSTRE!AK123))</f>
        <v/>
      </c>
      <c r="M132" s="156" t="str">
        <f>IF($C$3="ÖMER KARTAL",IF(_ARA_ORTAK_EKSTRE!Y123="","",_ARA_ORTAK_EKSTRE!Y123),IF(_ARA_ORTAK_EKSTRE!AL123="","",_ARA_ORTAK_EKSTRE!AL123))</f>
        <v/>
      </c>
    </row>
    <row r="133" spans="2:13" ht="29.25" customHeight="1">
      <c r="B133" s="163" t="str">
        <f>IF($C$3="ÖMER KARTAL",IF(_ARA_ORTAK_EKSTRE!N124="","",_ARA_ORTAK_EKSTRE!N124),IF(_ARA_ORTAK_EKSTRE!AA124="","",_ARA_ORTAK_EKSTRE!AA124))</f>
        <v/>
      </c>
      <c r="C133" s="164" t="str">
        <f>IF($C$3="ÖMER KARTAL",IF(_ARA_ORTAK_EKSTRE!O124="","",_ARA_ORTAK_EKSTRE!O124),IF(_ARA_ORTAK_EKSTRE!AB124="","",_ARA_ORTAK_EKSTRE!AB124))</f>
        <v/>
      </c>
      <c r="D133" s="164" t="str">
        <f>IF($C$3="ÖMER KARTAL",IF(_ARA_ORTAK_EKSTRE!P124="","",_ARA_ORTAK_EKSTRE!P124),IF(_ARA_ORTAK_EKSTRE!AC124="","",_ARA_ORTAK_EKSTRE!AC124))</f>
        <v/>
      </c>
      <c r="E133" s="164" t="str">
        <f>IF($C$3="ÖMER KARTAL",IF(_ARA_ORTAK_EKSTRE!Q124="","",_ARA_ORTAK_EKSTRE!Q124),IF(_ARA_ORTAK_EKSTRE!AD124="","",_ARA_ORTAK_EKSTRE!AD124))</f>
        <v/>
      </c>
      <c r="F133" s="164" t="str">
        <f>IF($C$3="ÖMER KARTAL",IF(_ARA_ORTAK_EKSTRE!R124="","",_ARA_ORTAK_EKSTRE!R124),IF(_ARA_ORTAK_EKSTRE!AE124="","",_ARA_ORTAK_EKSTRE!AE124))</f>
        <v/>
      </c>
      <c r="G133" s="159" t="str">
        <f>IF($C$3="ÖMER KARTAL",IF(_ARA_ORTAK_EKSTRE!S124="","",_ARA_ORTAK_EKSTRE!S124),IF(_ARA_ORTAK_EKSTRE!AF124="","",_ARA_ORTAK_EKSTRE!AF124))</f>
        <v/>
      </c>
      <c r="H133" s="168" t="str">
        <f>IF($C$3="ÖMER KARTAL",IF(_ARA_ORTAK_EKSTRE!T124="","",_ARA_ORTAK_EKSTRE!T124),IF(_ARA_ORTAK_EKSTRE!AG124="","",_ARA_ORTAK_EKSTRE!AG124))</f>
        <v/>
      </c>
      <c r="I133" s="168" t="str">
        <f>IF($C$3="ÖMER KARTAL",IF(_ARA_ORTAK_EKSTRE!U124="","",_ARA_ORTAK_EKSTRE!U124),IF(_ARA_ORTAK_EKSTRE!AH124="","",_ARA_ORTAK_EKSTRE!AH124))</f>
        <v/>
      </c>
      <c r="J133" s="168" t="str">
        <f>IF($C$3="ÖMER KARTAL",IF(_ARA_ORTAK_EKSTRE!V124="","",_ARA_ORTAK_EKSTRE!V124),IF(_ARA_ORTAK_EKSTRE!AI124="","",_ARA_ORTAK_EKSTRE!AI124))</f>
        <v/>
      </c>
      <c r="K133" s="168" t="str">
        <f>IF($C$3="ÖMER KARTAL",IF(_ARA_ORTAK_EKSTRE!W124="","",_ARA_ORTAK_EKSTRE!W124),IF(_ARA_ORTAK_EKSTRE!AJ124="","",_ARA_ORTAK_EKSTRE!AJ124))</f>
        <v/>
      </c>
      <c r="L133" s="168" t="str">
        <f>IF($C$3="ÖMER KARTAL",IF(_ARA_ORTAK_EKSTRE!X124="","",_ARA_ORTAK_EKSTRE!X124),IF(_ARA_ORTAK_EKSTRE!AK124="","",_ARA_ORTAK_EKSTRE!AK124))</f>
        <v/>
      </c>
      <c r="M133" s="156" t="str">
        <f>IF($C$3="ÖMER KARTAL",IF(_ARA_ORTAK_EKSTRE!Y124="","",_ARA_ORTAK_EKSTRE!Y124),IF(_ARA_ORTAK_EKSTRE!AL124="","",_ARA_ORTAK_EKSTRE!AL124))</f>
        <v/>
      </c>
    </row>
    <row r="134" spans="2:13" ht="29.25" customHeight="1">
      <c r="B134" s="163" t="str">
        <f>IF($C$3="ÖMER KARTAL",IF(_ARA_ORTAK_EKSTRE!N125="","",_ARA_ORTAK_EKSTRE!N125),IF(_ARA_ORTAK_EKSTRE!AA125="","",_ARA_ORTAK_EKSTRE!AA125))</f>
        <v/>
      </c>
      <c r="C134" s="164" t="str">
        <f>IF($C$3="ÖMER KARTAL",IF(_ARA_ORTAK_EKSTRE!O125="","",_ARA_ORTAK_EKSTRE!O125),IF(_ARA_ORTAK_EKSTRE!AB125="","",_ARA_ORTAK_EKSTRE!AB125))</f>
        <v/>
      </c>
      <c r="D134" s="164" t="str">
        <f>IF($C$3="ÖMER KARTAL",IF(_ARA_ORTAK_EKSTRE!P125="","",_ARA_ORTAK_EKSTRE!P125),IF(_ARA_ORTAK_EKSTRE!AC125="","",_ARA_ORTAK_EKSTRE!AC125))</f>
        <v/>
      </c>
      <c r="E134" s="164" t="str">
        <f>IF($C$3="ÖMER KARTAL",IF(_ARA_ORTAK_EKSTRE!Q125="","",_ARA_ORTAK_EKSTRE!Q125),IF(_ARA_ORTAK_EKSTRE!AD125="","",_ARA_ORTAK_EKSTRE!AD125))</f>
        <v/>
      </c>
      <c r="F134" s="164" t="str">
        <f>IF($C$3="ÖMER KARTAL",IF(_ARA_ORTAK_EKSTRE!R125="","",_ARA_ORTAK_EKSTRE!R125),IF(_ARA_ORTAK_EKSTRE!AE125="","",_ARA_ORTAK_EKSTRE!AE125))</f>
        <v/>
      </c>
      <c r="G134" s="159" t="str">
        <f>IF($C$3="ÖMER KARTAL",IF(_ARA_ORTAK_EKSTRE!S125="","",_ARA_ORTAK_EKSTRE!S125),IF(_ARA_ORTAK_EKSTRE!AF125="","",_ARA_ORTAK_EKSTRE!AF125))</f>
        <v/>
      </c>
      <c r="H134" s="168" t="str">
        <f>IF($C$3="ÖMER KARTAL",IF(_ARA_ORTAK_EKSTRE!T125="","",_ARA_ORTAK_EKSTRE!T125),IF(_ARA_ORTAK_EKSTRE!AG125="","",_ARA_ORTAK_EKSTRE!AG125))</f>
        <v/>
      </c>
      <c r="I134" s="168" t="str">
        <f>IF($C$3="ÖMER KARTAL",IF(_ARA_ORTAK_EKSTRE!U125="","",_ARA_ORTAK_EKSTRE!U125),IF(_ARA_ORTAK_EKSTRE!AH125="","",_ARA_ORTAK_EKSTRE!AH125))</f>
        <v/>
      </c>
      <c r="J134" s="168" t="str">
        <f>IF($C$3="ÖMER KARTAL",IF(_ARA_ORTAK_EKSTRE!V125="","",_ARA_ORTAK_EKSTRE!V125),IF(_ARA_ORTAK_EKSTRE!AI125="","",_ARA_ORTAK_EKSTRE!AI125))</f>
        <v/>
      </c>
      <c r="K134" s="168" t="str">
        <f>IF($C$3="ÖMER KARTAL",IF(_ARA_ORTAK_EKSTRE!W125="","",_ARA_ORTAK_EKSTRE!W125),IF(_ARA_ORTAK_EKSTRE!AJ125="","",_ARA_ORTAK_EKSTRE!AJ125))</f>
        <v/>
      </c>
      <c r="L134" s="168" t="str">
        <f>IF($C$3="ÖMER KARTAL",IF(_ARA_ORTAK_EKSTRE!X125="","",_ARA_ORTAK_EKSTRE!X125),IF(_ARA_ORTAK_EKSTRE!AK125="","",_ARA_ORTAK_EKSTRE!AK125))</f>
        <v/>
      </c>
      <c r="M134" s="156" t="str">
        <f>IF($C$3="ÖMER KARTAL",IF(_ARA_ORTAK_EKSTRE!Y125="","",_ARA_ORTAK_EKSTRE!Y125),IF(_ARA_ORTAK_EKSTRE!AL125="","",_ARA_ORTAK_EKSTRE!AL125))</f>
        <v/>
      </c>
    </row>
    <row r="135" spans="2:13" ht="29.25" customHeight="1">
      <c r="B135" s="163" t="str">
        <f>IF($C$3="ÖMER KARTAL",IF(_ARA_ORTAK_EKSTRE!N126="","",_ARA_ORTAK_EKSTRE!N126),IF(_ARA_ORTAK_EKSTRE!AA126="","",_ARA_ORTAK_EKSTRE!AA126))</f>
        <v/>
      </c>
      <c r="C135" s="164" t="str">
        <f>IF($C$3="ÖMER KARTAL",IF(_ARA_ORTAK_EKSTRE!O126="","",_ARA_ORTAK_EKSTRE!O126),IF(_ARA_ORTAK_EKSTRE!AB126="","",_ARA_ORTAK_EKSTRE!AB126))</f>
        <v/>
      </c>
      <c r="D135" s="164" t="str">
        <f>IF($C$3="ÖMER KARTAL",IF(_ARA_ORTAK_EKSTRE!P126="","",_ARA_ORTAK_EKSTRE!P126),IF(_ARA_ORTAK_EKSTRE!AC126="","",_ARA_ORTAK_EKSTRE!AC126))</f>
        <v/>
      </c>
      <c r="E135" s="164" t="str">
        <f>IF($C$3="ÖMER KARTAL",IF(_ARA_ORTAK_EKSTRE!Q126="","",_ARA_ORTAK_EKSTRE!Q126),IF(_ARA_ORTAK_EKSTRE!AD126="","",_ARA_ORTAK_EKSTRE!AD126))</f>
        <v/>
      </c>
      <c r="F135" s="164" t="str">
        <f>IF($C$3="ÖMER KARTAL",IF(_ARA_ORTAK_EKSTRE!R126="","",_ARA_ORTAK_EKSTRE!R126),IF(_ARA_ORTAK_EKSTRE!AE126="","",_ARA_ORTAK_EKSTRE!AE126))</f>
        <v/>
      </c>
      <c r="G135" s="159" t="str">
        <f>IF($C$3="ÖMER KARTAL",IF(_ARA_ORTAK_EKSTRE!S126="","",_ARA_ORTAK_EKSTRE!S126),IF(_ARA_ORTAK_EKSTRE!AF126="","",_ARA_ORTAK_EKSTRE!AF126))</f>
        <v/>
      </c>
      <c r="H135" s="168" t="str">
        <f>IF($C$3="ÖMER KARTAL",IF(_ARA_ORTAK_EKSTRE!T126="","",_ARA_ORTAK_EKSTRE!T126),IF(_ARA_ORTAK_EKSTRE!AG126="","",_ARA_ORTAK_EKSTRE!AG126))</f>
        <v/>
      </c>
      <c r="I135" s="168" t="str">
        <f>IF($C$3="ÖMER KARTAL",IF(_ARA_ORTAK_EKSTRE!U126="","",_ARA_ORTAK_EKSTRE!U126),IF(_ARA_ORTAK_EKSTRE!AH126="","",_ARA_ORTAK_EKSTRE!AH126))</f>
        <v/>
      </c>
      <c r="J135" s="168" t="str">
        <f>IF($C$3="ÖMER KARTAL",IF(_ARA_ORTAK_EKSTRE!V126="","",_ARA_ORTAK_EKSTRE!V126),IF(_ARA_ORTAK_EKSTRE!AI126="","",_ARA_ORTAK_EKSTRE!AI126))</f>
        <v/>
      </c>
      <c r="K135" s="168" t="str">
        <f>IF($C$3="ÖMER KARTAL",IF(_ARA_ORTAK_EKSTRE!W126="","",_ARA_ORTAK_EKSTRE!W126),IF(_ARA_ORTAK_EKSTRE!AJ126="","",_ARA_ORTAK_EKSTRE!AJ126))</f>
        <v/>
      </c>
      <c r="L135" s="168" t="str">
        <f>IF($C$3="ÖMER KARTAL",IF(_ARA_ORTAK_EKSTRE!X126="","",_ARA_ORTAK_EKSTRE!X126),IF(_ARA_ORTAK_EKSTRE!AK126="","",_ARA_ORTAK_EKSTRE!AK126))</f>
        <v/>
      </c>
      <c r="M135" s="156" t="str">
        <f>IF($C$3="ÖMER KARTAL",IF(_ARA_ORTAK_EKSTRE!Y126="","",_ARA_ORTAK_EKSTRE!Y126),IF(_ARA_ORTAK_EKSTRE!AL126="","",_ARA_ORTAK_EKSTRE!AL126))</f>
        <v/>
      </c>
    </row>
    <row r="136" spans="2:13" ht="29.25" customHeight="1">
      <c r="B136" s="163" t="str">
        <f>IF($C$3="ÖMER KARTAL",IF(_ARA_ORTAK_EKSTRE!N127="","",_ARA_ORTAK_EKSTRE!N127),IF(_ARA_ORTAK_EKSTRE!AA127="","",_ARA_ORTAK_EKSTRE!AA127))</f>
        <v/>
      </c>
      <c r="C136" s="164" t="str">
        <f>IF($C$3="ÖMER KARTAL",IF(_ARA_ORTAK_EKSTRE!O127="","",_ARA_ORTAK_EKSTRE!O127),IF(_ARA_ORTAK_EKSTRE!AB127="","",_ARA_ORTAK_EKSTRE!AB127))</f>
        <v/>
      </c>
      <c r="D136" s="164" t="str">
        <f>IF($C$3="ÖMER KARTAL",IF(_ARA_ORTAK_EKSTRE!P127="","",_ARA_ORTAK_EKSTRE!P127),IF(_ARA_ORTAK_EKSTRE!AC127="","",_ARA_ORTAK_EKSTRE!AC127))</f>
        <v/>
      </c>
      <c r="E136" s="164" t="str">
        <f>IF($C$3="ÖMER KARTAL",IF(_ARA_ORTAK_EKSTRE!Q127="","",_ARA_ORTAK_EKSTRE!Q127),IF(_ARA_ORTAK_EKSTRE!AD127="","",_ARA_ORTAK_EKSTRE!AD127))</f>
        <v/>
      </c>
      <c r="F136" s="164" t="str">
        <f>IF($C$3="ÖMER KARTAL",IF(_ARA_ORTAK_EKSTRE!R127="","",_ARA_ORTAK_EKSTRE!R127),IF(_ARA_ORTAK_EKSTRE!AE127="","",_ARA_ORTAK_EKSTRE!AE127))</f>
        <v/>
      </c>
      <c r="G136" s="159" t="str">
        <f>IF($C$3="ÖMER KARTAL",IF(_ARA_ORTAK_EKSTRE!S127="","",_ARA_ORTAK_EKSTRE!S127),IF(_ARA_ORTAK_EKSTRE!AF127="","",_ARA_ORTAK_EKSTRE!AF127))</f>
        <v/>
      </c>
      <c r="H136" s="168" t="str">
        <f>IF($C$3="ÖMER KARTAL",IF(_ARA_ORTAK_EKSTRE!T127="","",_ARA_ORTAK_EKSTRE!T127),IF(_ARA_ORTAK_EKSTRE!AG127="","",_ARA_ORTAK_EKSTRE!AG127))</f>
        <v/>
      </c>
      <c r="I136" s="168" t="str">
        <f>IF($C$3="ÖMER KARTAL",IF(_ARA_ORTAK_EKSTRE!U127="","",_ARA_ORTAK_EKSTRE!U127),IF(_ARA_ORTAK_EKSTRE!AH127="","",_ARA_ORTAK_EKSTRE!AH127))</f>
        <v/>
      </c>
      <c r="J136" s="168" t="str">
        <f>IF($C$3="ÖMER KARTAL",IF(_ARA_ORTAK_EKSTRE!V127="","",_ARA_ORTAK_EKSTRE!V127),IF(_ARA_ORTAK_EKSTRE!AI127="","",_ARA_ORTAK_EKSTRE!AI127))</f>
        <v/>
      </c>
      <c r="K136" s="168" t="str">
        <f>IF($C$3="ÖMER KARTAL",IF(_ARA_ORTAK_EKSTRE!W127="","",_ARA_ORTAK_EKSTRE!W127),IF(_ARA_ORTAK_EKSTRE!AJ127="","",_ARA_ORTAK_EKSTRE!AJ127))</f>
        <v/>
      </c>
      <c r="L136" s="168" t="str">
        <f>IF($C$3="ÖMER KARTAL",IF(_ARA_ORTAK_EKSTRE!X127="","",_ARA_ORTAK_EKSTRE!X127),IF(_ARA_ORTAK_EKSTRE!AK127="","",_ARA_ORTAK_EKSTRE!AK127))</f>
        <v/>
      </c>
      <c r="M136" s="156" t="str">
        <f>IF($C$3="ÖMER KARTAL",IF(_ARA_ORTAK_EKSTRE!Y127="","",_ARA_ORTAK_EKSTRE!Y127),IF(_ARA_ORTAK_EKSTRE!AL127="","",_ARA_ORTAK_EKSTRE!AL127))</f>
        <v/>
      </c>
    </row>
    <row r="137" spans="2:13" ht="29.25" customHeight="1">
      <c r="B137" s="163" t="str">
        <f>IF($C$3="ÖMER KARTAL",IF(_ARA_ORTAK_EKSTRE!N128="","",_ARA_ORTAK_EKSTRE!N128),IF(_ARA_ORTAK_EKSTRE!AA128="","",_ARA_ORTAK_EKSTRE!AA128))</f>
        <v/>
      </c>
      <c r="C137" s="164" t="str">
        <f>IF($C$3="ÖMER KARTAL",IF(_ARA_ORTAK_EKSTRE!O128="","",_ARA_ORTAK_EKSTRE!O128),IF(_ARA_ORTAK_EKSTRE!AB128="","",_ARA_ORTAK_EKSTRE!AB128))</f>
        <v/>
      </c>
      <c r="D137" s="164" t="str">
        <f>IF($C$3="ÖMER KARTAL",IF(_ARA_ORTAK_EKSTRE!P128="","",_ARA_ORTAK_EKSTRE!P128),IF(_ARA_ORTAK_EKSTRE!AC128="","",_ARA_ORTAK_EKSTRE!AC128))</f>
        <v/>
      </c>
      <c r="E137" s="164" t="str">
        <f>IF($C$3="ÖMER KARTAL",IF(_ARA_ORTAK_EKSTRE!Q128="","",_ARA_ORTAK_EKSTRE!Q128),IF(_ARA_ORTAK_EKSTRE!AD128="","",_ARA_ORTAK_EKSTRE!AD128))</f>
        <v/>
      </c>
      <c r="F137" s="164" t="str">
        <f>IF($C$3="ÖMER KARTAL",IF(_ARA_ORTAK_EKSTRE!R128="","",_ARA_ORTAK_EKSTRE!R128),IF(_ARA_ORTAK_EKSTRE!AE128="","",_ARA_ORTAK_EKSTRE!AE128))</f>
        <v/>
      </c>
      <c r="G137" s="159" t="str">
        <f>IF($C$3="ÖMER KARTAL",IF(_ARA_ORTAK_EKSTRE!S128="","",_ARA_ORTAK_EKSTRE!S128),IF(_ARA_ORTAK_EKSTRE!AF128="","",_ARA_ORTAK_EKSTRE!AF128))</f>
        <v/>
      </c>
      <c r="H137" s="168" t="str">
        <f>IF($C$3="ÖMER KARTAL",IF(_ARA_ORTAK_EKSTRE!T128="","",_ARA_ORTAK_EKSTRE!T128),IF(_ARA_ORTAK_EKSTRE!AG128="","",_ARA_ORTAK_EKSTRE!AG128))</f>
        <v/>
      </c>
      <c r="I137" s="168" t="str">
        <f>IF($C$3="ÖMER KARTAL",IF(_ARA_ORTAK_EKSTRE!U128="","",_ARA_ORTAK_EKSTRE!U128),IF(_ARA_ORTAK_EKSTRE!AH128="","",_ARA_ORTAK_EKSTRE!AH128))</f>
        <v/>
      </c>
      <c r="J137" s="168" t="str">
        <f>IF($C$3="ÖMER KARTAL",IF(_ARA_ORTAK_EKSTRE!V128="","",_ARA_ORTAK_EKSTRE!V128),IF(_ARA_ORTAK_EKSTRE!AI128="","",_ARA_ORTAK_EKSTRE!AI128))</f>
        <v/>
      </c>
      <c r="K137" s="168" t="str">
        <f>IF($C$3="ÖMER KARTAL",IF(_ARA_ORTAK_EKSTRE!W128="","",_ARA_ORTAK_EKSTRE!W128),IF(_ARA_ORTAK_EKSTRE!AJ128="","",_ARA_ORTAK_EKSTRE!AJ128))</f>
        <v/>
      </c>
      <c r="L137" s="168" t="str">
        <f>IF($C$3="ÖMER KARTAL",IF(_ARA_ORTAK_EKSTRE!X128="","",_ARA_ORTAK_EKSTRE!X128),IF(_ARA_ORTAK_EKSTRE!AK128="","",_ARA_ORTAK_EKSTRE!AK128))</f>
        <v/>
      </c>
      <c r="M137" s="156" t="str">
        <f>IF($C$3="ÖMER KARTAL",IF(_ARA_ORTAK_EKSTRE!Y128="","",_ARA_ORTAK_EKSTRE!Y128),IF(_ARA_ORTAK_EKSTRE!AL128="","",_ARA_ORTAK_EKSTRE!AL128))</f>
        <v/>
      </c>
    </row>
    <row r="138" spans="2:13" ht="29.25" customHeight="1">
      <c r="B138" s="163" t="str">
        <f>IF($C$3="ÖMER KARTAL",IF(_ARA_ORTAK_EKSTRE!N129="","",_ARA_ORTAK_EKSTRE!N129),IF(_ARA_ORTAK_EKSTRE!AA129="","",_ARA_ORTAK_EKSTRE!AA129))</f>
        <v/>
      </c>
      <c r="C138" s="164" t="str">
        <f>IF($C$3="ÖMER KARTAL",IF(_ARA_ORTAK_EKSTRE!O129="","",_ARA_ORTAK_EKSTRE!O129),IF(_ARA_ORTAK_EKSTRE!AB129="","",_ARA_ORTAK_EKSTRE!AB129))</f>
        <v/>
      </c>
      <c r="D138" s="164" t="str">
        <f>IF($C$3="ÖMER KARTAL",IF(_ARA_ORTAK_EKSTRE!P129="","",_ARA_ORTAK_EKSTRE!P129),IF(_ARA_ORTAK_EKSTRE!AC129="","",_ARA_ORTAK_EKSTRE!AC129))</f>
        <v/>
      </c>
      <c r="E138" s="164" t="str">
        <f>IF($C$3="ÖMER KARTAL",IF(_ARA_ORTAK_EKSTRE!Q129="","",_ARA_ORTAK_EKSTRE!Q129),IF(_ARA_ORTAK_EKSTRE!AD129="","",_ARA_ORTAK_EKSTRE!AD129))</f>
        <v/>
      </c>
      <c r="F138" s="164" t="str">
        <f>IF($C$3="ÖMER KARTAL",IF(_ARA_ORTAK_EKSTRE!R129="","",_ARA_ORTAK_EKSTRE!R129),IF(_ARA_ORTAK_EKSTRE!AE129="","",_ARA_ORTAK_EKSTRE!AE129))</f>
        <v/>
      </c>
      <c r="G138" s="159" t="str">
        <f>IF($C$3="ÖMER KARTAL",IF(_ARA_ORTAK_EKSTRE!S129="","",_ARA_ORTAK_EKSTRE!S129),IF(_ARA_ORTAK_EKSTRE!AF129="","",_ARA_ORTAK_EKSTRE!AF129))</f>
        <v/>
      </c>
      <c r="H138" s="168" t="str">
        <f>IF($C$3="ÖMER KARTAL",IF(_ARA_ORTAK_EKSTRE!T129="","",_ARA_ORTAK_EKSTRE!T129),IF(_ARA_ORTAK_EKSTRE!AG129="","",_ARA_ORTAK_EKSTRE!AG129))</f>
        <v/>
      </c>
      <c r="I138" s="168" t="str">
        <f>IF($C$3="ÖMER KARTAL",IF(_ARA_ORTAK_EKSTRE!U129="","",_ARA_ORTAK_EKSTRE!U129),IF(_ARA_ORTAK_EKSTRE!AH129="","",_ARA_ORTAK_EKSTRE!AH129))</f>
        <v/>
      </c>
      <c r="J138" s="168" t="str">
        <f>IF($C$3="ÖMER KARTAL",IF(_ARA_ORTAK_EKSTRE!V129="","",_ARA_ORTAK_EKSTRE!V129),IF(_ARA_ORTAK_EKSTRE!AI129="","",_ARA_ORTAK_EKSTRE!AI129))</f>
        <v/>
      </c>
      <c r="K138" s="168" t="str">
        <f>IF($C$3="ÖMER KARTAL",IF(_ARA_ORTAK_EKSTRE!W129="","",_ARA_ORTAK_EKSTRE!W129),IF(_ARA_ORTAK_EKSTRE!AJ129="","",_ARA_ORTAK_EKSTRE!AJ129))</f>
        <v/>
      </c>
      <c r="L138" s="168" t="str">
        <f>IF($C$3="ÖMER KARTAL",IF(_ARA_ORTAK_EKSTRE!X129="","",_ARA_ORTAK_EKSTRE!X129),IF(_ARA_ORTAK_EKSTRE!AK129="","",_ARA_ORTAK_EKSTRE!AK129))</f>
        <v/>
      </c>
      <c r="M138" s="156" t="str">
        <f>IF($C$3="ÖMER KARTAL",IF(_ARA_ORTAK_EKSTRE!Y129="","",_ARA_ORTAK_EKSTRE!Y129),IF(_ARA_ORTAK_EKSTRE!AL129="","",_ARA_ORTAK_EKSTRE!AL129))</f>
        <v/>
      </c>
    </row>
    <row r="139" spans="2:13" ht="29.25" customHeight="1">
      <c r="B139" s="163" t="str">
        <f>IF($C$3="ÖMER KARTAL",IF(_ARA_ORTAK_EKSTRE!N130="","",_ARA_ORTAK_EKSTRE!N130),IF(_ARA_ORTAK_EKSTRE!AA130="","",_ARA_ORTAK_EKSTRE!AA130))</f>
        <v/>
      </c>
      <c r="C139" s="164" t="str">
        <f>IF($C$3="ÖMER KARTAL",IF(_ARA_ORTAK_EKSTRE!O130="","",_ARA_ORTAK_EKSTRE!O130),IF(_ARA_ORTAK_EKSTRE!AB130="","",_ARA_ORTAK_EKSTRE!AB130))</f>
        <v/>
      </c>
      <c r="D139" s="164" t="str">
        <f>IF($C$3="ÖMER KARTAL",IF(_ARA_ORTAK_EKSTRE!P130="","",_ARA_ORTAK_EKSTRE!P130),IF(_ARA_ORTAK_EKSTRE!AC130="","",_ARA_ORTAK_EKSTRE!AC130))</f>
        <v/>
      </c>
      <c r="E139" s="164" t="str">
        <f>IF($C$3="ÖMER KARTAL",IF(_ARA_ORTAK_EKSTRE!Q130="","",_ARA_ORTAK_EKSTRE!Q130),IF(_ARA_ORTAK_EKSTRE!AD130="","",_ARA_ORTAK_EKSTRE!AD130))</f>
        <v/>
      </c>
      <c r="F139" s="164" t="str">
        <f>IF($C$3="ÖMER KARTAL",IF(_ARA_ORTAK_EKSTRE!R130="","",_ARA_ORTAK_EKSTRE!R130),IF(_ARA_ORTAK_EKSTRE!AE130="","",_ARA_ORTAK_EKSTRE!AE130))</f>
        <v/>
      </c>
      <c r="G139" s="159" t="str">
        <f>IF($C$3="ÖMER KARTAL",IF(_ARA_ORTAK_EKSTRE!S130="","",_ARA_ORTAK_EKSTRE!S130),IF(_ARA_ORTAK_EKSTRE!AF130="","",_ARA_ORTAK_EKSTRE!AF130))</f>
        <v/>
      </c>
      <c r="H139" s="168" t="str">
        <f>IF($C$3="ÖMER KARTAL",IF(_ARA_ORTAK_EKSTRE!T130="","",_ARA_ORTAK_EKSTRE!T130),IF(_ARA_ORTAK_EKSTRE!AG130="","",_ARA_ORTAK_EKSTRE!AG130))</f>
        <v/>
      </c>
      <c r="I139" s="168" t="str">
        <f>IF($C$3="ÖMER KARTAL",IF(_ARA_ORTAK_EKSTRE!U130="","",_ARA_ORTAK_EKSTRE!U130),IF(_ARA_ORTAK_EKSTRE!AH130="","",_ARA_ORTAK_EKSTRE!AH130))</f>
        <v/>
      </c>
      <c r="J139" s="168" t="str">
        <f>IF($C$3="ÖMER KARTAL",IF(_ARA_ORTAK_EKSTRE!V130="","",_ARA_ORTAK_EKSTRE!V130),IF(_ARA_ORTAK_EKSTRE!AI130="","",_ARA_ORTAK_EKSTRE!AI130))</f>
        <v/>
      </c>
      <c r="K139" s="168" t="str">
        <f>IF($C$3="ÖMER KARTAL",IF(_ARA_ORTAK_EKSTRE!W130="","",_ARA_ORTAK_EKSTRE!W130),IF(_ARA_ORTAK_EKSTRE!AJ130="","",_ARA_ORTAK_EKSTRE!AJ130))</f>
        <v/>
      </c>
      <c r="L139" s="168" t="str">
        <f>IF($C$3="ÖMER KARTAL",IF(_ARA_ORTAK_EKSTRE!X130="","",_ARA_ORTAK_EKSTRE!X130),IF(_ARA_ORTAK_EKSTRE!AK130="","",_ARA_ORTAK_EKSTRE!AK130))</f>
        <v/>
      </c>
      <c r="M139" s="156" t="str">
        <f>IF($C$3="ÖMER KARTAL",IF(_ARA_ORTAK_EKSTRE!Y130="","",_ARA_ORTAK_EKSTRE!Y130),IF(_ARA_ORTAK_EKSTRE!AL130="","",_ARA_ORTAK_EKSTRE!AL130))</f>
        <v/>
      </c>
    </row>
    <row r="140" spans="2:13" ht="29.25" customHeight="1">
      <c r="B140" s="163" t="str">
        <f>IF($C$3="ÖMER KARTAL",IF(_ARA_ORTAK_EKSTRE!N131="","",_ARA_ORTAK_EKSTRE!N131),IF(_ARA_ORTAK_EKSTRE!AA131="","",_ARA_ORTAK_EKSTRE!AA131))</f>
        <v/>
      </c>
      <c r="C140" s="164" t="str">
        <f>IF($C$3="ÖMER KARTAL",IF(_ARA_ORTAK_EKSTRE!O131="","",_ARA_ORTAK_EKSTRE!O131),IF(_ARA_ORTAK_EKSTRE!AB131="","",_ARA_ORTAK_EKSTRE!AB131))</f>
        <v/>
      </c>
      <c r="D140" s="164" t="str">
        <f>IF($C$3="ÖMER KARTAL",IF(_ARA_ORTAK_EKSTRE!P131="","",_ARA_ORTAK_EKSTRE!P131),IF(_ARA_ORTAK_EKSTRE!AC131="","",_ARA_ORTAK_EKSTRE!AC131))</f>
        <v/>
      </c>
      <c r="E140" s="164" t="str">
        <f>IF($C$3="ÖMER KARTAL",IF(_ARA_ORTAK_EKSTRE!Q131="","",_ARA_ORTAK_EKSTRE!Q131),IF(_ARA_ORTAK_EKSTRE!AD131="","",_ARA_ORTAK_EKSTRE!AD131))</f>
        <v/>
      </c>
      <c r="F140" s="164" t="str">
        <f>IF($C$3="ÖMER KARTAL",IF(_ARA_ORTAK_EKSTRE!R131="","",_ARA_ORTAK_EKSTRE!R131),IF(_ARA_ORTAK_EKSTRE!AE131="","",_ARA_ORTAK_EKSTRE!AE131))</f>
        <v/>
      </c>
      <c r="G140" s="159" t="str">
        <f>IF($C$3="ÖMER KARTAL",IF(_ARA_ORTAK_EKSTRE!S131="","",_ARA_ORTAK_EKSTRE!S131),IF(_ARA_ORTAK_EKSTRE!AF131="","",_ARA_ORTAK_EKSTRE!AF131))</f>
        <v/>
      </c>
      <c r="H140" s="168" t="str">
        <f>IF($C$3="ÖMER KARTAL",IF(_ARA_ORTAK_EKSTRE!T131="","",_ARA_ORTAK_EKSTRE!T131),IF(_ARA_ORTAK_EKSTRE!AG131="","",_ARA_ORTAK_EKSTRE!AG131))</f>
        <v/>
      </c>
      <c r="I140" s="168" t="str">
        <f>IF($C$3="ÖMER KARTAL",IF(_ARA_ORTAK_EKSTRE!U131="","",_ARA_ORTAK_EKSTRE!U131),IF(_ARA_ORTAK_EKSTRE!AH131="","",_ARA_ORTAK_EKSTRE!AH131))</f>
        <v/>
      </c>
      <c r="J140" s="168" t="str">
        <f>IF($C$3="ÖMER KARTAL",IF(_ARA_ORTAK_EKSTRE!V131="","",_ARA_ORTAK_EKSTRE!V131),IF(_ARA_ORTAK_EKSTRE!AI131="","",_ARA_ORTAK_EKSTRE!AI131))</f>
        <v/>
      </c>
      <c r="K140" s="168" t="str">
        <f>IF($C$3="ÖMER KARTAL",IF(_ARA_ORTAK_EKSTRE!W131="","",_ARA_ORTAK_EKSTRE!W131),IF(_ARA_ORTAK_EKSTRE!AJ131="","",_ARA_ORTAK_EKSTRE!AJ131))</f>
        <v/>
      </c>
      <c r="L140" s="168" t="str">
        <f>IF($C$3="ÖMER KARTAL",IF(_ARA_ORTAK_EKSTRE!X131="","",_ARA_ORTAK_EKSTRE!X131),IF(_ARA_ORTAK_EKSTRE!AK131="","",_ARA_ORTAK_EKSTRE!AK131))</f>
        <v/>
      </c>
      <c r="M140" s="156" t="str">
        <f>IF($C$3="ÖMER KARTAL",IF(_ARA_ORTAK_EKSTRE!Y131="","",_ARA_ORTAK_EKSTRE!Y131),IF(_ARA_ORTAK_EKSTRE!AL131="","",_ARA_ORTAK_EKSTRE!AL131))</f>
        <v/>
      </c>
    </row>
    <row r="141" spans="2:13" ht="29.25" customHeight="1">
      <c r="B141" s="163" t="str">
        <f>IF($C$3="ÖMER KARTAL",IF(_ARA_ORTAK_EKSTRE!N132="","",_ARA_ORTAK_EKSTRE!N132),IF(_ARA_ORTAK_EKSTRE!AA132="","",_ARA_ORTAK_EKSTRE!AA132))</f>
        <v/>
      </c>
      <c r="C141" s="164" t="str">
        <f>IF($C$3="ÖMER KARTAL",IF(_ARA_ORTAK_EKSTRE!O132="","",_ARA_ORTAK_EKSTRE!O132),IF(_ARA_ORTAK_EKSTRE!AB132="","",_ARA_ORTAK_EKSTRE!AB132))</f>
        <v/>
      </c>
      <c r="D141" s="164" t="str">
        <f>IF($C$3="ÖMER KARTAL",IF(_ARA_ORTAK_EKSTRE!P132="","",_ARA_ORTAK_EKSTRE!P132),IF(_ARA_ORTAK_EKSTRE!AC132="","",_ARA_ORTAK_EKSTRE!AC132))</f>
        <v/>
      </c>
      <c r="E141" s="164" t="str">
        <f>IF($C$3="ÖMER KARTAL",IF(_ARA_ORTAK_EKSTRE!Q132="","",_ARA_ORTAK_EKSTRE!Q132),IF(_ARA_ORTAK_EKSTRE!AD132="","",_ARA_ORTAK_EKSTRE!AD132))</f>
        <v/>
      </c>
      <c r="F141" s="164" t="str">
        <f>IF($C$3="ÖMER KARTAL",IF(_ARA_ORTAK_EKSTRE!R132="","",_ARA_ORTAK_EKSTRE!R132),IF(_ARA_ORTAK_EKSTRE!AE132="","",_ARA_ORTAK_EKSTRE!AE132))</f>
        <v/>
      </c>
      <c r="G141" s="159" t="str">
        <f>IF($C$3="ÖMER KARTAL",IF(_ARA_ORTAK_EKSTRE!S132="","",_ARA_ORTAK_EKSTRE!S132),IF(_ARA_ORTAK_EKSTRE!AF132="","",_ARA_ORTAK_EKSTRE!AF132))</f>
        <v/>
      </c>
      <c r="H141" s="168" t="str">
        <f>IF($C$3="ÖMER KARTAL",IF(_ARA_ORTAK_EKSTRE!T132="","",_ARA_ORTAK_EKSTRE!T132),IF(_ARA_ORTAK_EKSTRE!AG132="","",_ARA_ORTAK_EKSTRE!AG132))</f>
        <v/>
      </c>
      <c r="I141" s="168" t="str">
        <f>IF($C$3="ÖMER KARTAL",IF(_ARA_ORTAK_EKSTRE!U132="","",_ARA_ORTAK_EKSTRE!U132),IF(_ARA_ORTAK_EKSTRE!AH132="","",_ARA_ORTAK_EKSTRE!AH132))</f>
        <v/>
      </c>
      <c r="J141" s="168" t="str">
        <f>IF($C$3="ÖMER KARTAL",IF(_ARA_ORTAK_EKSTRE!V132="","",_ARA_ORTAK_EKSTRE!V132),IF(_ARA_ORTAK_EKSTRE!AI132="","",_ARA_ORTAK_EKSTRE!AI132))</f>
        <v/>
      </c>
      <c r="K141" s="168" t="str">
        <f>IF($C$3="ÖMER KARTAL",IF(_ARA_ORTAK_EKSTRE!W132="","",_ARA_ORTAK_EKSTRE!W132),IF(_ARA_ORTAK_EKSTRE!AJ132="","",_ARA_ORTAK_EKSTRE!AJ132))</f>
        <v/>
      </c>
      <c r="L141" s="168" t="str">
        <f>IF($C$3="ÖMER KARTAL",IF(_ARA_ORTAK_EKSTRE!X132="","",_ARA_ORTAK_EKSTRE!X132),IF(_ARA_ORTAK_EKSTRE!AK132="","",_ARA_ORTAK_EKSTRE!AK132))</f>
        <v/>
      </c>
      <c r="M141" s="156" t="str">
        <f>IF($C$3="ÖMER KARTAL",IF(_ARA_ORTAK_EKSTRE!Y132="","",_ARA_ORTAK_EKSTRE!Y132),IF(_ARA_ORTAK_EKSTRE!AL132="","",_ARA_ORTAK_EKSTRE!AL132))</f>
        <v/>
      </c>
    </row>
    <row r="142" spans="2:13" ht="29.25" customHeight="1">
      <c r="B142" s="163" t="str">
        <f>IF($C$3="ÖMER KARTAL",IF(_ARA_ORTAK_EKSTRE!N133="","",_ARA_ORTAK_EKSTRE!N133),IF(_ARA_ORTAK_EKSTRE!AA133="","",_ARA_ORTAK_EKSTRE!AA133))</f>
        <v/>
      </c>
      <c r="C142" s="164" t="str">
        <f>IF($C$3="ÖMER KARTAL",IF(_ARA_ORTAK_EKSTRE!O133="","",_ARA_ORTAK_EKSTRE!O133),IF(_ARA_ORTAK_EKSTRE!AB133="","",_ARA_ORTAK_EKSTRE!AB133))</f>
        <v/>
      </c>
      <c r="D142" s="164" t="str">
        <f>IF($C$3="ÖMER KARTAL",IF(_ARA_ORTAK_EKSTRE!P133="","",_ARA_ORTAK_EKSTRE!P133),IF(_ARA_ORTAK_EKSTRE!AC133="","",_ARA_ORTAK_EKSTRE!AC133))</f>
        <v/>
      </c>
      <c r="E142" s="164" t="str">
        <f>IF($C$3="ÖMER KARTAL",IF(_ARA_ORTAK_EKSTRE!Q133="","",_ARA_ORTAK_EKSTRE!Q133),IF(_ARA_ORTAK_EKSTRE!AD133="","",_ARA_ORTAK_EKSTRE!AD133))</f>
        <v/>
      </c>
      <c r="F142" s="164" t="str">
        <f>IF($C$3="ÖMER KARTAL",IF(_ARA_ORTAK_EKSTRE!R133="","",_ARA_ORTAK_EKSTRE!R133),IF(_ARA_ORTAK_EKSTRE!AE133="","",_ARA_ORTAK_EKSTRE!AE133))</f>
        <v/>
      </c>
      <c r="G142" s="159" t="str">
        <f>IF($C$3="ÖMER KARTAL",IF(_ARA_ORTAK_EKSTRE!S133="","",_ARA_ORTAK_EKSTRE!S133),IF(_ARA_ORTAK_EKSTRE!AF133="","",_ARA_ORTAK_EKSTRE!AF133))</f>
        <v/>
      </c>
      <c r="H142" s="168" t="str">
        <f>IF($C$3="ÖMER KARTAL",IF(_ARA_ORTAK_EKSTRE!T133="","",_ARA_ORTAK_EKSTRE!T133),IF(_ARA_ORTAK_EKSTRE!AG133="","",_ARA_ORTAK_EKSTRE!AG133))</f>
        <v/>
      </c>
      <c r="I142" s="168" t="str">
        <f>IF($C$3="ÖMER KARTAL",IF(_ARA_ORTAK_EKSTRE!U133="","",_ARA_ORTAK_EKSTRE!U133),IF(_ARA_ORTAK_EKSTRE!AH133="","",_ARA_ORTAK_EKSTRE!AH133))</f>
        <v/>
      </c>
      <c r="J142" s="168" t="str">
        <f>IF($C$3="ÖMER KARTAL",IF(_ARA_ORTAK_EKSTRE!V133="","",_ARA_ORTAK_EKSTRE!V133),IF(_ARA_ORTAK_EKSTRE!AI133="","",_ARA_ORTAK_EKSTRE!AI133))</f>
        <v/>
      </c>
      <c r="K142" s="168" t="str">
        <f>IF($C$3="ÖMER KARTAL",IF(_ARA_ORTAK_EKSTRE!W133="","",_ARA_ORTAK_EKSTRE!W133),IF(_ARA_ORTAK_EKSTRE!AJ133="","",_ARA_ORTAK_EKSTRE!AJ133))</f>
        <v/>
      </c>
      <c r="L142" s="168" t="str">
        <f>IF($C$3="ÖMER KARTAL",IF(_ARA_ORTAK_EKSTRE!X133="","",_ARA_ORTAK_EKSTRE!X133),IF(_ARA_ORTAK_EKSTRE!AK133="","",_ARA_ORTAK_EKSTRE!AK133))</f>
        <v/>
      </c>
      <c r="M142" s="156" t="str">
        <f>IF($C$3="ÖMER KARTAL",IF(_ARA_ORTAK_EKSTRE!Y133="","",_ARA_ORTAK_EKSTRE!Y133),IF(_ARA_ORTAK_EKSTRE!AL133="","",_ARA_ORTAK_EKSTRE!AL133))</f>
        <v/>
      </c>
    </row>
    <row r="143" spans="2:13" ht="29.25" customHeight="1">
      <c r="B143" s="163" t="str">
        <f>IF($C$3="ÖMER KARTAL",IF(_ARA_ORTAK_EKSTRE!N134="","",_ARA_ORTAK_EKSTRE!N134),IF(_ARA_ORTAK_EKSTRE!AA134="","",_ARA_ORTAK_EKSTRE!AA134))</f>
        <v/>
      </c>
      <c r="C143" s="164" t="str">
        <f>IF($C$3="ÖMER KARTAL",IF(_ARA_ORTAK_EKSTRE!O134="","",_ARA_ORTAK_EKSTRE!O134),IF(_ARA_ORTAK_EKSTRE!AB134="","",_ARA_ORTAK_EKSTRE!AB134))</f>
        <v/>
      </c>
      <c r="D143" s="164" t="str">
        <f>IF($C$3="ÖMER KARTAL",IF(_ARA_ORTAK_EKSTRE!P134="","",_ARA_ORTAK_EKSTRE!P134),IF(_ARA_ORTAK_EKSTRE!AC134="","",_ARA_ORTAK_EKSTRE!AC134))</f>
        <v/>
      </c>
      <c r="E143" s="164" t="str">
        <f>IF($C$3="ÖMER KARTAL",IF(_ARA_ORTAK_EKSTRE!Q134="","",_ARA_ORTAK_EKSTRE!Q134),IF(_ARA_ORTAK_EKSTRE!AD134="","",_ARA_ORTAK_EKSTRE!AD134))</f>
        <v/>
      </c>
      <c r="F143" s="164" t="str">
        <f>IF($C$3="ÖMER KARTAL",IF(_ARA_ORTAK_EKSTRE!R134="","",_ARA_ORTAK_EKSTRE!R134),IF(_ARA_ORTAK_EKSTRE!AE134="","",_ARA_ORTAK_EKSTRE!AE134))</f>
        <v/>
      </c>
      <c r="G143" s="159" t="str">
        <f>IF($C$3="ÖMER KARTAL",IF(_ARA_ORTAK_EKSTRE!S134="","",_ARA_ORTAK_EKSTRE!S134),IF(_ARA_ORTAK_EKSTRE!AF134="","",_ARA_ORTAK_EKSTRE!AF134))</f>
        <v/>
      </c>
      <c r="H143" s="168" t="str">
        <f>IF($C$3="ÖMER KARTAL",IF(_ARA_ORTAK_EKSTRE!T134="","",_ARA_ORTAK_EKSTRE!T134),IF(_ARA_ORTAK_EKSTRE!AG134="","",_ARA_ORTAK_EKSTRE!AG134))</f>
        <v/>
      </c>
      <c r="I143" s="168" t="str">
        <f>IF($C$3="ÖMER KARTAL",IF(_ARA_ORTAK_EKSTRE!U134="","",_ARA_ORTAK_EKSTRE!U134),IF(_ARA_ORTAK_EKSTRE!AH134="","",_ARA_ORTAK_EKSTRE!AH134))</f>
        <v/>
      </c>
      <c r="J143" s="168" t="str">
        <f>IF($C$3="ÖMER KARTAL",IF(_ARA_ORTAK_EKSTRE!V134="","",_ARA_ORTAK_EKSTRE!V134),IF(_ARA_ORTAK_EKSTRE!AI134="","",_ARA_ORTAK_EKSTRE!AI134))</f>
        <v/>
      </c>
      <c r="K143" s="168" t="str">
        <f>IF($C$3="ÖMER KARTAL",IF(_ARA_ORTAK_EKSTRE!W134="","",_ARA_ORTAK_EKSTRE!W134),IF(_ARA_ORTAK_EKSTRE!AJ134="","",_ARA_ORTAK_EKSTRE!AJ134))</f>
        <v/>
      </c>
      <c r="L143" s="168" t="str">
        <f>IF($C$3="ÖMER KARTAL",IF(_ARA_ORTAK_EKSTRE!X134="","",_ARA_ORTAK_EKSTRE!X134),IF(_ARA_ORTAK_EKSTRE!AK134="","",_ARA_ORTAK_EKSTRE!AK134))</f>
        <v/>
      </c>
      <c r="M143" s="156" t="str">
        <f>IF($C$3="ÖMER KARTAL",IF(_ARA_ORTAK_EKSTRE!Y134="","",_ARA_ORTAK_EKSTRE!Y134),IF(_ARA_ORTAK_EKSTRE!AL134="","",_ARA_ORTAK_EKSTRE!AL134))</f>
        <v/>
      </c>
    </row>
    <row r="144" spans="2:13" ht="29.25" customHeight="1">
      <c r="B144" s="163" t="str">
        <f>IF($C$3="ÖMER KARTAL",IF(_ARA_ORTAK_EKSTRE!N135="","",_ARA_ORTAK_EKSTRE!N135),IF(_ARA_ORTAK_EKSTRE!AA135="","",_ARA_ORTAK_EKSTRE!AA135))</f>
        <v/>
      </c>
      <c r="C144" s="164" t="str">
        <f>IF($C$3="ÖMER KARTAL",IF(_ARA_ORTAK_EKSTRE!O135="","",_ARA_ORTAK_EKSTRE!O135),IF(_ARA_ORTAK_EKSTRE!AB135="","",_ARA_ORTAK_EKSTRE!AB135))</f>
        <v/>
      </c>
      <c r="D144" s="164" t="str">
        <f>IF($C$3="ÖMER KARTAL",IF(_ARA_ORTAK_EKSTRE!P135="","",_ARA_ORTAK_EKSTRE!P135),IF(_ARA_ORTAK_EKSTRE!AC135="","",_ARA_ORTAK_EKSTRE!AC135))</f>
        <v/>
      </c>
      <c r="E144" s="164" t="str">
        <f>IF($C$3="ÖMER KARTAL",IF(_ARA_ORTAK_EKSTRE!Q135="","",_ARA_ORTAK_EKSTRE!Q135),IF(_ARA_ORTAK_EKSTRE!AD135="","",_ARA_ORTAK_EKSTRE!AD135))</f>
        <v/>
      </c>
      <c r="F144" s="164" t="str">
        <f>IF($C$3="ÖMER KARTAL",IF(_ARA_ORTAK_EKSTRE!R135="","",_ARA_ORTAK_EKSTRE!R135),IF(_ARA_ORTAK_EKSTRE!AE135="","",_ARA_ORTAK_EKSTRE!AE135))</f>
        <v/>
      </c>
      <c r="G144" s="159" t="str">
        <f>IF($C$3="ÖMER KARTAL",IF(_ARA_ORTAK_EKSTRE!S135="","",_ARA_ORTAK_EKSTRE!S135),IF(_ARA_ORTAK_EKSTRE!AF135="","",_ARA_ORTAK_EKSTRE!AF135))</f>
        <v/>
      </c>
      <c r="H144" s="168" t="str">
        <f>IF($C$3="ÖMER KARTAL",IF(_ARA_ORTAK_EKSTRE!T135="","",_ARA_ORTAK_EKSTRE!T135),IF(_ARA_ORTAK_EKSTRE!AG135="","",_ARA_ORTAK_EKSTRE!AG135))</f>
        <v/>
      </c>
      <c r="I144" s="168" t="str">
        <f>IF($C$3="ÖMER KARTAL",IF(_ARA_ORTAK_EKSTRE!U135="","",_ARA_ORTAK_EKSTRE!U135),IF(_ARA_ORTAK_EKSTRE!AH135="","",_ARA_ORTAK_EKSTRE!AH135))</f>
        <v/>
      </c>
      <c r="J144" s="168" t="str">
        <f>IF($C$3="ÖMER KARTAL",IF(_ARA_ORTAK_EKSTRE!V135="","",_ARA_ORTAK_EKSTRE!V135),IF(_ARA_ORTAK_EKSTRE!AI135="","",_ARA_ORTAK_EKSTRE!AI135))</f>
        <v/>
      </c>
      <c r="K144" s="168" t="str">
        <f>IF($C$3="ÖMER KARTAL",IF(_ARA_ORTAK_EKSTRE!W135="","",_ARA_ORTAK_EKSTRE!W135),IF(_ARA_ORTAK_EKSTRE!AJ135="","",_ARA_ORTAK_EKSTRE!AJ135))</f>
        <v/>
      </c>
      <c r="L144" s="168" t="str">
        <f>IF($C$3="ÖMER KARTAL",IF(_ARA_ORTAK_EKSTRE!X135="","",_ARA_ORTAK_EKSTRE!X135),IF(_ARA_ORTAK_EKSTRE!AK135="","",_ARA_ORTAK_EKSTRE!AK135))</f>
        <v/>
      </c>
      <c r="M144" s="156" t="str">
        <f>IF($C$3="ÖMER KARTAL",IF(_ARA_ORTAK_EKSTRE!Y135="","",_ARA_ORTAK_EKSTRE!Y135),IF(_ARA_ORTAK_EKSTRE!AL135="","",_ARA_ORTAK_EKSTRE!AL135))</f>
        <v/>
      </c>
    </row>
    <row r="145" spans="2:13" ht="29.25" customHeight="1">
      <c r="B145" s="163" t="str">
        <f>IF($C$3="ÖMER KARTAL",IF(_ARA_ORTAK_EKSTRE!N136="","",_ARA_ORTAK_EKSTRE!N136),IF(_ARA_ORTAK_EKSTRE!AA136="","",_ARA_ORTAK_EKSTRE!AA136))</f>
        <v/>
      </c>
      <c r="C145" s="164" t="str">
        <f>IF($C$3="ÖMER KARTAL",IF(_ARA_ORTAK_EKSTRE!O136="","",_ARA_ORTAK_EKSTRE!O136),IF(_ARA_ORTAK_EKSTRE!AB136="","",_ARA_ORTAK_EKSTRE!AB136))</f>
        <v/>
      </c>
      <c r="D145" s="164" t="str">
        <f>IF($C$3="ÖMER KARTAL",IF(_ARA_ORTAK_EKSTRE!P136="","",_ARA_ORTAK_EKSTRE!P136),IF(_ARA_ORTAK_EKSTRE!AC136="","",_ARA_ORTAK_EKSTRE!AC136))</f>
        <v/>
      </c>
      <c r="E145" s="164" t="str">
        <f>IF($C$3="ÖMER KARTAL",IF(_ARA_ORTAK_EKSTRE!Q136="","",_ARA_ORTAK_EKSTRE!Q136),IF(_ARA_ORTAK_EKSTRE!AD136="","",_ARA_ORTAK_EKSTRE!AD136))</f>
        <v/>
      </c>
      <c r="F145" s="164" t="str">
        <f>IF($C$3="ÖMER KARTAL",IF(_ARA_ORTAK_EKSTRE!R136="","",_ARA_ORTAK_EKSTRE!R136),IF(_ARA_ORTAK_EKSTRE!AE136="","",_ARA_ORTAK_EKSTRE!AE136))</f>
        <v/>
      </c>
      <c r="G145" s="159" t="str">
        <f>IF($C$3="ÖMER KARTAL",IF(_ARA_ORTAK_EKSTRE!S136="","",_ARA_ORTAK_EKSTRE!S136),IF(_ARA_ORTAK_EKSTRE!AF136="","",_ARA_ORTAK_EKSTRE!AF136))</f>
        <v/>
      </c>
      <c r="H145" s="168" t="str">
        <f>IF($C$3="ÖMER KARTAL",IF(_ARA_ORTAK_EKSTRE!T136="","",_ARA_ORTAK_EKSTRE!T136),IF(_ARA_ORTAK_EKSTRE!AG136="","",_ARA_ORTAK_EKSTRE!AG136))</f>
        <v/>
      </c>
      <c r="I145" s="168" t="str">
        <f>IF($C$3="ÖMER KARTAL",IF(_ARA_ORTAK_EKSTRE!U136="","",_ARA_ORTAK_EKSTRE!U136),IF(_ARA_ORTAK_EKSTRE!AH136="","",_ARA_ORTAK_EKSTRE!AH136))</f>
        <v/>
      </c>
      <c r="J145" s="168" t="str">
        <f>IF($C$3="ÖMER KARTAL",IF(_ARA_ORTAK_EKSTRE!V136="","",_ARA_ORTAK_EKSTRE!V136),IF(_ARA_ORTAK_EKSTRE!AI136="","",_ARA_ORTAK_EKSTRE!AI136))</f>
        <v/>
      </c>
      <c r="K145" s="168" t="str">
        <f>IF($C$3="ÖMER KARTAL",IF(_ARA_ORTAK_EKSTRE!W136="","",_ARA_ORTAK_EKSTRE!W136),IF(_ARA_ORTAK_EKSTRE!AJ136="","",_ARA_ORTAK_EKSTRE!AJ136))</f>
        <v/>
      </c>
      <c r="L145" s="168" t="str">
        <f>IF($C$3="ÖMER KARTAL",IF(_ARA_ORTAK_EKSTRE!X136="","",_ARA_ORTAK_EKSTRE!X136),IF(_ARA_ORTAK_EKSTRE!AK136="","",_ARA_ORTAK_EKSTRE!AK136))</f>
        <v/>
      </c>
      <c r="M145" s="156" t="str">
        <f>IF($C$3="ÖMER KARTAL",IF(_ARA_ORTAK_EKSTRE!Y136="","",_ARA_ORTAK_EKSTRE!Y136),IF(_ARA_ORTAK_EKSTRE!AL136="","",_ARA_ORTAK_EKSTRE!AL136))</f>
        <v/>
      </c>
    </row>
    <row r="146" spans="2:13" ht="29.25" customHeight="1">
      <c r="B146" s="163" t="str">
        <f>IF($C$3="ÖMER KARTAL",IF(_ARA_ORTAK_EKSTRE!N137="","",_ARA_ORTAK_EKSTRE!N137),IF(_ARA_ORTAK_EKSTRE!AA137="","",_ARA_ORTAK_EKSTRE!AA137))</f>
        <v/>
      </c>
      <c r="C146" s="164" t="str">
        <f>IF($C$3="ÖMER KARTAL",IF(_ARA_ORTAK_EKSTRE!O137="","",_ARA_ORTAK_EKSTRE!O137),IF(_ARA_ORTAK_EKSTRE!AB137="","",_ARA_ORTAK_EKSTRE!AB137))</f>
        <v/>
      </c>
      <c r="D146" s="164" t="str">
        <f>IF($C$3="ÖMER KARTAL",IF(_ARA_ORTAK_EKSTRE!P137="","",_ARA_ORTAK_EKSTRE!P137),IF(_ARA_ORTAK_EKSTRE!AC137="","",_ARA_ORTAK_EKSTRE!AC137))</f>
        <v/>
      </c>
      <c r="E146" s="164" t="str">
        <f>IF($C$3="ÖMER KARTAL",IF(_ARA_ORTAK_EKSTRE!Q137="","",_ARA_ORTAK_EKSTRE!Q137),IF(_ARA_ORTAK_EKSTRE!AD137="","",_ARA_ORTAK_EKSTRE!AD137))</f>
        <v/>
      </c>
      <c r="F146" s="164" t="str">
        <f>IF($C$3="ÖMER KARTAL",IF(_ARA_ORTAK_EKSTRE!R137="","",_ARA_ORTAK_EKSTRE!R137),IF(_ARA_ORTAK_EKSTRE!AE137="","",_ARA_ORTAK_EKSTRE!AE137))</f>
        <v/>
      </c>
      <c r="G146" s="159" t="str">
        <f>IF($C$3="ÖMER KARTAL",IF(_ARA_ORTAK_EKSTRE!S137="","",_ARA_ORTAK_EKSTRE!S137),IF(_ARA_ORTAK_EKSTRE!AF137="","",_ARA_ORTAK_EKSTRE!AF137))</f>
        <v/>
      </c>
      <c r="H146" s="168" t="str">
        <f>IF($C$3="ÖMER KARTAL",IF(_ARA_ORTAK_EKSTRE!T137="","",_ARA_ORTAK_EKSTRE!T137),IF(_ARA_ORTAK_EKSTRE!AG137="","",_ARA_ORTAK_EKSTRE!AG137))</f>
        <v/>
      </c>
      <c r="I146" s="168" t="str">
        <f>IF($C$3="ÖMER KARTAL",IF(_ARA_ORTAK_EKSTRE!U137="","",_ARA_ORTAK_EKSTRE!U137),IF(_ARA_ORTAK_EKSTRE!AH137="","",_ARA_ORTAK_EKSTRE!AH137))</f>
        <v/>
      </c>
      <c r="J146" s="168" t="str">
        <f>IF($C$3="ÖMER KARTAL",IF(_ARA_ORTAK_EKSTRE!V137="","",_ARA_ORTAK_EKSTRE!V137),IF(_ARA_ORTAK_EKSTRE!AI137="","",_ARA_ORTAK_EKSTRE!AI137))</f>
        <v/>
      </c>
      <c r="K146" s="168" t="str">
        <f>IF($C$3="ÖMER KARTAL",IF(_ARA_ORTAK_EKSTRE!W137="","",_ARA_ORTAK_EKSTRE!W137),IF(_ARA_ORTAK_EKSTRE!AJ137="","",_ARA_ORTAK_EKSTRE!AJ137))</f>
        <v/>
      </c>
      <c r="L146" s="168" t="str">
        <f>IF($C$3="ÖMER KARTAL",IF(_ARA_ORTAK_EKSTRE!X137="","",_ARA_ORTAK_EKSTRE!X137),IF(_ARA_ORTAK_EKSTRE!AK137="","",_ARA_ORTAK_EKSTRE!AK137))</f>
        <v/>
      </c>
      <c r="M146" s="156" t="str">
        <f>IF($C$3="ÖMER KARTAL",IF(_ARA_ORTAK_EKSTRE!Y137="","",_ARA_ORTAK_EKSTRE!Y137),IF(_ARA_ORTAK_EKSTRE!AL137="","",_ARA_ORTAK_EKSTRE!AL137))</f>
        <v/>
      </c>
    </row>
    <row r="147" spans="2:13" ht="29.25" customHeight="1">
      <c r="B147" s="163" t="str">
        <f>IF($C$3="ÖMER KARTAL",IF(_ARA_ORTAK_EKSTRE!N138="","",_ARA_ORTAK_EKSTRE!N138),IF(_ARA_ORTAK_EKSTRE!AA138="","",_ARA_ORTAK_EKSTRE!AA138))</f>
        <v/>
      </c>
      <c r="C147" s="164" t="str">
        <f>IF($C$3="ÖMER KARTAL",IF(_ARA_ORTAK_EKSTRE!O138="","",_ARA_ORTAK_EKSTRE!O138),IF(_ARA_ORTAK_EKSTRE!AB138="","",_ARA_ORTAK_EKSTRE!AB138))</f>
        <v/>
      </c>
      <c r="D147" s="164" t="str">
        <f>IF($C$3="ÖMER KARTAL",IF(_ARA_ORTAK_EKSTRE!P138="","",_ARA_ORTAK_EKSTRE!P138),IF(_ARA_ORTAK_EKSTRE!AC138="","",_ARA_ORTAK_EKSTRE!AC138))</f>
        <v/>
      </c>
      <c r="E147" s="164" t="str">
        <f>IF($C$3="ÖMER KARTAL",IF(_ARA_ORTAK_EKSTRE!Q138="","",_ARA_ORTAK_EKSTRE!Q138),IF(_ARA_ORTAK_EKSTRE!AD138="","",_ARA_ORTAK_EKSTRE!AD138))</f>
        <v/>
      </c>
      <c r="F147" s="164" t="str">
        <f>IF($C$3="ÖMER KARTAL",IF(_ARA_ORTAK_EKSTRE!R138="","",_ARA_ORTAK_EKSTRE!R138),IF(_ARA_ORTAK_EKSTRE!AE138="","",_ARA_ORTAK_EKSTRE!AE138))</f>
        <v/>
      </c>
      <c r="G147" s="159" t="str">
        <f>IF($C$3="ÖMER KARTAL",IF(_ARA_ORTAK_EKSTRE!S138="","",_ARA_ORTAK_EKSTRE!S138),IF(_ARA_ORTAK_EKSTRE!AF138="","",_ARA_ORTAK_EKSTRE!AF138))</f>
        <v/>
      </c>
      <c r="H147" s="168" t="str">
        <f>IF($C$3="ÖMER KARTAL",IF(_ARA_ORTAK_EKSTRE!T138="","",_ARA_ORTAK_EKSTRE!T138),IF(_ARA_ORTAK_EKSTRE!AG138="","",_ARA_ORTAK_EKSTRE!AG138))</f>
        <v/>
      </c>
      <c r="I147" s="168" t="str">
        <f>IF($C$3="ÖMER KARTAL",IF(_ARA_ORTAK_EKSTRE!U138="","",_ARA_ORTAK_EKSTRE!U138),IF(_ARA_ORTAK_EKSTRE!AH138="","",_ARA_ORTAK_EKSTRE!AH138))</f>
        <v/>
      </c>
      <c r="J147" s="168" t="str">
        <f>IF($C$3="ÖMER KARTAL",IF(_ARA_ORTAK_EKSTRE!V138="","",_ARA_ORTAK_EKSTRE!V138),IF(_ARA_ORTAK_EKSTRE!AI138="","",_ARA_ORTAK_EKSTRE!AI138))</f>
        <v/>
      </c>
      <c r="K147" s="168" t="str">
        <f>IF($C$3="ÖMER KARTAL",IF(_ARA_ORTAK_EKSTRE!W138="","",_ARA_ORTAK_EKSTRE!W138),IF(_ARA_ORTAK_EKSTRE!AJ138="","",_ARA_ORTAK_EKSTRE!AJ138))</f>
        <v/>
      </c>
      <c r="L147" s="168" t="str">
        <f>IF($C$3="ÖMER KARTAL",IF(_ARA_ORTAK_EKSTRE!X138="","",_ARA_ORTAK_EKSTRE!X138),IF(_ARA_ORTAK_EKSTRE!AK138="","",_ARA_ORTAK_EKSTRE!AK138))</f>
        <v/>
      </c>
      <c r="M147" s="156" t="str">
        <f>IF($C$3="ÖMER KARTAL",IF(_ARA_ORTAK_EKSTRE!Y138="","",_ARA_ORTAK_EKSTRE!Y138),IF(_ARA_ORTAK_EKSTRE!AL138="","",_ARA_ORTAK_EKSTRE!AL138))</f>
        <v/>
      </c>
    </row>
    <row r="148" spans="2:13" ht="29.25" customHeight="1">
      <c r="B148" s="163" t="str">
        <f>IF($C$3="ÖMER KARTAL",IF(_ARA_ORTAK_EKSTRE!N139="","",_ARA_ORTAK_EKSTRE!N139),IF(_ARA_ORTAK_EKSTRE!AA139="","",_ARA_ORTAK_EKSTRE!AA139))</f>
        <v/>
      </c>
      <c r="C148" s="164" t="str">
        <f>IF($C$3="ÖMER KARTAL",IF(_ARA_ORTAK_EKSTRE!O139="","",_ARA_ORTAK_EKSTRE!O139),IF(_ARA_ORTAK_EKSTRE!AB139="","",_ARA_ORTAK_EKSTRE!AB139))</f>
        <v/>
      </c>
      <c r="D148" s="164" t="str">
        <f>IF($C$3="ÖMER KARTAL",IF(_ARA_ORTAK_EKSTRE!P139="","",_ARA_ORTAK_EKSTRE!P139),IF(_ARA_ORTAK_EKSTRE!AC139="","",_ARA_ORTAK_EKSTRE!AC139))</f>
        <v/>
      </c>
      <c r="E148" s="164" t="str">
        <f>IF($C$3="ÖMER KARTAL",IF(_ARA_ORTAK_EKSTRE!Q139="","",_ARA_ORTAK_EKSTRE!Q139),IF(_ARA_ORTAK_EKSTRE!AD139="","",_ARA_ORTAK_EKSTRE!AD139))</f>
        <v/>
      </c>
      <c r="F148" s="164" t="str">
        <f>IF($C$3="ÖMER KARTAL",IF(_ARA_ORTAK_EKSTRE!R139="","",_ARA_ORTAK_EKSTRE!R139),IF(_ARA_ORTAK_EKSTRE!AE139="","",_ARA_ORTAK_EKSTRE!AE139))</f>
        <v/>
      </c>
      <c r="G148" s="159" t="str">
        <f>IF($C$3="ÖMER KARTAL",IF(_ARA_ORTAK_EKSTRE!S139="","",_ARA_ORTAK_EKSTRE!S139),IF(_ARA_ORTAK_EKSTRE!AF139="","",_ARA_ORTAK_EKSTRE!AF139))</f>
        <v/>
      </c>
      <c r="H148" s="168" t="str">
        <f>IF($C$3="ÖMER KARTAL",IF(_ARA_ORTAK_EKSTRE!T139="","",_ARA_ORTAK_EKSTRE!T139),IF(_ARA_ORTAK_EKSTRE!AG139="","",_ARA_ORTAK_EKSTRE!AG139))</f>
        <v/>
      </c>
      <c r="I148" s="168" t="str">
        <f>IF($C$3="ÖMER KARTAL",IF(_ARA_ORTAK_EKSTRE!U139="","",_ARA_ORTAK_EKSTRE!U139),IF(_ARA_ORTAK_EKSTRE!AH139="","",_ARA_ORTAK_EKSTRE!AH139))</f>
        <v/>
      </c>
      <c r="J148" s="168" t="str">
        <f>IF($C$3="ÖMER KARTAL",IF(_ARA_ORTAK_EKSTRE!V139="","",_ARA_ORTAK_EKSTRE!V139),IF(_ARA_ORTAK_EKSTRE!AI139="","",_ARA_ORTAK_EKSTRE!AI139))</f>
        <v/>
      </c>
      <c r="K148" s="168" t="str">
        <f>IF($C$3="ÖMER KARTAL",IF(_ARA_ORTAK_EKSTRE!W139="","",_ARA_ORTAK_EKSTRE!W139),IF(_ARA_ORTAK_EKSTRE!AJ139="","",_ARA_ORTAK_EKSTRE!AJ139))</f>
        <v/>
      </c>
      <c r="L148" s="168" t="str">
        <f>IF($C$3="ÖMER KARTAL",IF(_ARA_ORTAK_EKSTRE!X139="","",_ARA_ORTAK_EKSTRE!X139),IF(_ARA_ORTAK_EKSTRE!AK139="","",_ARA_ORTAK_EKSTRE!AK139))</f>
        <v/>
      </c>
      <c r="M148" s="156" t="str">
        <f>IF($C$3="ÖMER KARTAL",IF(_ARA_ORTAK_EKSTRE!Y139="","",_ARA_ORTAK_EKSTRE!Y139),IF(_ARA_ORTAK_EKSTRE!AL139="","",_ARA_ORTAK_EKSTRE!AL139))</f>
        <v/>
      </c>
    </row>
    <row r="149" spans="2:13" ht="29.25" customHeight="1">
      <c r="B149" s="163" t="str">
        <f>IF($C$3="ÖMER KARTAL",IF(_ARA_ORTAK_EKSTRE!N140="","",_ARA_ORTAK_EKSTRE!N140),IF(_ARA_ORTAK_EKSTRE!AA140="","",_ARA_ORTAK_EKSTRE!AA140))</f>
        <v/>
      </c>
      <c r="C149" s="164" t="str">
        <f>IF($C$3="ÖMER KARTAL",IF(_ARA_ORTAK_EKSTRE!O140="","",_ARA_ORTAK_EKSTRE!O140),IF(_ARA_ORTAK_EKSTRE!AB140="","",_ARA_ORTAK_EKSTRE!AB140))</f>
        <v/>
      </c>
      <c r="D149" s="164" t="str">
        <f>IF($C$3="ÖMER KARTAL",IF(_ARA_ORTAK_EKSTRE!P140="","",_ARA_ORTAK_EKSTRE!P140),IF(_ARA_ORTAK_EKSTRE!AC140="","",_ARA_ORTAK_EKSTRE!AC140))</f>
        <v/>
      </c>
      <c r="E149" s="164" t="str">
        <f>IF($C$3="ÖMER KARTAL",IF(_ARA_ORTAK_EKSTRE!Q140="","",_ARA_ORTAK_EKSTRE!Q140),IF(_ARA_ORTAK_EKSTRE!AD140="","",_ARA_ORTAK_EKSTRE!AD140))</f>
        <v/>
      </c>
      <c r="F149" s="164" t="str">
        <f>IF($C$3="ÖMER KARTAL",IF(_ARA_ORTAK_EKSTRE!R140="","",_ARA_ORTAK_EKSTRE!R140),IF(_ARA_ORTAK_EKSTRE!AE140="","",_ARA_ORTAK_EKSTRE!AE140))</f>
        <v/>
      </c>
      <c r="G149" s="159" t="str">
        <f>IF($C$3="ÖMER KARTAL",IF(_ARA_ORTAK_EKSTRE!S140="","",_ARA_ORTAK_EKSTRE!S140),IF(_ARA_ORTAK_EKSTRE!AF140="","",_ARA_ORTAK_EKSTRE!AF140))</f>
        <v/>
      </c>
      <c r="H149" s="168" t="str">
        <f>IF($C$3="ÖMER KARTAL",IF(_ARA_ORTAK_EKSTRE!T140="","",_ARA_ORTAK_EKSTRE!T140),IF(_ARA_ORTAK_EKSTRE!AG140="","",_ARA_ORTAK_EKSTRE!AG140))</f>
        <v/>
      </c>
      <c r="I149" s="168" t="str">
        <f>IF($C$3="ÖMER KARTAL",IF(_ARA_ORTAK_EKSTRE!U140="","",_ARA_ORTAK_EKSTRE!U140),IF(_ARA_ORTAK_EKSTRE!AH140="","",_ARA_ORTAK_EKSTRE!AH140))</f>
        <v/>
      </c>
      <c r="J149" s="168" t="str">
        <f>IF($C$3="ÖMER KARTAL",IF(_ARA_ORTAK_EKSTRE!V140="","",_ARA_ORTAK_EKSTRE!V140),IF(_ARA_ORTAK_EKSTRE!AI140="","",_ARA_ORTAK_EKSTRE!AI140))</f>
        <v/>
      </c>
      <c r="K149" s="168" t="str">
        <f>IF($C$3="ÖMER KARTAL",IF(_ARA_ORTAK_EKSTRE!W140="","",_ARA_ORTAK_EKSTRE!W140),IF(_ARA_ORTAK_EKSTRE!AJ140="","",_ARA_ORTAK_EKSTRE!AJ140))</f>
        <v/>
      </c>
      <c r="L149" s="168" t="str">
        <f>IF($C$3="ÖMER KARTAL",IF(_ARA_ORTAK_EKSTRE!X140="","",_ARA_ORTAK_EKSTRE!X140),IF(_ARA_ORTAK_EKSTRE!AK140="","",_ARA_ORTAK_EKSTRE!AK140))</f>
        <v/>
      </c>
      <c r="M149" s="156" t="str">
        <f>IF($C$3="ÖMER KARTAL",IF(_ARA_ORTAK_EKSTRE!Y140="","",_ARA_ORTAK_EKSTRE!Y140),IF(_ARA_ORTAK_EKSTRE!AL140="","",_ARA_ORTAK_EKSTRE!AL140))</f>
        <v/>
      </c>
    </row>
    <row r="150" spans="2:13" ht="29.25" customHeight="1">
      <c r="B150" s="163" t="str">
        <f>IF($C$3="ÖMER KARTAL",IF(_ARA_ORTAK_EKSTRE!N141="","",_ARA_ORTAK_EKSTRE!N141),IF(_ARA_ORTAK_EKSTRE!AA141="","",_ARA_ORTAK_EKSTRE!AA141))</f>
        <v/>
      </c>
      <c r="C150" s="164" t="str">
        <f>IF($C$3="ÖMER KARTAL",IF(_ARA_ORTAK_EKSTRE!O141="","",_ARA_ORTAK_EKSTRE!O141),IF(_ARA_ORTAK_EKSTRE!AB141="","",_ARA_ORTAK_EKSTRE!AB141))</f>
        <v/>
      </c>
      <c r="D150" s="164" t="str">
        <f>IF($C$3="ÖMER KARTAL",IF(_ARA_ORTAK_EKSTRE!P141="","",_ARA_ORTAK_EKSTRE!P141),IF(_ARA_ORTAK_EKSTRE!AC141="","",_ARA_ORTAK_EKSTRE!AC141))</f>
        <v/>
      </c>
      <c r="E150" s="164" t="str">
        <f>IF($C$3="ÖMER KARTAL",IF(_ARA_ORTAK_EKSTRE!Q141="","",_ARA_ORTAK_EKSTRE!Q141),IF(_ARA_ORTAK_EKSTRE!AD141="","",_ARA_ORTAK_EKSTRE!AD141))</f>
        <v/>
      </c>
      <c r="F150" s="164" t="str">
        <f>IF($C$3="ÖMER KARTAL",IF(_ARA_ORTAK_EKSTRE!R141="","",_ARA_ORTAK_EKSTRE!R141),IF(_ARA_ORTAK_EKSTRE!AE141="","",_ARA_ORTAK_EKSTRE!AE141))</f>
        <v/>
      </c>
      <c r="G150" s="159" t="str">
        <f>IF($C$3="ÖMER KARTAL",IF(_ARA_ORTAK_EKSTRE!S141="","",_ARA_ORTAK_EKSTRE!S141),IF(_ARA_ORTAK_EKSTRE!AF141="","",_ARA_ORTAK_EKSTRE!AF141))</f>
        <v/>
      </c>
      <c r="H150" s="168" t="str">
        <f>IF($C$3="ÖMER KARTAL",IF(_ARA_ORTAK_EKSTRE!T141="","",_ARA_ORTAK_EKSTRE!T141),IF(_ARA_ORTAK_EKSTRE!AG141="","",_ARA_ORTAK_EKSTRE!AG141))</f>
        <v/>
      </c>
      <c r="I150" s="168" t="str">
        <f>IF($C$3="ÖMER KARTAL",IF(_ARA_ORTAK_EKSTRE!U141="","",_ARA_ORTAK_EKSTRE!U141),IF(_ARA_ORTAK_EKSTRE!AH141="","",_ARA_ORTAK_EKSTRE!AH141))</f>
        <v/>
      </c>
      <c r="J150" s="168" t="str">
        <f>IF($C$3="ÖMER KARTAL",IF(_ARA_ORTAK_EKSTRE!V141="","",_ARA_ORTAK_EKSTRE!V141),IF(_ARA_ORTAK_EKSTRE!AI141="","",_ARA_ORTAK_EKSTRE!AI141))</f>
        <v/>
      </c>
      <c r="K150" s="168" t="str">
        <f>IF($C$3="ÖMER KARTAL",IF(_ARA_ORTAK_EKSTRE!W141="","",_ARA_ORTAK_EKSTRE!W141),IF(_ARA_ORTAK_EKSTRE!AJ141="","",_ARA_ORTAK_EKSTRE!AJ141))</f>
        <v/>
      </c>
      <c r="L150" s="168" t="str">
        <f>IF($C$3="ÖMER KARTAL",IF(_ARA_ORTAK_EKSTRE!X141="","",_ARA_ORTAK_EKSTRE!X141),IF(_ARA_ORTAK_EKSTRE!AK141="","",_ARA_ORTAK_EKSTRE!AK141))</f>
        <v/>
      </c>
      <c r="M150" s="156" t="str">
        <f>IF($C$3="ÖMER KARTAL",IF(_ARA_ORTAK_EKSTRE!Y141="","",_ARA_ORTAK_EKSTRE!Y141),IF(_ARA_ORTAK_EKSTRE!AL141="","",_ARA_ORTAK_EKSTRE!AL141))</f>
        <v/>
      </c>
    </row>
    <row r="151" spans="2:13" ht="29.25" customHeight="1">
      <c r="B151" s="163" t="str">
        <f>IF($C$3="ÖMER KARTAL",IF(_ARA_ORTAK_EKSTRE!N142="","",_ARA_ORTAK_EKSTRE!N142),IF(_ARA_ORTAK_EKSTRE!AA142="","",_ARA_ORTAK_EKSTRE!AA142))</f>
        <v/>
      </c>
      <c r="C151" s="164" t="str">
        <f>IF($C$3="ÖMER KARTAL",IF(_ARA_ORTAK_EKSTRE!O142="","",_ARA_ORTAK_EKSTRE!O142),IF(_ARA_ORTAK_EKSTRE!AB142="","",_ARA_ORTAK_EKSTRE!AB142))</f>
        <v/>
      </c>
      <c r="D151" s="164" t="str">
        <f>IF($C$3="ÖMER KARTAL",IF(_ARA_ORTAK_EKSTRE!P142="","",_ARA_ORTAK_EKSTRE!P142),IF(_ARA_ORTAK_EKSTRE!AC142="","",_ARA_ORTAK_EKSTRE!AC142))</f>
        <v/>
      </c>
      <c r="E151" s="164" t="str">
        <f>IF($C$3="ÖMER KARTAL",IF(_ARA_ORTAK_EKSTRE!Q142="","",_ARA_ORTAK_EKSTRE!Q142),IF(_ARA_ORTAK_EKSTRE!AD142="","",_ARA_ORTAK_EKSTRE!AD142))</f>
        <v/>
      </c>
      <c r="F151" s="164" t="str">
        <f>IF($C$3="ÖMER KARTAL",IF(_ARA_ORTAK_EKSTRE!R142="","",_ARA_ORTAK_EKSTRE!R142),IF(_ARA_ORTAK_EKSTRE!AE142="","",_ARA_ORTAK_EKSTRE!AE142))</f>
        <v/>
      </c>
      <c r="G151" s="159" t="str">
        <f>IF($C$3="ÖMER KARTAL",IF(_ARA_ORTAK_EKSTRE!S142="","",_ARA_ORTAK_EKSTRE!S142),IF(_ARA_ORTAK_EKSTRE!AF142="","",_ARA_ORTAK_EKSTRE!AF142))</f>
        <v/>
      </c>
      <c r="H151" s="168" t="str">
        <f>IF($C$3="ÖMER KARTAL",IF(_ARA_ORTAK_EKSTRE!T142="","",_ARA_ORTAK_EKSTRE!T142),IF(_ARA_ORTAK_EKSTRE!AG142="","",_ARA_ORTAK_EKSTRE!AG142))</f>
        <v/>
      </c>
      <c r="I151" s="168" t="str">
        <f>IF($C$3="ÖMER KARTAL",IF(_ARA_ORTAK_EKSTRE!U142="","",_ARA_ORTAK_EKSTRE!U142),IF(_ARA_ORTAK_EKSTRE!AH142="","",_ARA_ORTAK_EKSTRE!AH142))</f>
        <v/>
      </c>
      <c r="J151" s="168" t="str">
        <f>IF($C$3="ÖMER KARTAL",IF(_ARA_ORTAK_EKSTRE!V142="","",_ARA_ORTAK_EKSTRE!V142),IF(_ARA_ORTAK_EKSTRE!AI142="","",_ARA_ORTAK_EKSTRE!AI142))</f>
        <v/>
      </c>
      <c r="K151" s="168" t="str">
        <f>IF($C$3="ÖMER KARTAL",IF(_ARA_ORTAK_EKSTRE!W142="","",_ARA_ORTAK_EKSTRE!W142),IF(_ARA_ORTAK_EKSTRE!AJ142="","",_ARA_ORTAK_EKSTRE!AJ142))</f>
        <v/>
      </c>
      <c r="L151" s="168" t="str">
        <f>IF($C$3="ÖMER KARTAL",IF(_ARA_ORTAK_EKSTRE!X142="","",_ARA_ORTAK_EKSTRE!X142),IF(_ARA_ORTAK_EKSTRE!AK142="","",_ARA_ORTAK_EKSTRE!AK142))</f>
        <v/>
      </c>
      <c r="M151" s="156" t="str">
        <f>IF($C$3="ÖMER KARTAL",IF(_ARA_ORTAK_EKSTRE!Y142="","",_ARA_ORTAK_EKSTRE!Y142),IF(_ARA_ORTAK_EKSTRE!AL142="","",_ARA_ORTAK_EKSTRE!AL142))</f>
        <v/>
      </c>
    </row>
    <row r="152" spans="2:13" ht="29.25" customHeight="1">
      <c r="B152" s="163" t="str">
        <f>IF($C$3="ÖMER KARTAL",IF(_ARA_ORTAK_EKSTRE!N143="","",_ARA_ORTAK_EKSTRE!N143),IF(_ARA_ORTAK_EKSTRE!AA143="","",_ARA_ORTAK_EKSTRE!AA143))</f>
        <v/>
      </c>
      <c r="C152" s="164" t="str">
        <f>IF($C$3="ÖMER KARTAL",IF(_ARA_ORTAK_EKSTRE!O143="","",_ARA_ORTAK_EKSTRE!O143),IF(_ARA_ORTAK_EKSTRE!AB143="","",_ARA_ORTAK_EKSTRE!AB143))</f>
        <v/>
      </c>
      <c r="D152" s="164" t="str">
        <f>IF($C$3="ÖMER KARTAL",IF(_ARA_ORTAK_EKSTRE!P143="","",_ARA_ORTAK_EKSTRE!P143),IF(_ARA_ORTAK_EKSTRE!AC143="","",_ARA_ORTAK_EKSTRE!AC143))</f>
        <v/>
      </c>
      <c r="E152" s="164" t="str">
        <f>IF($C$3="ÖMER KARTAL",IF(_ARA_ORTAK_EKSTRE!Q143="","",_ARA_ORTAK_EKSTRE!Q143),IF(_ARA_ORTAK_EKSTRE!AD143="","",_ARA_ORTAK_EKSTRE!AD143))</f>
        <v/>
      </c>
      <c r="F152" s="164" t="str">
        <f>IF($C$3="ÖMER KARTAL",IF(_ARA_ORTAK_EKSTRE!R143="","",_ARA_ORTAK_EKSTRE!R143),IF(_ARA_ORTAK_EKSTRE!AE143="","",_ARA_ORTAK_EKSTRE!AE143))</f>
        <v/>
      </c>
      <c r="G152" s="159" t="str">
        <f>IF($C$3="ÖMER KARTAL",IF(_ARA_ORTAK_EKSTRE!S143="","",_ARA_ORTAK_EKSTRE!S143),IF(_ARA_ORTAK_EKSTRE!AF143="","",_ARA_ORTAK_EKSTRE!AF143))</f>
        <v/>
      </c>
      <c r="H152" s="168" t="str">
        <f>IF($C$3="ÖMER KARTAL",IF(_ARA_ORTAK_EKSTRE!T143="","",_ARA_ORTAK_EKSTRE!T143),IF(_ARA_ORTAK_EKSTRE!AG143="","",_ARA_ORTAK_EKSTRE!AG143))</f>
        <v/>
      </c>
      <c r="I152" s="168" t="str">
        <f>IF($C$3="ÖMER KARTAL",IF(_ARA_ORTAK_EKSTRE!U143="","",_ARA_ORTAK_EKSTRE!U143),IF(_ARA_ORTAK_EKSTRE!AH143="","",_ARA_ORTAK_EKSTRE!AH143))</f>
        <v/>
      </c>
      <c r="J152" s="168" t="str">
        <f>IF($C$3="ÖMER KARTAL",IF(_ARA_ORTAK_EKSTRE!V143="","",_ARA_ORTAK_EKSTRE!V143),IF(_ARA_ORTAK_EKSTRE!AI143="","",_ARA_ORTAK_EKSTRE!AI143))</f>
        <v/>
      </c>
      <c r="K152" s="168" t="str">
        <f>IF($C$3="ÖMER KARTAL",IF(_ARA_ORTAK_EKSTRE!W143="","",_ARA_ORTAK_EKSTRE!W143),IF(_ARA_ORTAK_EKSTRE!AJ143="","",_ARA_ORTAK_EKSTRE!AJ143))</f>
        <v/>
      </c>
      <c r="L152" s="168" t="str">
        <f>IF($C$3="ÖMER KARTAL",IF(_ARA_ORTAK_EKSTRE!X143="","",_ARA_ORTAK_EKSTRE!X143),IF(_ARA_ORTAK_EKSTRE!AK143="","",_ARA_ORTAK_EKSTRE!AK143))</f>
        <v/>
      </c>
      <c r="M152" s="156" t="str">
        <f>IF($C$3="ÖMER KARTAL",IF(_ARA_ORTAK_EKSTRE!Y143="","",_ARA_ORTAK_EKSTRE!Y143),IF(_ARA_ORTAK_EKSTRE!AL143="","",_ARA_ORTAK_EKSTRE!AL143))</f>
        <v/>
      </c>
    </row>
    <row r="153" spans="2:13" ht="29.25" customHeight="1">
      <c r="B153" s="163" t="str">
        <f>IF($C$3="ÖMER KARTAL",IF(_ARA_ORTAK_EKSTRE!N144="","",_ARA_ORTAK_EKSTRE!N144),IF(_ARA_ORTAK_EKSTRE!AA144="","",_ARA_ORTAK_EKSTRE!AA144))</f>
        <v/>
      </c>
      <c r="C153" s="164" t="str">
        <f>IF($C$3="ÖMER KARTAL",IF(_ARA_ORTAK_EKSTRE!O144="","",_ARA_ORTAK_EKSTRE!O144),IF(_ARA_ORTAK_EKSTRE!AB144="","",_ARA_ORTAK_EKSTRE!AB144))</f>
        <v/>
      </c>
      <c r="D153" s="164" t="str">
        <f>IF($C$3="ÖMER KARTAL",IF(_ARA_ORTAK_EKSTRE!P144="","",_ARA_ORTAK_EKSTRE!P144),IF(_ARA_ORTAK_EKSTRE!AC144="","",_ARA_ORTAK_EKSTRE!AC144))</f>
        <v/>
      </c>
      <c r="E153" s="164" t="str">
        <f>IF($C$3="ÖMER KARTAL",IF(_ARA_ORTAK_EKSTRE!Q144="","",_ARA_ORTAK_EKSTRE!Q144),IF(_ARA_ORTAK_EKSTRE!AD144="","",_ARA_ORTAK_EKSTRE!AD144))</f>
        <v/>
      </c>
      <c r="F153" s="164" t="str">
        <f>IF($C$3="ÖMER KARTAL",IF(_ARA_ORTAK_EKSTRE!R144="","",_ARA_ORTAK_EKSTRE!R144),IF(_ARA_ORTAK_EKSTRE!AE144="","",_ARA_ORTAK_EKSTRE!AE144))</f>
        <v/>
      </c>
      <c r="G153" s="159" t="str">
        <f>IF($C$3="ÖMER KARTAL",IF(_ARA_ORTAK_EKSTRE!S144="","",_ARA_ORTAK_EKSTRE!S144),IF(_ARA_ORTAK_EKSTRE!AF144="","",_ARA_ORTAK_EKSTRE!AF144))</f>
        <v/>
      </c>
      <c r="H153" s="168" t="str">
        <f>IF($C$3="ÖMER KARTAL",IF(_ARA_ORTAK_EKSTRE!T144="","",_ARA_ORTAK_EKSTRE!T144),IF(_ARA_ORTAK_EKSTRE!AG144="","",_ARA_ORTAK_EKSTRE!AG144))</f>
        <v/>
      </c>
      <c r="I153" s="168" t="str">
        <f>IF($C$3="ÖMER KARTAL",IF(_ARA_ORTAK_EKSTRE!U144="","",_ARA_ORTAK_EKSTRE!U144),IF(_ARA_ORTAK_EKSTRE!AH144="","",_ARA_ORTAK_EKSTRE!AH144))</f>
        <v/>
      </c>
      <c r="J153" s="168" t="str">
        <f>IF($C$3="ÖMER KARTAL",IF(_ARA_ORTAK_EKSTRE!V144="","",_ARA_ORTAK_EKSTRE!V144),IF(_ARA_ORTAK_EKSTRE!AI144="","",_ARA_ORTAK_EKSTRE!AI144))</f>
        <v/>
      </c>
      <c r="K153" s="168" t="str">
        <f>IF($C$3="ÖMER KARTAL",IF(_ARA_ORTAK_EKSTRE!W144="","",_ARA_ORTAK_EKSTRE!W144),IF(_ARA_ORTAK_EKSTRE!AJ144="","",_ARA_ORTAK_EKSTRE!AJ144))</f>
        <v/>
      </c>
      <c r="L153" s="168" t="str">
        <f>IF($C$3="ÖMER KARTAL",IF(_ARA_ORTAK_EKSTRE!X144="","",_ARA_ORTAK_EKSTRE!X144),IF(_ARA_ORTAK_EKSTRE!AK144="","",_ARA_ORTAK_EKSTRE!AK144))</f>
        <v/>
      </c>
      <c r="M153" s="156" t="str">
        <f>IF($C$3="ÖMER KARTAL",IF(_ARA_ORTAK_EKSTRE!Y144="","",_ARA_ORTAK_EKSTRE!Y144),IF(_ARA_ORTAK_EKSTRE!AL144="","",_ARA_ORTAK_EKSTRE!AL144))</f>
        <v/>
      </c>
    </row>
    <row r="154" spans="2:13" ht="29.25" customHeight="1">
      <c r="B154" s="163" t="str">
        <f>IF($C$3="ÖMER KARTAL",IF(_ARA_ORTAK_EKSTRE!N145="","",_ARA_ORTAK_EKSTRE!N145),IF(_ARA_ORTAK_EKSTRE!AA145="","",_ARA_ORTAK_EKSTRE!AA145))</f>
        <v/>
      </c>
      <c r="C154" s="164" t="str">
        <f>IF($C$3="ÖMER KARTAL",IF(_ARA_ORTAK_EKSTRE!O145="","",_ARA_ORTAK_EKSTRE!O145),IF(_ARA_ORTAK_EKSTRE!AB145="","",_ARA_ORTAK_EKSTRE!AB145))</f>
        <v/>
      </c>
      <c r="D154" s="164" t="str">
        <f>IF($C$3="ÖMER KARTAL",IF(_ARA_ORTAK_EKSTRE!P145="","",_ARA_ORTAK_EKSTRE!P145),IF(_ARA_ORTAK_EKSTRE!AC145="","",_ARA_ORTAK_EKSTRE!AC145))</f>
        <v/>
      </c>
      <c r="E154" s="164" t="str">
        <f>IF($C$3="ÖMER KARTAL",IF(_ARA_ORTAK_EKSTRE!Q145="","",_ARA_ORTAK_EKSTRE!Q145),IF(_ARA_ORTAK_EKSTRE!AD145="","",_ARA_ORTAK_EKSTRE!AD145))</f>
        <v/>
      </c>
      <c r="F154" s="164" t="str">
        <f>IF($C$3="ÖMER KARTAL",IF(_ARA_ORTAK_EKSTRE!R145="","",_ARA_ORTAK_EKSTRE!R145),IF(_ARA_ORTAK_EKSTRE!AE145="","",_ARA_ORTAK_EKSTRE!AE145))</f>
        <v/>
      </c>
      <c r="G154" s="159" t="str">
        <f>IF($C$3="ÖMER KARTAL",IF(_ARA_ORTAK_EKSTRE!S145="","",_ARA_ORTAK_EKSTRE!S145),IF(_ARA_ORTAK_EKSTRE!AF145="","",_ARA_ORTAK_EKSTRE!AF145))</f>
        <v/>
      </c>
      <c r="H154" s="168" t="str">
        <f>IF($C$3="ÖMER KARTAL",IF(_ARA_ORTAK_EKSTRE!T145="","",_ARA_ORTAK_EKSTRE!T145),IF(_ARA_ORTAK_EKSTRE!AG145="","",_ARA_ORTAK_EKSTRE!AG145))</f>
        <v/>
      </c>
      <c r="I154" s="168" t="str">
        <f>IF($C$3="ÖMER KARTAL",IF(_ARA_ORTAK_EKSTRE!U145="","",_ARA_ORTAK_EKSTRE!U145),IF(_ARA_ORTAK_EKSTRE!AH145="","",_ARA_ORTAK_EKSTRE!AH145))</f>
        <v/>
      </c>
      <c r="J154" s="168" t="str">
        <f>IF($C$3="ÖMER KARTAL",IF(_ARA_ORTAK_EKSTRE!V145="","",_ARA_ORTAK_EKSTRE!V145),IF(_ARA_ORTAK_EKSTRE!AI145="","",_ARA_ORTAK_EKSTRE!AI145))</f>
        <v/>
      </c>
      <c r="K154" s="168" t="str">
        <f>IF($C$3="ÖMER KARTAL",IF(_ARA_ORTAK_EKSTRE!W145="","",_ARA_ORTAK_EKSTRE!W145),IF(_ARA_ORTAK_EKSTRE!AJ145="","",_ARA_ORTAK_EKSTRE!AJ145))</f>
        <v/>
      </c>
      <c r="L154" s="168" t="str">
        <f>IF($C$3="ÖMER KARTAL",IF(_ARA_ORTAK_EKSTRE!X145="","",_ARA_ORTAK_EKSTRE!X145),IF(_ARA_ORTAK_EKSTRE!AK145="","",_ARA_ORTAK_EKSTRE!AK145))</f>
        <v/>
      </c>
      <c r="M154" s="156" t="str">
        <f>IF($C$3="ÖMER KARTAL",IF(_ARA_ORTAK_EKSTRE!Y145="","",_ARA_ORTAK_EKSTRE!Y145),IF(_ARA_ORTAK_EKSTRE!AL145="","",_ARA_ORTAK_EKSTRE!AL145))</f>
        <v/>
      </c>
    </row>
    <row r="155" spans="2:13" ht="29.25" customHeight="1">
      <c r="B155" s="163" t="str">
        <f>IF($C$3="ÖMER KARTAL",IF(_ARA_ORTAK_EKSTRE!N146="","",_ARA_ORTAK_EKSTRE!N146),IF(_ARA_ORTAK_EKSTRE!AA146="","",_ARA_ORTAK_EKSTRE!AA146))</f>
        <v/>
      </c>
      <c r="C155" s="164" t="str">
        <f>IF($C$3="ÖMER KARTAL",IF(_ARA_ORTAK_EKSTRE!O146="","",_ARA_ORTAK_EKSTRE!O146),IF(_ARA_ORTAK_EKSTRE!AB146="","",_ARA_ORTAK_EKSTRE!AB146))</f>
        <v/>
      </c>
      <c r="D155" s="164" t="str">
        <f>IF($C$3="ÖMER KARTAL",IF(_ARA_ORTAK_EKSTRE!P146="","",_ARA_ORTAK_EKSTRE!P146),IF(_ARA_ORTAK_EKSTRE!AC146="","",_ARA_ORTAK_EKSTRE!AC146))</f>
        <v/>
      </c>
      <c r="E155" s="164" t="str">
        <f>IF($C$3="ÖMER KARTAL",IF(_ARA_ORTAK_EKSTRE!Q146="","",_ARA_ORTAK_EKSTRE!Q146),IF(_ARA_ORTAK_EKSTRE!AD146="","",_ARA_ORTAK_EKSTRE!AD146))</f>
        <v/>
      </c>
      <c r="F155" s="164" t="str">
        <f>IF($C$3="ÖMER KARTAL",IF(_ARA_ORTAK_EKSTRE!R146="","",_ARA_ORTAK_EKSTRE!R146),IF(_ARA_ORTAK_EKSTRE!AE146="","",_ARA_ORTAK_EKSTRE!AE146))</f>
        <v/>
      </c>
      <c r="G155" s="159" t="str">
        <f>IF($C$3="ÖMER KARTAL",IF(_ARA_ORTAK_EKSTRE!S146="","",_ARA_ORTAK_EKSTRE!S146),IF(_ARA_ORTAK_EKSTRE!AF146="","",_ARA_ORTAK_EKSTRE!AF146))</f>
        <v/>
      </c>
      <c r="H155" s="168" t="str">
        <f>IF($C$3="ÖMER KARTAL",IF(_ARA_ORTAK_EKSTRE!T146="","",_ARA_ORTAK_EKSTRE!T146),IF(_ARA_ORTAK_EKSTRE!AG146="","",_ARA_ORTAK_EKSTRE!AG146))</f>
        <v/>
      </c>
      <c r="I155" s="168" t="str">
        <f>IF($C$3="ÖMER KARTAL",IF(_ARA_ORTAK_EKSTRE!U146="","",_ARA_ORTAK_EKSTRE!U146),IF(_ARA_ORTAK_EKSTRE!AH146="","",_ARA_ORTAK_EKSTRE!AH146))</f>
        <v/>
      </c>
      <c r="J155" s="168" t="str">
        <f>IF($C$3="ÖMER KARTAL",IF(_ARA_ORTAK_EKSTRE!V146="","",_ARA_ORTAK_EKSTRE!V146),IF(_ARA_ORTAK_EKSTRE!AI146="","",_ARA_ORTAK_EKSTRE!AI146))</f>
        <v/>
      </c>
      <c r="K155" s="168" t="str">
        <f>IF($C$3="ÖMER KARTAL",IF(_ARA_ORTAK_EKSTRE!W146="","",_ARA_ORTAK_EKSTRE!W146),IF(_ARA_ORTAK_EKSTRE!AJ146="","",_ARA_ORTAK_EKSTRE!AJ146))</f>
        <v/>
      </c>
      <c r="L155" s="168" t="str">
        <f>IF($C$3="ÖMER KARTAL",IF(_ARA_ORTAK_EKSTRE!X146="","",_ARA_ORTAK_EKSTRE!X146),IF(_ARA_ORTAK_EKSTRE!AK146="","",_ARA_ORTAK_EKSTRE!AK146))</f>
        <v/>
      </c>
      <c r="M155" s="156" t="str">
        <f>IF($C$3="ÖMER KARTAL",IF(_ARA_ORTAK_EKSTRE!Y146="","",_ARA_ORTAK_EKSTRE!Y146),IF(_ARA_ORTAK_EKSTRE!AL146="","",_ARA_ORTAK_EKSTRE!AL146))</f>
        <v/>
      </c>
    </row>
    <row r="156" spans="2:13" ht="29.25" customHeight="1">
      <c r="B156" s="163" t="str">
        <f>IF($C$3="ÖMER KARTAL",IF(_ARA_ORTAK_EKSTRE!N147="","",_ARA_ORTAK_EKSTRE!N147),IF(_ARA_ORTAK_EKSTRE!AA147="","",_ARA_ORTAK_EKSTRE!AA147))</f>
        <v/>
      </c>
      <c r="C156" s="164" t="str">
        <f>IF($C$3="ÖMER KARTAL",IF(_ARA_ORTAK_EKSTRE!O147="","",_ARA_ORTAK_EKSTRE!O147),IF(_ARA_ORTAK_EKSTRE!AB147="","",_ARA_ORTAK_EKSTRE!AB147))</f>
        <v/>
      </c>
      <c r="D156" s="164" t="str">
        <f>IF($C$3="ÖMER KARTAL",IF(_ARA_ORTAK_EKSTRE!P147="","",_ARA_ORTAK_EKSTRE!P147),IF(_ARA_ORTAK_EKSTRE!AC147="","",_ARA_ORTAK_EKSTRE!AC147))</f>
        <v/>
      </c>
      <c r="E156" s="164" t="str">
        <f>IF($C$3="ÖMER KARTAL",IF(_ARA_ORTAK_EKSTRE!Q147="","",_ARA_ORTAK_EKSTRE!Q147),IF(_ARA_ORTAK_EKSTRE!AD147="","",_ARA_ORTAK_EKSTRE!AD147))</f>
        <v/>
      </c>
      <c r="F156" s="164" t="str">
        <f>IF($C$3="ÖMER KARTAL",IF(_ARA_ORTAK_EKSTRE!R147="","",_ARA_ORTAK_EKSTRE!R147),IF(_ARA_ORTAK_EKSTRE!AE147="","",_ARA_ORTAK_EKSTRE!AE147))</f>
        <v/>
      </c>
      <c r="G156" s="159" t="str">
        <f>IF($C$3="ÖMER KARTAL",IF(_ARA_ORTAK_EKSTRE!S147="","",_ARA_ORTAK_EKSTRE!S147),IF(_ARA_ORTAK_EKSTRE!AF147="","",_ARA_ORTAK_EKSTRE!AF147))</f>
        <v/>
      </c>
      <c r="H156" s="168" t="str">
        <f>IF($C$3="ÖMER KARTAL",IF(_ARA_ORTAK_EKSTRE!T147="","",_ARA_ORTAK_EKSTRE!T147),IF(_ARA_ORTAK_EKSTRE!AG147="","",_ARA_ORTAK_EKSTRE!AG147))</f>
        <v/>
      </c>
      <c r="I156" s="168" t="str">
        <f>IF($C$3="ÖMER KARTAL",IF(_ARA_ORTAK_EKSTRE!U147="","",_ARA_ORTAK_EKSTRE!U147),IF(_ARA_ORTAK_EKSTRE!AH147="","",_ARA_ORTAK_EKSTRE!AH147))</f>
        <v/>
      </c>
      <c r="J156" s="168" t="str">
        <f>IF($C$3="ÖMER KARTAL",IF(_ARA_ORTAK_EKSTRE!V147="","",_ARA_ORTAK_EKSTRE!V147),IF(_ARA_ORTAK_EKSTRE!AI147="","",_ARA_ORTAK_EKSTRE!AI147))</f>
        <v/>
      </c>
      <c r="K156" s="168" t="str">
        <f>IF($C$3="ÖMER KARTAL",IF(_ARA_ORTAK_EKSTRE!W147="","",_ARA_ORTAK_EKSTRE!W147),IF(_ARA_ORTAK_EKSTRE!AJ147="","",_ARA_ORTAK_EKSTRE!AJ147))</f>
        <v/>
      </c>
      <c r="L156" s="168" t="str">
        <f>IF($C$3="ÖMER KARTAL",IF(_ARA_ORTAK_EKSTRE!X147="","",_ARA_ORTAK_EKSTRE!X147),IF(_ARA_ORTAK_EKSTRE!AK147="","",_ARA_ORTAK_EKSTRE!AK147))</f>
        <v/>
      </c>
      <c r="M156" s="156" t="str">
        <f>IF($C$3="ÖMER KARTAL",IF(_ARA_ORTAK_EKSTRE!Y147="","",_ARA_ORTAK_EKSTRE!Y147),IF(_ARA_ORTAK_EKSTRE!AL147="","",_ARA_ORTAK_EKSTRE!AL147))</f>
        <v/>
      </c>
    </row>
    <row r="157" spans="2:13" ht="29.25" customHeight="1">
      <c r="B157" s="163" t="str">
        <f>IF($C$3="ÖMER KARTAL",IF(_ARA_ORTAK_EKSTRE!N148="","",_ARA_ORTAK_EKSTRE!N148),IF(_ARA_ORTAK_EKSTRE!AA148="","",_ARA_ORTAK_EKSTRE!AA148))</f>
        <v/>
      </c>
      <c r="C157" s="164" t="str">
        <f>IF($C$3="ÖMER KARTAL",IF(_ARA_ORTAK_EKSTRE!O148="","",_ARA_ORTAK_EKSTRE!O148),IF(_ARA_ORTAK_EKSTRE!AB148="","",_ARA_ORTAK_EKSTRE!AB148))</f>
        <v/>
      </c>
      <c r="D157" s="164" t="str">
        <f>IF($C$3="ÖMER KARTAL",IF(_ARA_ORTAK_EKSTRE!P148="","",_ARA_ORTAK_EKSTRE!P148),IF(_ARA_ORTAK_EKSTRE!AC148="","",_ARA_ORTAK_EKSTRE!AC148))</f>
        <v/>
      </c>
      <c r="E157" s="164" t="str">
        <f>IF($C$3="ÖMER KARTAL",IF(_ARA_ORTAK_EKSTRE!Q148="","",_ARA_ORTAK_EKSTRE!Q148),IF(_ARA_ORTAK_EKSTRE!AD148="","",_ARA_ORTAK_EKSTRE!AD148))</f>
        <v/>
      </c>
      <c r="F157" s="164" t="str">
        <f>IF($C$3="ÖMER KARTAL",IF(_ARA_ORTAK_EKSTRE!R148="","",_ARA_ORTAK_EKSTRE!R148),IF(_ARA_ORTAK_EKSTRE!AE148="","",_ARA_ORTAK_EKSTRE!AE148))</f>
        <v/>
      </c>
      <c r="G157" s="159" t="str">
        <f>IF($C$3="ÖMER KARTAL",IF(_ARA_ORTAK_EKSTRE!S148="","",_ARA_ORTAK_EKSTRE!S148),IF(_ARA_ORTAK_EKSTRE!AF148="","",_ARA_ORTAK_EKSTRE!AF148))</f>
        <v/>
      </c>
      <c r="H157" s="168" t="str">
        <f>IF($C$3="ÖMER KARTAL",IF(_ARA_ORTAK_EKSTRE!T148="","",_ARA_ORTAK_EKSTRE!T148),IF(_ARA_ORTAK_EKSTRE!AG148="","",_ARA_ORTAK_EKSTRE!AG148))</f>
        <v/>
      </c>
      <c r="I157" s="168" t="str">
        <f>IF($C$3="ÖMER KARTAL",IF(_ARA_ORTAK_EKSTRE!U148="","",_ARA_ORTAK_EKSTRE!U148),IF(_ARA_ORTAK_EKSTRE!AH148="","",_ARA_ORTAK_EKSTRE!AH148))</f>
        <v/>
      </c>
      <c r="J157" s="168" t="str">
        <f>IF($C$3="ÖMER KARTAL",IF(_ARA_ORTAK_EKSTRE!V148="","",_ARA_ORTAK_EKSTRE!V148),IF(_ARA_ORTAK_EKSTRE!AI148="","",_ARA_ORTAK_EKSTRE!AI148))</f>
        <v/>
      </c>
      <c r="K157" s="168" t="str">
        <f>IF($C$3="ÖMER KARTAL",IF(_ARA_ORTAK_EKSTRE!W148="","",_ARA_ORTAK_EKSTRE!W148),IF(_ARA_ORTAK_EKSTRE!AJ148="","",_ARA_ORTAK_EKSTRE!AJ148))</f>
        <v/>
      </c>
      <c r="L157" s="168" t="str">
        <f>IF($C$3="ÖMER KARTAL",IF(_ARA_ORTAK_EKSTRE!X148="","",_ARA_ORTAK_EKSTRE!X148),IF(_ARA_ORTAK_EKSTRE!AK148="","",_ARA_ORTAK_EKSTRE!AK148))</f>
        <v/>
      </c>
      <c r="M157" s="156" t="str">
        <f>IF($C$3="ÖMER KARTAL",IF(_ARA_ORTAK_EKSTRE!Y148="","",_ARA_ORTAK_EKSTRE!Y148),IF(_ARA_ORTAK_EKSTRE!AL148="","",_ARA_ORTAK_EKSTRE!AL148))</f>
        <v/>
      </c>
    </row>
    <row r="158" spans="2:13" ht="29.25" customHeight="1">
      <c r="B158" s="163" t="str">
        <f>IF($C$3="ÖMER KARTAL",IF(_ARA_ORTAK_EKSTRE!N149="","",_ARA_ORTAK_EKSTRE!N149),IF(_ARA_ORTAK_EKSTRE!AA149="","",_ARA_ORTAK_EKSTRE!AA149))</f>
        <v/>
      </c>
      <c r="C158" s="164" t="str">
        <f>IF($C$3="ÖMER KARTAL",IF(_ARA_ORTAK_EKSTRE!O149="","",_ARA_ORTAK_EKSTRE!O149),IF(_ARA_ORTAK_EKSTRE!AB149="","",_ARA_ORTAK_EKSTRE!AB149))</f>
        <v/>
      </c>
      <c r="D158" s="164" t="str">
        <f>IF($C$3="ÖMER KARTAL",IF(_ARA_ORTAK_EKSTRE!P149="","",_ARA_ORTAK_EKSTRE!P149),IF(_ARA_ORTAK_EKSTRE!AC149="","",_ARA_ORTAK_EKSTRE!AC149))</f>
        <v/>
      </c>
      <c r="E158" s="164" t="str">
        <f>IF($C$3="ÖMER KARTAL",IF(_ARA_ORTAK_EKSTRE!Q149="","",_ARA_ORTAK_EKSTRE!Q149),IF(_ARA_ORTAK_EKSTRE!AD149="","",_ARA_ORTAK_EKSTRE!AD149))</f>
        <v/>
      </c>
      <c r="F158" s="164" t="str">
        <f>IF($C$3="ÖMER KARTAL",IF(_ARA_ORTAK_EKSTRE!R149="","",_ARA_ORTAK_EKSTRE!R149),IF(_ARA_ORTAK_EKSTRE!AE149="","",_ARA_ORTAK_EKSTRE!AE149))</f>
        <v/>
      </c>
      <c r="G158" s="159" t="str">
        <f>IF($C$3="ÖMER KARTAL",IF(_ARA_ORTAK_EKSTRE!S149="","",_ARA_ORTAK_EKSTRE!S149),IF(_ARA_ORTAK_EKSTRE!AF149="","",_ARA_ORTAK_EKSTRE!AF149))</f>
        <v/>
      </c>
      <c r="H158" s="168" t="str">
        <f>IF($C$3="ÖMER KARTAL",IF(_ARA_ORTAK_EKSTRE!T149="","",_ARA_ORTAK_EKSTRE!T149),IF(_ARA_ORTAK_EKSTRE!AG149="","",_ARA_ORTAK_EKSTRE!AG149))</f>
        <v/>
      </c>
      <c r="I158" s="168" t="str">
        <f>IF($C$3="ÖMER KARTAL",IF(_ARA_ORTAK_EKSTRE!U149="","",_ARA_ORTAK_EKSTRE!U149),IF(_ARA_ORTAK_EKSTRE!AH149="","",_ARA_ORTAK_EKSTRE!AH149))</f>
        <v/>
      </c>
      <c r="J158" s="168" t="str">
        <f>IF($C$3="ÖMER KARTAL",IF(_ARA_ORTAK_EKSTRE!V149="","",_ARA_ORTAK_EKSTRE!V149),IF(_ARA_ORTAK_EKSTRE!AI149="","",_ARA_ORTAK_EKSTRE!AI149))</f>
        <v/>
      </c>
      <c r="K158" s="168" t="str">
        <f>IF($C$3="ÖMER KARTAL",IF(_ARA_ORTAK_EKSTRE!W149="","",_ARA_ORTAK_EKSTRE!W149),IF(_ARA_ORTAK_EKSTRE!AJ149="","",_ARA_ORTAK_EKSTRE!AJ149))</f>
        <v/>
      </c>
      <c r="L158" s="168" t="str">
        <f>IF($C$3="ÖMER KARTAL",IF(_ARA_ORTAK_EKSTRE!X149="","",_ARA_ORTAK_EKSTRE!X149),IF(_ARA_ORTAK_EKSTRE!AK149="","",_ARA_ORTAK_EKSTRE!AK149))</f>
        <v/>
      </c>
      <c r="M158" s="156" t="str">
        <f>IF($C$3="ÖMER KARTAL",IF(_ARA_ORTAK_EKSTRE!Y149="","",_ARA_ORTAK_EKSTRE!Y149),IF(_ARA_ORTAK_EKSTRE!AL149="","",_ARA_ORTAK_EKSTRE!AL149))</f>
        <v/>
      </c>
    </row>
    <row r="159" spans="2:13" ht="29.25" customHeight="1">
      <c r="B159" s="163" t="str">
        <f>IF($C$3="ÖMER KARTAL",IF(_ARA_ORTAK_EKSTRE!N150="","",_ARA_ORTAK_EKSTRE!N150),IF(_ARA_ORTAK_EKSTRE!AA150="","",_ARA_ORTAK_EKSTRE!AA150))</f>
        <v/>
      </c>
      <c r="C159" s="164" t="str">
        <f>IF($C$3="ÖMER KARTAL",IF(_ARA_ORTAK_EKSTRE!O150="","",_ARA_ORTAK_EKSTRE!O150),IF(_ARA_ORTAK_EKSTRE!AB150="","",_ARA_ORTAK_EKSTRE!AB150))</f>
        <v/>
      </c>
      <c r="D159" s="164" t="str">
        <f>IF($C$3="ÖMER KARTAL",IF(_ARA_ORTAK_EKSTRE!P150="","",_ARA_ORTAK_EKSTRE!P150),IF(_ARA_ORTAK_EKSTRE!AC150="","",_ARA_ORTAK_EKSTRE!AC150))</f>
        <v/>
      </c>
      <c r="E159" s="164" t="str">
        <f>IF($C$3="ÖMER KARTAL",IF(_ARA_ORTAK_EKSTRE!Q150="","",_ARA_ORTAK_EKSTRE!Q150),IF(_ARA_ORTAK_EKSTRE!AD150="","",_ARA_ORTAK_EKSTRE!AD150))</f>
        <v/>
      </c>
      <c r="F159" s="164" t="str">
        <f>IF($C$3="ÖMER KARTAL",IF(_ARA_ORTAK_EKSTRE!R150="","",_ARA_ORTAK_EKSTRE!R150),IF(_ARA_ORTAK_EKSTRE!AE150="","",_ARA_ORTAK_EKSTRE!AE150))</f>
        <v/>
      </c>
      <c r="G159" s="159" t="str">
        <f>IF($C$3="ÖMER KARTAL",IF(_ARA_ORTAK_EKSTRE!S150="","",_ARA_ORTAK_EKSTRE!S150),IF(_ARA_ORTAK_EKSTRE!AF150="","",_ARA_ORTAK_EKSTRE!AF150))</f>
        <v/>
      </c>
      <c r="H159" s="168" t="str">
        <f>IF($C$3="ÖMER KARTAL",IF(_ARA_ORTAK_EKSTRE!T150="","",_ARA_ORTAK_EKSTRE!T150),IF(_ARA_ORTAK_EKSTRE!AG150="","",_ARA_ORTAK_EKSTRE!AG150))</f>
        <v/>
      </c>
      <c r="I159" s="168" t="str">
        <f>IF($C$3="ÖMER KARTAL",IF(_ARA_ORTAK_EKSTRE!U150="","",_ARA_ORTAK_EKSTRE!U150),IF(_ARA_ORTAK_EKSTRE!AH150="","",_ARA_ORTAK_EKSTRE!AH150))</f>
        <v/>
      </c>
      <c r="J159" s="168" t="str">
        <f>IF($C$3="ÖMER KARTAL",IF(_ARA_ORTAK_EKSTRE!V150="","",_ARA_ORTAK_EKSTRE!V150),IF(_ARA_ORTAK_EKSTRE!AI150="","",_ARA_ORTAK_EKSTRE!AI150))</f>
        <v/>
      </c>
      <c r="K159" s="168" t="str">
        <f>IF($C$3="ÖMER KARTAL",IF(_ARA_ORTAK_EKSTRE!W150="","",_ARA_ORTAK_EKSTRE!W150),IF(_ARA_ORTAK_EKSTRE!AJ150="","",_ARA_ORTAK_EKSTRE!AJ150))</f>
        <v/>
      </c>
      <c r="L159" s="168" t="str">
        <f>IF($C$3="ÖMER KARTAL",IF(_ARA_ORTAK_EKSTRE!X150="","",_ARA_ORTAK_EKSTRE!X150),IF(_ARA_ORTAK_EKSTRE!AK150="","",_ARA_ORTAK_EKSTRE!AK150))</f>
        <v/>
      </c>
      <c r="M159" s="156" t="str">
        <f>IF($C$3="ÖMER KARTAL",IF(_ARA_ORTAK_EKSTRE!Y150="","",_ARA_ORTAK_EKSTRE!Y150),IF(_ARA_ORTAK_EKSTRE!AL150="","",_ARA_ORTAK_EKSTRE!AL150))</f>
        <v/>
      </c>
    </row>
    <row r="160" spans="2:13" ht="29.25" customHeight="1">
      <c r="B160" s="163" t="str">
        <f>IF($C$3="ÖMER KARTAL",IF(_ARA_ORTAK_EKSTRE!N151="","",_ARA_ORTAK_EKSTRE!N151),IF(_ARA_ORTAK_EKSTRE!AA151="","",_ARA_ORTAK_EKSTRE!AA151))</f>
        <v/>
      </c>
      <c r="C160" s="164" t="str">
        <f>IF($C$3="ÖMER KARTAL",IF(_ARA_ORTAK_EKSTRE!O151="","",_ARA_ORTAK_EKSTRE!O151),IF(_ARA_ORTAK_EKSTRE!AB151="","",_ARA_ORTAK_EKSTRE!AB151))</f>
        <v/>
      </c>
      <c r="D160" s="164" t="str">
        <f>IF($C$3="ÖMER KARTAL",IF(_ARA_ORTAK_EKSTRE!P151="","",_ARA_ORTAK_EKSTRE!P151),IF(_ARA_ORTAK_EKSTRE!AC151="","",_ARA_ORTAK_EKSTRE!AC151))</f>
        <v/>
      </c>
      <c r="E160" s="164" t="str">
        <f>IF($C$3="ÖMER KARTAL",IF(_ARA_ORTAK_EKSTRE!Q151="","",_ARA_ORTAK_EKSTRE!Q151),IF(_ARA_ORTAK_EKSTRE!AD151="","",_ARA_ORTAK_EKSTRE!AD151))</f>
        <v/>
      </c>
      <c r="F160" s="164" t="str">
        <f>IF($C$3="ÖMER KARTAL",IF(_ARA_ORTAK_EKSTRE!R151="","",_ARA_ORTAK_EKSTRE!R151),IF(_ARA_ORTAK_EKSTRE!AE151="","",_ARA_ORTAK_EKSTRE!AE151))</f>
        <v/>
      </c>
      <c r="G160" s="159" t="str">
        <f>IF($C$3="ÖMER KARTAL",IF(_ARA_ORTAK_EKSTRE!S151="","",_ARA_ORTAK_EKSTRE!S151),IF(_ARA_ORTAK_EKSTRE!AF151="","",_ARA_ORTAK_EKSTRE!AF151))</f>
        <v/>
      </c>
      <c r="H160" s="168" t="str">
        <f>IF($C$3="ÖMER KARTAL",IF(_ARA_ORTAK_EKSTRE!T151="","",_ARA_ORTAK_EKSTRE!T151),IF(_ARA_ORTAK_EKSTRE!AG151="","",_ARA_ORTAK_EKSTRE!AG151))</f>
        <v/>
      </c>
      <c r="I160" s="168" t="str">
        <f>IF($C$3="ÖMER KARTAL",IF(_ARA_ORTAK_EKSTRE!U151="","",_ARA_ORTAK_EKSTRE!U151),IF(_ARA_ORTAK_EKSTRE!AH151="","",_ARA_ORTAK_EKSTRE!AH151))</f>
        <v/>
      </c>
      <c r="J160" s="168" t="str">
        <f>IF($C$3="ÖMER KARTAL",IF(_ARA_ORTAK_EKSTRE!V151="","",_ARA_ORTAK_EKSTRE!V151),IF(_ARA_ORTAK_EKSTRE!AI151="","",_ARA_ORTAK_EKSTRE!AI151))</f>
        <v/>
      </c>
      <c r="K160" s="168" t="str">
        <f>IF($C$3="ÖMER KARTAL",IF(_ARA_ORTAK_EKSTRE!W151="","",_ARA_ORTAK_EKSTRE!W151),IF(_ARA_ORTAK_EKSTRE!AJ151="","",_ARA_ORTAK_EKSTRE!AJ151))</f>
        <v/>
      </c>
      <c r="L160" s="168" t="str">
        <f>IF($C$3="ÖMER KARTAL",IF(_ARA_ORTAK_EKSTRE!X151="","",_ARA_ORTAK_EKSTRE!X151),IF(_ARA_ORTAK_EKSTRE!AK151="","",_ARA_ORTAK_EKSTRE!AK151))</f>
        <v/>
      </c>
      <c r="M160" s="156" t="str">
        <f>IF($C$3="ÖMER KARTAL",IF(_ARA_ORTAK_EKSTRE!Y151="","",_ARA_ORTAK_EKSTRE!Y151),IF(_ARA_ORTAK_EKSTRE!AL151="","",_ARA_ORTAK_EKSTRE!AL151))</f>
        <v/>
      </c>
    </row>
    <row r="161" spans="2:13" ht="29.25" customHeight="1">
      <c r="B161" s="163" t="str">
        <f>IF($C$3="ÖMER KARTAL",IF(_ARA_ORTAK_EKSTRE!N152="","",_ARA_ORTAK_EKSTRE!N152),IF(_ARA_ORTAK_EKSTRE!AA152="","",_ARA_ORTAK_EKSTRE!AA152))</f>
        <v/>
      </c>
      <c r="C161" s="164" t="str">
        <f>IF($C$3="ÖMER KARTAL",IF(_ARA_ORTAK_EKSTRE!O152="","",_ARA_ORTAK_EKSTRE!O152),IF(_ARA_ORTAK_EKSTRE!AB152="","",_ARA_ORTAK_EKSTRE!AB152))</f>
        <v/>
      </c>
      <c r="D161" s="164" t="str">
        <f>IF($C$3="ÖMER KARTAL",IF(_ARA_ORTAK_EKSTRE!P152="","",_ARA_ORTAK_EKSTRE!P152),IF(_ARA_ORTAK_EKSTRE!AC152="","",_ARA_ORTAK_EKSTRE!AC152))</f>
        <v/>
      </c>
      <c r="E161" s="164" t="str">
        <f>IF($C$3="ÖMER KARTAL",IF(_ARA_ORTAK_EKSTRE!Q152="","",_ARA_ORTAK_EKSTRE!Q152),IF(_ARA_ORTAK_EKSTRE!AD152="","",_ARA_ORTAK_EKSTRE!AD152))</f>
        <v/>
      </c>
      <c r="F161" s="164" t="str">
        <f>IF($C$3="ÖMER KARTAL",IF(_ARA_ORTAK_EKSTRE!R152="","",_ARA_ORTAK_EKSTRE!R152),IF(_ARA_ORTAK_EKSTRE!AE152="","",_ARA_ORTAK_EKSTRE!AE152))</f>
        <v/>
      </c>
      <c r="G161" s="159" t="str">
        <f>IF($C$3="ÖMER KARTAL",IF(_ARA_ORTAK_EKSTRE!S152="","",_ARA_ORTAK_EKSTRE!S152),IF(_ARA_ORTAK_EKSTRE!AF152="","",_ARA_ORTAK_EKSTRE!AF152))</f>
        <v/>
      </c>
      <c r="H161" s="168" t="str">
        <f>IF($C$3="ÖMER KARTAL",IF(_ARA_ORTAK_EKSTRE!T152="","",_ARA_ORTAK_EKSTRE!T152),IF(_ARA_ORTAK_EKSTRE!AG152="","",_ARA_ORTAK_EKSTRE!AG152))</f>
        <v/>
      </c>
      <c r="I161" s="168" t="str">
        <f>IF($C$3="ÖMER KARTAL",IF(_ARA_ORTAK_EKSTRE!U152="","",_ARA_ORTAK_EKSTRE!U152),IF(_ARA_ORTAK_EKSTRE!AH152="","",_ARA_ORTAK_EKSTRE!AH152))</f>
        <v/>
      </c>
      <c r="J161" s="168" t="str">
        <f>IF($C$3="ÖMER KARTAL",IF(_ARA_ORTAK_EKSTRE!V152="","",_ARA_ORTAK_EKSTRE!V152),IF(_ARA_ORTAK_EKSTRE!AI152="","",_ARA_ORTAK_EKSTRE!AI152))</f>
        <v/>
      </c>
      <c r="K161" s="168" t="str">
        <f>IF($C$3="ÖMER KARTAL",IF(_ARA_ORTAK_EKSTRE!W152="","",_ARA_ORTAK_EKSTRE!W152),IF(_ARA_ORTAK_EKSTRE!AJ152="","",_ARA_ORTAK_EKSTRE!AJ152))</f>
        <v/>
      </c>
      <c r="L161" s="168" t="str">
        <f>IF($C$3="ÖMER KARTAL",IF(_ARA_ORTAK_EKSTRE!X152="","",_ARA_ORTAK_EKSTRE!X152),IF(_ARA_ORTAK_EKSTRE!AK152="","",_ARA_ORTAK_EKSTRE!AK152))</f>
        <v/>
      </c>
      <c r="M161" s="156" t="str">
        <f>IF($C$3="ÖMER KARTAL",IF(_ARA_ORTAK_EKSTRE!Y152="","",_ARA_ORTAK_EKSTRE!Y152),IF(_ARA_ORTAK_EKSTRE!AL152="","",_ARA_ORTAK_EKSTRE!AL152))</f>
        <v/>
      </c>
    </row>
    <row r="162" spans="2:13" ht="29.25" customHeight="1">
      <c r="B162" s="163" t="str">
        <f>IF($C$3="ÖMER KARTAL",IF(_ARA_ORTAK_EKSTRE!N153="","",_ARA_ORTAK_EKSTRE!N153),IF(_ARA_ORTAK_EKSTRE!AA153="","",_ARA_ORTAK_EKSTRE!AA153))</f>
        <v/>
      </c>
      <c r="C162" s="164" t="str">
        <f>IF($C$3="ÖMER KARTAL",IF(_ARA_ORTAK_EKSTRE!O153="","",_ARA_ORTAK_EKSTRE!O153),IF(_ARA_ORTAK_EKSTRE!AB153="","",_ARA_ORTAK_EKSTRE!AB153))</f>
        <v/>
      </c>
      <c r="D162" s="164" t="str">
        <f>IF($C$3="ÖMER KARTAL",IF(_ARA_ORTAK_EKSTRE!P153="","",_ARA_ORTAK_EKSTRE!P153),IF(_ARA_ORTAK_EKSTRE!AC153="","",_ARA_ORTAK_EKSTRE!AC153))</f>
        <v/>
      </c>
      <c r="E162" s="164" t="str">
        <f>IF($C$3="ÖMER KARTAL",IF(_ARA_ORTAK_EKSTRE!Q153="","",_ARA_ORTAK_EKSTRE!Q153),IF(_ARA_ORTAK_EKSTRE!AD153="","",_ARA_ORTAK_EKSTRE!AD153))</f>
        <v/>
      </c>
      <c r="F162" s="164" t="str">
        <f>IF($C$3="ÖMER KARTAL",IF(_ARA_ORTAK_EKSTRE!R153="","",_ARA_ORTAK_EKSTRE!R153),IF(_ARA_ORTAK_EKSTRE!AE153="","",_ARA_ORTAK_EKSTRE!AE153))</f>
        <v/>
      </c>
      <c r="G162" s="159" t="str">
        <f>IF($C$3="ÖMER KARTAL",IF(_ARA_ORTAK_EKSTRE!S153="","",_ARA_ORTAK_EKSTRE!S153),IF(_ARA_ORTAK_EKSTRE!AF153="","",_ARA_ORTAK_EKSTRE!AF153))</f>
        <v/>
      </c>
      <c r="H162" s="168" t="str">
        <f>IF($C$3="ÖMER KARTAL",IF(_ARA_ORTAK_EKSTRE!T153="","",_ARA_ORTAK_EKSTRE!T153),IF(_ARA_ORTAK_EKSTRE!AG153="","",_ARA_ORTAK_EKSTRE!AG153))</f>
        <v/>
      </c>
      <c r="I162" s="168" t="str">
        <f>IF($C$3="ÖMER KARTAL",IF(_ARA_ORTAK_EKSTRE!U153="","",_ARA_ORTAK_EKSTRE!U153),IF(_ARA_ORTAK_EKSTRE!AH153="","",_ARA_ORTAK_EKSTRE!AH153))</f>
        <v/>
      </c>
      <c r="J162" s="168" t="str">
        <f>IF($C$3="ÖMER KARTAL",IF(_ARA_ORTAK_EKSTRE!V153="","",_ARA_ORTAK_EKSTRE!V153),IF(_ARA_ORTAK_EKSTRE!AI153="","",_ARA_ORTAK_EKSTRE!AI153))</f>
        <v/>
      </c>
      <c r="K162" s="168" t="str">
        <f>IF($C$3="ÖMER KARTAL",IF(_ARA_ORTAK_EKSTRE!W153="","",_ARA_ORTAK_EKSTRE!W153),IF(_ARA_ORTAK_EKSTRE!AJ153="","",_ARA_ORTAK_EKSTRE!AJ153))</f>
        <v/>
      </c>
      <c r="L162" s="168" t="str">
        <f>IF($C$3="ÖMER KARTAL",IF(_ARA_ORTAK_EKSTRE!X153="","",_ARA_ORTAK_EKSTRE!X153),IF(_ARA_ORTAK_EKSTRE!AK153="","",_ARA_ORTAK_EKSTRE!AK153))</f>
        <v/>
      </c>
      <c r="M162" s="156" t="str">
        <f>IF($C$3="ÖMER KARTAL",IF(_ARA_ORTAK_EKSTRE!Y153="","",_ARA_ORTAK_EKSTRE!Y153),IF(_ARA_ORTAK_EKSTRE!AL153="","",_ARA_ORTAK_EKSTRE!AL153))</f>
        <v/>
      </c>
    </row>
    <row r="163" spans="2:13" ht="29.25" customHeight="1">
      <c r="B163" s="163" t="str">
        <f>IF($C$3="ÖMER KARTAL",IF(_ARA_ORTAK_EKSTRE!N154="","",_ARA_ORTAK_EKSTRE!N154),IF(_ARA_ORTAK_EKSTRE!AA154="","",_ARA_ORTAK_EKSTRE!AA154))</f>
        <v/>
      </c>
      <c r="C163" s="164" t="str">
        <f>IF($C$3="ÖMER KARTAL",IF(_ARA_ORTAK_EKSTRE!O154="","",_ARA_ORTAK_EKSTRE!O154),IF(_ARA_ORTAK_EKSTRE!AB154="","",_ARA_ORTAK_EKSTRE!AB154))</f>
        <v/>
      </c>
      <c r="D163" s="164" t="str">
        <f>IF($C$3="ÖMER KARTAL",IF(_ARA_ORTAK_EKSTRE!P154="","",_ARA_ORTAK_EKSTRE!P154),IF(_ARA_ORTAK_EKSTRE!AC154="","",_ARA_ORTAK_EKSTRE!AC154))</f>
        <v/>
      </c>
      <c r="E163" s="164" t="str">
        <f>IF($C$3="ÖMER KARTAL",IF(_ARA_ORTAK_EKSTRE!Q154="","",_ARA_ORTAK_EKSTRE!Q154),IF(_ARA_ORTAK_EKSTRE!AD154="","",_ARA_ORTAK_EKSTRE!AD154))</f>
        <v/>
      </c>
      <c r="F163" s="164" t="str">
        <f>IF($C$3="ÖMER KARTAL",IF(_ARA_ORTAK_EKSTRE!R154="","",_ARA_ORTAK_EKSTRE!R154),IF(_ARA_ORTAK_EKSTRE!AE154="","",_ARA_ORTAK_EKSTRE!AE154))</f>
        <v/>
      </c>
      <c r="G163" s="159" t="str">
        <f>IF($C$3="ÖMER KARTAL",IF(_ARA_ORTAK_EKSTRE!S154="","",_ARA_ORTAK_EKSTRE!S154),IF(_ARA_ORTAK_EKSTRE!AF154="","",_ARA_ORTAK_EKSTRE!AF154))</f>
        <v/>
      </c>
      <c r="H163" s="168" t="str">
        <f>IF($C$3="ÖMER KARTAL",IF(_ARA_ORTAK_EKSTRE!T154="","",_ARA_ORTAK_EKSTRE!T154),IF(_ARA_ORTAK_EKSTRE!AG154="","",_ARA_ORTAK_EKSTRE!AG154))</f>
        <v/>
      </c>
      <c r="I163" s="168" t="str">
        <f>IF($C$3="ÖMER KARTAL",IF(_ARA_ORTAK_EKSTRE!U154="","",_ARA_ORTAK_EKSTRE!U154),IF(_ARA_ORTAK_EKSTRE!AH154="","",_ARA_ORTAK_EKSTRE!AH154))</f>
        <v/>
      </c>
      <c r="J163" s="168" t="str">
        <f>IF($C$3="ÖMER KARTAL",IF(_ARA_ORTAK_EKSTRE!V154="","",_ARA_ORTAK_EKSTRE!V154),IF(_ARA_ORTAK_EKSTRE!AI154="","",_ARA_ORTAK_EKSTRE!AI154))</f>
        <v/>
      </c>
      <c r="K163" s="168" t="str">
        <f>IF($C$3="ÖMER KARTAL",IF(_ARA_ORTAK_EKSTRE!W154="","",_ARA_ORTAK_EKSTRE!W154),IF(_ARA_ORTAK_EKSTRE!AJ154="","",_ARA_ORTAK_EKSTRE!AJ154))</f>
        <v/>
      </c>
      <c r="L163" s="168" t="str">
        <f>IF($C$3="ÖMER KARTAL",IF(_ARA_ORTAK_EKSTRE!X154="","",_ARA_ORTAK_EKSTRE!X154),IF(_ARA_ORTAK_EKSTRE!AK154="","",_ARA_ORTAK_EKSTRE!AK154))</f>
        <v/>
      </c>
      <c r="M163" s="156" t="str">
        <f>IF($C$3="ÖMER KARTAL",IF(_ARA_ORTAK_EKSTRE!Y154="","",_ARA_ORTAK_EKSTRE!Y154),IF(_ARA_ORTAK_EKSTRE!AL154="","",_ARA_ORTAK_EKSTRE!AL154))</f>
        <v/>
      </c>
    </row>
    <row r="164" spans="2:13" ht="29.25" customHeight="1">
      <c r="B164" s="163" t="str">
        <f>IF($C$3="ÖMER KARTAL",IF(_ARA_ORTAK_EKSTRE!N155="","",_ARA_ORTAK_EKSTRE!N155),IF(_ARA_ORTAK_EKSTRE!AA155="","",_ARA_ORTAK_EKSTRE!AA155))</f>
        <v/>
      </c>
      <c r="C164" s="164" t="str">
        <f>IF($C$3="ÖMER KARTAL",IF(_ARA_ORTAK_EKSTRE!O155="","",_ARA_ORTAK_EKSTRE!O155),IF(_ARA_ORTAK_EKSTRE!AB155="","",_ARA_ORTAK_EKSTRE!AB155))</f>
        <v/>
      </c>
      <c r="D164" s="164" t="str">
        <f>IF($C$3="ÖMER KARTAL",IF(_ARA_ORTAK_EKSTRE!P155="","",_ARA_ORTAK_EKSTRE!P155),IF(_ARA_ORTAK_EKSTRE!AC155="","",_ARA_ORTAK_EKSTRE!AC155))</f>
        <v/>
      </c>
      <c r="E164" s="164" t="str">
        <f>IF($C$3="ÖMER KARTAL",IF(_ARA_ORTAK_EKSTRE!Q155="","",_ARA_ORTAK_EKSTRE!Q155),IF(_ARA_ORTAK_EKSTRE!AD155="","",_ARA_ORTAK_EKSTRE!AD155))</f>
        <v/>
      </c>
      <c r="F164" s="164" t="str">
        <f>IF($C$3="ÖMER KARTAL",IF(_ARA_ORTAK_EKSTRE!R155="","",_ARA_ORTAK_EKSTRE!R155),IF(_ARA_ORTAK_EKSTRE!AE155="","",_ARA_ORTAK_EKSTRE!AE155))</f>
        <v/>
      </c>
      <c r="G164" s="159" t="str">
        <f>IF($C$3="ÖMER KARTAL",IF(_ARA_ORTAK_EKSTRE!S155="","",_ARA_ORTAK_EKSTRE!S155),IF(_ARA_ORTAK_EKSTRE!AF155="","",_ARA_ORTAK_EKSTRE!AF155))</f>
        <v/>
      </c>
      <c r="H164" s="168" t="str">
        <f>IF($C$3="ÖMER KARTAL",IF(_ARA_ORTAK_EKSTRE!T155="","",_ARA_ORTAK_EKSTRE!T155),IF(_ARA_ORTAK_EKSTRE!AG155="","",_ARA_ORTAK_EKSTRE!AG155))</f>
        <v/>
      </c>
      <c r="I164" s="168" t="str">
        <f>IF($C$3="ÖMER KARTAL",IF(_ARA_ORTAK_EKSTRE!U155="","",_ARA_ORTAK_EKSTRE!U155),IF(_ARA_ORTAK_EKSTRE!AH155="","",_ARA_ORTAK_EKSTRE!AH155))</f>
        <v/>
      </c>
      <c r="J164" s="168" t="str">
        <f>IF($C$3="ÖMER KARTAL",IF(_ARA_ORTAK_EKSTRE!V155="","",_ARA_ORTAK_EKSTRE!V155),IF(_ARA_ORTAK_EKSTRE!AI155="","",_ARA_ORTAK_EKSTRE!AI155))</f>
        <v/>
      </c>
      <c r="K164" s="168" t="str">
        <f>IF($C$3="ÖMER KARTAL",IF(_ARA_ORTAK_EKSTRE!W155="","",_ARA_ORTAK_EKSTRE!W155),IF(_ARA_ORTAK_EKSTRE!AJ155="","",_ARA_ORTAK_EKSTRE!AJ155))</f>
        <v/>
      </c>
      <c r="L164" s="168" t="str">
        <f>IF($C$3="ÖMER KARTAL",IF(_ARA_ORTAK_EKSTRE!X155="","",_ARA_ORTAK_EKSTRE!X155),IF(_ARA_ORTAK_EKSTRE!AK155="","",_ARA_ORTAK_EKSTRE!AK155))</f>
        <v/>
      </c>
      <c r="M164" s="156" t="str">
        <f>IF($C$3="ÖMER KARTAL",IF(_ARA_ORTAK_EKSTRE!Y155="","",_ARA_ORTAK_EKSTRE!Y155),IF(_ARA_ORTAK_EKSTRE!AL155="","",_ARA_ORTAK_EKSTRE!AL155))</f>
        <v/>
      </c>
    </row>
    <row r="165" spans="2:13" ht="29.25" customHeight="1">
      <c r="B165" s="165" t="str">
        <f>IF($C$3="ÖMER KARTAL",IF(_ARA_ORTAK_EKSTRE!N156="","",_ARA_ORTAK_EKSTRE!N156),IF(_ARA_ORTAK_EKSTRE!AA156="","",_ARA_ORTAK_EKSTRE!AA156))</f>
        <v/>
      </c>
      <c r="C165" s="166" t="str">
        <f>IF($C$3="ÖMER KARTAL",IF(_ARA_ORTAK_EKSTRE!O156="","",_ARA_ORTAK_EKSTRE!O156),IF(_ARA_ORTAK_EKSTRE!AB156="","",_ARA_ORTAK_EKSTRE!AB156))</f>
        <v/>
      </c>
      <c r="D165" s="166" t="str">
        <f>IF($C$3="ÖMER KARTAL",IF(_ARA_ORTAK_EKSTRE!P156="","",_ARA_ORTAK_EKSTRE!P156),IF(_ARA_ORTAK_EKSTRE!AC156="","",_ARA_ORTAK_EKSTRE!AC156))</f>
        <v/>
      </c>
      <c r="E165" s="166" t="str">
        <f>IF($C$3="ÖMER KARTAL",IF(_ARA_ORTAK_EKSTRE!Q156="","",_ARA_ORTAK_EKSTRE!Q156),IF(_ARA_ORTAK_EKSTRE!AD156="","",_ARA_ORTAK_EKSTRE!AD156))</f>
        <v/>
      </c>
      <c r="F165" s="166" t="str">
        <f>IF($C$3="ÖMER KARTAL",IF(_ARA_ORTAK_EKSTRE!R156="","",_ARA_ORTAK_EKSTRE!R156),IF(_ARA_ORTAK_EKSTRE!AE156="","",_ARA_ORTAK_EKSTRE!AE156))</f>
        <v/>
      </c>
      <c r="G165" s="160" t="str">
        <f>IF($C$3="ÖMER KARTAL",IF(_ARA_ORTAK_EKSTRE!S156="","",_ARA_ORTAK_EKSTRE!S156),IF(_ARA_ORTAK_EKSTRE!AF156="","",_ARA_ORTAK_EKSTRE!AF156))</f>
        <v/>
      </c>
      <c r="H165" s="169" t="str">
        <f>IF($C$3="ÖMER KARTAL",IF(_ARA_ORTAK_EKSTRE!T156="","",_ARA_ORTAK_EKSTRE!T156),IF(_ARA_ORTAK_EKSTRE!AG156="","",_ARA_ORTAK_EKSTRE!AG156))</f>
        <v/>
      </c>
      <c r="I165" s="169" t="str">
        <f>IF($C$3="ÖMER KARTAL",IF(_ARA_ORTAK_EKSTRE!U156="","",_ARA_ORTAK_EKSTRE!U156),IF(_ARA_ORTAK_EKSTRE!AH156="","",_ARA_ORTAK_EKSTRE!AH156))</f>
        <v/>
      </c>
      <c r="J165" s="169" t="str">
        <f>IF($C$3="ÖMER KARTAL",IF(_ARA_ORTAK_EKSTRE!V156="","",_ARA_ORTAK_EKSTRE!V156),IF(_ARA_ORTAK_EKSTRE!AI156="","",_ARA_ORTAK_EKSTRE!AI156))</f>
        <v/>
      </c>
      <c r="K165" s="169" t="str">
        <f>IF($C$3="ÖMER KARTAL",IF(_ARA_ORTAK_EKSTRE!W156="","",_ARA_ORTAK_EKSTRE!W156),IF(_ARA_ORTAK_EKSTRE!AJ156="","",_ARA_ORTAK_EKSTRE!AJ156))</f>
        <v/>
      </c>
      <c r="L165" s="169" t="str">
        <f>IF($C$3="ÖMER KARTAL",IF(_ARA_ORTAK_EKSTRE!X156="","",_ARA_ORTAK_EKSTRE!X156),IF(_ARA_ORTAK_EKSTRE!AK156="","",_ARA_ORTAK_EKSTRE!AK156))</f>
        <v/>
      </c>
      <c r="M165" s="157" t="str">
        <f>IF($C$3="ÖMER KARTAL",IF(_ARA_ORTAK_EKSTRE!Y156="","",_ARA_ORTAK_EKSTRE!Y156),IF(_ARA_ORTAK_EKSTRE!AL156="","",_ARA_ORTAK_EKSTRE!AL156))</f>
        <v/>
      </c>
    </row>
  </sheetData>
  <mergeCells count="3">
    <mergeCell ref="B1:M1"/>
    <mergeCell ref="B2:M2"/>
    <mergeCell ref="B4:M4"/>
  </mergeCells>
  <conditionalFormatting sqref="B6">
    <cfRule type="cellIs" dxfId="6" priority="7" operator="greaterThan">
      <formula>0</formula>
    </cfRule>
    <cfRule type="cellIs" dxfId="5" priority="8" operator="lessThan">
      <formula>0</formula>
    </cfRule>
  </conditionalFormatting>
  <conditionalFormatting sqref="B11:M165">
    <cfRule type="expression" dxfId="4" priority="9">
      <formula>MOD(ROW(),2)=0</formula>
    </cfRule>
    <cfRule type="expression" dxfId="3" priority="10">
      <formula>MOD(ROW(),2)=1</formula>
    </cfRule>
  </conditionalFormatting>
  <conditionalFormatting sqref="C7">
    <cfRule type="expression" dxfId="2" priority="1">
      <formula>$C$7="ORTAK BORÇLU"</formula>
    </cfRule>
    <cfRule type="expression" dxfId="1" priority="2">
      <formula>$C$7="ORTAK ALACAKLI"</formula>
    </cfRule>
    <cfRule type="expression" dxfId="0" priority="3">
      <formula>$C$7="KAPALI"</formula>
    </cfRule>
  </conditionalFormatting>
  <dataValidations count="1">
    <dataValidation type="list" sqref="C3" xr:uid="{00000000-0002-0000-1200-000000000000}">
      <formula1>"ÖMER KARTAL,ALİ KILIÇ"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47857"/>
  </sheetPr>
  <dimension ref="A1:O16"/>
  <sheetViews>
    <sheetView showGridLines="0" workbookViewId="0"/>
  </sheetViews>
  <sheetFormatPr baseColWidth="10" defaultColWidth="8.83203125" defaultRowHeight="14"/>
  <cols>
    <col min="1" max="1" width="10" customWidth="1"/>
    <col min="2" max="2" width="4" customWidth="1"/>
    <col min="3" max="3" width="9.5" bestFit="1" customWidth="1"/>
    <col min="4" max="11" width="18" customWidth="1"/>
    <col min="12" max="12" width="34" customWidth="1"/>
    <col min="13" max="13" width="18" customWidth="1"/>
  </cols>
  <sheetData>
    <row r="1" spans="1:15" ht="38" customHeight="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32" t="s">
        <v>1719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38" customHeight="1">
      <c r="A2" s="244" t="s">
        <v>1720</v>
      </c>
      <c r="B2" s="245"/>
      <c r="C2" s="213" t="s">
        <v>1721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1:15" ht="28" customHeight="1">
      <c r="A3" s="213" t="s">
        <v>1722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5" ht="24" customHeight="1">
      <c r="A4" s="207" t="str">
        <f>IFERROR(HYPERLINK("#MENU!A1","← MENÜ   │   HESAPLAR"),"← MENÜ   │   HESAPLAR")</f>
        <v>← MENÜ   │   HESAPLAR</v>
      </c>
      <c r="B4" s="208"/>
      <c r="C4" s="208"/>
      <c r="D4" s="208"/>
      <c r="E4" s="208"/>
      <c r="F4" s="208"/>
      <c r="G4" s="209"/>
      <c r="H4" s="79" t="str">
        <f>IFERROR(HYPERLINK("#TAHSILAT!A1","TAHSİLAT"),"TAHSİLAT")</f>
        <v>TAHSİLAT</v>
      </c>
      <c r="I4" s="80"/>
      <c r="J4" s="79" t="str">
        <f>IFERROR(HYPERLINK("#GELIR_GIDER!A1","GELİR / GİDER"),"GELİR / GİDER")</f>
        <v>GELİR / GİDER</v>
      </c>
      <c r="K4" s="80"/>
      <c r="L4" s="79" t="str">
        <f>IFERROR(HYPERLINK("#VIRMAN!A1","VİRMAN"),"VİRMAN")</f>
        <v>VİRMAN</v>
      </c>
      <c r="M4" s="80"/>
      <c r="N4" s="79" t="str">
        <f>IFERROR(HYPERLINK("#RAPOR!A1","RAPOR"),"RAPOR")</f>
        <v>RAPOR</v>
      </c>
      <c r="O4" s="21"/>
    </row>
    <row r="5" spans="1:15" ht="1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45">
      <c r="A6" s="6"/>
      <c r="B6" s="87" t="s">
        <v>1723</v>
      </c>
      <c r="C6" s="87" t="s">
        <v>1209</v>
      </c>
      <c r="D6" s="87" t="s">
        <v>447</v>
      </c>
      <c r="E6" s="87" t="s">
        <v>1724</v>
      </c>
      <c r="F6" s="87" t="s">
        <v>1725</v>
      </c>
      <c r="G6" s="87" t="s">
        <v>1726</v>
      </c>
      <c r="H6" s="87" t="s">
        <v>1727</v>
      </c>
      <c r="I6" s="87" t="s">
        <v>1728</v>
      </c>
      <c r="J6" s="87" t="s">
        <v>1729</v>
      </c>
      <c r="K6" s="87" t="s">
        <v>1730</v>
      </c>
      <c r="L6" s="87" t="s">
        <v>447</v>
      </c>
      <c r="M6" s="87" t="s">
        <v>1731</v>
      </c>
      <c r="N6" s="20"/>
      <c r="O6" s="20"/>
    </row>
    <row r="7" spans="1:15" ht="16">
      <c r="A7" s="6"/>
      <c r="B7" s="11" t="s">
        <v>618</v>
      </c>
      <c r="C7" s="11" t="s">
        <v>1732</v>
      </c>
      <c r="D7" s="11" t="s">
        <v>461</v>
      </c>
      <c r="E7" s="73">
        <v>0</v>
      </c>
      <c r="F7" s="72">
        <f>IF(B7="","",SUMIFS(TAHSILAT!$F$7:$F$1006,TAHSILAT!$G$7:$G$1006,B7))</f>
        <v>1644150</v>
      </c>
      <c r="G7" s="72">
        <f>IF(B7="","",SUMIFS(GELIR_GIDER!$G$7:$G$1000,GELIR_GIDER!$H$7:$H$1000,B7,GELIR_GIDER!$D$7:$D$1000,"Gelir",GELIR_GIDER!$I$7:$I$1000,"Evet"))</f>
        <v>407200</v>
      </c>
      <c r="H7" s="72">
        <f>IF(B7="","",SUMIFS(GELIR_GIDER!$G$7:$G$1000,GELIR_GIDER!$H$7:$H$1000,B7,GELIR_GIDER!$D$7:$D$1000,"Gider",GELIR_GIDER!$I$7:$I$1000,"Evet"))</f>
        <v>1196187.98</v>
      </c>
      <c r="I7" s="72">
        <f>IF(B7="","",SUMIFS(VIRMAN!$F$7:$F$500,VIRMAN!$E$7:$E$500,B7))</f>
        <v>47000</v>
      </c>
      <c r="J7" s="72">
        <f>IF(B7="","",SUMIFS(VIRMAN!$F$7:$F$500,VIRMAN!$D$7:$D$500,B7))</f>
        <v>1342462.04</v>
      </c>
      <c r="K7" s="72">
        <f t="shared" ref="K7:K16" si="0">IF(B7="","",E7+F7+G7-H7+I7-J7)</f>
        <v>-440300.02</v>
      </c>
      <c r="L7" s="6" t="str">
        <f t="shared" ref="L7:L16" si="1">IF(B7="","",IF(AND(C7&lt;&gt;"Ortak Cari",K7&lt;0),"EKSİ — AÇILIŞ/EKSİK NAKİT KONTROL","UYGUN"))</f>
        <v>EKSİ — AÇILIŞ/EKSİK NAKİT KONTROL</v>
      </c>
      <c r="M7" s="72">
        <f t="shared" ref="M7:M16" si="2">IF(AND(B7&lt;&gt;"",C7&lt;&gt;"Ortak Cari",K7&lt;0),-K7,0)</f>
        <v>440300.02</v>
      </c>
      <c r="N7" s="6"/>
      <c r="O7" s="6"/>
    </row>
    <row r="8" spans="1:15" ht="16">
      <c r="A8" s="6"/>
      <c r="B8" s="11" t="s">
        <v>1674</v>
      </c>
      <c r="C8" s="11" t="s">
        <v>1733</v>
      </c>
      <c r="D8" s="11" t="s">
        <v>461</v>
      </c>
      <c r="E8" s="73">
        <v>0</v>
      </c>
      <c r="F8" s="72">
        <f>IF(B8="","",SUMIFS(TAHSILAT!$F$7:$F$1006,TAHSILAT!$G$7:$G$1006,B8))</f>
        <v>0</v>
      </c>
      <c r="G8" s="72">
        <f>IF(B8="","",SUMIFS(GELIR_GIDER!$G$7:$G$1000,GELIR_GIDER!$H$7:$H$1000,B8,GELIR_GIDER!$D$7:$D$1000,"Gelir",GELIR_GIDER!$I$7:$I$1000,"Evet"))</f>
        <v>0</v>
      </c>
      <c r="H8" s="72">
        <f>IF(B8="","",SUMIFS(GELIR_GIDER!$G$7:$G$1000,GELIR_GIDER!$H$7:$H$1000,B8,GELIR_GIDER!$D$7:$D$1000,"Gider",GELIR_GIDER!$I$7:$I$1000,"Evet"))</f>
        <v>0</v>
      </c>
      <c r="I8" s="72">
        <f>IF(B8="","",SUMIFS(VIRMAN!$F$7:$F$500,VIRMAN!$E$7:$E$500,B8))</f>
        <v>634731.02</v>
      </c>
      <c r="J8" s="72">
        <f>IF(B8="","",SUMIFS(VIRMAN!$F$7:$F$500,VIRMAN!$D$7:$D$500,B8))</f>
        <v>0</v>
      </c>
      <c r="K8" s="72">
        <f t="shared" si="0"/>
        <v>634731.02</v>
      </c>
      <c r="L8" s="6" t="str">
        <f t="shared" si="1"/>
        <v>UYGUN</v>
      </c>
      <c r="M8" s="72">
        <f t="shared" si="2"/>
        <v>0</v>
      </c>
      <c r="N8" s="6"/>
      <c r="O8" s="6"/>
    </row>
    <row r="9" spans="1:15" ht="16">
      <c r="A9" s="6"/>
      <c r="B9" s="11" t="s">
        <v>628</v>
      </c>
      <c r="C9" s="11" t="s">
        <v>1733</v>
      </c>
      <c r="D9" s="11" t="s">
        <v>461</v>
      </c>
      <c r="E9" s="73">
        <v>0</v>
      </c>
      <c r="F9" s="72">
        <f>IF(B9="","",SUMIFS(TAHSILAT!$F$7:$F$1006,TAHSILAT!$G$7:$G$1006,B9))</f>
        <v>594650</v>
      </c>
      <c r="G9" s="72">
        <f>IF(B9="","",SUMIFS(GELIR_GIDER!$G$7:$G$1000,GELIR_GIDER!$H$7:$H$1000,B9,GELIR_GIDER!$D$7:$D$1000,"Gelir",GELIR_GIDER!$I$7:$I$1000,"Evet"))</f>
        <v>76050</v>
      </c>
      <c r="H9" s="72">
        <f>IF(B9="","",SUMIFS(GELIR_GIDER!$G$7:$G$1000,GELIR_GIDER!$H$7:$H$1000,B9,GELIR_GIDER!$D$7:$D$1000,"Gider",GELIR_GIDER!$I$7:$I$1000,"Evet"))</f>
        <v>0</v>
      </c>
      <c r="I9" s="72">
        <f>IF(B9="","",SUMIFS(VIRMAN!$F$7:$F$500,VIRMAN!$E$7:$E$500,B9))</f>
        <v>707731.02</v>
      </c>
      <c r="J9" s="72">
        <f>IF(B9="","",SUMIFS(VIRMAN!$F$7:$F$500,VIRMAN!$D$7:$D$500,B9))</f>
        <v>47000</v>
      </c>
      <c r="K9" s="72">
        <f t="shared" si="0"/>
        <v>1331431.02</v>
      </c>
      <c r="L9" s="6" t="str">
        <f t="shared" si="1"/>
        <v>UYGUN</v>
      </c>
      <c r="M9" s="72">
        <f t="shared" si="2"/>
        <v>0</v>
      </c>
      <c r="N9" s="6"/>
      <c r="O9" s="6"/>
    </row>
    <row r="10" spans="1:15" ht="16">
      <c r="A10" s="6"/>
      <c r="B10" s="11" t="s">
        <v>1734</v>
      </c>
      <c r="C10" s="11" t="s">
        <v>1735</v>
      </c>
      <c r="D10" s="11" t="s">
        <v>461</v>
      </c>
      <c r="E10" s="73">
        <v>0</v>
      </c>
      <c r="F10" s="72">
        <f>IF(B10="","",SUMIFS(TAHSILAT!$F$7:$F$1006,TAHSILAT!$G$7:$G$1006,B10))</f>
        <v>0</v>
      </c>
      <c r="G10" s="72">
        <f>IF(B10="","",SUMIFS(GELIR_GIDER!$G$7:$G$1000,GELIR_GIDER!$H$7:$H$1000,B10,GELIR_GIDER!$D$7:$D$1000,"Gelir",GELIR_GIDER!$I$7:$I$1000,"Evet"))</f>
        <v>0</v>
      </c>
      <c r="H10" s="72">
        <f>IF(B10="","",SUMIFS(GELIR_GIDER!$G$7:$G$1000,GELIR_GIDER!$H$7:$H$1000,B10,GELIR_GIDER!$D$7:$D$1000,"Gider",GELIR_GIDER!$I$7:$I$1000,"Evet"))</f>
        <v>0</v>
      </c>
      <c r="I10" s="72">
        <f>IF(B10="","",SUMIFS(VIRMAN!$F$7:$F$500,VIRMAN!$E$7:$E$500,B10))</f>
        <v>0</v>
      </c>
      <c r="J10" s="72">
        <f>IF(B10="","",SUMIFS(VIRMAN!$F$7:$F$500,VIRMAN!$D$7:$D$500,B10))</f>
        <v>0</v>
      </c>
      <c r="K10" s="72">
        <f t="shared" si="0"/>
        <v>0</v>
      </c>
      <c r="L10" s="6" t="str">
        <f t="shared" si="1"/>
        <v>UYGUN</v>
      </c>
      <c r="M10" s="72">
        <f t="shared" si="2"/>
        <v>0</v>
      </c>
      <c r="N10" s="6"/>
      <c r="O10" s="6"/>
    </row>
    <row r="11" spans="1:15" ht="16">
      <c r="A11" s="6"/>
      <c r="B11" s="11" t="s">
        <v>1736</v>
      </c>
      <c r="C11" s="11" t="s">
        <v>1735</v>
      </c>
      <c r="D11" s="11" t="s">
        <v>461</v>
      </c>
      <c r="E11" s="73">
        <v>0</v>
      </c>
      <c r="F11" s="72">
        <f>IF(B11="","",SUMIFS(TAHSILAT!$F$7:$F$1006,TAHSILAT!$G$7:$G$1006,B11))</f>
        <v>0</v>
      </c>
      <c r="G11" s="72">
        <f>IF(B11="","",SUMIFS(GELIR_GIDER!$G$7:$G$1000,GELIR_GIDER!$H$7:$H$1000,B11,GELIR_GIDER!$D$7:$D$1000,"Gelir",GELIR_GIDER!$I$7:$I$1000,"Evet"))</f>
        <v>0</v>
      </c>
      <c r="H11" s="72">
        <f>IF(B11="","",SUMIFS(GELIR_GIDER!$G$7:$G$1000,GELIR_GIDER!$H$7:$H$1000,B11,GELIR_GIDER!$D$7:$D$1000,"Gider",GELIR_GIDER!$I$7:$I$1000,"Evet"))</f>
        <v>0</v>
      </c>
      <c r="I11" s="72">
        <f>IF(B11="","",SUMIFS(VIRMAN!$F$7:$F$500,VIRMAN!$E$7:$E$500,B11))</f>
        <v>0</v>
      </c>
      <c r="J11" s="72">
        <f>IF(B11="","",SUMIFS(VIRMAN!$F$7:$F$500,VIRMAN!$D$7:$D$500,B11))</f>
        <v>0</v>
      </c>
      <c r="K11" s="72">
        <f t="shared" si="0"/>
        <v>0</v>
      </c>
      <c r="L11" s="6" t="str">
        <f t="shared" si="1"/>
        <v>UYGUN</v>
      </c>
      <c r="M11" s="72">
        <f t="shared" si="2"/>
        <v>0</v>
      </c>
      <c r="N11" s="6"/>
      <c r="O11" s="6"/>
    </row>
    <row r="12" spans="1:15" ht="16">
      <c r="A12" s="6"/>
      <c r="B12" s="11" t="s">
        <v>612</v>
      </c>
      <c r="C12" s="11" t="s">
        <v>613</v>
      </c>
      <c r="D12" s="11" t="s">
        <v>461</v>
      </c>
      <c r="E12" s="73">
        <v>0</v>
      </c>
      <c r="F12" s="72">
        <f>IF(B12="","",SUMIFS(TAHSILAT!$F$7:$F$1006,TAHSILAT!$G$7:$G$1006,B12))</f>
        <v>60700</v>
      </c>
      <c r="G12" s="72">
        <f>IF(B12="","",SUMIFS(GELIR_GIDER!$G$7:$G$1000,GELIR_GIDER!$H$7:$H$1000,B12,GELIR_GIDER!$D$7:$D$1000,"Gelir",GELIR_GIDER!$I$7:$I$1000,"Evet"))</f>
        <v>0</v>
      </c>
      <c r="H12" s="72">
        <f>IF(B12="","",SUMIFS(GELIR_GIDER!$G$7:$G$1000,GELIR_GIDER!$H$7:$H$1000,B12,GELIR_GIDER!$D$7:$D$1000,"Gider",GELIR_GIDER!$I$7:$I$1000,"Evet"))</f>
        <v>0</v>
      </c>
      <c r="I12" s="72">
        <f>IF(B12="","",SUMIFS(VIRMAN!$F$7:$F$500,VIRMAN!$E$7:$E$500,B12))</f>
        <v>0</v>
      </c>
      <c r="J12" s="72">
        <f>IF(B12="","",SUMIFS(VIRMAN!$F$7:$F$500,VIRMAN!$D$7:$D$500,B12))</f>
        <v>0</v>
      </c>
      <c r="K12" s="72">
        <f t="shared" si="0"/>
        <v>60700</v>
      </c>
      <c r="L12" s="6" t="str">
        <f t="shared" si="1"/>
        <v>UYGUN</v>
      </c>
      <c r="M12" s="72">
        <f t="shared" si="2"/>
        <v>0</v>
      </c>
      <c r="N12" s="6"/>
      <c r="O12" s="6"/>
    </row>
    <row r="13" spans="1:15" ht="16">
      <c r="A13" s="6"/>
      <c r="B13" s="11"/>
      <c r="C13" s="11"/>
      <c r="D13" s="11"/>
      <c r="E13" s="73"/>
      <c r="F13" s="72" t="str">
        <f>IF(B13="","",SUMIFS(TAHSILAT!$F$7:$F$1006,TAHSILAT!$G$7:$G$1006,B13))</f>
        <v/>
      </c>
      <c r="G13" s="72" t="str">
        <f>IF(B13="","",SUMIFS(GELIR_GIDER!$G$7:$G$1000,GELIR_GIDER!$H$7:$H$1000,B13,GELIR_GIDER!$D$7:$D$1000,"Gelir",GELIR_GIDER!$I$7:$I$1000,"Evet"))</f>
        <v/>
      </c>
      <c r="H13" s="72" t="str">
        <f>IF(B13="","",SUMIFS(GELIR_GIDER!$G$7:$G$1000,GELIR_GIDER!$H$7:$H$1000,B13,GELIR_GIDER!$D$7:$D$1000,"Gider",GELIR_GIDER!$I$7:$I$1000,"Evet"))</f>
        <v/>
      </c>
      <c r="I13" s="72" t="str">
        <f>IF(B13="","",SUMIFS(VIRMAN!$F$7:$F$500,VIRMAN!$E$7:$E$500,B13))</f>
        <v/>
      </c>
      <c r="J13" s="72" t="str">
        <f>IF(B13="","",SUMIFS(VIRMAN!$F$7:$F$500,VIRMAN!$D$7:$D$500,B13))</f>
        <v/>
      </c>
      <c r="K13" s="72" t="str">
        <f t="shared" si="0"/>
        <v/>
      </c>
      <c r="L13" s="6" t="str">
        <f t="shared" si="1"/>
        <v/>
      </c>
      <c r="M13" s="72">
        <f t="shared" si="2"/>
        <v>0</v>
      </c>
      <c r="N13" s="6"/>
      <c r="O13" s="6"/>
    </row>
    <row r="14" spans="1:15" ht="16">
      <c r="A14" s="6"/>
      <c r="B14" s="11"/>
      <c r="C14" s="11"/>
      <c r="D14" s="11"/>
      <c r="E14" s="73"/>
      <c r="F14" s="72" t="str">
        <f>IF(B14="","",SUMIFS(TAHSILAT!$F$7:$F$1006,TAHSILAT!$G$7:$G$1006,B14))</f>
        <v/>
      </c>
      <c r="G14" s="72" t="str">
        <f>IF(B14="","",SUMIFS(GELIR_GIDER!$G$7:$G$1000,GELIR_GIDER!$H$7:$H$1000,B14,GELIR_GIDER!$D$7:$D$1000,"Gelir",GELIR_GIDER!$I$7:$I$1000,"Evet"))</f>
        <v/>
      </c>
      <c r="H14" s="72" t="str">
        <f>IF(B14="","",SUMIFS(GELIR_GIDER!$G$7:$G$1000,GELIR_GIDER!$H$7:$H$1000,B14,GELIR_GIDER!$D$7:$D$1000,"Gider",GELIR_GIDER!$I$7:$I$1000,"Evet"))</f>
        <v/>
      </c>
      <c r="I14" s="72" t="str">
        <f>IF(B14="","",SUMIFS(VIRMAN!$F$7:$F$500,VIRMAN!$E$7:$E$500,B14))</f>
        <v/>
      </c>
      <c r="J14" s="72" t="str">
        <f>IF(B14="","",SUMIFS(VIRMAN!$F$7:$F$500,VIRMAN!$D$7:$D$500,B14))</f>
        <v/>
      </c>
      <c r="K14" s="72" t="str">
        <f t="shared" si="0"/>
        <v/>
      </c>
      <c r="L14" s="6" t="str">
        <f t="shared" si="1"/>
        <v/>
      </c>
      <c r="M14" s="72">
        <f t="shared" si="2"/>
        <v>0</v>
      </c>
      <c r="N14" s="6"/>
      <c r="O14" s="6"/>
    </row>
    <row r="15" spans="1:15" ht="16">
      <c r="A15" s="6"/>
      <c r="B15" s="11"/>
      <c r="C15" s="11"/>
      <c r="D15" s="11"/>
      <c r="E15" s="73"/>
      <c r="F15" s="72" t="str">
        <f>IF(B15="","",SUMIFS(TAHSILAT!$F$7:$F$1006,TAHSILAT!$G$7:$G$1006,B15))</f>
        <v/>
      </c>
      <c r="G15" s="72" t="str">
        <f>IF(B15="","",SUMIFS(GELIR_GIDER!$G$7:$G$1000,GELIR_GIDER!$H$7:$H$1000,B15,GELIR_GIDER!$D$7:$D$1000,"Gelir",GELIR_GIDER!$I$7:$I$1000,"Evet"))</f>
        <v/>
      </c>
      <c r="H15" s="72" t="str">
        <f>IF(B15="","",SUMIFS(GELIR_GIDER!$G$7:$G$1000,GELIR_GIDER!$H$7:$H$1000,B15,GELIR_GIDER!$D$7:$D$1000,"Gider",GELIR_GIDER!$I$7:$I$1000,"Evet"))</f>
        <v/>
      </c>
      <c r="I15" s="72" t="str">
        <f>IF(B15="","",SUMIFS(VIRMAN!$F$7:$F$500,VIRMAN!$E$7:$E$500,B15))</f>
        <v/>
      </c>
      <c r="J15" s="72" t="str">
        <f>IF(B15="","",SUMIFS(VIRMAN!$F$7:$F$500,VIRMAN!$D$7:$D$500,B15))</f>
        <v/>
      </c>
      <c r="K15" s="72" t="str">
        <f t="shared" si="0"/>
        <v/>
      </c>
      <c r="L15" s="6" t="str">
        <f t="shared" si="1"/>
        <v/>
      </c>
      <c r="M15" s="72">
        <f t="shared" si="2"/>
        <v>0</v>
      </c>
      <c r="N15" s="6"/>
      <c r="O15" s="6"/>
    </row>
    <row r="16" spans="1:15" ht="16">
      <c r="A16" s="6"/>
      <c r="B16" s="11"/>
      <c r="C16" s="11"/>
      <c r="D16" s="11"/>
      <c r="E16" s="73"/>
      <c r="F16" s="72" t="str">
        <f>IF(B16="","",SUMIFS(TAHSILAT!$F$7:$F$1006,TAHSILAT!$G$7:$G$1006,B16))</f>
        <v/>
      </c>
      <c r="G16" s="72" t="str">
        <f>IF(B16="","",SUMIFS(GELIR_GIDER!$G$7:$G$1000,GELIR_GIDER!$H$7:$H$1000,B16,GELIR_GIDER!$D$7:$D$1000,"Gelir",GELIR_GIDER!$I$7:$I$1000,"Evet"))</f>
        <v/>
      </c>
      <c r="H16" s="72" t="str">
        <f>IF(B16="","",SUMIFS(GELIR_GIDER!$G$7:$G$1000,GELIR_GIDER!$H$7:$H$1000,B16,GELIR_GIDER!$D$7:$D$1000,"Gider",GELIR_GIDER!$I$7:$I$1000,"Evet"))</f>
        <v/>
      </c>
      <c r="I16" s="72" t="str">
        <f>IF(B16="","",SUMIFS(VIRMAN!$F$7:$F$500,VIRMAN!$E$7:$E$500,B16))</f>
        <v/>
      </c>
      <c r="J16" s="72" t="str">
        <f>IF(B16="","",SUMIFS(VIRMAN!$F$7:$F$500,VIRMAN!$D$7:$D$500,B16))</f>
        <v/>
      </c>
      <c r="K16" s="72" t="str">
        <f t="shared" si="0"/>
        <v/>
      </c>
      <c r="L16" s="6" t="str">
        <f t="shared" si="1"/>
        <v/>
      </c>
      <c r="M16" s="72">
        <f t="shared" si="2"/>
        <v>0</v>
      </c>
      <c r="N16" s="6"/>
      <c r="O16" s="6"/>
    </row>
  </sheetData>
  <mergeCells count="5">
    <mergeCell ref="A2:B2"/>
    <mergeCell ref="A4:G4"/>
    <mergeCell ref="C1:O1"/>
    <mergeCell ref="A3:O3"/>
    <mergeCell ref="C2:O2"/>
  </mergeCells>
  <conditionalFormatting sqref="K7:K16">
    <cfRule type="cellIs" dxfId="42" priority="1" operator="lessThan">
      <formula>0</formula>
    </cfRule>
    <cfRule type="expression" dxfId="41" priority="2">
      <formula>K7&lt;0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47857"/>
  </sheetPr>
  <dimension ref="A1:O42"/>
  <sheetViews>
    <sheetView showGridLines="0" workbookViewId="0"/>
  </sheetViews>
  <sheetFormatPr baseColWidth="10" defaultColWidth="8.83203125" defaultRowHeight="14"/>
  <cols>
    <col min="1" max="1" width="10" customWidth="1"/>
    <col min="2" max="2" width="12.5" bestFit="1" customWidth="1"/>
    <col min="3" max="3" width="18" customWidth="1"/>
    <col min="4" max="13" width="19" customWidth="1"/>
  </cols>
  <sheetData>
    <row r="1" spans="1:15" ht="38" customHeight="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32" t="s">
        <v>1737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47" customHeight="1">
      <c r="A2" s="244" t="s">
        <v>1738</v>
      </c>
      <c r="B2" s="245"/>
      <c r="C2" s="213" t="s">
        <v>1739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1:15" ht="28" customHeight="1">
      <c r="A3" s="213" t="s">
        <v>1740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5" ht="24" customHeight="1">
      <c r="A4" s="207" t="str">
        <f>IFERROR(HYPERLINK("#MENU!A1","← MENÜ   │   AY SONU"),"← MENÜ   │   AY SONU")</f>
        <v>← MENÜ   │   AY SONU</v>
      </c>
      <c r="B4" s="208"/>
      <c r="C4" s="208"/>
      <c r="D4" s="208"/>
      <c r="E4" s="208"/>
      <c r="F4" s="208"/>
      <c r="G4" s="209"/>
      <c r="H4" s="79" t="str">
        <f>IFERROR(HYPERLINK("#TAHSILAT!A1","TAHSİLAT"),"TAHSİLAT")</f>
        <v>TAHSİLAT</v>
      </c>
      <c r="I4" s="80"/>
      <c r="J4" s="79" t="str">
        <f>IFERROR(HYPERLINK("#GELIR_GIDER!A1","GELİR / GİDER"),"GELİR / GİDER")</f>
        <v>GELİR / GİDER</v>
      </c>
      <c r="K4" s="80"/>
      <c r="L4" s="79" t="str">
        <f>IFERROR(HYPERLINK("#VIRMAN!A1","VİRMAN"),"VİRMAN")</f>
        <v>VİRMAN</v>
      </c>
      <c r="M4" s="80"/>
      <c r="N4" s="79" t="str">
        <f>IFERROR(HYPERLINK("#RAPOR!A1","RAPOR"),"RAPOR")</f>
        <v>RAPOR</v>
      </c>
      <c r="O4" s="21"/>
    </row>
    <row r="5" spans="1:15" ht="1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30">
      <c r="A6" s="6"/>
      <c r="B6" s="87" t="s">
        <v>430</v>
      </c>
      <c r="C6" s="87" t="s">
        <v>1725</v>
      </c>
      <c r="D6" s="87" t="s">
        <v>1726</v>
      </c>
      <c r="E6" s="87" t="s">
        <v>1741</v>
      </c>
      <c r="F6" s="87" t="s">
        <v>1727</v>
      </c>
      <c r="G6" s="87" t="s">
        <v>1742</v>
      </c>
      <c r="H6" s="87" t="s">
        <v>1743</v>
      </c>
      <c r="I6" s="87" t="s">
        <v>1744</v>
      </c>
      <c r="J6" s="87" t="s">
        <v>1745</v>
      </c>
      <c r="K6" s="87" t="s">
        <v>1746</v>
      </c>
      <c r="L6" s="87" t="s">
        <v>1747</v>
      </c>
      <c r="M6" s="87" t="s">
        <v>1748</v>
      </c>
      <c r="N6" s="20"/>
      <c r="O6" s="20"/>
    </row>
    <row r="7" spans="1:15" ht="16">
      <c r="A7" s="6"/>
      <c r="B7" s="16">
        <v>46023</v>
      </c>
      <c r="C7" s="117">
        <f>SUMIFS(TAHSILAT!$F$7:$F$1006,TAHSILAT!$E$7:$E$1006,"&gt;="&amp;B7,TAHSILAT!$E$7:$E$1006,"&lt;"&amp;EDATE(B7,1),TAHSILAT!$H$7:$H$1006,"&lt;&gt;Mahsup")</f>
        <v>320700</v>
      </c>
      <c r="D7" s="117">
        <f>SUMIFS(GELIR_GIDER!$G$7:$G$1000,GELIR_GIDER!$D$7:$D$1000,"Gelir",GELIR_GIDER!$I$7:$I$1000,"Evet",GELIR_GIDER!$C$7:$C$1000,"&gt;="&amp;B7,GELIR_GIDER!$C$7:$C$1000,"&lt;"&amp;EDATE(B7,1))</f>
        <v>0</v>
      </c>
      <c r="E7" s="117">
        <f t="shared" ref="E7:E42" si="0">C7+D7</f>
        <v>320700</v>
      </c>
      <c r="F7" s="117">
        <f>SUMIFS(GELIR_GIDER!$G$7:$G$1000,GELIR_GIDER!$D$7:$D$1000,"Gider",GELIR_GIDER!$I$7:$I$1000,"Evet",GELIR_GIDER!$C$7:$C$1000,"&gt;="&amp;B7,GELIR_GIDER!$C$7:$C$1000,"&lt;"&amp;EDATE(B7,1))</f>
        <v>82333.820000000007</v>
      </c>
      <c r="G7" s="117">
        <f t="shared" ref="G7:G42" si="1">E7-F7</f>
        <v>238366.18</v>
      </c>
      <c r="H7" s="117">
        <f>SUM($G$7:G7)</f>
        <v>238366.18</v>
      </c>
      <c r="I7" s="117">
        <f>MAX(0,G7)*SISTEM!$C$11</f>
        <v>119183.09</v>
      </c>
      <c r="J7" s="117">
        <f>MAX(0,G7)*SISTEM!$C$12</f>
        <v>119183.09</v>
      </c>
      <c r="K7" s="108" t="s">
        <v>1221</v>
      </c>
      <c r="L7" s="117">
        <f>SUMIFS(VIRMAN!$F$7:$F$500,VIRMAN!$E$7:$E$500,SISTEM!$C$9,VIRMAN!$L$7:$L$500,"KÂR PAYI / AVANS",VIRMAN!$C$7:$C$500,"&gt;="&amp;B7,VIRMAN!$C$7:$C$500,"&lt;"&amp;EDATE(B7,1))</f>
        <v>127783.09</v>
      </c>
      <c r="M7" s="117">
        <f>SUMIFS(VIRMAN!$F$7:$F$500,VIRMAN!$E$7:$E$500,SISTEM!$C$10,VIRMAN!$L$7:$L$500,"KÂR PAYI / AVANS",VIRMAN!$C$7:$C$500,"&gt;="&amp;B7,VIRMAN!$C$7:$C$500,"&lt;"&amp;EDATE(B7,1))</f>
        <v>127783.09</v>
      </c>
      <c r="N7" s="6"/>
      <c r="O7" s="6"/>
    </row>
    <row r="8" spans="1:15" ht="16">
      <c r="A8" s="6"/>
      <c r="B8" s="16">
        <v>46054</v>
      </c>
      <c r="C8" s="117">
        <f>SUMIFS(TAHSILAT!$F$7:$F$1006,TAHSILAT!$E$7:$E$1006,"&gt;="&amp;B8,TAHSILAT!$E$7:$E$1006,"&lt;"&amp;EDATE(B8,1),TAHSILAT!$H$7:$H$1006,"&lt;&gt;Mahsup")</f>
        <v>205500</v>
      </c>
      <c r="D8" s="117">
        <f>SUMIFS(GELIR_GIDER!$G$7:$G$1000,GELIR_GIDER!$D$7:$D$1000,"Gelir",GELIR_GIDER!$I$7:$I$1000,"Evet",GELIR_GIDER!$C$7:$C$1000,"&gt;="&amp;B8,GELIR_GIDER!$C$7:$C$1000,"&lt;"&amp;EDATE(B8,1))</f>
        <v>97200</v>
      </c>
      <c r="E8" s="117">
        <f t="shared" si="0"/>
        <v>302700</v>
      </c>
      <c r="F8" s="117">
        <f>SUMIFS(GELIR_GIDER!$G$7:$G$1000,GELIR_GIDER!$D$7:$D$1000,"Gider",GELIR_GIDER!$I$7:$I$1000,"Evet",GELIR_GIDER!$C$7:$C$1000,"&gt;="&amp;B8,GELIR_GIDER!$C$7:$C$1000,"&lt;"&amp;EDATE(B8,1))</f>
        <v>282078.19000000006</v>
      </c>
      <c r="G8" s="117">
        <f t="shared" si="1"/>
        <v>20621.809999999939</v>
      </c>
      <c r="H8" s="117">
        <f>SUM($G$7:G8)</f>
        <v>258987.98999999993</v>
      </c>
      <c r="I8" s="117">
        <f>MAX(0,G8)*SISTEM!$C$11</f>
        <v>10310.90499999997</v>
      </c>
      <c r="J8" s="117">
        <f>MAX(0,G8)*SISTEM!$C$12</f>
        <v>10310.90499999997</v>
      </c>
      <c r="K8" s="108" t="s">
        <v>1221</v>
      </c>
      <c r="L8" s="117">
        <f>SUMIFS(VIRMAN!$F$7:$F$500,VIRMAN!$E$7:$E$500,SISTEM!$C$9,VIRMAN!$L$7:$L$500,"KÂR PAYI / AVANS",VIRMAN!$C$7:$C$500,"&gt;="&amp;B8,VIRMAN!$C$7:$C$500,"&lt;"&amp;EDATE(B8,1))</f>
        <v>10310.91</v>
      </c>
      <c r="M8" s="117">
        <f>SUMIFS(VIRMAN!$F$7:$F$500,VIRMAN!$E$7:$E$500,SISTEM!$C$10,VIRMAN!$L$7:$L$500,"KÂR PAYI / AVANS",VIRMAN!$C$7:$C$500,"&gt;="&amp;B8,VIRMAN!$C$7:$C$500,"&lt;"&amp;EDATE(B8,1))</f>
        <v>10310.91</v>
      </c>
      <c r="N8" s="6"/>
      <c r="O8" s="6"/>
    </row>
    <row r="9" spans="1:15" ht="16">
      <c r="A9" s="6"/>
      <c r="B9" s="16">
        <v>46082</v>
      </c>
      <c r="C9" s="117">
        <f>SUMIFS(TAHSILAT!$F$7:$F$1006,TAHSILAT!$E$7:$E$1006,"&gt;="&amp;B9,TAHSILAT!$E$7:$E$1006,"&lt;"&amp;EDATE(B9,1),TAHSILAT!$H$7:$H$1006,"&lt;&gt;Mahsup")</f>
        <v>263250</v>
      </c>
      <c r="D9" s="117">
        <f>SUMIFS(GELIR_GIDER!$G$7:$G$1000,GELIR_GIDER!$D$7:$D$1000,"Gelir",GELIR_GIDER!$I$7:$I$1000,"Evet",GELIR_GIDER!$C$7:$C$1000,"&gt;="&amp;B9,GELIR_GIDER!$C$7:$C$1000,"&lt;"&amp;EDATE(B9,1))</f>
        <v>50000</v>
      </c>
      <c r="E9" s="117">
        <f t="shared" si="0"/>
        <v>313250</v>
      </c>
      <c r="F9" s="117">
        <f>SUMIFS(GELIR_GIDER!$G$7:$G$1000,GELIR_GIDER!$D$7:$D$1000,"Gider",GELIR_GIDER!$I$7:$I$1000,"Evet",GELIR_GIDER!$C$7:$C$1000,"&gt;="&amp;B9,GELIR_GIDER!$C$7:$C$1000,"&lt;"&amp;EDATE(B9,1))</f>
        <v>158407.97</v>
      </c>
      <c r="G9" s="117">
        <f t="shared" si="1"/>
        <v>154842.03</v>
      </c>
      <c r="H9" s="117">
        <f>SUM($G$7:G9)</f>
        <v>413830.0199999999</v>
      </c>
      <c r="I9" s="117">
        <f>MAX(0,G9)*SISTEM!$C$11</f>
        <v>77421.014999999999</v>
      </c>
      <c r="J9" s="117">
        <f>MAX(0,G9)*SISTEM!$C$12</f>
        <v>77421.014999999999</v>
      </c>
      <c r="K9" s="108" t="s">
        <v>1221</v>
      </c>
      <c r="L9" s="117">
        <f>SUMIFS(VIRMAN!$F$7:$F$500,VIRMAN!$E$7:$E$500,SISTEM!$C$9,VIRMAN!$L$7:$L$500,"KÂR PAYI / AVANS",VIRMAN!$C$7:$C$500,"&gt;="&amp;B9,VIRMAN!$C$7:$C$500,"&lt;"&amp;EDATE(B9,1))</f>
        <v>77421.02</v>
      </c>
      <c r="M9" s="117">
        <f>SUMIFS(VIRMAN!$F$7:$F$500,VIRMAN!$E$7:$E$500,SISTEM!$C$10,VIRMAN!$L$7:$L$500,"KÂR PAYI / AVANS",VIRMAN!$C$7:$C$500,"&gt;="&amp;B9,VIRMAN!$C$7:$C$500,"&lt;"&amp;EDATE(B9,1))</f>
        <v>77421.02</v>
      </c>
      <c r="N9" s="6"/>
      <c r="O9" s="6"/>
    </row>
    <row r="10" spans="1:15" ht="16">
      <c r="A10" s="6"/>
      <c r="B10" s="16">
        <v>46113</v>
      </c>
      <c r="C10" s="117">
        <f>SUMIFS(TAHSILAT!$F$7:$F$1006,TAHSILAT!$E$7:$E$1006,"&gt;="&amp;B10,TAHSILAT!$E$7:$E$1006,"&lt;"&amp;EDATE(B10,1),TAHSILAT!$H$7:$H$1006,"&lt;&gt;Mahsup")</f>
        <v>281200</v>
      </c>
      <c r="D10" s="117">
        <f>SUMIFS(GELIR_GIDER!$G$7:$G$1000,GELIR_GIDER!$D$7:$D$1000,"Gelir",GELIR_GIDER!$I$7:$I$1000,"Evet",GELIR_GIDER!$C$7:$C$1000,"&gt;="&amp;B10,GELIR_GIDER!$C$7:$C$1000,"&lt;"&amp;EDATE(B10,1))</f>
        <v>147600</v>
      </c>
      <c r="E10" s="117">
        <f t="shared" si="0"/>
        <v>428800</v>
      </c>
      <c r="F10" s="117">
        <f>SUMIFS(GELIR_GIDER!$G$7:$G$1000,GELIR_GIDER!$D$7:$D$1000,"Gider",GELIR_GIDER!$I$7:$I$1000,"Evet",GELIR_GIDER!$C$7:$C$1000,"&gt;="&amp;B10,GELIR_GIDER!$C$7:$C$1000,"&lt;"&amp;EDATE(B10,1))</f>
        <v>154094</v>
      </c>
      <c r="G10" s="117">
        <f t="shared" si="1"/>
        <v>274706</v>
      </c>
      <c r="H10" s="117">
        <f>SUM($G$7:G10)</f>
        <v>688536.0199999999</v>
      </c>
      <c r="I10" s="117">
        <f>MAX(0,G10)*SISTEM!$C$11</f>
        <v>137353</v>
      </c>
      <c r="J10" s="117">
        <f>MAX(0,G10)*SISTEM!$C$12</f>
        <v>137353</v>
      </c>
      <c r="K10" s="108" t="s">
        <v>1221</v>
      </c>
      <c r="L10" s="117">
        <f>SUMIFS(VIRMAN!$F$7:$F$500,VIRMAN!$E$7:$E$500,SISTEM!$C$9,VIRMAN!$L$7:$L$500,"KÂR PAYI / AVANS",VIRMAN!$C$7:$C$500,"&gt;="&amp;B10,VIRMAN!$C$7:$C$500,"&lt;"&amp;EDATE(B10,1))</f>
        <v>137353</v>
      </c>
      <c r="M10" s="117">
        <f>SUMIFS(VIRMAN!$F$7:$F$500,VIRMAN!$E$7:$E$500,SISTEM!$C$10,VIRMAN!$L$7:$L$500,"KÂR PAYI / AVANS",VIRMAN!$C$7:$C$500,"&gt;="&amp;B10,VIRMAN!$C$7:$C$500,"&lt;"&amp;EDATE(B10,1))</f>
        <v>137353</v>
      </c>
      <c r="N10" s="6"/>
      <c r="O10" s="6"/>
    </row>
    <row r="11" spans="1:15" ht="16">
      <c r="A11" s="6"/>
      <c r="B11" s="16">
        <v>46143</v>
      </c>
      <c r="C11" s="117">
        <f>SUMIFS(TAHSILAT!$F$7:$F$1006,TAHSILAT!$E$7:$E$1006,"&gt;="&amp;B11,TAHSILAT!$E$7:$E$1006,"&lt;"&amp;EDATE(B11,1),TAHSILAT!$H$7:$H$1006,"&lt;&gt;Mahsup")</f>
        <v>347650</v>
      </c>
      <c r="D11" s="117">
        <f>SUMIFS(GELIR_GIDER!$G$7:$G$1000,GELIR_GIDER!$D$7:$D$1000,"Gelir",GELIR_GIDER!$I$7:$I$1000,"Evet",GELIR_GIDER!$C$7:$C$1000,"&gt;="&amp;B11,GELIR_GIDER!$C$7:$C$1000,"&lt;"&amp;EDATE(B11,1))</f>
        <v>67250</v>
      </c>
      <c r="E11" s="117">
        <f t="shared" si="0"/>
        <v>414900</v>
      </c>
      <c r="F11" s="117">
        <f>SUMIFS(GELIR_GIDER!$G$7:$G$1000,GELIR_GIDER!$D$7:$D$1000,"Gider",GELIR_GIDER!$I$7:$I$1000,"Evet",GELIR_GIDER!$C$7:$C$1000,"&gt;="&amp;B11,GELIR_GIDER!$C$7:$C$1000,"&lt;"&amp;EDATE(B11,1))</f>
        <v>195354</v>
      </c>
      <c r="G11" s="117">
        <f t="shared" si="1"/>
        <v>219546</v>
      </c>
      <c r="H11" s="117">
        <f>SUM($G$7:G11)</f>
        <v>908082.0199999999</v>
      </c>
      <c r="I11" s="117">
        <f>MAX(0,G11)*SISTEM!$C$11</f>
        <v>109773</v>
      </c>
      <c r="J11" s="117">
        <f>MAX(0,G11)*SISTEM!$C$12</f>
        <v>109773</v>
      </c>
      <c r="K11" s="108" t="s">
        <v>1221</v>
      </c>
      <c r="L11" s="117">
        <f>SUMIFS(VIRMAN!$F$7:$F$500,VIRMAN!$E$7:$E$500,SISTEM!$C$9,VIRMAN!$L$7:$L$500,"KÂR PAYI / AVANS",VIRMAN!$C$7:$C$500,"&gt;="&amp;B11,VIRMAN!$C$7:$C$500,"&lt;"&amp;EDATE(B11,1))</f>
        <v>109773</v>
      </c>
      <c r="M11" s="117">
        <f>SUMIFS(VIRMAN!$F$7:$F$500,VIRMAN!$E$7:$E$500,SISTEM!$C$10,VIRMAN!$L$7:$L$500,"KÂR PAYI / AVANS",VIRMAN!$C$7:$C$500,"&gt;="&amp;B11,VIRMAN!$C$7:$C$500,"&lt;"&amp;EDATE(B11,1))</f>
        <v>109773</v>
      </c>
      <c r="N11" s="6"/>
      <c r="O11" s="6"/>
    </row>
    <row r="12" spans="1:15" ht="16">
      <c r="A12" s="6"/>
      <c r="B12" s="16">
        <v>46174</v>
      </c>
      <c r="C12" s="117">
        <f>SUMIFS(TAHSILAT!$F$7:$F$1006,TAHSILAT!$E$7:$E$1006,"&gt;="&amp;B12,TAHSILAT!$E$7:$E$1006,"&lt;"&amp;EDATE(B12,1),TAHSILAT!$H$7:$H$1006,"&lt;&gt;Mahsup")</f>
        <v>288350</v>
      </c>
      <c r="D12" s="117">
        <f>SUMIFS(GELIR_GIDER!$G$7:$G$1000,GELIR_GIDER!$D$7:$D$1000,"Gelir",GELIR_GIDER!$I$7:$I$1000,"Evet",GELIR_GIDER!$C$7:$C$1000,"&gt;="&amp;B12,GELIR_GIDER!$C$7:$C$1000,"&lt;"&amp;EDATE(B12,1))</f>
        <v>38200</v>
      </c>
      <c r="E12" s="117">
        <f t="shared" si="0"/>
        <v>326550</v>
      </c>
      <c r="F12" s="117">
        <f>SUMIFS(GELIR_GIDER!$G$7:$G$1000,GELIR_GIDER!$D$7:$D$1000,"Gider",GELIR_GIDER!$I$7:$I$1000,"Evet",GELIR_GIDER!$C$7:$C$1000,"&gt;="&amp;B12,GELIR_GIDER!$C$7:$C$1000,"&lt;"&amp;EDATE(B12,1))</f>
        <v>99110</v>
      </c>
      <c r="G12" s="117">
        <f t="shared" si="1"/>
        <v>227440</v>
      </c>
      <c r="H12" s="117">
        <f>SUM($G$7:G12)</f>
        <v>1135522.02</v>
      </c>
      <c r="I12" s="117">
        <f>MAX(0,G12)*SISTEM!$C$11</f>
        <v>113720</v>
      </c>
      <c r="J12" s="117">
        <f>MAX(0,G12)*SISTEM!$C$12</f>
        <v>113720</v>
      </c>
      <c r="K12" s="108" t="s">
        <v>1221</v>
      </c>
      <c r="L12" s="117">
        <f>SUMIFS(VIRMAN!$F$7:$F$500,VIRMAN!$E$7:$E$500,SISTEM!$C$9,VIRMAN!$L$7:$L$500,"KÂR PAYI / AVANS",VIRMAN!$C$7:$C$500,"&gt;="&amp;B12,VIRMAN!$C$7:$C$500,"&lt;"&amp;EDATE(B12,1))</f>
        <v>113720</v>
      </c>
      <c r="M12" s="117">
        <f>SUMIFS(VIRMAN!$F$7:$F$500,VIRMAN!$E$7:$E$500,SISTEM!$C$10,VIRMAN!$L$7:$L$500,"KÂR PAYI / AVANS",VIRMAN!$C$7:$C$500,"&gt;="&amp;B12,VIRMAN!$C$7:$C$500,"&lt;"&amp;EDATE(B12,1))</f>
        <v>113720</v>
      </c>
      <c r="N12" s="6"/>
      <c r="O12" s="6"/>
    </row>
    <row r="13" spans="1:15" ht="16">
      <c r="A13" s="6"/>
      <c r="B13" s="16">
        <v>46204</v>
      </c>
      <c r="C13" s="117">
        <f>SUMIFS(TAHSILAT!$F$7:$F$1006,TAHSILAT!$E$7:$E$1006,"&gt;="&amp;B13,TAHSILAT!$E$7:$E$1006,"&lt;"&amp;EDATE(B13,1),TAHSILAT!$H$7:$H$1006,"&lt;&gt;Mahsup")</f>
        <v>204250</v>
      </c>
      <c r="D13" s="117">
        <f>SUMIFS(GELIR_GIDER!$G$7:$G$1000,GELIR_GIDER!$D$7:$D$1000,"Gelir",GELIR_GIDER!$I$7:$I$1000,"Evet",GELIR_GIDER!$C$7:$C$1000,"&gt;="&amp;B13,GELIR_GIDER!$C$7:$C$1000,"&lt;"&amp;EDATE(B13,1))</f>
        <v>20000</v>
      </c>
      <c r="E13" s="117">
        <f t="shared" si="0"/>
        <v>224250</v>
      </c>
      <c r="F13" s="117">
        <f>SUMIFS(GELIR_GIDER!$G$7:$G$1000,GELIR_GIDER!$D$7:$D$1000,"Gider",GELIR_GIDER!$I$7:$I$1000,"Evet",GELIR_GIDER!$C$7:$C$1000,"&gt;="&amp;B13,GELIR_GIDER!$C$7:$C$1000,"&lt;"&amp;EDATE(B13,1))</f>
        <v>107510</v>
      </c>
      <c r="G13" s="117">
        <f t="shared" si="1"/>
        <v>116740</v>
      </c>
      <c r="H13" s="117">
        <f>SUM($G$7:G13)</f>
        <v>1252262.02</v>
      </c>
      <c r="I13" s="117">
        <f>MAX(0,G13)*SISTEM!$C$11</f>
        <v>58370</v>
      </c>
      <c r="J13" s="117">
        <f>MAX(0,G13)*SISTEM!$C$12</f>
        <v>58370</v>
      </c>
      <c r="K13" s="108" t="s">
        <v>1221</v>
      </c>
      <c r="L13" s="117">
        <f>SUMIFS(VIRMAN!$F$7:$F$500,VIRMAN!$E$7:$E$500,SISTEM!$C$9,VIRMAN!$L$7:$L$500,"KÂR PAYI / AVANS",VIRMAN!$C$7:$C$500,"&gt;="&amp;B13,VIRMAN!$C$7:$C$500,"&lt;"&amp;EDATE(B13,1))</f>
        <v>58370</v>
      </c>
      <c r="M13" s="117">
        <f>SUMIFS(VIRMAN!$F$7:$F$500,VIRMAN!$E$7:$E$500,SISTEM!$C$10,VIRMAN!$L$7:$L$500,"KÂR PAYI / AVANS",VIRMAN!$C$7:$C$500,"&gt;="&amp;B13,VIRMAN!$C$7:$C$500,"&lt;"&amp;EDATE(B13,1))</f>
        <v>58370</v>
      </c>
      <c r="N13" s="6"/>
      <c r="O13" s="6"/>
    </row>
    <row r="14" spans="1:15" ht="16">
      <c r="A14" s="6"/>
      <c r="B14" s="16">
        <v>46235</v>
      </c>
      <c r="C14" s="117">
        <f>SUMIFS(TAHSILAT!$F$7:$F$1006,TAHSILAT!$E$7:$E$1006,"&gt;="&amp;B14,TAHSILAT!$E$7:$E$1006,"&lt;"&amp;EDATE(B14,1),TAHSILAT!$H$7:$H$1006,"&lt;&gt;Mahsup")</f>
        <v>327900</v>
      </c>
      <c r="D14" s="117">
        <f>SUMIFS(GELIR_GIDER!$G$7:$G$1000,GELIR_GIDER!$D$7:$D$1000,"Gelir",GELIR_GIDER!$I$7:$I$1000,"Evet",GELIR_GIDER!$C$7:$C$1000,"&gt;="&amp;B14,GELIR_GIDER!$C$7:$C$1000,"&lt;"&amp;EDATE(B14,1))</f>
        <v>63000</v>
      </c>
      <c r="E14" s="117">
        <f t="shared" si="0"/>
        <v>390900</v>
      </c>
      <c r="F14" s="117">
        <f>SUMIFS(GELIR_GIDER!$G$7:$G$1000,GELIR_GIDER!$D$7:$D$1000,"Gider",GELIR_GIDER!$I$7:$I$1000,"Evet",GELIR_GIDER!$C$7:$C$1000,"&gt;="&amp;B14,GELIR_GIDER!$C$7:$C$1000,"&lt;"&amp;EDATE(B14,1))</f>
        <v>117300</v>
      </c>
      <c r="G14" s="117">
        <f t="shared" si="1"/>
        <v>273600</v>
      </c>
      <c r="H14" s="117">
        <f>SUM($G$7:G14)</f>
        <v>1525862.02</v>
      </c>
      <c r="I14" s="117">
        <f>MAX(0,G14)*SISTEM!$C$11</f>
        <v>136800</v>
      </c>
      <c r="J14" s="117">
        <f>MAX(0,G14)*SISTEM!$C$12</f>
        <v>136800</v>
      </c>
      <c r="K14" s="108" t="s">
        <v>1221</v>
      </c>
      <c r="L14" s="117">
        <f>SUMIFS(VIRMAN!$F$7:$F$500,VIRMAN!$E$7:$E$500,SISTEM!$C$9,VIRMAN!$L$7:$L$500,"KÂR PAYI / AVANS",VIRMAN!$C$7:$C$500,"&gt;="&amp;B14,VIRMAN!$C$7:$C$500,"&lt;"&amp;EDATE(B14,1))</f>
        <v>0</v>
      </c>
      <c r="M14" s="117">
        <f>SUMIFS(VIRMAN!$F$7:$F$500,VIRMAN!$E$7:$E$500,SISTEM!$C$10,VIRMAN!$L$7:$L$500,"KÂR PAYI / AVANS",VIRMAN!$C$7:$C$500,"&gt;="&amp;B14,VIRMAN!$C$7:$C$500,"&lt;"&amp;EDATE(B14,1))</f>
        <v>0</v>
      </c>
      <c r="N14" s="6"/>
      <c r="O14" s="6"/>
    </row>
    <row r="15" spans="1:15" ht="16">
      <c r="A15" s="6"/>
      <c r="B15" s="16">
        <v>46266</v>
      </c>
      <c r="C15" s="117">
        <f>SUMIFS(TAHSILAT!$F$7:$F$1006,TAHSILAT!$E$7:$E$1006,"&gt;="&amp;B15,TAHSILAT!$E$7:$E$1006,"&lt;"&amp;EDATE(B15,1),TAHSILAT!$H$7:$H$1006,"&lt;&gt;Mahsup")</f>
        <v>0</v>
      </c>
      <c r="D15" s="117">
        <f>SUMIFS(GELIR_GIDER!$G$7:$G$1000,GELIR_GIDER!$D$7:$D$1000,"Gelir",GELIR_GIDER!$I$7:$I$1000,"Evet",GELIR_GIDER!$C$7:$C$1000,"&gt;="&amp;B15,GELIR_GIDER!$C$7:$C$1000,"&lt;"&amp;EDATE(B15,1))</f>
        <v>0</v>
      </c>
      <c r="E15" s="117">
        <f t="shared" si="0"/>
        <v>0</v>
      </c>
      <c r="F15" s="117">
        <f>SUMIFS(GELIR_GIDER!$G$7:$G$1000,GELIR_GIDER!$D$7:$D$1000,"Gider",GELIR_GIDER!$I$7:$I$1000,"Evet",GELIR_GIDER!$C$7:$C$1000,"&gt;="&amp;B15,GELIR_GIDER!$C$7:$C$1000,"&lt;"&amp;EDATE(B15,1))</f>
        <v>0</v>
      </c>
      <c r="G15" s="117">
        <f t="shared" si="1"/>
        <v>0</v>
      </c>
      <c r="H15" s="117">
        <f>SUM($G$7:G15)</f>
        <v>1525862.02</v>
      </c>
      <c r="I15" s="117">
        <f>MAX(0,G15)*SISTEM!$C$11</f>
        <v>0</v>
      </c>
      <c r="J15" s="117">
        <f>MAX(0,G15)*SISTEM!$C$12</f>
        <v>0</v>
      </c>
      <c r="K15" s="108" t="s">
        <v>1221</v>
      </c>
      <c r="L15" s="117">
        <f>SUMIFS(VIRMAN!$F$7:$F$500,VIRMAN!$E$7:$E$500,SISTEM!$C$9,VIRMAN!$L$7:$L$500,"KÂR PAYI / AVANS",VIRMAN!$C$7:$C$500,"&gt;="&amp;B15,VIRMAN!$C$7:$C$500,"&lt;"&amp;EDATE(B15,1))</f>
        <v>0</v>
      </c>
      <c r="M15" s="117">
        <f>SUMIFS(VIRMAN!$F$7:$F$500,VIRMAN!$E$7:$E$500,SISTEM!$C$10,VIRMAN!$L$7:$L$500,"KÂR PAYI / AVANS",VIRMAN!$C$7:$C$500,"&gt;="&amp;B15,VIRMAN!$C$7:$C$500,"&lt;"&amp;EDATE(B15,1))</f>
        <v>0</v>
      </c>
      <c r="N15" s="6"/>
      <c r="O15" s="6"/>
    </row>
    <row r="16" spans="1:15" ht="16">
      <c r="A16" s="6"/>
      <c r="B16" s="16">
        <v>46296</v>
      </c>
      <c r="C16" s="117">
        <f>SUMIFS(TAHSILAT!$F$7:$F$1006,TAHSILAT!$E$7:$E$1006,"&gt;="&amp;B16,TAHSILAT!$E$7:$E$1006,"&lt;"&amp;EDATE(B16,1),TAHSILAT!$H$7:$H$1006,"&lt;&gt;Mahsup")</f>
        <v>0</v>
      </c>
      <c r="D16" s="117">
        <f>SUMIFS(GELIR_GIDER!$G$7:$G$1000,GELIR_GIDER!$D$7:$D$1000,"Gelir",GELIR_GIDER!$I$7:$I$1000,"Evet",GELIR_GIDER!$C$7:$C$1000,"&gt;="&amp;B16,GELIR_GIDER!$C$7:$C$1000,"&lt;"&amp;EDATE(B16,1))</f>
        <v>0</v>
      </c>
      <c r="E16" s="117">
        <f t="shared" si="0"/>
        <v>0</v>
      </c>
      <c r="F16" s="117">
        <f>SUMIFS(GELIR_GIDER!$G$7:$G$1000,GELIR_GIDER!$D$7:$D$1000,"Gider",GELIR_GIDER!$I$7:$I$1000,"Evet",GELIR_GIDER!$C$7:$C$1000,"&gt;="&amp;B16,GELIR_GIDER!$C$7:$C$1000,"&lt;"&amp;EDATE(B16,1))</f>
        <v>0</v>
      </c>
      <c r="G16" s="117">
        <f t="shared" si="1"/>
        <v>0</v>
      </c>
      <c r="H16" s="117">
        <f>SUM($G$7:G16)</f>
        <v>1525862.02</v>
      </c>
      <c r="I16" s="117">
        <f>MAX(0,G16)*SISTEM!$C$11</f>
        <v>0</v>
      </c>
      <c r="J16" s="117">
        <f>MAX(0,G16)*SISTEM!$C$12</f>
        <v>0</v>
      </c>
      <c r="K16" s="108" t="s">
        <v>1221</v>
      </c>
      <c r="L16" s="117">
        <f>SUMIFS(VIRMAN!$F$7:$F$500,VIRMAN!$E$7:$E$500,SISTEM!$C$9,VIRMAN!$L$7:$L$500,"KÂR PAYI / AVANS",VIRMAN!$C$7:$C$500,"&gt;="&amp;B16,VIRMAN!$C$7:$C$500,"&lt;"&amp;EDATE(B16,1))</f>
        <v>0</v>
      </c>
      <c r="M16" s="117">
        <f>SUMIFS(VIRMAN!$F$7:$F$500,VIRMAN!$E$7:$E$500,SISTEM!$C$10,VIRMAN!$L$7:$L$500,"KÂR PAYI / AVANS",VIRMAN!$C$7:$C$500,"&gt;="&amp;B16,VIRMAN!$C$7:$C$500,"&lt;"&amp;EDATE(B16,1))</f>
        <v>0</v>
      </c>
      <c r="N16" s="6"/>
      <c r="O16" s="6"/>
    </row>
    <row r="17" spans="1:15" ht="16">
      <c r="A17" s="6"/>
      <c r="B17" s="16">
        <v>46327</v>
      </c>
      <c r="C17" s="117">
        <f>SUMIFS(TAHSILAT!$F$7:$F$1006,TAHSILAT!$E$7:$E$1006,"&gt;="&amp;B17,TAHSILAT!$E$7:$E$1006,"&lt;"&amp;EDATE(B17,1),TAHSILAT!$H$7:$H$1006,"&lt;&gt;Mahsup")</f>
        <v>0</v>
      </c>
      <c r="D17" s="117">
        <f>SUMIFS(GELIR_GIDER!$G$7:$G$1000,GELIR_GIDER!$D$7:$D$1000,"Gelir",GELIR_GIDER!$I$7:$I$1000,"Evet",GELIR_GIDER!$C$7:$C$1000,"&gt;="&amp;B17,GELIR_GIDER!$C$7:$C$1000,"&lt;"&amp;EDATE(B17,1))</f>
        <v>0</v>
      </c>
      <c r="E17" s="117">
        <f t="shared" si="0"/>
        <v>0</v>
      </c>
      <c r="F17" s="117">
        <f>SUMIFS(GELIR_GIDER!$G$7:$G$1000,GELIR_GIDER!$D$7:$D$1000,"Gider",GELIR_GIDER!$I$7:$I$1000,"Evet",GELIR_GIDER!$C$7:$C$1000,"&gt;="&amp;B17,GELIR_GIDER!$C$7:$C$1000,"&lt;"&amp;EDATE(B17,1))</f>
        <v>0</v>
      </c>
      <c r="G17" s="117">
        <f t="shared" si="1"/>
        <v>0</v>
      </c>
      <c r="H17" s="117">
        <f>SUM($G$7:G17)</f>
        <v>1525862.02</v>
      </c>
      <c r="I17" s="117">
        <f>MAX(0,G17)*SISTEM!$C$11</f>
        <v>0</v>
      </c>
      <c r="J17" s="117">
        <f>MAX(0,G17)*SISTEM!$C$12</f>
        <v>0</v>
      </c>
      <c r="K17" s="108" t="s">
        <v>1221</v>
      </c>
      <c r="L17" s="117">
        <f>SUMIFS(VIRMAN!$F$7:$F$500,VIRMAN!$E$7:$E$500,SISTEM!$C$9,VIRMAN!$L$7:$L$500,"KÂR PAYI / AVANS",VIRMAN!$C$7:$C$500,"&gt;="&amp;B17,VIRMAN!$C$7:$C$500,"&lt;"&amp;EDATE(B17,1))</f>
        <v>0</v>
      </c>
      <c r="M17" s="117">
        <f>SUMIFS(VIRMAN!$F$7:$F$500,VIRMAN!$E$7:$E$500,SISTEM!$C$10,VIRMAN!$L$7:$L$500,"KÂR PAYI / AVANS",VIRMAN!$C$7:$C$500,"&gt;="&amp;B17,VIRMAN!$C$7:$C$500,"&lt;"&amp;EDATE(B17,1))</f>
        <v>0</v>
      </c>
      <c r="N17" s="6"/>
      <c r="O17" s="6"/>
    </row>
    <row r="18" spans="1:15" ht="16">
      <c r="A18" s="6"/>
      <c r="B18" s="16">
        <v>46357</v>
      </c>
      <c r="C18" s="117">
        <f>SUMIFS(TAHSILAT!$F$7:$F$1006,TAHSILAT!$E$7:$E$1006,"&gt;="&amp;B18,TAHSILAT!$E$7:$E$1006,"&lt;"&amp;EDATE(B18,1),TAHSILAT!$H$7:$H$1006,"&lt;&gt;Mahsup")</f>
        <v>0</v>
      </c>
      <c r="D18" s="117">
        <f>SUMIFS(GELIR_GIDER!$G$7:$G$1000,GELIR_GIDER!$D$7:$D$1000,"Gelir",GELIR_GIDER!$I$7:$I$1000,"Evet",GELIR_GIDER!$C$7:$C$1000,"&gt;="&amp;B18,GELIR_GIDER!$C$7:$C$1000,"&lt;"&amp;EDATE(B18,1))</f>
        <v>0</v>
      </c>
      <c r="E18" s="117">
        <f t="shared" si="0"/>
        <v>0</v>
      </c>
      <c r="F18" s="117">
        <f>SUMIFS(GELIR_GIDER!$G$7:$G$1000,GELIR_GIDER!$D$7:$D$1000,"Gider",GELIR_GIDER!$I$7:$I$1000,"Evet",GELIR_GIDER!$C$7:$C$1000,"&gt;="&amp;B18,GELIR_GIDER!$C$7:$C$1000,"&lt;"&amp;EDATE(B18,1))</f>
        <v>0</v>
      </c>
      <c r="G18" s="117">
        <f t="shared" si="1"/>
        <v>0</v>
      </c>
      <c r="H18" s="117">
        <f>SUM($G$7:G18)</f>
        <v>1525862.02</v>
      </c>
      <c r="I18" s="117">
        <f>MAX(0,G18)*SISTEM!$C$11</f>
        <v>0</v>
      </c>
      <c r="J18" s="117">
        <f>MAX(0,G18)*SISTEM!$C$12</f>
        <v>0</v>
      </c>
      <c r="K18" s="108" t="s">
        <v>1221</v>
      </c>
      <c r="L18" s="117">
        <f>SUMIFS(VIRMAN!$F$7:$F$500,VIRMAN!$E$7:$E$500,SISTEM!$C$9,VIRMAN!$L$7:$L$500,"KÂR PAYI / AVANS",VIRMAN!$C$7:$C$500,"&gt;="&amp;B18,VIRMAN!$C$7:$C$500,"&lt;"&amp;EDATE(B18,1))</f>
        <v>0</v>
      </c>
      <c r="M18" s="117">
        <f>SUMIFS(VIRMAN!$F$7:$F$500,VIRMAN!$E$7:$E$500,SISTEM!$C$10,VIRMAN!$L$7:$L$500,"KÂR PAYI / AVANS",VIRMAN!$C$7:$C$500,"&gt;="&amp;B18,VIRMAN!$C$7:$C$500,"&lt;"&amp;EDATE(B18,1))</f>
        <v>0</v>
      </c>
      <c r="N18" s="6"/>
      <c r="O18" s="6"/>
    </row>
    <row r="19" spans="1:15" ht="16">
      <c r="A19" s="6"/>
      <c r="B19" s="16">
        <v>46388</v>
      </c>
      <c r="C19" s="117">
        <f>SUMIFS(TAHSILAT!$F$7:$F$1006,TAHSILAT!$E$7:$E$1006,"&gt;="&amp;B19,TAHSILAT!$E$7:$E$1006,"&lt;"&amp;EDATE(B19,1),TAHSILAT!$H$7:$H$1006,"&lt;&gt;Mahsup")</f>
        <v>0</v>
      </c>
      <c r="D19" s="117">
        <f>SUMIFS(GELIR_GIDER!$G$7:$G$1000,GELIR_GIDER!$D$7:$D$1000,"Gelir",GELIR_GIDER!$I$7:$I$1000,"Evet",GELIR_GIDER!$C$7:$C$1000,"&gt;="&amp;B19,GELIR_GIDER!$C$7:$C$1000,"&lt;"&amp;EDATE(B19,1))</f>
        <v>0</v>
      </c>
      <c r="E19" s="117">
        <f t="shared" si="0"/>
        <v>0</v>
      </c>
      <c r="F19" s="117">
        <f>SUMIFS(GELIR_GIDER!$G$7:$G$1000,GELIR_GIDER!$D$7:$D$1000,"Gider",GELIR_GIDER!$I$7:$I$1000,"Evet",GELIR_GIDER!$C$7:$C$1000,"&gt;="&amp;B19,GELIR_GIDER!$C$7:$C$1000,"&lt;"&amp;EDATE(B19,1))</f>
        <v>0</v>
      </c>
      <c r="G19" s="117">
        <f t="shared" si="1"/>
        <v>0</v>
      </c>
      <c r="H19" s="117">
        <f>SUM($G$7:G19)</f>
        <v>1525862.02</v>
      </c>
      <c r="I19" s="117">
        <f>MAX(0,G19)*SISTEM!$C$11</f>
        <v>0</v>
      </c>
      <c r="J19" s="117">
        <f>MAX(0,G19)*SISTEM!$C$12</f>
        <v>0</v>
      </c>
      <c r="K19" s="108" t="s">
        <v>1221</v>
      </c>
      <c r="L19" s="117">
        <f>SUMIFS(VIRMAN!$F$7:$F$500,VIRMAN!$E$7:$E$500,SISTEM!$C$9,VIRMAN!$L$7:$L$500,"KÂR PAYI / AVANS",VIRMAN!$C$7:$C$500,"&gt;="&amp;B19,VIRMAN!$C$7:$C$500,"&lt;"&amp;EDATE(B19,1))</f>
        <v>0</v>
      </c>
      <c r="M19" s="117">
        <f>SUMIFS(VIRMAN!$F$7:$F$500,VIRMAN!$E$7:$E$500,SISTEM!$C$10,VIRMAN!$L$7:$L$500,"KÂR PAYI / AVANS",VIRMAN!$C$7:$C$500,"&gt;="&amp;B19,VIRMAN!$C$7:$C$500,"&lt;"&amp;EDATE(B19,1))</f>
        <v>0</v>
      </c>
      <c r="N19" s="6"/>
      <c r="O19" s="6"/>
    </row>
    <row r="20" spans="1:15" ht="16">
      <c r="A20" s="6"/>
      <c r="B20" s="16">
        <v>46419</v>
      </c>
      <c r="C20" s="117">
        <f>SUMIFS(TAHSILAT!$F$7:$F$1006,TAHSILAT!$E$7:$E$1006,"&gt;="&amp;B20,TAHSILAT!$E$7:$E$1006,"&lt;"&amp;EDATE(B20,1),TAHSILAT!$H$7:$H$1006,"&lt;&gt;Mahsup")</f>
        <v>0</v>
      </c>
      <c r="D20" s="117">
        <f>SUMIFS(GELIR_GIDER!$G$7:$G$1000,GELIR_GIDER!$D$7:$D$1000,"Gelir",GELIR_GIDER!$I$7:$I$1000,"Evet",GELIR_GIDER!$C$7:$C$1000,"&gt;="&amp;B20,GELIR_GIDER!$C$7:$C$1000,"&lt;"&amp;EDATE(B20,1))</f>
        <v>0</v>
      </c>
      <c r="E20" s="117">
        <f t="shared" si="0"/>
        <v>0</v>
      </c>
      <c r="F20" s="117">
        <f>SUMIFS(GELIR_GIDER!$G$7:$G$1000,GELIR_GIDER!$D$7:$D$1000,"Gider",GELIR_GIDER!$I$7:$I$1000,"Evet",GELIR_GIDER!$C$7:$C$1000,"&gt;="&amp;B20,GELIR_GIDER!$C$7:$C$1000,"&lt;"&amp;EDATE(B20,1))</f>
        <v>0</v>
      </c>
      <c r="G20" s="117">
        <f t="shared" si="1"/>
        <v>0</v>
      </c>
      <c r="H20" s="117">
        <f>SUM($G$7:G20)</f>
        <v>1525862.02</v>
      </c>
      <c r="I20" s="117">
        <f>MAX(0,G20)*SISTEM!$C$11</f>
        <v>0</v>
      </c>
      <c r="J20" s="117">
        <f>MAX(0,G20)*SISTEM!$C$12</f>
        <v>0</v>
      </c>
      <c r="K20" s="108" t="s">
        <v>1221</v>
      </c>
      <c r="L20" s="117">
        <f>SUMIFS(VIRMAN!$F$7:$F$500,VIRMAN!$E$7:$E$500,SISTEM!$C$9,VIRMAN!$L$7:$L$500,"KÂR PAYI / AVANS",VIRMAN!$C$7:$C$500,"&gt;="&amp;B20,VIRMAN!$C$7:$C$500,"&lt;"&amp;EDATE(B20,1))</f>
        <v>0</v>
      </c>
      <c r="M20" s="117">
        <f>SUMIFS(VIRMAN!$F$7:$F$500,VIRMAN!$E$7:$E$500,SISTEM!$C$10,VIRMAN!$L$7:$L$500,"KÂR PAYI / AVANS",VIRMAN!$C$7:$C$500,"&gt;="&amp;B20,VIRMAN!$C$7:$C$500,"&lt;"&amp;EDATE(B20,1))</f>
        <v>0</v>
      </c>
      <c r="N20" s="6"/>
      <c r="O20" s="6"/>
    </row>
    <row r="21" spans="1:15" ht="16">
      <c r="A21" s="6"/>
      <c r="B21" s="16">
        <v>46447</v>
      </c>
      <c r="C21" s="117">
        <f>SUMIFS(TAHSILAT!$F$7:$F$1006,TAHSILAT!$E$7:$E$1006,"&gt;="&amp;B21,TAHSILAT!$E$7:$E$1006,"&lt;"&amp;EDATE(B21,1),TAHSILAT!$H$7:$H$1006,"&lt;&gt;Mahsup")</f>
        <v>0</v>
      </c>
      <c r="D21" s="117">
        <f>SUMIFS(GELIR_GIDER!$G$7:$G$1000,GELIR_GIDER!$D$7:$D$1000,"Gelir",GELIR_GIDER!$I$7:$I$1000,"Evet",GELIR_GIDER!$C$7:$C$1000,"&gt;="&amp;B21,GELIR_GIDER!$C$7:$C$1000,"&lt;"&amp;EDATE(B21,1))</f>
        <v>0</v>
      </c>
      <c r="E21" s="117">
        <f t="shared" si="0"/>
        <v>0</v>
      </c>
      <c r="F21" s="117">
        <f>SUMIFS(GELIR_GIDER!$G$7:$G$1000,GELIR_GIDER!$D$7:$D$1000,"Gider",GELIR_GIDER!$I$7:$I$1000,"Evet",GELIR_GIDER!$C$7:$C$1000,"&gt;="&amp;B21,GELIR_GIDER!$C$7:$C$1000,"&lt;"&amp;EDATE(B21,1))</f>
        <v>0</v>
      </c>
      <c r="G21" s="117">
        <f t="shared" si="1"/>
        <v>0</v>
      </c>
      <c r="H21" s="117">
        <f>SUM($G$7:G21)</f>
        <v>1525862.02</v>
      </c>
      <c r="I21" s="117">
        <f>MAX(0,G21)*SISTEM!$C$11</f>
        <v>0</v>
      </c>
      <c r="J21" s="117">
        <f>MAX(0,G21)*SISTEM!$C$12</f>
        <v>0</v>
      </c>
      <c r="K21" s="108" t="s">
        <v>1221</v>
      </c>
      <c r="L21" s="117">
        <f>SUMIFS(VIRMAN!$F$7:$F$500,VIRMAN!$E$7:$E$500,SISTEM!$C$9,VIRMAN!$L$7:$L$500,"KÂR PAYI / AVANS",VIRMAN!$C$7:$C$500,"&gt;="&amp;B21,VIRMAN!$C$7:$C$500,"&lt;"&amp;EDATE(B21,1))</f>
        <v>0</v>
      </c>
      <c r="M21" s="117">
        <f>SUMIFS(VIRMAN!$F$7:$F$500,VIRMAN!$E$7:$E$500,SISTEM!$C$10,VIRMAN!$L$7:$L$500,"KÂR PAYI / AVANS",VIRMAN!$C$7:$C$500,"&gt;="&amp;B21,VIRMAN!$C$7:$C$500,"&lt;"&amp;EDATE(B21,1))</f>
        <v>0</v>
      </c>
      <c r="N21" s="6"/>
      <c r="O21" s="6"/>
    </row>
    <row r="22" spans="1:15" ht="16">
      <c r="A22" s="6"/>
      <c r="B22" s="16">
        <v>46478</v>
      </c>
      <c r="C22" s="117">
        <f>SUMIFS(TAHSILAT!$F$7:$F$1006,TAHSILAT!$E$7:$E$1006,"&gt;="&amp;B22,TAHSILAT!$E$7:$E$1006,"&lt;"&amp;EDATE(B22,1),TAHSILAT!$H$7:$H$1006,"&lt;&gt;Mahsup")</f>
        <v>0</v>
      </c>
      <c r="D22" s="117">
        <f>SUMIFS(GELIR_GIDER!$G$7:$G$1000,GELIR_GIDER!$D$7:$D$1000,"Gelir",GELIR_GIDER!$I$7:$I$1000,"Evet",GELIR_GIDER!$C$7:$C$1000,"&gt;="&amp;B22,GELIR_GIDER!$C$7:$C$1000,"&lt;"&amp;EDATE(B22,1))</f>
        <v>0</v>
      </c>
      <c r="E22" s="117">
        <f t="shared" si="0"/>
        <v>0</v>
      </c>
      <c r="F22" s="117">
        <f>SUMIFS(GELIR_GIDER!$G$7:$G$1000,GELIR_GIDER!$D$7:$D$1000,"Gider",GELIR_GIDER!$I$7:$I$1000,"Evet",GELIR_GIDER!$C$7:$C$1000,"&gt;="&amp;B22,GELIR_GIDER!$C$7:$C$1000,"&lt;"&amp;EDATE(B22,1))</f>
        <v>0</v>
      </c>
      <c r="G22" s="117">
        <f t="shared" si="1"/>
        <v>0</v>
      </c>
      <c r="H22" s="117">
        <f>SUM($G$7:G22)</f>
        <v>1525862.02</v>
      </c>
      <c r="I22" s="117">
        <f>MAX(0,G22)*SISTEM!$C$11</f>
        <v>0</v>
      </c>
      <c r="J22" s="117">
        <f>MAX(0,G22)*SISTEM!$C$12</f>
        <v>0</v>
      </c>
      <c r="K22" s="108" t="s">
        <v>1221</v>
      </c>
      <c r="L22" s="117">
        <f>SUMIFS(VIRMAN!$F$7:$F$500,VIRMAN!$E$7:$E$500,SISTEM!$C$9,VIRMAN!$L$7:$L$500,"KÂR PAYI / AVANS",VIRMAN!$C$7:$C$500,"&gt;="&amp;B22,VIRMAN!$C$7:$C$500,"&lt;"&amp;EDATE(B22,1))</f>
        <v>0</v>
      </c>
      <c r="M22" s="117">
        <f>SUMIFS(VIRMAN!$F$7:$F$500,VIRMAN!$E$7:$E$500,SISTEM!$C$10,VIRMAN!$L$7:$L$500,"KÂR PAYI / AVANS",VIRMAN!$C$7:$C$500,"&gt;="&amp;B22,VIRMAN!$C$7:$C$500,"&lt;"&amp;EDATE(B22,1))</f>
        <v>0</v>
      </c>
      <c r="N22" s="6"/>
      <c r="O22" s="6"/>
    </row>
    <row r="23" spans="1:15" ht="16">
      <c r="A23" s="6"/>
      <c r="B23" s="16">
        <v>46508</v>
      </c>
      <c r="C23" s="117">
        <f>SUMIFS(TAHSILAT!$F$7:$F$1006,TAHSILAT!$E$7:$E$1006,"&gt;="&amp;B23,TAHSILAT!$E$7:$E$1006,"&lt;"&amp;EDATE(B23,1),TAHSILAT!$H$7:$H$1006,"&lt;&gt;Mahsup")</f>
        <v>0</v>
      </c>
      <c r="D23" s="117">
        <f>SUMIFS(GELIR_GIDER!$G$7:$G$1000,GELIR_GIDER!$D$7:$D$1000,"Gelir",GELIR_GIDER!$I$7:$I$1000,"Evet",GELIR_GIDER!$C$7:$C$1000,"&gt;="&amp;B23,GELIR_GIDER!$C$7:$C$1000,"&lt;"&amp;EDATE(B23,1))</f>
        <v>0</v>
      </c>
      <c r="E23" s="117">
        <f t="shared" si="0"/>
        <v>0</v>
      </c>
      <c r="F23" s="117">
        <f>SUMIFS(GELIR_GIDER!$G$7:$G$1000,GELIR_GIDER!$D$7:$D$1000,"Gider",GELIR_GIDER!$I$7:$I$1000,"Evet",GELIR_GIDER!$C$7:$C$1000,"&gt;="&amp;B23,GELIR_GIDER!$C$7:$C$1000,"&lt;"&amp;EDATE(B23,1))</f>
        <v>0</v>
      </c>
      <c r="G23" s="117">
        <f t="shared" si="1"/>
        <v>0</v>
      </c>
      <c r="H23" s="117">
        <f>SUM($G$7:G23)</f>
        <v>1525862.02</v>
      </c>
      <c r="I23" s="117">
        <f>MAX(0,G23)*SISTEM!$C$11</f>
        <v>0</v>
      </c>
      <c r="J23" s="117">
        <f>MAX(0,G23)*SISTEM!$C$12</f>
        <v>0</v>
      </c>
      <c r="K23" s="108" t="s">
        <v>1221</v>
      </c>
      <c r="L23" s="117">
        <f>SUMIFS(VIRMAN!$F$7:$F$500,VIRMAN!$E$7:$E$500,SISTEM!$C$9,VIRMAN!$L$7:$L$500,"KÂR PAYI / AVANS",VIRMAN!$C$7:$C$500,"&gt;="&amp;B23,VIRMAN!$C$7:$C$500,"&lt;"&amp;EDATE(B23,1))</f>
        <v>0</v>
      </c>
      <c r="M23" s="117">
        <f>SUMIFS(VIRMAN!$F$7:$F$500,VIRMAN!$E$7:$E$500,SISTEM!$C$10,VIRMAN!$L$7:$L$500,"KÂR PAYI / AVANS",VIRMAN!$C$7:$C$500,"&gt;="&amp;B23,VIRMAN!$C$7:$C$500,"&lt;"&amp;EDATE(B23,1))</f>
        <v>0</v>
      </c>
      <c r="N23" s="6"/>
      <c r="O23" s="6"/>
    </row>
    <row r="24" spans="1:15" ht="16">
      <c r="A24" s="6"/>
      <c r="B24" s="16">
        <v>46539</v>
      </c>
      <c r="C24" s="117">
        <f>SUMIFS(TAHSILAT!$F$7:$F$1006,TAHSILAT!$E$7:$E$1006,"&gt;="&amp;B24,TAHSILAT!$E$7:$E$1006,"&lt;"&amp;EDATE(B24,1),TAHSILAT!$H$7:$H$1006,"&lt;&gt;Mahsup")</f>
        <v>0</v>
      </c>
      <c r="D24" s="117">
        <f>SUMIFS(GELIR_GIDER!$G$7:$G$1000,GELIR_GIDER!$D$7:$D$1000,"Gelir",GELIR_GIDER!$I$7:$I$1000,"Evet",GELIR_GIDER!$C$7:$C$1000,"&gt;="&amp;B24,GELIR_GIDER!$C$7:$C$1000,"&lt;"&amp;EDATE(B24,1))</f>
        <v>0</v>
      </c>
      <c r="E24" s="117">
        <f t="shared" si="0"/>
        <v>0</v>
      </c>
      <c r="F24" s="117">
        <f>SUMIFS(GELIR_GIDER!$G$7:$G$1000,GELIR_GIDER!$D$7:$D$1000,"Gider",GELIR_GIDER!$I$7:$I$1000,"Evet",GELIR_GIDER!$C$7:$C$1000,"&gt;="&amp;B24,GELIR_GIDER!$C$7:$C$1000,"&lt;"&amp;EDATE(B24,1))</f>
        <v>0</v>
      </c>
      <c r="G24" s="117">
        <f t="shared" si="1"/>
        <v>0</v>
      </c>
      <c r="H24" s="117">
        <f>SUM($G$7:G24)</f>
        <v>1525862.02</v>
      </c>
      <c r="I24" s="117">
        <f>MAX(0,G24)*SISTEM!$C$11</f>
        <v>0</v>
      </c>
      <c r="J24" s="117">
        <f>MAX(0,G24)*SISTEM!$C$12</f>
        <v>0</v>
      </c>
      <c r="K24" s="108" t="s">
        <v>1221</v>
      </c>
      <c r="L24" s="117">
        <f>SUMIFS(VIRMAN!$F$7:$F$500,VIRMAN!$E$7:$E$500,SISTEM!$C$9,VIRMAN!$L$7:$L$500,"KÂR PAYI / AVANS",VIRMAN!$C$7:$C$500,"&gt;="&amp;B24,VIRMAN!$C$7:$C$500,"&lt;"&amp;EDATE(B24,1))</f>
        <v>0</v>
      </c>
      <c r="M24" s="117">
        <f>SUMIFS(VIRMAN!$F$7:$F$500,VIRMAN!$E$7:$E$500,SISTEM!$C$10,VIRMAN!$L$7:$L$500,"KÂR PAYI / AVANS",VIRMAN!$C$7:$C$500,"&gt;="&amp;B24,VIRMAN!$C$7:$C$500,"&lt;"&amp;EDATE(B24,1))</f>
        <v>0</v>
      </c>
      <c r="N24" s="6"/>
      <c r="O24" s="6"/>
    </row>
    <row r="25" spans="1:15" ht="16">
      <c r="A25" s="6"/>
      <c r="B25" s="16">
        <v>46569</v>
      </c>
      <c r="C25" s="117">
        <f>SUMIFS(TAHSILAT!$F$7:$F$1006,TAHSILAT!$E$7:$E$1006,"&gt;="&amp;B25,TAHSILAT!$E$7:$E$1006,"&lt;"&amp;EDATE(B25,1),TAHSILAT!$H$7:$H$1006,"&lt;&gt;Mahsup")</f>
        <v>0</v>
      </c>
      <c r="D25" s="117">
        <f>SUMIFS(GELIR_GIDER!$G$7:$G$1000,GELIR_GIDER!$D$7:$D$1000,"Gelir",GELIR_GIDER!$I$7:$I$1000,"Evet",GELIR_GIDER!$C$7:$C$1000,"&gt;="&amp;B25,GELIR_GIDER!$C$7:$C$1000,"&lt;"&amp;EDATE(B25,1))</f>
        <v>0</v>
      </c>
      <c r="E25" s="117">
        <f t="shared" si="0"/>
        <v>0</v>
      </c>
      <c r="F25" s="117">
        <f>SUMIFS(GELIR_GIDER!$G$7:$G$1000,GELIR_GIDER!$D$7:$D$1000,"Gider",GELIR_GIDER!$I$7:$I$1000,"Evet",GELIR_GIDER!$C$7:$C$1000,"&gt;="&amp;B25,GELIR_GIDER!$C$7:$C$1000,"&lt;"&amp;EDATE(B25,1))</f>
        <v>0</v>
      </c>
      <c r="G25" s="117">
        <f t="shared" si="1"/>
        <v>0</v>
      </c>
      <c r="H25" s="117">
        <f>SUM($G$7:G25)</f>
        <v>1525862.02</v>
      </c>
      <c r="I25" s="117">
        <f>MAX(0,G25)*SISTEM!$C$11</f>
        <v>0</v>
      </c>
      <c r="J25" s="117">
        <f>MAX(0,G25)*SISTEM!$C$12</f>
        <v>0</v>
      </c>
      <c r="K25" s="108" t="s">
        <v>1221</v>
      </c>
      <c r="L25" s="117">
        <f>SUMIFS(VIRMAN!$F$7:$F$500,VIRMAN!$E$7:$E$500,SISTEM!$C$9,VIRMAN!$L$7:$L$500,"KÂR PAYI / AVANS",VIRMAN!$C$7:$C$500,"&gt;="&amp;B25,VIRMAN!$C$7:$C$500,"&lt;"&amp;EDATE(B25,1))</f>
        <v>0</v>
      </c>
      <c r="M25" s="117">
        <f>SUMIFS(VIRMAN!$F$7:$F$500,VIRMAN!$E$7:$E$500,SISTEM!$C$10,VIRMAN!$L$7:$L$500,"KÂR PAYI / AVANS",VIRMAN!$C$7:$C$500,"&gt;="&amp;B25,VIRMAN!$C$7:$C$500,"&lt;"&amp;EDATE(B25,1))</f>
        <v>0</v>
      </c>
      <c r="N25" s="6"/>
      <c r="O25" s="6"/>
    </row>
    <row r="26" spans="1:15" ht="16">
      <c r="A26" s="6"/>
      <c r="B26" s="16">
        <v>46600</v>
      </c>
      <c r="C26" s="117">
        <f>SUMIFS(TAHSILAT!$F$7:$F$1006,TAHSILAT!$E$7:$E$1006,"&gt;="&amp;B26,TAHSILAT!$E$7:$E$1006,"&lt;"&amp;EDATE(B26,1),TAHSILAT!$H$7:$H$1006,"&lt;&gt;Mahsup")</f>
        <v>0</v>
      </c>
      <c r="D26" s="117">
        <f>SUMIFS(GELIR_GIDER!$G$7:$G$1000,GELIR_GIDER!$D$7:$D$1000,"Gelir",GELIR_GIDER!$I$7:$I$1000,"Evet",GELIR_GIDER!$C$7:$C$1000,"&gt;="&amp;B26,GELIR_GIDER!$C$7:$C$1000,"&lt;"&amp;EDATE(B26,1))</f>
        <v>0</v>
      </c>
      <c r="E26" s="117">
        <f t="shared" si="0"/>
        <v>0</v>
      </c>
      <c r="F26" s="117">
        <f>SUMIFS(GELIR_GIDER!$G$7:$G$1000,GELIR_GIDER!$D$7:$D$1000,"Gider",GELIR_GIDER!$I$7:$I$1000,"Evet",GELIR_GIDER!$C$7:$C$1000,"&gt;="&amp;B26,GELIR_GIDER!$C$7:$C$1000,"&lt;"&amp;EDATE(B26,1))</f>
        <v>0</v>
      </c>
      <c r="G26" s="117">
        <f t="shared" si="1"/>
        <v>0</v>
      </c>
      <c r="H26" s="117">
        <f>SUM($G$7:G26)</f>
        <v>1525862.02</v>
      </c>
      <c r="I26" s="117">
        <f>MAX(0,G26)*SISTEM!$C$11</f>
        <v>0</v>
      </c>
      <c r="J26" s="117">
        <f>MAX(0,G26)*SISTEM!$C$12</f>
        <v>0</v>
      </c>
      <c r="K26" s="108" t="s">
        <v>1221</v>
      </c>
      <c r="L26" s="117">
        <f>SUMIFS(VIRMAN!$F$7:$F$500,VIRMAN!$E$7:$E$500,SISTEM!$C$9,VIRMAN!$L$7:$L$500,"KÂR PAYI / AVANS",VIRMAN!$C$7:$C$500,"&gt;="&amp;B26,VIRMAN!$C$7:$C$500,"&lt;"&amp;EDATE(B26,1))</f>
        <v>0</v>
      </c>
      <c r="M26" s="117">
        <f>SUMIFS(VIRMAN!$F$7:$F$500,VIRMAN!$E$7:$E$500,SISTEM!$C$10,VIRMAN!$L$7:$L$500,"KÂR PAYI / AVANS",VIRMAN!$C$7:$C$500,"&gt;="&amp;B26,VIRMAN!$C$7:$C$500,"&lt;"&amp;EDATE(B26,1))</f>
        <v>0</v>
      </c>
      <c r="N26" s="6"/>
      <c r="O26" s="6"/>
    </row>
    <row r="27" spans="1:15" ht="16">
      <c r="A27" s="6"/>
      <c r="B27" s="16">
        <v>46631</v>
      </c>
      <c r="C27" s="117">
        <f>SUMIFS(TAHSILAT!$F$7:$F$1006,TAHSILAT!$E$7:$E$1006,"&gt;="&amp;B27,TAHSILAT!$E$7:$E$1006,"&lt;"&amp;EDATE(B27,1),TAHSILAT!$H$7:$H$1006,"&lt;&gt;Mahsup")</f>
        <v>0</v>
      </c>
      <c r="D27" s="117">
        <f>SUMIFS(GELIR_GIDER!$G$7:$G$1000,GELIR_GIDER!$D$7:$D$1000,"Gelir",GELIR_GIDER!$I$7:$I$1000,"Evet",GELIR_GIDER!$C$7:$C$1000,"&gt;="&amp;B27,GELIR_GIDER!$C$7:$C$1000,"&lt;"&amp;EDATE(B27,1))</f>
        <v>0</v>
      </c>
      <c r="E27" s="117">
        <f t="shared" si="0"/>
        <v>0</v>
      </c>
      <c r="F27" s="117">
        <f>SUMIFS(GELIR_GIDER!$G$7:$G$1000,GELIR_GIDER!$D$7:$D$1000,"Gider",GELIR_GIDER!$I$7:$I$1000,"Evet",GELIR_GIDER!$C$7:$C$1000,"&gt;="&amp;B27,GELIR_GIDER!$C$7:$C$1000,"&lt;"&amp;EDATE(B27,1))</f>
        <v>0</v>
      </c>
      <c r="G27" s="117">
        <f t="shared" si="1"/>
        <v>0</v>
      </c>
      <c r="H27" s="117">
        <f>SUM($G$7:G27)</f>
        <v>1525862.02</v>
      </c>
      <c r="I27" s="117">
        <f>MAX(0,G27)*SISTEM!$C$11</f>
        <v>0</v>
      </c>
      <c r="J27" s="117">
        <f>MAX(0,G27)*SISTEM!$C$12</f>
        <v>0</v>
      </c>
      <c r="K27" s="108" t="s">
        <v>1221</v>
      </c>
      <c r="L27" s="117">
        <f>SUMIFS(VIRMAN!$F$7:$F$500,VIRMAN!$E$7:$E$500,SISTEM!$C$9,VIRMAN!$L$7:$L$500,"KÂR PAYI / AVANS",VIRMAN!$C$7:$C$500,"&gt;="&amp;B27,VIRMAN!$C$7:$C$500,"&lt;"&amp;EDATE(B27,1))</f>
        <v>0</v>
      </c>
      <c r="M27" s="117">
        <f>SUMIFS(VIRMAN!$F$7:$F$500,VIRMAN!$E$7:$E$500,SISTEM!$C$10,VIRMAN!$L$7:$L$500,"KÂR PAYI / AVANS",VIRMAN!$C$7:$C$500,"&gt;="&amp;B27,VIRMAN!$C$7:$C$500,"&lt;"&amp;EDATE(B27,1))</f>
        <v>0</v>
      </c>
      <c r="N27" s="6"/>
      <c r="O27" s="6"/>
    </row>
    <row r="28" spans="1:15" ht="16">
      <c r="A28" s="6"/>
      <c r="B28" s="16">
        <v>46661</v>
      </c>
      <c r="C28" s="117">
        <f>SUMIFS(TAHSILAT!$F$7:$F$1006,TAHSILAT!$E$7:$E$1006,"&gt;="&amp;B28,TAHSILAT!$E$7:$E$1006,"&lt;"&amp;EDATE(B28,1),TAHSILAT!$H$7:$H$1006,"&lt;&gt;Mahsup")</f>
        <v>0</v>
      </c>
      <c r="D28" s="117">
        <f>SUMIFS(GELIR_GIDER!$G$7:$G$1000,GELIR_GIDER!$D$7:$D$1000,"Gelir",GELIR_GIDER!$I$7:$I$1000,"Evet",GELIR_GIDER!$C$7:$C$1000,"&gt;="&amp;B28,GELIR_GIDER!$C$7:$C$1000,"&lt;"&amp;EDATE(B28,1))</f>
        <v>0</v>
      </c>
      <c r="E28" s="117">
        <f t="shared" si="0"/>
        <v>0</v>
      </c>
      <c r="F28" s="117">
        <f>SUMIFS(GELIR_GIDER!$G$7:$G$1000,GELIR_GIDER!$D$7:$D$1000,"Gider",GELIR_GIDER!$I$7:$I$1000,"Evet",GELIR_GIDER!$C$7:$C$1000,"&gt;="&amp;B28,GELIR_GIDER!$C$7:$C$1000,"&lt;"&amp;EDATE(B28,1))</f>
        <v>0</v>
      </c>
      <c r="G28" s="117">
        <f t="shared" si="1"/>
        <v>0</v>
      </c>
      <c r="H28" s="117">
        <f>SUM($G$7:G28)</f>
        <v>1525862.02</v>
      </c>
      <c r="I28" s="117">
        <f>MAX(0,G28)*SISTEM!$C$11</f>
        <v>0</v>
      </c>
      <c r="J28" s="117">
        <f>MAX(0,G28)*SISTEM!$C$12</f>
        <v>0</v>
      </c>
      <c r="K28" s="108" t="s">
        <v>1221</v>
      </c>
      <c r="L28" s="117">
        <f>SUMIFS(VIRMAN!$F$7:$F$500,VIRMAN!$E$7:$E$500,SISTEM!$C$9,VIRMAN!$L$7:$L$500,"KÂR PAYI / AVANS",VIRMAN!$C$7:$C$500,"&gt;="&amp;B28,VIRMAN!$C$7:$C$500,"&lt;"&amp;EDATE(B28,1))</f>
        <v>0</v>
      </c>
      <c r="M28" s="117">
        <f>SUMIFS(VIRMAN!$F$7:$F$500,VIRMAN!$E$7:$E$500,SISTEM!$C$10,VIRMAN!$L$7:$L$500,"KÂR PAYI / AVANS",VIRMAN!$C$7:$C$500,"&gt;="&amp;B28,VIRMAN!$C$7:$C$500,"&lt;"&amp;EDATE(B28,1))</f>
        <v>0</v>
      </c>
      <c r="N28" s="6"/>
      <c r="O28" s="6"/>
    </row>
    <row r="29" spans="1:15" ht="16">
      <c r="A29" s="6"/>
      <c r="B29" s="16">
        <v>46692</v>
      </c>
      <c r="C29" s="117">
        <f>SUMIFS(TAHSILAT!$F$7:$F$1006,TAHSILAT!$E$7:$E$1006,"&gt;="&amp;B29,TAHSILAT!$E$7:$E$1006,"&lt;"&amp;EDATE(B29,1),TAHSILAT!$H$7:$H$1006,"&lt;&gt;Mahsup")</f>
        <v>0</v>
      </c>
      <c r="D29" s="117">
        <f>SUMIFS(GELIR_GIDER!$G$7:$G$1000,GELIR_GIDER!$D$7:$D$1000,"Gelir",GELIR_GIDER!$I$7:$I$1000,"Evet",GELIR_GIDER!$C$7:$C$1000,"&gt;="&amp;B29,GELIR_GIDER!$C$7:$C$1000,"&lt;"&amp;EDATE(B29,1))</f>
        <v>0</v>
      </c>
      <c r="E29" s="117">
        <f t="shared" si="0"/>
        <v>0</v>
      </c>
      <c r="F29" s="117">
        <f>SUMIFS(GELIR_GIDER!$G$7:$G$1000,GELIR_GIDER!$D$7:$D$1000,"Gider",GELIR_GIDER!$I$7:$I$1000,"Evet",GELIR_GIDER!$C$7:$C$1000,"&gt;="&amp;B29,GELIR_GIDER!$C$7:$C$1000,"&lt;"&amp;EDATE(B29,1))</f>
        <v>0</v>
      </c>
      <c r="G29" s="117">
        <f t="shared" si="1"/>
        <v>0</v>
      </c>
      <c r="H29" s="117">
        <f>SUM($G$7:G29)</f>
        <v>1525862.02</v>
      </c>
      <c r="I29" s="117">
        <f>MAX(0,G29)*SISTEM!$C$11</f>
        <v>0</v>
      </c>
      <c r="J29" s="117">
        <f>MAX(0,G29)*SISTEM!$C$12</f>
        <v>0</v>
      </c>
      <c r="K29" s="108" t="s">
        <v>1221</v>
      </c>
      <c r="L29" s="117">
        <f>SUMIFS(VIRMAN!$F$7:$F$500,VIRMAN!$E$7:$E$500,SISTEM!$C$9,VIRMAN!$L$7:$L$500,"KÂR PAYI / AVANS",VIRMAN!$C$7:$C$500,"&gt;="&amp;B29,VIRMAN!$C$7:$C$500,"&lt;"&amp;EDATE(B29,1))</f>
        <v>0</v>
      </c>
      <c r="M29" s="117">
        <f>SUMIFS(VIRMAN!$F$7:$F$500,VIRMAN!$E$7:$E$500,SISTEM!$C$10,VIRMAN!$L$7:$L$500,"KÂR PAYI / AVANS",VIRMAN!$C$7:$C$500,"&gt;="&amp;B29,VIRMAN!$C$7:$C$500,"&lt;"&amp;EDATE(B29,1))</f>
        <v>0</v>
      </c>
      <c r="N29" s="6"/>
      <c r="O29" s="6"/>
    </row>
    <row r="30" spans="1:15" ht="16">
      <c r="A30" s="6"/>
      <c r="B30" s="16">
        <v>46722</v>
      </c>
      <c r="C30" s="117">
        <f>SUMIFS(TAHSILAT!$F$7:$F$1006,TAHSILAT!$E$7:$E$1006,"&gt;="&amp;B30,TAHSILAT!$E$7:$E$1006,"&lt;"&amp;EDATE(B30,1),TAHSILAT!$H$7:$H$1006,"&lt;&gt;Mahsup")</f>
        <v>0</v>
      </c>
      <c r="D30" s="117">
        <f>SUMIFS(GELIR_GIDER!$G$7:$G$1000,GELIR_GIDER!$D$7:$D$1000,"Gelir",GELIR_GIDER!$I$7:$I$1000,"Evet",GELIR_GIDER!$C$7:$C$1000,"&gt;="&amp;B30,GELIR_GIDER!$C$7:$C$1000,"&lt;"&amp;EDATE(B30,1))</f>
        <v>0</v>
      </c>
      <c r="E30" s="117">
        <f t="shared" si="0"/>
        <v>0</v>
      </c>
      <c r="F30" s="117">
        <f>SUMIFS(GELIR_GIDER!$G$7:$G$1000,GELIR_GIDER!$D$7:$D$1000,"Gider",GELIR_GIDER!$I$7:$I$1000,"Evet",GELIR_GIDER!$C$7:$C$1000,"&gt;="&amp;B30,GELIR_GIDER!$C$7:$C$1000,"&lt;"&amp;EDATE(B30,1))</f>
        <v>0</v>
      </c>
      <c r="G30" s="117">
        <f t="shared" si="1"/>
        <v>0</v>
      </c>
      <c r="H30" s="117">
        <f>SUM($G$7:G30)</f>
        <v>1525862.02</v>
      </c>
      <c r="I30" s="117">
        <f>MAX(0,G30)*SISTEM!$C$11</f>
        <v>0</v>
      </c>
      <c r="J30" s="117">
        <f>MAX(0,G30)*SISTEM!$C$12</f>
        <v>0</v>
      </c>
      <c r="K30" s="108" t="s">
        <v>1221</v>
      </c>
      <c r="L30" s="117">
        <f>SUMIFS(VIRMAN!$F$7:$F$500,VIRMAN!$E$7:$E$500,SISTEM!$C$9,VIRMAN!$L$7:$L$500,"KÂR PAYI / AVANS",VIRMAN!$C$7:$C$500,"&gt;="&amp;B30,VIRMAN!$C$7:$C$500,"&lt;"&amp;EDATE(B30,1))</f>
        <v>0</v>
      </c>
      <c r="M30" s="117">
        <f>SUMIFS(VIRMAN!$F$7:$F$500,VIRMAN!$E$7:$E$500,SISTEM!$C$10,VIRMAN!$L$7:$L$500,"KÂR PAYI / AVANS",VIRMAN!$C$7:$C$500,"&gt;="&amp;B30,VIRMAN!$C$7:$C$500,"&lt;"&amp;EDATE(B30,1))</f>
        <v>0</v>
      </c>
      <c r="N30" s="6"/>
      <c r="O30" s="6"/>
    </row>
    <row r="31" spans="1:15" ht="16">
      <c r="A31" s="6"/>
      <c r="B31" s="16">
        <v>46753</v>
      </c>
      <c r="C31" s="117">
        <f>SUMIFS(TAHSILAT!$F$7:$F$1006,TAHSILAT!$E$7:$E$1006,"&gt;="&amp;B31,TAHSILAT!$E$7:$E$1006,"&lt;"&amp;EDATE(B31,1),TAHSILAT!$H$7:$H$1006,"&lt;&gt;Mahsup")</f>
        <v>0</v>
      </c>
      <c r="D31" s="117">
        <f>SUMIFS(GELIR_GIDER!$G$7:$G$1000,GELIR_GIDER!$D$7:$D$1000,"Gelir",GELIR_GIDER!$I$7:$I$1000,"Evet",GELIR_GIDER!$C$7:$C$1000,"&gt;="&amp;B31,GELIR_GIDER!$C$7:$C$1000,"&lt;"&amp;EDATE(B31,1))</f>
        <v>0</v>
      </c>
      <c r="E31" s="117">
        <f t="shared" si="0"/>
        <v>0</v>
      </c>
      <c r="F31" s="117">
        <f>SUMIFS(GELIR_GIDER!$G$7:$G$1000,GELIR_GIDER!$D$7:$D$1000,"Gider",GELIR_GIDER!$I$7:$I$1000,"Evet",GELIR_GIDER!$C$7:$C$1000,"&gt;="&amp;B31,GELIR_GIDER!$C$7:$C$1000,"&lt;"&amp;EDATE(B31,1))</f>
        <v>0</v>
      </c>
      <c r="G31" s="117">
        <f t="shared" si="1"/>
        <v>0</v>
      </c>
      <c r="H31" s="117">
        <f>SUM($G$7:G31)</f>
        <v>1525862.02</v>
      </c>
      <c r="I31" s="117">
        <f>MAX(0,G31)*SISTEM!$C$11</f>
        <v>0</v>
      </c>
      <c r="J31" s="117">
        <f>MAX(0,G31)*SISTEM!$C$12</f>
        <v>0</v>
      </c>
      <c r="K31" s="108" t="s">
        <v>1221</v>
      </c>
      <c r="L31" s="117">
        <f>SUMIFS(VIRMAN!$F$7:$F$500,VIRMAN!$E$7:$E$500,SISTEM!$C$9,VIRMAN!$L$7:$L$500,"KÂR PAYI / AVANS",VIRMAN!$C$7:$C$500,"&gt;="&amp;B31,VIRMAN!$C$7:$C$500,"&lt;"&amp;EDATE(B31,1))</f>
        <v>0</v>
      </c>
      <c r="M31" s="117">
        <f>SUMIFS(VIRMAN!$F$7:$F$500,VIRMAN!$E$7:$E$500,SISTEM!$C$10,VIRMAN!$L$7:$L$500,"KÂR PAYI / AVANS",VIRMAN!$C$7:$C$500,"&gt;="&amp;B31,VIRMAN!$C$7:$C$500,"&lt;"&amp;EDATE(B31,1))</f>
        <v>0</v>
      </c>
      <c r="N31" s="6"/>
      <c r="O31" s="6"/>
    </row>
    <row r="32" spans="1:15" ht="16">
      <c r="A32" s="6"/>
      <c r="B32" s="16">
        <v>46784</v>
      </c>
      <c r="C32" s="117">
        <f>SUMIFS(TAHSILAT!$F$7:$F$1006,TAHSILAT!$E$7:$E$1006,"&gt;="&amp;B32,TAHSILAT!$E$7:$E$1006,"&lt;"&amp;EDATE(B32,1),TAHSILAT!$H$7:$H$1006,"&lt;&gt;Mahsup")</f>
        <v>0</v>
      </c>
      <c r="D32" s="117">
        <f>SUMIFS(GELIR_GIDER!$G$7:$G$1000,GELIR_GIDER!$D$7:$D$1000,"Gelir",GELIR_GIDER!$I$7:$I$1000,"Evet",GELIR_GIDER!$C$7:$C$1000,"&gt;="&amp;B32,GELIR_GIDER!$C$7:$C$1000,"&lt;"&amp;EDATE(B32,1))</f>
        <v>0</v>
      </c>
      <c r="E32" s="117">
        <f t="shared" si="0"/>
        <v>0</v>
      </c>
      <c r="F32" s="117">
        <f>SUMIFS(GELIR_GIDER!$G$7:$G$1000,GELIR_GIDER!$D$7:$D$1000,"Gider",GELIR_GIDER!$I$7:$I$1000,"Evet",GELIR_GIDER!$C$7:$C$1000,"&gt;="&amp;B32,GELIR_GIDER!$C$7:$C$1000,"&lt;"&amp;EDATE(B32,1))</f>
        <v>0</v>
      </c>
      <c r="G32" s="117">
        <f t="shared" si="1"/>
        <v>0</v>
      </c>
      <c r="H32" s="117">
        <f>SUM($G$7:G32)</f>
        <v>1525862.02</v>
      </c>
      <c r="I32" s="117">
        <f>MAX(0,G32)*SISTEM!$C$11</f>
        <v>0</v>
      </c>
      <c r="J32" s="117">
        <f>MAX(0,G32)*SISTEM!$C$12</f>
        <v>0</v>
      </c>
      <c r="K32" s="108" t="s">
        <v>1221</v>
      </c>
      <c r="L32" s="117">
        <f>SUMIFS(VIRMAN!$F$7:$F$500,VIRMAN!$E$7:$E$500,SISTEM!$C$9,VIRMAN!$L$7:$L$500,"KÂR PAYI / AVANS",VIRMAN!$C$7:$C$500,"&gt;="&amp;B32,VIRMAN!$C$7:$C$500,"&lt;"&amp;EDATE(B32,1))</f>
        <v>0</v>
      </c>
      <c r="M32" s="117">
        <f>SUMIFS(VIRMAN!$F$7:$F$500,VIRMAN!$E$7:$E$500,SISTEM!$C$10,VIRMAN!$L$7:$L$500,"KÂR PAYI / AVANS",VIRMAN!$C$7:$C$500,"&gt;="&amp;B32,VIRMAN!$C$7:$C$500,"&lt;"&amp;EDATE(B32,1))</f>
        <v>0</v>
      </c>
      <c r="N32" s="6"/>
      <c r="O32" s="6"/>
    </row>
    <row r="33" spans="1:15" ht="16">
      <c r="A33" s="6"/>
      <c r="B33" s="16">
        <v>46813</v>
      </c>
      <c r="C33" s="117">
        <f>SUMIFS(TAHSILAT!$F$7:$F$1006,TAHSILAT!$E$7:$E$1006,"&gt;="&amp;B33,TAHSILAT!$E$7:$E$1006,"&lt;"&amp;EDATE(B33,1),TAHSILAT!$H$7:$H$1006,"&lt;&gt;Mahsup")</f>
        <v>0</v>
      </c>
      <c r="D33" s="117">
        <f>SUMIFS(GELIR_GIDER!$G$7:$G$1000,GELIR_GIDER!$D$7:$D$1000,"Gelir",GELIR_GIDER!$I$7:$I$1000,"Evet",GELIR_GIDER!$C$7:$C$1000,"&gt;="&amp;B33,GELIR_GIDER!$C$7:$C$1000,"&lt;"&amp;EDATE(B33,1))</f>
        <v>0</v>
      </c>
      <c r="E33" s="117">
        <f t="shared" si="0"/>
        <v>0</v>
      </c>
      <c r="F33" s="117">
        <f>SUMIFS(GELIR_GIDER!$G$7:$G$1000,GELIR_GIDER!$D$7:$D$1000,"Gider",GELIR_GIDER!$I$7:$I$1000,"Evet",GELIR_GIDER!$C$7:$C$1000,"&gt;="&amp;B33,GELIR_GIDER!$C$7:$C$1000,"&lt;"&amp;EDATE(B33,1))</f>
        <v>0</v>
      </c>
      <c r="G33" s="117">
        <f t="shared" si="1"/>
        <v>0</v>
      </c>
      <c r="H33" s="117">
        <f>SUM($G$7:G33)</f>
        <v>1525862.02</v>
      </c>
      <c r="I33" s="117">
        <f>MAX(0,G33)*SISTEM!$C$11</f>
        <v>0</v>
      </c>
      <c r="J33" s="117">
        <f>MAX(0,G33)*SISTEM!$C$12</f>
        <v>0</v>
      </c>
      <c r="K33" s="108" t="s">
        <v>1221</v>
      </c>
      <c r="L33" s="117">
        <f>SUMIFS(VIRMAN!$F$7:$F$500,VIRMAN!$E$7:$E$500,SISTEM!$C$9,VIRMAN!$L$7:$L$500,"KÂR PAYI / AVANS",VIRMAN!$C$7:$C$500,"&gt;="&amp;B33,VIRMAN!$C$7:$C$500,"&lt;"&amp;EDATE(B33,1))</f>
        <v>0</v>
      </c>
      <c r="M33" s="117">
        <f>SUMIFS(VIRMAN!$F$7:$F$500,VIRMAN!$E$7:$E$500,SISTEM!$C$10,VIRMAN!$L$7:$L$500,"KÂR PAYI / AVANS",VIRMAN!$C$7:$C$500,"&gt;="&amp;B33,VIRMAN!$C$7:$C$500,"&lt;"&amp;EDATE(B33,1))</f>
        <v>0</v>
      </c>
      <c r="N33" s="6"/>
      <c r="O33" s="6"/>
    </row>
    <row r="34" spans="1:15" ht="16">
      <c r="A34" s="6"/>
      <c r="B34" s="16">
        <v>46844</v>
      </c>
      <c r="C34" s="117">
        <f>SUMIFS(TAHSILAT!$F$7:$F$1006,TAHSILAT!$E$7:$E$1006,"&gt;="&amp;B34,TAHSILAT!$E$7:$E$1006,"&lt;"&amp;EDATE(B34,1),TAHSILAT!$H$7:$H$1006,"&lt;&gt;Mahsup")</f>
        <v>0</v>
      </c>
      <c r="D34" s="117">
        <f>SUMIFS(GELIR_GIDER!$G$7:$G$1000,GELIR_GIDER!$D$7:$D$1000,"Gelir",GELIR_GIDER!$I$7:$I$1000,"Evet",GELIR_GIDER!$C$7:$C$1000,"&gt;="&amp;B34,GELIR_GIDER!$C$7:$C$1000,"&lt;"&amp;EDATE(B34,1))</f>
        <v>0</v>
      </c>
      <c r="E34" s="117">
        <f t="shared" si="0"/>
        <v>0</v>
      </c>
      <c r="F34" s="117">
        <f>SUMIFS(GELIR_GIDER!$G$7:$G$1000,GELIR_GIDER!$D$7:$D$1000,"Gider",GELIR_GIDER!$I$7:$I$1000,"Evet",GELIR_GIDER!$C$7:$C$1000,"&gt;="&amp;B34,GELIR_GIDER!$C$7:$C$1000,"&lt;"&amp;EDATE(B34,1))</f>
        <v>0</v>
      </c>
      <c r="G34" s="117">
        <f t="shared" si="1"/>
        <v>0</v>
      </c>
      <c r="H34" s="117">
        <f>SUM($G$7:G34)</f>
        <v>1525862.02</v>
      </c>
      <c r="I34" s="117">
        <f>MAX(0,G34)*SISTEM!$C$11</f>
        <v>0</v>
      </c>
      <c r="J34" s="117">
        <f>MAX(0,G34)*SISTEM!$C$12</f>
        <v>0</v>
      </c>
      <c r="K34" s="108" t="s">
        <v>1221</v>
      </c>
      <c r="L34" s="117">
        <f>SUMIFS(VIRMAN!$F$7:$F$500,VIRMAN!$E$7:$E$500,SISTEM!$C$9,VIRMAN!$L$7:$L$500,"KÂR PAYI / AVANS",VIRMAN!$C$7:$C$500,"&gt;="&amp;B34,VIRMAN!$C$7:$C$500,"&lt;"&amp;EDATE(B34,1))</f>
        <v>0</v>
      </c>
      <c r="M34" s="117">
        <f>SUMIFS(VIRMAN!$F$7:$F$500,VIRMAN!$E$7:$E$500,SISTEM!$C$10,VIRMAN!$L$7:$L$500,"KÂR PAYI / AVANS",VIRMAN!$C$7:$C$500,"&gt;="&amp;B34,VIRMAN!$C$7:$C$500,"&lt;"&amp;EDATE(B34,1))</f>
        <v>0</v>
      </c>
      <c r="N34" s="6"/>
      <c r="O34" s="6"/>
    </row>
    <row r="35" spans="1:15" ht="16">
      <c r="A35" s="6"/>
      <c r="B35" s="16">
        <v>46874</v>
      </c>
      <c r="C35" s="117">
        <f>SUMIFS(TAHSILAT!$F$7:$F$1006,TAHSILAT!$E$7:$E$1006,"&gt;="&amp;B35,TAHSILAT!$E$7:$E$1006,"&lt;"&amp;EDATE(B35,1),TAHSILAT!$H$7:$H$1006,"&lt;&gt;Mahsup")</f>
        <v>0</v>
      </c>
      <c r="D35" s="117">
        <f>SUMIFS(GELIR_GIDER!$G$7:$G$1000,GELIR_GIDER!$D$7:$D$1000,"Gelir",GELIR_GIDER!$I$7:$I$1000,"Evet",GELIR_GIDER!$C$7:$C$1000,"&gt;="&amp;B35,GELIR_GIDER!$C$7:$C$1000,"&lt;"&amp;EDATE(B35,1))</f>
        <v>0</v>
      </c>
      <c r="E35" s="117">
        <f t="shared" si="0"/>
        <v>0</v>
      </c>
      <c r="F35" s="117">
        <f>SUMIFS(GELIR_GIDER!$G$7:$G$1000,GELIR_GIDER!$D$7:$D$1000,"Gider",GELIR_GIDER!$I$7:$I$1000,"Evet",GELIR_GIDER!$C$7:$C$1000,"&gt;="&amp;B35,GELIR_GIDER!$C$7:$C$1000,"&lt;"&amp;EDATE(B35,1))</f>
        <v>0</v>
      </c>
      <c r="G35" s="117">
        <f t="shared" si="1"/>
        <v>0</v>
      </c>
      <c r="H35" s="117">
        <f>SUM($G$7:G35)</f>
        <v>1525862.02</v>
      </c>
      <c r="I35" s="117">
        <f>MAX(0,G35)*SISTEM!$C$11</f>
        <v>0</v>
      </c>
      <c r="J35" s="117">
        <f>MAX(0,G35)*SISTEM!$C$12</f>
        <v>0</v>
      </c>
      <c r="K35" s="108" t="s">
        <v>1221</v>
      </c>
      <c r="L35" s="117">
        <f>SUMIFS(VIRMAN!$F$7:$F$500,VIRMAN!$E$7:$E$500,SISTEM!$C$9,VIRMAN!$L$7:$L$500,"KÂR PAYI / AVANS",VIRMAN!$C$7:$C$500,"&gt;="&amp;B35,VIRMAN!$C$7:$C$500,"&lt;"&amp;EDATE(B35,1))</f>
        <v>0</v>
      </c>
      <c r="M35" s="117">
        <f>SUMIFS(VIRMAN!$F$7:$F$500,VIRMAN!$E$7:$E$500,SISTEM!$C$10,VIRMAN!$L$7:$L$500,"KÂR PAYI / AVANS",VIRMAN!$C$7:$C$500,"&gt;="&amp;B35,VIRMAN!$C$7:$C$500,"&lt;"&amp;EDATE(B35,1))</f>
        <v>0</v>
      </c>
      <c r="N35" s="6"/>
      <c r="O35" s="6"/>
    </row>
    <row r="36" spans="1:15" ht="16">
      <c r="A36" s="6"/>
      <c r="B36" s="16">
        <v>46905</v>
      </c>
      <c r="C36" s="117">
        <f>SUMIFS(TAHSILAT!$F$7:$F$1006,TAHSILAT!$E$7:$E$1006,"&gt;="&amp;B36,TAHSILAT!$E$7:$E$1006,"&lt;"&amp;EDATE(B36,1),TAHSILAT!$H$7:$H$1006,"&lt;&gt;Mahsup")</f>
        <v>0</v>
      </c>
      <c r="D36" s="117">
        <f>SUMIFS(GELIR_GIDER!$G$7:$G$1000,GELIR_GIDER!$D$7:$D$1000,"Gelir",GELIR_GIDER!$I$7:$I$1000,"Evet",GELIR_GIDER!$C$7:$C$1000,"&gt;="&amp;B36,GELIR_GIDER!$C$7:$C$1000,"&lt;"&amp;EDATE(B36,1))</f>
        <v>0</v>
      </c>
      <c r="E36" s="117">
        <f t="shared" si="0"/>
        <v>0</v>
      </c>
      <c r="F36" s="117">
        <f>SUMIFS(GELIR_GIDER!$G$7:$G$1000,GELIR_GIDER!$D$7:$D$1000,"Gider",GELIR_GIDER!$I$7:$I$1000,"Evet",GELIR_GIDER!$C$7:$C$1000,"&gt;="&amp;B36,GELIR_GIDER!$C$7:$C$1000,"&lt;"&amp;EDATE(B36,1))</f>
        <v>0</v>
      </c>
      <c r="G36" s="117">
        <f t="shared" si="1"/>
        <v>0</v>
      </c>
      <c r="H36" s="117">
        <f>SUM($G$7:G36)</f>
        <v>1525862.02</v>
      </c>
      <c r="I36" s="117">
        <f>MAX(0,G36)*SISTEM!$C$11</f>
        <v>0</v>
      </c>
      <c r="J36" s="117">
        <f>MAX(0,G36)*SISTEM!$C$12</f>
        <v>0</v>
      </c>
      <c r="K36" s="108" t="s">
        <v>1221</v>
      </c>
      <c r="L36" s="117">
        <f>SUMIFS(VIRMAN!$F$7:$F$500,VIRMAN!$E$7:$E$500,SISTEM!$C$9,VIRMAN!$L$7:$L$500,"KÂR PAYI / AVANS",VIRMAN!$C$7:$C$500,"&gt;="&amp;B36,VIRMAN!$C$7:$C$500,"&lt;"&amp;EDATE(B36,1))</f>
        <v>0</v>
      </c>
      <c r="M36" s="117">
        <f>SUMIFS(VIRMAN!$F$7:$F$500,VIRMAN!$E$7:$E$500,SISTEM!$C$10,VIRMAN!$L$7:$L$500,"KÂR PAYI / AVANS",VIRMAN!$C$7:$C$500,"&gt;="&amp;B36,VIRMAN!$C$7:$C$500,"&lt;"&amp;EDATE(B36,1))</f>
        <v>0</v>
      </c>
      <c r="N36" s="6"/>
      <c r="O36" s="6"/>
    </row>
    <row r="37" spans="1:15" ht="16">
      <c r="A37" s="6"/>
      <c r="B37" s="16">
        <v>46935</v>
      </c>
      <c r="C37" s="117">
        <f>SUMIFS(TAHSILAT!$F$7:$F$1006,TAHSILAT!$E$7:$E$1006,"&gt;="&amp;B37,TAHSILAT!$E$7:$E$1006,"&lt;"&amp;EDATE(B37,1),TAHSILAT!$H$7:$H$1006,"&lt;&gt;Mahsup")</f>
        <v>0</v>
      </c>
      <c r="D37" s="117">
        <f>SUMIFS(GELIR_GIDER!$G$7:$G$1000,GELIR_GIDER!$D$7:$D$1000,"Gelir",GELIR_GIDER!$I$7:$I$1000,"Evet",GELIR_GIDER!$C$7:$C$1000,"&gt;="&amp;B37,GELIR_GIDER!$C$7:$C$1000,"&lt;"&amp;EDATE(B37,1))</f>
        <v>0</v>
      </c>
      <c r="E37" s="117">
        <f t="shared" si="0"/>
        <v>0</v>
      </c>
      <c r="F37" s="117">
        <f>SUMIFS(GELIR_GIDER!$G$7:$G$1000,GELIR_GIDER!$D$7:$D$1000,"Gider",GELIR_GIDER!$I$7:$I$1000,"Evet",GELIR_GIDER!$C$7:$C$1000,"&gt;="&amp;B37,GELIR_GIDER!$C$7:$C$1000,"&lt;"&amp;EDATE(B37,1))</f>
        <v>0</v>
      </c>
      <c r="G37" s="117">
        <f t="shared" si="1"/>
        <v>0</v>
      </c>
      <c r="H37" s="117">
        <f>SUM($G$7:G37)</f>
        <v>1525862.02</v>
      </c>
      <c r="I37" s="117">
        <f>MAX(0,G37)*SISTEM!$C$11</f>
        <v>0</v>
      </c>
      <c r="J37" s="117">
        <f>MAX(0,G37)*SISTEM!$C$12</f>
        <v>0</v>
      </c>
      <c r="K37" s="108" t="s">
        <v>1221</v>
      </c>
      <c r="L37" s="117">
        <f>SUMIFS(VIRMAN!$F$7:$F$500,VIRMAN!$E$7:$E$500,SISTEM!$C$9,VIRMAN!$L$7:$L$500,"KÂR PAYI / AVANS",VIRMAN!$C$7:$C$500,"&gt;="&amp;B37,VIRMAN!$C$7:$C$500,"&lt;"&amp;EDATE(B37,1))</f>
        <v>0</v>
      </c>
      <c r="M37" s="117">
        <f>SUMIFS(VIRMAN!$F$7:$F$500,VIRMAN!$E$7:$E$500,SISTEM!$C$10,VIRMAN!$L$7:$L$500,"KÂR PAYI / AVANS",VIRMAN!$C$7:$C$500,"&gt;="&amp;B37,VIRMAN!$C$7:$C$500,"&lt;"&amp;EDATE(B37,1))</f>
        <v>0</v>
      </c>
      <c r="N37" s="6"/>
      <c r="O37" s="6"/>
    </row>
    <row r="38" spans="1:15" ht="16">
      <c r="A38" s="6"/>
      <c r="B38" s="16">
        <v>46966</v>
      </c>
      <c r="C38" s="117">
        <f>SUMIFS(TAHSILAT!$F$7:$F$1006,TAHSILAT!$E$7:$E$1006,"&gt;="&amp;B38,TAHSILAT!$E$7:$E$1006,"&lt;"&amp;EDATE(B38,1),TAHSILAT!$H$7:$H$1006,"&lt;&gt;Mahsup")</f>
        <v>0</v>
      </c>
      <c r="D38" s="117">
        <f>SUMIFS(GELIR_GIDER!$G$7:$G$1000,GELIR_GIDER!$D$7:$D$1000,"Gelir",GELIR_GIDER!$I$7:$I$1000,"Evet",GELIR_GIDER!$C$7:$C$1000,"&gt;="&amp;B38,GELIR_GIDER!$C$7:$C$1000,"&lt;"&amp;EDATE(B38,1))</f>
        <v>0</v>
      </c>
      <c r="E38" s="117">
        <f t="shared" si="0"/>
        <v>0</v>
      </c>
      <c r="F38" s="117">
        <f>SUMIFS(GELIR_GIDER!$G$7:$G$1000,GELIR_GIDER!$D$7:$D$1000,"Gider",GELIR_GIDER!$I$7:$I$1000,"Evet",GELIR_GIDER!$C$7:$C$1000,"&gt;="&amp;B38,GELIR_GIDER!$C$7:$C$1000,"&lt;"&amp;EDATE(B38,1))</f>
        <v>0</v>
      </c>
      <c r="G38" s="117">
        <f t="shared" si="1"/>
        <v>0</v>
      </c>
      <c r="H38" s="117">
        <f>SUM($G$7:G38)</f>
        <v>1525862.02</v>
      </c>
      <c r="I38" s="117">
        <f>MAX(0,G38)*SISTEM!$C$11</f>
        <v>0</v>
      </c>
      <c r="J38" s="117">
        <f>MAX(0,G38)*SISTEM!$C$12</f>
        <v>0</v>
      </c>
      <c r="K38" s="108" t="s">
        <v>1221</v>
      </c>
      <c r="L38" s="117">
        <f>SUMIFS(VIRMAN!$F$7:$F$500,VIRMAN!$E$7:$E$500,SISTEM!$C$9,VIRMAN!$L$7:$L$500,"KÂR PAYI / AVANS",VIRMAN!$C$7:$C$500,"&gt;="&amp;B38,VIRMAN!$C$7:$C$500,"&lt;"&amp;EDATE(B38,1))</f>
        <v>0</v>
      </c>
      <c r="M38" s="117">
        <f>SUMIFS(VIRMAN!$F$7:$F$500,VIRMAN!$E$7:$E$500,SISTEM!$C$10,VIRMAN!$L$7:$L$500,"KÂR PAYI / AVANS",VIRMAN!$C$7:$C$500,"&gt;="&amp;B38,VIRMAN!$C$7:$C$500,"&lt;"&amp;EDATE(B38,1))</f>
        <v>0</v>
      </c>
      <c r="N38" s="6"/>
      <c r="O38" s="6"/>
    </row>
    <row r="39" spans="1:15" ht="16">
      <c r="A39" s="6"/>
      <c r="B39" s="16">
        <v>46997</v>
      </c>
      <c r="C39" s="117">
        <f>SUMIFS(TAHSILAT!$F$7:$F$1006,TAHSILAT!$E$7:$E$1006,"&gt;="&amp;B39,TAHSILAT!$E$7:$E$1006,"&lt;"&amp;EDATE(B39,1),TAHSILAT!$H$7:$H$1006,"&lt;&gt;Mahsup")</f>
        <v>0</v>
      </c>
      <c r="D39" s="117">
        <f>SUMIFS(GELIR_GIDER!$G$7:$G$1000,GELIR_GIDER!$D$7:$D$1000,"Gelir",GELIR_GIDER!$I$7:$I$1000,"Evet",GELIR_GIDER!$C$7:$C$1000,"&gt;="&amp;B39,GELIR_GIDER!$C$7:$C$1000,"&lt;"&amp;EDATE(B39,1))</f>
        <v>0</v>
      </c>
      <c r="E39" s="117">
        <f t="shared" si="0"/>
        <v>0</v>
      </c>
      <c r="F39" s="117">
        <f>SUMIFS(GELIR_GIDER!$G$7:$G$1000,GELIR_GIDER!$D$7:$D$1000,"Gider",GELIR_GIDER!$I$7:$I$1000,"Evet",GELIR_GIDER!$C$7:$C$1000,"&gt;="&amp;B39,GELIR_GIDER!$C$7:$C$1000,"&lt;"&amp;EDATE(B39,1))</f>
        <v>0</v>
      </c>
      <c r="G39" s="117">
        <f t="shared" si="1"/>
        <v>0</v>
      </c>
      <c r="H39" s="117">
        <f>SUM($G$7:G39)</f>
        <v>1525862.02</v>
      </c>
      <c r="I39" s="117">
        <f>MAX(0,G39)*SISTEM!$C$11</f>
        <v>0</v>
      </c>
      <c r="J39" s="117">
        <f>MAX(0,G39)*SISTEM!$C$12</f>
        <v>0</v>
      </c>
      <c r="K39" s="108" t="s">
        <v>1221</v>
      </c>
      <c r="L39" s="117">
        <f>SUMIFS(VIRMAN!$F$7:$F$500,VIRMAN!$E$7:$E$500,SISTEM!$C$9,VIRMAN!$L$7:$L$500,"KÂR PAYI / AVANS",VIRMAN!$C$7:$C$500,"&gt;="&amp;B39,VIRMAN!$C$7:$C$500,"&lt;"&amp;EDATE(B39,1))</f>
        <v>0</v>
      </c>
      <c r="M39" s="117">
        <f>SUMIFS(VIRMAN!$F$7:$F$500,VIRMAN!$E$7:$E$500,SISTEM!$C$10,VIRMAN!$L$7:$L$500,"KÂR PAYI / AVANS",VIRMAN!$C$7:$C$500,"&gt;="&amp;B39,VIRMAN!$C$7:$C$500,"&lt;"&amp;EDATE(B39,1))</f>
        <v>0</v>
      </c>
      <c r="N39" s="6"/>
      <c r="O39" s="6"/>
    </row>
    <row r="40" spans="1:15" ht="16">
      <c r="A40" s="6"/>
      <c r="B40" s="16">
        <v>47027</v>
      </c>
      <c r="C40" s="117">
        <f>SUMIFS(TAHSILAT!$F$7:$F$1006,TAHSILAT!$E$7:$E$1006,"&gt;="&amp;B40,TAHSILAT!$E$7:$E$1006,"&lt;"&amp;EDATE(B40,1),TAHSILAT!$H$7:$H$1006,"&lt;&gt;Mahsup")</f>
        <v>0</v>
      </c>
      <c r="D40" s="117">
        <f>SUMIFS(GELIR_GIDER!$G$7:$G$1000,GELIR_GIDER!$D$7:$D$1000,"Gelir",GELIR_GIDER!$I$7:$I$1000,"Evet",GELIR_GIDER!$C$7:$C$1000,"&gt;="&amp;B40,GELIR_GIDER!$C$7:$C$1000,"&lt;"&amp;EDATE(B40,1))</f>
        <v>0</v>
      </c>
      <c r="E40" s="117">
        <f t="shared" si="0"/>
        <v>0</v>
      </c>
      <c r="F40" s="117">
        <f>SUMIFS(GELIR_GIDER!$G$7:$G$1000,GELIR_GIDER!$D$7:$D$1000,"Gider",GELIR_GIDER!$I$7:$I$1000,"Evet",GELIR_GIDER!$C$7:$C$1000,"&gt;="&amp;B40,GELIR_GIDER!$C$7:$C$1000,"&lt;"&amp;EDATE(B40,1))</f>
        <v>0</v>
      </c>
      <c r="G40" s="117">
        <f t="shared" si="1"/>
        <v>0</v>
      </c>
      <c r="H40" s="117">
        <f>SUM($G$7:G40)</f>
        <v>1525862.02</v>
      </c>
      <c r="I40" s="117">
        <f>MAX(0,G40)*SISTEM!$C$11</f>
        <v>0</v>
      </c>
      <c r="J40" s="117">
        <f>MAX(0,G40)*SISTEM!$C$12</f>
        <v>0</v>
      </c>
      <c r="K40" s="108" t="s">
        <v>1221</v>
      </c>
      <c r="L40" s="117">
        <f>SUMIFS(VIRMAN!$F$7:$F$500,VIRMAN!$E$7:$E$500,SISTEM!$C$9,VIRMAN!$L$7:$L$500,"KÂR PAYI / AVANS",VIRMAN!$C$7:$C$500,"&gt;="&amp;B40,VIRMAN!$C$7:$C$500,"&lt;"&amp;EDATE(B40,1))</f>
        <v>0</v>
      </c>
      <c r="M40" s="117">
        <f>SUMIFS(VIRMAN!$F$7:$F$500,VIRMAN!$E$7:$E$500,SISTEM!$C$10,VIRMAN!$L$7:$L$500,"KÂR PAYI / AVANS",VIRMAN!$C$7:$C$500,"&gt;="&amp;B40,VIRMAN!$C$7:$C$500,"&lt;"&amp;EDATE(B40,1))</f>
        <v>0</v>
      </c>
      <c r="N40" s="6"/>
      <c r="O40" s="6"/>
    </row>
    <row r="41" spans="1:15" ht="16">
      <c r="A41" s="6"/>
      <c r="B41" s="16">
        <v>47058</v>
      </c>
      <c r="C41" s="117">
        <f>SUMIFS(TAHSILAT!$F$7:$F$1006,TAHSILAT!$E$7:$E$1006,"&gt;="&amp;B41,TAHSILAT!$E$7:$E$1006,"&lt;"&amp;EDATE(B41,1),TAHSILAT!$H$7:$H$1006,"&lt;&gt;Mahsup")</f>
        <v>0</v>
      </c>
      <c r="D41" s="117">
        <f>SUMIFS(GELIR_GIDER!$G$7:$G$1000,GELIR_GIDER!$D$7:$D$1000,"Gelir",GELIR_GIDER!$I$7:$I$1000,"Evet",GELIR_GIDER!$C$7:$C$1000,"&gt;="&amp;B41,GELIR_GIDER!$C$7:$C$1000,"&lt;"&amp;EDATE(B41,1))</f>
        <v>0</v>
      </c>
      <c r="E41" s="117">
        <f t="shared" si="0"/>
        <v>0</v>
      </c>
      <c r="F41" s="117">
        <f>SUMIFS(GELIR_GIDER!$G$7:$G$1000,GELIR_GIDER!$D$7:$D$1000,"Gider",GELIR_GIDER!$I$7:$I$1000,"Evet",GELIR_GIDER!$C$7:$C$1000,"&gt;="&amp;B41,GELIR_GIDER!$C$7:$C$1000,"&lt;"&amp;EDATE(B41,1))</f>
        <v>0</v>
      </c>
      <c r="G41" s="117">
        <f t="shared" si="1"/>
        <v>0</v>
      </c>
      <c r="H41" s="117">
        <f>SUM($G$7:G41)</f>
        <v>1525862.02</v>
      </c>
      <c r="I41" s="117">
        <f>MAX(0,G41)*SISTEM!$C$11</f>
        <v>0</v>
      </c>
      <c r="J41" s="117">
        <f>MAX(0,G41)*SISTEM!$C$12</f>
        <v>0</v>
      </c>
      <c r="K41" s="108" t="s">
        <v>1221</v>
      </c>
      <c r="L41" s="117">
        <f>SUMIFS(VIRMAN!$F$7:$F$500,VIRMAN!$E$7:$E$500,SISTEM!$C$9,VIRMAN!$L$7:$L$500,"KÂR PAYI / AVANS",VIRMAN!$C$7:$C$500,"&gt;="&amp;B41,VIRMAN!$C$7:$C$500,"&lt;"&amp;EDATE(B41,1))</f>
        <v>0</v>
      </c>
      <c r="M41" s="117">
        <f>SUMIFS(VIRMAN!$F$7:$F$500,VIRMAN!$E$7:$E$500,SISTEM!$C$10,VIRMAN!$L$7:$L$500,"KÂR PAYI / AVANS",VIRMAN!$C$7:$C$500,"&gt;="&amp;B41,VIRMAN!$C$7:$C$500,"&lt;"&amp;EDATE(B41,1))</f>
        <v>0</v>
      </c>
      <c r="N41" s="6"/>
      <c r="O41" s="6"/>
    </row>
    <row r="42" spans="1:15" ht="16">
      <c r="A42" s="6"/>
      <c r="B42" s="16">
        <v>47088</v>
      </c>
      <c r="C42" s="117">
        <f>SUMIFS(TAHSILAT!$F$7:$F$1006,TAHSILAT!$E$7:$E$1006,"&gt;="&amp;B42,TAHSILAT!$E$7:$E$1006,"&lt;"&amp;EDATE(B42,1),TAHSILAT!$H$7:$H$1006,"&lt;&gt;Mahsup")</f>
        <v>0</v>
      </c>
      <c r="D42" s="117">
        <f>SUMIFS(GELIR_GIDER!$G$7:$G$1000,GELIR_GIDER!$D$7:$D$1000,"Gelir",GELIR_GIDER!$I$7:$I$1000,"Evet",GELIR_GIDER!$C$7:$C$1000,"&gt;="&amp;B42,GELIR_GIDER!$C$7:$C$1000,"&lt;"&amp;EDATE(B42,1))</f>
        <v>0</v>
      </c>
      <c r="E42" s="117">
        <f t="shared" si="0"/>
        <v>0</v>
      </c>
      <c r="F42" s="117">
        <f>SUMIFS(GELIR_GIDER!$G$7:$G$1000,GELIR_GIDER!$D$7:$D$1000,"Gider",GELIR_GIDER!$I$7:$I$1000,"Evet",GELIR_GIDER!$C$7:$C$1000,"&gt;="&amp;B42,GELIR_GIDER!$C$7:$C$1000,"&lt;"&amp;EDATE(B42,1))</f>
        <v>0</v>
      </c>
      <c r="G42" s="117">
        <f t="shared" si="1"/>
        <v>0</v>
      </c>
      <c r="H42" s="117">
        <f>SUM($G$7:G42)</f>
        <v>1525862.02</v>
      </c>
      <c r="I42" s="117">
        <f>MAX(0,G42)*SISTEM!$C$11</f>
        <v>0</v>
      </c>
      <c r="J42" s="117">
        <f>MAX(0,G42)*SISTEM!$C$12</f>
        <v>0</v>
      </c>
      <c r="K42" s="108" t="s">
        <v>1221</v>
      </c>
      <c r="L42" s="117">
        <f>SUMIFS(VIRMAN!$F$7:$F$500,VIRMAN!$E$7:$E$500,SISTEM!$C$9,VIRMAN!$L$7:$L$500,"KÂR PAYI / AVANS",VIRMAN!$C$7:$C$500,"&gt;="&amp;B42,VIRMAN!$C$7:$C$500,"&lt;"&amp;EDATE(B42,1))</f>
        <v>0</v>
      </c>
      <c r="M42" s="117">
        <f>SUMIFS(VIRMAN!$F$7:$F$500,VIRMAN!$E$7:$E$500,SISTEM!$C$10,VIRMAN!$L$7:$L$500,"KÂR PAYI / AVANS",VIRMAN!$C$7:$C$500,"&gt;="&amp;B42,VIRMAN!$C$7:$C$500,"&lt;"&amp;EDATE(B42,1))</f>
        <v>0</v>
      </c>
      <c r="N42" s="6"/>
      <c r="O42" s="6"/>
    </row>
  </sheetData>
  <mergeCells count="5">
    <mergeCell ref="A2:B2"/>
    <mergeCell ref="A4:G4"/>
    <mergeCell ref="C1:O1"/>
    <mergeCell ref="A3:O3"/>
    <mergeCell ref="C2:O2"/>
  </mergeCells>
  <dataValidations count="1">
    <dataValidation type="list" sqref="K7:K42" xr:uid="{00000000-0002-0000-0C00-000000000000}">
      <formula1>"Evet,Hayır"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47857"/>
  </sheetPr>
  <dimension ref="A1:O11"/>
  <sheetViews>
    <sheetView showGridLines="0" workbookViewId="0"/>
  </sheetViews>
  <sheetFormatPr baseColWidth="10" defaultColWidth="8.83203125" defaultRowHeight="14"/>
  <cols>
    <col min="1" max="1" width="10" customWidth="1"/>
    <col min="2" max="2" width="18" customWidth="1"/>
    <col min="3" max="3" width="17" customWidth="1"/>
    <col min="4" max="5" width="18" customWidth="1"/>
    <col min="6" max="6" width="16" customWidth="1"/>
    <col min="7" max="7" width="20" customWidth="1"/>
    <col min="8" max="8" width="18" customWidth="1"/>
    <col min="9" max="10" width="20" customWidth="1"/>
    <col min="11" max="12" width="18" customWidth="1"/>
  </cols>
  <sheetData>
    <row r="1" spans="1:15" ht="38" customHeight="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32" t="s">
        <v>1749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28" customHeight="1">
      <c r="A2" s="222" t="s">
        <v>17</v>
      </c>
      <c r="B2" s="223"/>
      <c r="C2" s="213" t="s">
        <v>1750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1:15" ht="28" customHeight="1">
      <c r="A3" s="213" t="s">
        <v>1751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5" ht="24" customHeight="1">
      <c r="A4" s="207" t="str">
        <f>IFERROR(HYPERLINK("#MENU!A1","← MENÜ   │   ORTAKLAR"),"← MENÜ   │   ORTAKLAR")</f>
        <v>← MENÜ   │   ORTAKLAR</v>
      </c>
      <c r="B4" s="208"/>
      <c r="C4" s="208"/>
      <c r="D4" s="208"/>
      <c r="E4" s="208"/>
      <c r="F4" s="208"/>
      <c r="G4" s="209"/>
      <c r="H4" s="79" t="str">
        <f>IFERROR(HYPERLINK("#TAHSILAT!A1","TAHSİLAT"),"TAHSİLAT")</f>
        <v>TAHSİLAT</v>
      </c>
      <c r="I4" s="80"/>
      <c r="J4" s="79" t="str">
        <f>IFERROR(HYPERLINK("#GELIR_GIDER!A1","GELİR / GİDER"),"GELİR / GİDER")</f>
        <v>GELİR / GİDER</v>
      </c>
      <c r="K4" s="80"/>
      <c r="L4" s="79" t="str">
        <f>IFERROR(HYPERLINK("#VIRMAN!A1","VİRMAN"),"VİRMAN")</f>
        <v>VİRMAN</v>
      </c>
      <c r="M4" s="80"/>
      <c r="N4" s="79" t="str">
        <f>IFERROR(HYPERLINK("#RAPOR!A1","RAPOR"),"RAPOR")</f>
        <v>RAPOR</v>
      </c>
      <c r="O4" s="21"/>
    </row>
    <row r="5" spans="1:15" ht="1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34" customHeight="1">
      <c r="A6" s="6"/>
      <c r="B6" s="116" t="s">
        <v>1752</v>
      </c>
      <c r="C6" s="116" t="s">
        <v>1753</v>
      </c>
      <c r="D6" s="116" t="s">
        <v>1754</v>
      </c>
      <c r="E6" s="116" t="s">
        <v>1755</v>
      </c>
      <c r="F6" s="116" t="s">
        <v>1756</v>
      </c>
      <c r="G6" s="116" t="s">
        <v>1757</v>
      </c>
      <c r="H6" s="116" t="s">
        <v>1758</v>
      </c>
      <c r="I6" s="116" t="s">
        <v>1759</v>
      </c>
      <c r="J6" s="116" t="s">
        <v>1760</v>
      </c>
      <c r="K6" s="116" t="s">
        <v>1761</v>
      </c>
      <c r="L6" s="116" t="s">
        <v>447</v>
      </c>
      <c r="M6" s="20"/>
      <c r="N6" s="20"/>
      <c r="O6" s="20"/>
    </row>
    <row r="7" spans="1:15" ht="16">
      <c r="A7" s="6"/>
      <c r="B7" s="106" t="s">
        <v>1674</v>
      </c>
      <c r="C7" s="118">
        <f>SUMIFS(TAHSILAT!$F$7:$F$1006,TAHSILAT!$G$7:$G$1006,$B7,TAHSILAT!$H$7:$H$1006,"&lt;&gt;Mahsup")</f>
        <v>0</v>
      </c>
      <c r="D7" s="118">
        <f>SUMIFS(GELIR_GIDER!$G$7:$G$1000,GELIR_GIDER!$L$7:$L$1000,$B7,GELIR_GIDER!$D$7:$D$1000,"Gelir",GELIR_GIDER!$I$7:$I$1000,"Hayır")</f>
        <v>0</v>
      </c>
      <c r="E7" s="118">
        <f>SUMIFS(VIRMAN!$F$7:$F$500,VIRMAN!$E$7:$E$500,$B7,VIRMAN!$L$7:$L$500,"NORMAL CARİ TRANSFER")</f>
        <v>0</v>
      </c>
      <c r="F7" s="118">
        <f>SUMIFS(VIRMAN!$F$7:$F$500,VIRMAN!$D$7:$D$500,$B7,VIRMAN!$L$7:$L$500,"OFİSE GERİ ÖDEME")</f>
        <v>0</v>
      </c>
      <c r="G7" s="119">
        <f>C7+D7+E7-F7</f>
        <v>0</v>
      </c>
      <c r="H7" s="118">
        <f>SUM(AY_SONU!$I$7:$I$42)</f>
        <v>762931.01</v>
      </c>
      <c r="I7" s="118">
        <f>SUMIFS(VIRMAN!$F$7:$F$500,VIRMAN!$E$7:$E$500,$B7,VIRMAN!$L$7:$L$500,"KÂR PAYI / AVANS")</f>
        <v>634731.02</v>
      </c>
      <c r="J7" s="119">
        <f>H7-I7</f>
        <v>128199.98999999999</v>
      </c>
      <c r="K7" s="119">
        <f>G7-J7</f>
        <v>-128199.98999999999</v>
      </c>
      <c r="L7" s="107" t="str">
        <f>IF(J7&lt;0,"AVANS",IF(K7&gt;0,"ORTAK BORÇLU",IF(K7&lt;0,"OFİS BORÇLU","KAPALI")))</f>
        <v>OFİS BORÇLU</v>
      </c>
      <c r="M7" s="6"/>
      <c r="N7" s="6"/>
      <c r="O7" s="6"/>
    </row>
    <row r="8" spans="1:15" ht="16">
      <c r="A8" s="6"/>
      <c r="B8" s="106" t="s">
        <v>628</v>
      </c>
      <c r="C8" s="118">
        <f>SUMIFS(TAHSILAT!$F$7:$F$1006,TAHSILAT!$G$7:$G$1006,$B8,TAHSILAT!$H$7:$H$1006,"&lt;&gt;Mahsup")</f>
        <v>594650</v>
      </c>
      <c r="D8" s="118">
        <f>SUMIFS(GELIR_GIDER!$G$7:$G$1000,GELIR_GIDER!$L$7:$L$1000,$B8,GELIR_GIDER!$D$7:$D$1000,"Gelir",GELIR_GIDER!$I$7:$I$1000,"Hayır")</f>
        <v>114000</v>
      </c>
      <c r="E8" s="118">
        <f>SUMIFS(VIRMAN!$F$7:$F$500,VIRMAN!$E$7:$E$500,$B8,VIRMAN!$L$7:$L$500,"NORMAL CARİ TRANSFER")</f>
        <v>73000</v>
      </c>
      <c r="F8" s="118">
        <f>SUMIFS(VIRMAN!$F$7:$F$500,VIRMAN!$D$7:$D$500,$B8,VIRMAN!$L$7:$L$500,"OFİSE GERİ ÖDEME")</f>
        <v>47000</v>
      </c>
      <c r="G8" s="119">
        <f>C8+D8+E8-F8</f>
        <v>734650</v>
      </c>
      <c r="H8" s="118">
        <f>SUM(AY_SONU!$J$7:$J$42)</f>
        <v>762931.01</v>
      </c>
      <c r="I8" s="118">
        <f>SUMIFS(VIRMAN!$F$7:$F$500,VIRMAN!$E$7:$E$500,$B8,VIRMAN!$L$7:$L$500,"KÂR PAYI / AVANS")</f>
        <v>634731.02</v>
      </c>
      <c r="J8" s="119">
        <f>H8-I8</f>
        <v>128199.98999999999</v>
      </c>
      <c r="K8" s="119">
        <f>G8-J8</f>
        <v>606450.01</v>
      </c>
      <c r="L8" s="107" t="str">
        <f>IF(J8&lt;0,"AVANS",IF(K8&gt;0,"ORTAK BORÇLU",IF(K8&lt;0,"OFİS BORÇLU","KAPALI")))</f>
        <v>ORTAK BORÇLU</v>
      </c>
      <c r="M8" s="6"/>
      <c r="N8" s="6"/>
      <c r="O8" s="6"/>
    </row>
    <row r="10" spans="1:15" ht="34" customHeight="1">
      <c r="B10" s="254" t="s">
        <v>1762</v>
      </c>
      <c r="C10" s="173"/>
      <c r="D10" s="173"/>
      <c r="E10" s="173"/>
      <c r="F10" s="173"/>
      <c r="G10" s="173"/>
      <c r="H10" s="173"/>
      <c r="I10" s="173"/>
      <c r="J10" s="173"/>
      <c r="K10" s="173"/>
      <c r="L10" s="173"/>
    </row>
    <row r="11" spans="1:15" ht="34" customHeight="1">
      <c r="B11" s="254" t="s">
        <v>1763</v>
      </c>
      <c r="C11" s="173"/>
      <c r="D11" s="173"/>
      <c r="E11" s="173"/>
      <c r="F11" s="173"/>
      <c r="G11" s="173"/>
      <c r="H11" s="173"/>
      <c r="I11" s="173"/>
      <c r="J11" s="173"/>
      <c r="K11" s="173"/>
      <c r="L11" s="173"/>
    </row>
  </sheetData>
  <sheetProtection password="CC3D" sheet="1"/>
  <mergeCells count="7">
    <mergeCell ref="A2:B2"/>
    <mergeCell ref="B11:L11"/>
    <mergeCell ref="A4:G4"/>
    <mergeCell ref="B10:L10"/>
    <mergeCell ref="C1:O1"/>
    <mergeCell ref="A3:O3"/>
    <mergeCell ref="C2:O2"/>
  </mergeCells>
  <conditionalFormatting sqref="G7:G8">
    <cfRule type="cellIs" dxfId="40" priority="6" operator="greaterThan">
      <formula>0</formula>
    </cfRule>
  </conditionalFormatting>
  <conditionalFormatting sqref="I7:I8">
    <cfRule type="cellIs" dxfId="39" priority="1" operator="greaterThan">
      <formula>0</formula>
    </cfRule>
  </conditionalFormatting>
  <conditionalFormatting sqref="J7:J8">
    <cfRule type="cellIs" dxfId="38" priority="7" operator="lessThan">
      <formula>0</formula>
    </cfRule>
  </conditionalFormatting>
  <conditionalFormatting sqref="K7:K8">
    <cfRule type="cellIs" dxfId="37" priority="8" operator="greaterThan">
      <formula>0</formula>
    </cfRule>
    <cfRule type="cellIs" dxfId="36" priority="9" operator="lessThan">
      <formula>0</formula>
    </cfRule>
  </conditionalFormatting>
  <conditionalFormatting sqref="L7:L8">
    <cfRule type="expression" dxfId="35" priority="2">
      <formula>L7="ORTAK BORÇLU"</formula>
    </cfRule>
    <cfRule type="expression" dxfId="34" priority="3">
      <formula>L7="OFİS BORÇLU"</formula>
    </cfRule>
    <cfRule type="expression" dxfId="33" priority="4">
      <formula>L7="AVANS"</formula>
    </cfRule>
    <cfRule type="expression" dxfId="32" priority="5">
      <formula>L7="KAPALI"</formula>
    </cfRule>
    <cfRule type="expression" dxfId="31" priority="10">
      <formula>L7="ORTAK BORÇLU"</formula>
    </cfRule>
    <cfRule type="expression" dxfId="30" priority="11">
      <formula>L7="OFİS BORÇLU"</formula>
    </cfRule>
    <cfRule type="expression" dxfId="29" priority="12">
      <formula>L7="AVANS"</formula>
    </cfRule>
    <cfRule type="expression" dxfId="28" priority="13">
      <formula>L7="KAPALI"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47857"/>
  </sheetPr>
  <dimension ref="A1:O25"/>
  <sheetViews>
    <sheetView showGridLines="0" workbookViewId="0"/>
  </sheetViews>
  <sheetFormatPr baseColWidth="10" defaultColWidth="8.83203125" defaultRowHeight="14"/>
  <cols>
    <col min="1" max="1" width="10" customWidth="1"/>
    <col min="2" max="2" width="34" bestFit="1" customWidth="1"/>
    <col min="3" max="3" width="18" customWidth="1"/>
    <col min="4" max="8" width="28" customWidth="1"/>
  </cols>
  <sheetData>
    <row r="1" spans="1:15" ht="38" customHeight="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32" t="s">
        <v>1764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28" customHeight="1">
      <c r="A2" s="222" t="s">
        <v>17</v>
      </c>
      <c r="B2" s="223"/>
      <c r="C2" s="213" t="s">
        <v>1765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1:15" ht="28" customHeight="1">
      <c r="A3" s="213" t="s">
        <v>1766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5" ht="24" customHeight="1">
      <c r="A4" s="207" t="str">
        <f>IFERROR(HYPERLINK("#MENU!A1","← MENÜ   │   KÂR"),"← MENÜ   │   KÂR")</f>
        <v>← MENÜ   │   KÂR</v>
      </c>
      <c r="B4" s="208"/>
      <c r="C4" s="208"/>
      <c r="D4" s="208"/>
      <c r="E4" s="208"/>
      <c r="F4" s="208"/>
      <c r="G4" s="209"/>
      <c r="H4" s="79" t="str">
        <f>IFERROR(HYPERLINK("#TAHSILAT!A1","TAHSİLAT"),"TAHSİLAT")</f>
        <v>TAHSİLAT</v>
      </c>
      <c r="I4" s="80"/>
      <c r="J4" s="79" t="str">
        <f>IFERROR(HYPERLINK("#GELIR_GIDER!A1","GELİR / GİDER"),"GELİR / GİDER")</f>
        <v>GELİR / GİDER</v>
      </c>
      <c r="K4" s="80"/>
      <c r="L4" s="79" t="str">
        <f>IFERROR(HYPERLINK("#VIRMAN!A1","VİRMAN"),"VİRMAN")</f>
        <v>VİRMAN</v>
      </c>
      <c r="M4" s="80"/>
      <c r="N4" s="79" t="str">
        <f>IFERROR(HYPERLINK("#RAPOR!A1","RAPOR"),"RAPOR")</f>
        <v>RAPOR</v>
      </c>
      <c r="O4" s="21"/>
    </row>
    <row r="5" spans="1:15" ht="1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60">
      <c r="A6" s="6"/>
      <c r="B6" s="87" t="s">
        <v>1767</v>
      </c>
      <c r="C6" s="87" t="s">
        <v>1768</v>
      </c>
      <c r="D6" s="87" t="s">
        <v>1769</v>
      </c>
      <c r="E6" s="91"/>
      <c r="F6" s="87" t="s">
        <v>1770</v>
      </c>
      <c r="G6" s="87" t="s">
        <v>1768</v>
      </c>
      <c r="H6" s="87" t="s">
        <v>1769</v>
      </c>
      <c r="I6" s="20"/>
      <c r="J6" s="20"/>
      <c r="K6" s="20"/>
      <c r="L6" s="20"/>
      <c r="M6" s="20"/>
      <c r="N6" s="20"/>
      <c r="O6" s="20"/>
    </row>
    <row r="7" spans="1:15" ht="16">
      <c r="A7" s="6"/>
      <c r="B7" s="6" t="s">
        <v>1771</v>
      </c>
      <c r="C7" s="72">
        <f>SUMIFS(TAHSILAT!$F$7:$F$1006,TAHSILAT!$H$7:$H$1006,"&lt;&gt;Mahsup")</f>
        <v>2238800</v>
      </c>
      <c r="D7" s="6">
        <f t="shared" ref="D7:D16" si="0">IF(SUM($C$7:$C$16)=0,0,C7/SUM($C$7:$C$16))</f>
        <v>0.82246836024319903</v>
      </c>
      <c r="E7" s="6"/>
      <c r="F7" s="6" t="s">
        <v>1367</v>
      </c>
      <c r="G7" s="72">
        <f>SUMIFS(GELIR_GIDER!$G$7:$G$1000,GELIR_GIDER!$D$7:$D$1000,"Gider",GELIR_GIDER!$I$7:$I$1000,"Evet",GELIR_GIDER!$E$7:$E$1000,F7)</f>
        <v>34000</v>
      </c>
      <c r="H7" s="6">
        <f t="shared" ref="H7:H18" si="1">IF(SUM($G$7:$G$18)=0,0,G7/SUM($G$7:$G$18))</f>
        <v>2.8423626192933323E-2</v>
      </c>
      <c r="I7" s="6"/>
      <c r="J7" s="6"/>
      <c r="K7" s="6"/>
      <c r="L7" s="6"/>
      <c r="M7" s="6"/>
      <c r="N7" s="6"/>
      <c r="O7" s="6"/>
    </row>
    <row r="8" spans="1:15" ht="16">
      <c r="A8" s="6"/>
      <c r="B8" s="6" t="s">
        <v>1356</v>
      </c>
      <c r="C8" s="72">
        <f>SUMIFS(GELIR_GIDER!$G$7:$G$1000,GELIR_GIDER!$D$7:$D$1000,"Gelir",GELIR_GIDER!$I$7:$I$1000,"Evet",GELIR_GIDER!$E$7:$E$1000,B8)</f>
        <v>20000</v>
      </c>
      <c r="D8" s="6">
        <f t="shared" si="0"/>
        <v>7.347403611248875E-3</v>
      </c>
      <c r="E8" s="6"/>
      <c r="F8" s="6" t="s">
        <v>1219</v>
      </c>
      <c r="G8" s="72">
        <f>SUMIFS(GELIR_GIDER!$G$7:$G$1000,GELIR_GIDER!$D$7:$D$1000,"Gider",GELIR_GIDER!$I$7:$I$1000,"Evet",GELIR_GIDER!$E$7:$E$1000,F8)</f>
        <v>95250</v>
      </c>
      <c r="H8" s="6">
        <f t="shared" si="1"/>
        <v>7.9627952790497031E-2</v>
      </c>
      <c r="I8" s="6"/>
      <c r="J8" s="6"/>
      <c r="K8" s="6"/>
      <c r="L8" s="6"/>
      <c r="M8" s="6"/>
      <c r="N8" s="6"/>
      <c r="O8" s="6"/>
    </row>
    <row r="9" spans="1:15" ht="16">
      <c r="A9" s="6"/>
      <c r="B9" s="6" t="s">
        <v>1264</v>
      </c>
      <c r="C9" s="72">
        <f>SUMIFS(GELIR_GIDER!$G$7:$G$1000,GELIR_GIDER!$D$7:$D$1000,"Gelir",GELIR_GIDER!$I$7:$I$1000,"Evet",GELIR_GIDER!$E$7:$E$1000,B9)</f>
        <v>189900</v>
      </c>
      <c r="D9" s="6">
        <f t="shared" si="0"/>
        <v>6.9763597288808071E-2</v>
      </c>
      <c r="E9" s="6"/>
      <c r="F9" s="6" t="s">
        <v>1242</v>
      </c>
      <c r="G9" s="72">
        <f>SUMIFS(GELIR_GIDER!$G$7:$G$1000,GELIR_GIDER!$D$7:$D$1000,"Gider",GELIR_GIDER!$I$7:$I$1000,"Evet",GELIR_GIDER!$E$7:$E$1000,F9)</f>
        <v>5071.82</v>
      </c>
      <c r="H9" s="6">
        <f t="shared" si="1"/>
        <v>4.2399857587600903E-3</v>
      </c>
      <c r="I9" s="6"/>
      <c r="J9" s="6"/>
      <c r="K9" s="6"/>
      <c r="L9" s="6"/>
      <c r="M9" s="6"/>
      <c r="N9" s="6"/>
      <c r="O9" s="6"/>
    </row>
    <row r="10" spans="1:15" ht="16">
      <c r="A10" s="6"/>
      <c r="B10" s="6" t="s">
        <v>1293</v>
      </c>
      <c r="C10" s="72">
        <f>SUMIFS(GELIR_GIDER!$G$7:$G$1000,GELIR_GIDER!$D$7:$D$1000,"Gelir",GELIR_GIDER!$I$7:$I$1000,"Evet",GELIR_GIDER!$E$7:$E$1000,B10)</f>
        <v>131000</v>
      </c>
      <c r="D10" s="6">
        <f t="shared" si="0"/>
        <v>4.8125493653680129E-2</v>
      </c>
      <c r="E10" s="6"/>
      <c r="F10" s="6" t="s">
        <v>1234</v>
      </c>
      <c r="G10" s="72">
        <f>SUMIFS(GELIR_GIDER!$G$7:$G$1000,GELIR_GIDER!$D$7:$D$1000,"Gider",GELIR_GIDER!$I$7:$I$1000,"Evet",GELIR_GIDER!$E$7:$E$1000,F10)</f>
        <v>9940</v>
      </c>
      <c r="H10" s="6">
        <f t="shared" si="1"/>
        <v>8.3097307164046244E-3</v>
      </c>
      <c r="I10" s="6"/>
      <c r="J10" s="6"/>
      <c r="K10" s="6"/>
      <c r="L10" s="6"/>
      <c r="M10" s="6"/>
      <c r="N10" s="6"/>
      <c r="O10" s="6"/>
    </row>
    <row r="11" spans="1:15" ht="16">
      <c r="A11" s="6"/>
      <c r="B11" s="6" t="s">
        <v>1318</v>
      </c>
      <c r="C11" s="72">
        <f>SUMIFS(GELIR_GIDER!$G$7:$G$1000,GELIR_GIDER!$D$7:$D$1000,"Gelir",GELIR_GIDER!$I$7:$I$1000,"Evet",GELIR_GIDER!$E$7:$E$1000,B11)</f>
        <v>37500</v>
      </c>
      <c r="D11" s="6">
        <f t="shared" si="0"/>
        <v>1.3776381771091641E-2</v>
      </c>
      <c r="E11" s="6"/>
      <c r="F11" s="6" t="s">
        <v>1260</v>
      </c>
      <c r="G11" s="72">
        <f>SUMIFS(GELIR_GIDER!$G$7:$G$1000,GELIR_GIDER!$D$7:$D$1000,"Gider",GELIR_GIDER!$I$7:$I$1000,"Evet",GELIR_GIDER!$E$7:$E$1000,F11)</f>
        <v>137500</v>
      </c>
      <c r="H11" s="6">
        <f t="shared" si="1"/>
        <v>0.11494848828024505</v>
      </c>
      <c r="I11" s="6"/>
      <c r="J11" s="6"/>
      <c r="K11" s="6"/>
      <c r="L11" s="6"/>
      <c r="M11" s="6"/>
      <c r="N11" s="6"/>
      <c r="O11" s="6"/>
    </row>
    <row r="12" spans="1:15" ht="16">
      <c r="A12" s="6"/>
      <c r="B12" s="6" t="s">
        <v>1415</v>
      </c>
      <c r="C12" s="72">
        <f>SUMIFS(GELIR_GIDER!$G$7:$G$1000,GELIR_GIDER!$D$7:$D$1000,"Gelir",GELIR_GIDER!$I$7:$I$1000,"Evet",GELIR_GIDER!$E$7:$E$1000,B12)</f>
        <v>62550</v>
      </c>
      <c r="D12" s="6">
        <f t="shared" si="0"/>
        <v>2.2979004794180857E-2</v>
      </c>
      <c r="E12" s="6"/>
      <c r="F12" s="6" t="s">
        <v>1279</v>
      </c>
      <c r="G12" s="72">
        <f>SUMIFS(GELIR_GIDER!$G$7:$G$1000,GELIR_GIDER!$D$7:$D$1000,"Gider",GELIR_GIDER!$I$7:$I$1000,"Evet",GELIR_GIDER!$E$7:$E$1000,F12)</f>
        <v>130000</v>
      </c>
      <c r="H12" s="6">
        <f t="shared" si="1"/>
        <v>0.10867857073768623</v>
      </c>
      <c r="I12" s="6"/>
      <c r="J12" s="6"/>
      <c r="K12" s="6"/>
      <c r="L12" s="6"/>
      <c r="M12" s="6"/>
      <c r="N12" s="6"/>
      <c r="O12" s="6"/>
    </row>
    <row r="13" spans="1:15" ht="16">
      <c r="A13" s="6"/>
      <c r="B13" s="6" t="s">
        <v>1505</v>
      </c>
      <c r="C13" s="72">
        <f>SUMIFS(GELIR_GIDER!$G$7:$G$1000,GELIR_GIDER!$D$7:$D$1000,"Gelir",GELIR_GIDER!$I$7:$I$1000,"Evet",GELIR_GIDER!$E$7:$E$1000,B13)</f>
        <v>42300</v>
      </c>
      <c r="D13" s="6">
        <f t="shared" si="0"/>
        <v>1.5539758637791371E-2</v>
      </c>
      <c r="E13" s="6"/>
      <c r="F13" s="6" t="s">
        <v>1267</v>
      </c>
      <c r="G13" s="72">
        <f>SUMIFS(GELIR_GIDER!$G$7:$G$1000,GELIR_GIDER!$D$7:$D$1000,"Gider",GELIR_GIDER!$I$7:$I$1000,"Evet",GELIR_GIDER!$E$7:$E$1000,F13)</f>
        <v>429700</v>
      </c>
      <c r="H13" s="6">
        <f t="shared" si="1"/>
        <v>0.35922447573833671</v>
      </c>
      <c r="I13" s="6"/>
      <c r="J13" s="6"/>
      <c r="K13" s="6"/>
      <c r="L13" s="6"/>
      <c r="M13" s="6"/>
      <c r="N13" s="6"/>
      <c r="O13" s="6"/>
    </row>
    <row r="14" spans="1:15" ht="16">
      <c r="A14" s="6"/>
      <c r="B14" s="6" t="s">
        <v>1610</v>
      </c>
      <c r="C14" s="72">
        <f>SUMIFS(GELIR_GIDER!$G$7:$G$1000,GELIR_GIDER!$D$7:$D$1000,"Gelir",GELIR_GIDER!$I$7:$I$1000,"Evet",GELIR_GIDER!$E$7:$E$1000,B14)</f>
        <v>0</v>
      </c>
      <c r="D14" s="6">
        <f t="shared" si="0"/>
        <v>0</v>
      </c>
      <c r="E14" s="6"/>
      <c r="F14" s="6" t="s">
        <v>1237</v>
      </c>
      <c r="G14" s="72">
        <f>SUMIFS(GELIR_GIDER!$G$7:$G$1000,GELIR_GIDER!$D$7:$D$1000,"Gider",GELIR_GIDER!$I$7:$I$1000,"Evet",GELIR_GIDER!$E$7:$E$1000,F14)</f>
        <v>12680</v>
      </c>
      <c r="H14" s="6">
        <f t="shared" si="1"/>
        <v>1.060034059195278E-2</v>
      </c>
      <c r="I14" s="6"/>
      <c r="J14" s="6"/>
      <c r="K14" s="6"/>
      <c r="L14" s="6"/>
      <c r="M14" s="6"/>
      <c r="N14" s="6"/>
      <c r="O14" s="6"/>
    </row>
    <row r="15" spans="1:15" ht="16">
      <c r="A15" s="6"/>
      <c r="B15" s="6" t="s">
        <v>1606</v>
      </c>
      <c r="C15" s="72">
        <f>SUMIFS(GELIR_GIDER!$G$7:$G$1000,GELIR_GIDER!$D$7:$D$1000,"Gelir",GELIR_GIDER!$I$7:$I$1000,"Evet",GELIR_GIDER!$E$7:$E$1000,B15)</f>
        <v>0</v>
      </c>
      <c r="D15" s="6">
        <f t="shared" si="0"/>
        <v>0</v>
      </c>
      <c r="E15" s="6"/>
      <c r="F15" s="6" t="s">
        <v>1255</v>
      </c>
      <c r="G15" s="72">
        <f>SUMIFS(GELIR_GIDER!$G$7:$G$1000,GELIR_GIDER!$D$7:$D$1000,"Gider",GELIR_GIDER!$I$7:$I$1000,"Evet",GELIR_GIDER!$E$7:$E$1000,F15)</f>
        <v>15323.3</v>
      </c>
      <c r="H15" s="6">
        <f t="shared" si="1"/>
        <v>1.281011033065221E-2</v>
      </c>
      <c r="I15" s="6"/>
      <c r="J15" s="6"/>
      <c r="K15" s="6"/>
      <c r="L15" s="6"/>
      <c r="M15" s="6"/>
      <c r="N15" s="6"/>
      <c r="O15" s="6"/>
    </row>
    <row r="16" spans="1:15" ht="16">
      <c r="A16" s="6"/>
      <c r="B16" s="6" t="s">
        <v>1772</v>
      </c>
      <c r="C16" s="72">
        <f>SUMIFS(GELIR_GIDER!$G$7:$G$1000,GELIR_GIDER!$D$7:$D$1000,"Gelir",GELIR_GIDER!$I$7:$I$1000,"Evet",GELIR_GIDER!$E$7:$E$1000,B16)</f>
        <v>0</v>
      </c>
      <c r="D16" s="6">
        <f t="shared" si="0"/>
        <v>0</v>
      </c>
      <c r="E16" s="6"/>
      <c r="F16" s="6" t="s">
        <v>1252</v>
      </c>
      <c r="G16" s="72">
        <f>SUMIFS(GELIR_GIDER!$G$7:$G$1000,GELIR_GIDER!$D$7:$D$1000,"Gider",GELIR_GIDER!$I$7:$I$1000,"Evet",GELIR_GIDER!$E$7:$E$1000,F16)</f>
        <v>57050</v>
      </c>
      <c r="H16" s="6">
        <f t="shared" si="1"/>
        <v>4.7693172773730766E-2</v>
      </c>
      <c r="I16" s="6"/>
      <c r="J16" s="6"/>
      <c r="K16" s="6"/>
      <c r="L16" s="6"/>
      <c r="M16" s="6"/>
      <c r="N16" s="6"/>
      <c r="O16" s="6"/>
    </row>
    <row r="17" spans="1:15" ht="16">
      <c r="A17" s="6"/>
      <c r="B17" s="6"/>
      <c r="C17" s="72"/>
      <c r="D17" s="6"/>
      <c r="E17" s="6"/>
      <c r="F17" s="6" t="s">
        <v>1272</v>
      </c>
      <c r="G17" s="72">
        <f>SUMIFS(GELIR_GIDER!$G$7:$G$1000,GELIR_GIDER!$D$7:$D$1000,"Gider",GELIR_GIDER!$I$7:$I$1000,"Evet",GELIR_GIDER!$E$7:$E$1000,F17)</f>
        <v>257772.86</v>
      </c>
      <c r="H17" s="6">
        <f t="shared" si="1"/>
        <v>0.21549527692127451</v>
      </c>
      <c r="I17" s="6"/>
      <c r="J17" s="6"/>
      <c r="K17" s="6"/>
      <c r="L17" s="6"/>
      <c r="M17" s="6"/>
      <c r="N17" s="6"/>
      <c r="O17" s="6"/>
    </row>
    <row r="18" spans="1:15" ht="16">
      <c r="A18" s="6"/>
      <c r="B18" s="6"/>
      <c r="C18" s="72"/>
      <c r="D18" s="6"/>
      <c r="E18" s="6"/>
      <c r="F18" s="6" t="s">
        <v>1388</v>
      </c>
      <c r="G18" s="72">
        <f>SUMIFS(GELIR_GIDER!$G$7:$G$1000,GELIR_GIDER!$D$7:$D$1000,"Gider",GELIR_GIDER!$I$7:$I$1000,"Evet",GELIR_GIDER!$E$7:$E$1000,F18)</f>
        <v>11900</v>
      </c>
      <c r="H18" s="6">
        <f t="shared" si="1"/>
        <v>9.9482691675266618E-3</v>
      </c>
      <c r="I18" s="6"/>
      <c r="J18" s="6"/>
      <c r="K18" s="6"/>
      <c r="L18" s="6"/>
      <c r="M18" s="6"/>
      <c r="N18" s="6"/>
      <c r="O18" s="6"/>
    </row>
    <row r="19" spans="1:15" ht="16">
      <c r="A19" s="6"/>
      <c r="B19" s="6"/>
      <c r="C19" s="72"/>
      <c r="D19" s="6"/>
      <c r="E19" s="6"/>
      <c r="F19" s="6"/>
      <c r="G19" s="72"/>
      <c r="H19" s="6"/>
      <c r="I19" s="6"/>
      <c r="J19" s="6"/>
      <c r="K19" s="6"/>
      <c r="L19" s="6"/>
      <c r="M19" s="6"/>
      <c r="N19" s="6"/>
      <c r="O19" s="6"/>
    </row>
    <row r="20" spans="1:15" ht="16">
      <c r="A20" s="6"/>
      <c r="B20" s="6" t="s">
        <v>1773</v>
      </c>
      <c r="C20" s="72">
        <f>SUM(C7:C16)</f>
        <v>2722050</v>
      </c>
      <c r="D20" s="6"/>
      <c r="E20" s="6"/>
      <c r="F20" s="6" t="s">
        <v>1774</v>
      </c>
      <c r="G20" s="72">
        <f>SUM(G7:G18)</f>
        <v>1196187.98</v>
      </c>
      <c r="H20" s="6"/>
      <c r="I20" s="6"/>
      <c r="J20" s="6"/>
      <c r="K20" s="6"/>
      <c r="L20" s="6"/>
      <c r="M20" s="6"/>
      <c r="N20" s="6"/>
      <c r="O20" s="6"/>
    </row>
    <row r="21" spans="1:15" ht="16">
      <c r="A21" s="6"/>
      <c r="B21" s="6"/>
      <c r="C21" s="72"/>
      <c r="D21" s="6"/>
      <c r="E21" s="6"/>
      <c r="F21" s="6"/>
      <c r="G21" s="13"/>
      <c r="H21" s="6"/>
      <c r="I21" s="6"/>
      <c r="J21" s="6"/>
      <c r="K21" s="6"/>
      <c r="L21" s="6"/>
      <c r="M21" s="6"/>
      <c r="N21" s="6"/>
      <c r="O21" s="6"/>
    </row>
    <row r="22" spans="1:15" ht="16">
      <c r="A22" s="6"/>
      <c r="B22" s="6" t="s">
        <v>427</v>
      </c>
      <c r="C22" s="72">
        <f>C20-G20</f>
        <v>1525862.02</v>
      </c>
      <c r="D22" s="6"/>
      <c r="E22" s="6"/>
      <c r="F22" s="6"/>
      <c r="G22" s="13"/>
      <c r="H22" s="6"/>
      <c r="I22" s="6"/>
      <c r="J22" s="6"/>
      <c r="K22" s="6"/>
      <c r="L22" s="6"/>
      <c r="M22" s="6"/>
      <c r="N22" s="6"/>
      <c r="O22" s="6"/>
    </row>
    <row r="23" spans="1:15" ht="16">
      <c r="A23" s="6"/>
      <c r="B23" s="6"/>
      <c r="C23" s="13"/>
      <c r="D23" s="6"/>
      <c r="E23" s="6"/>
      <c r="F23" s="6"/>
      <c r="G23" s="13"/>
      <c r="H23" s="6"/>
      <c r="I23" s="6"/>
      <c r="J23" s="6"/>
      <c r="K23" s="6"/>
      <c r="L23" s="6"/>
      <c r="M23" s="6"/>
      <c r="N23" s="6"/>
      <c r="O23" s="6"/>
    </row>
    <row r="24" spans="1:15" ht="16">
      <c r="A24" s="6"/>
      <c r="B24" s="6"/>
      <c r="C24" s="13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6">
      <c r="A25" s="6"/>
      <c r="B25" s="17"/>
      <c r="C25" s="18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mergeCells count="5">
    <mergeCell ref="A2:B2"/>
    <mergeCell ref="A4:G4"/>
    <mergeCell ref="C1:O1"/>
    <mergeCell ref="A3:O3"/>
    <mergeCell ref="C2:O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B91C1C"/>
  </sheetPr>
  <dimension ref="A1:N53"/>
  <sheetViews>
    <sheetView showGridLines="0" workbookViewId="0">
      <selection activeCell="I20" sqref="I20"/>
    </sheetView>
  </sheetViews>
  <sheetFormatPr baseColWidth="10" defaultColWidth="8.83203125" defaultRowHeight="14"/>
  <cols>
    <col min="1" max="2" width="10" customWidth="1"/>
    <col min="3" max="3" width="34" customWidth="1"/>
    <col min="4" max="4" width="12" customWidth="1"/>
    <col min="5" max="5" width="14" customWidth="1"/>
    <col min="6" max="6" width="12" customWidth="1"/>
    <col min="7" max="7" width="16" customWidth="1"/>
    <col min="8" max="8" width="14" customWidth="1"/>
    <col min="9" max="9" width="20" customWidth="1"/>
    <col min="10" max="10" width="35" customWidth="1"/>
    <col min="11" max="11" width="46" customWidth="1"/>
  </cols>
  <sheetData>
    <row r="1" spans="1:14" ht="17">
      <c r="A1" s="76" t="str">
        <f>IFERROR(HYPERLINK("#MENU!A1","☰ MENÜ"),"☰ MENÜ")</f>
        <v>☰ MENÜ</v>
      </c>
      <c r="B1" s="83" t="str">
        <f>IFERROR(HYPERLINK("#MENU!A1","↗"),"↗")</f>
        <v>↗</v>
      </c>
      <c r="C1" s="84"/>
      <c r="D1" s="84"/>
      <c r="E1" s="84"/>
      <c r="F1" s="84"/>
      <c r="G1" s="84"/>
      <c r="H1" s="84"/>
      <c r="I1" s="84"/>
      <c r="J1" s="84"/>
      <c r="K1" s="85"/>
      <c r="L1" s="75"/>
      <c r="M1" s="75"/>
      <c r="N1" s="75"/>
    </row>
    <row r="2" spans="1:14" ht="28" customHeight="1">
      <c r="A2" s="222" t="s">
        <v>1775</v>
      </c>
      <c r="B2" s="223"/>
      <c r="C2" s="173"/>
      <c r="D2" s="173"/>
      <c r="E2" s="173"/>
      <c r="F2" s="173"/>
      <c r="G2" s="173"/>
      <c r="H2" s="173"/>
      <c r="I2" s="173"/>
      <c r="J2" s="173"/>
      <c r="K2" s="173"/>
      <c r="L2" s="75"/>
      <c r="M2" s="75"/>
      <c r="N2" s="75"/>
    </row>
    <row r="3" spans="1:14" ht="16">
      <c r="A3" s="75"/>
      <c r="B3" s="255" t="s">
        <v>35</v>
      </c>
      <c r="C3" s="185"/>
      <c r="D3" s="185"/>
      <c r="E3" s="255">
        <f>COUNTIFS($D$6:$D$53,"KRİTİK",$F$6:$F$53,"KALDI")</f>
        <v>2</v>
      </c>
      <c r="F3" s="185"/>
      <c r="G3" s="255" t="s">
        <v>36</v>
      </c>
      <c r="H3" s="185"/>
      <c r="I3" s="255">
        <f>COUNTIF($F$6:$F$53,"UYARI")</f>
        <v>1</v>
      </c>
      <c r="J3" s="185"/>
      <c r="K3" s="86" t="str">
        <f>IF($E$3=0,"RELEASE HAZIR","RELEASE DURDU")</f>
        <v>RELEASE DURDU</v>
      </c>
      <c r="L3" s="75"/>
      <c r="M3" s="75"/>
      <c r="N3" s="75"/>
    </row>
    <row r="4" spans="1:14" ht="24" customHeight="1">
      <c r="A4" s="78" t="str">
        <f>IFERROR(HYPERLINK("#MENU!A1","← MENÜ   │   KONTROL"),"← MENÜ   │   KONTROL")</f>
        <v>← MENÜ   │   KONTROL</v>
      </c>
      <c r="B4" s="75"/>
      <c r="C4" s="75"/>
      <c r="D4" s="75"/>
      <c r="E4" s="75"/>
      <c r="F4" s="75"/>
      <c r="G4" s="75"/>
      <c r="H4" s="79" t="str">
        <f>IFERROR(HYPERLINK("#TAHSILAT!A1","TAHSİLAT"),"TAHSİLAT")</f>
        <v>TAHSİLAT</v>
      </c>
      <c r="I4" s="75"/>
      <c r="J4" s="79" t="str">
        <f>IFERROR(HYPERLINK("#GELIR_GIDER!A1","GELİR / GİDER"),"GELİR / GİDER")</f>
        <v>GELİR / GİDER</v>
      </c>
      <c r="K4" s="75"/>
      <c r="L4" s="79" t="str">
        <f>IFERROR(HYPERLINK("#VIRMAN!A1","VİRMAN"),"VİRMAN")</f>
        <v>VİRMAN</v>
      </c>
      <c r="M4" s="75"/>
      <c r="N4" s="79" t="str">
        <f>IFERROR(HYPERLINK("#RAPOR!A1","RAPOR"),"RAPOR")</f>
        <v>RAPOR</v>
      </c>
    </row>
    <row r="5" spans="1:14" ht="15">
      <c r="B5" s="105" t="s">
        <v>1776</v>
      </c>
      <c r="C5" s="105" t="s">
        <v>417</v>
      </c>
      <c r="D5" s="105" t="s">
        <v>1777</v>
      </c>
      <c r="E5" s="105" t="s">
        <v>1778</v>
      </c>
      <c r="F5" s="105" t="s">
        <v>1779</v>
      </c>
      <c r="G5" s="105" t="s">
        <v>1780</v>
      </c>
      <c r="H5" s="105" t="s">
        <v>1781</v>
      </c>
      <c r="I5" s="105" t="s">
        <v>1782</v>
      </c>
      <c r="J5" s="105" t="s">
        <v>1783</v>
      </c>
      <c r="K5" s="105" t="s">
        <v>1784</v>
      </c>
    </row>
    <row r="6" spans="1:14" ht="26" customHeight="1">
      <c r="B6" s="23" t="s">
        <v>1785</v>
      </c>
      <c r="C6" s="23" t="s">
        <v>1786</v>
      </c>
      <c r="D6" s="23" t="s">
        <v>292</v>
      </c>
      <c r="E6" s="23">
        <f>COUNTIF(MUSTERILER!$O$7:$O$156,"MÜKERRER NO")</f>
        <v>0</v>
      </c>
      <c r="F6" s="23" t="str">
        <f t="shared" ref="F6:F37" si="0">IF(E6=0,"GEÇTİ",IF(D6="UYARI","UYARI","KALDI"))</f>
        <v>GEÇTİ</v>
      </c>
      <c r="G6" s="23" t="s">
        <v>369</v>
      </c>
      <c r="H6" s="23">
        <f t="shared" ref="H6:H53" si="1">E6</f>
        <v>0</v>
      </c>
      <c r="I6" s="23" t="s">
        <v>49</v>
      </c>
      <c r="J6" s="120" t="s">
        <v>1787</v>
      </c>
      <c r="K6" s="120" t="s">
        <v>1788</v>
      </c>
    </row>
    <row r="7" spans="1:14" ht="26" customHeight="1">
      <c r="B7" s="23" t="s">
        <v>1789</v>
      </c>
      <c r="C7" s="23" t="s">
        <v>1790</v>
      </c>
      <c r="D7" s="23" t="s">
        <v>292</v>
      </c>
      <c r="E7" s="23">
        <f>COUNTIF(MUSTERILER!$O$7:$O$156,"EKSİK")</f>
        <v>0</v>
      </c>
      <c r="F7" s="23" t="str">
        <f t="shared" si="0"/>
        <v>GEÇTİ</v>
      </c>
      <c r="G7" s="23" t="s">
        <v>369</v>
      </c>
      <c r="H7" s="23">
        <f t="shared" si="1"/>
        <v>0</v>
      </c>
      <c r="I7" s="23" t="s">
        <v>49</v>
      </c>
      <c r="J7" s="120" t="s">
        <v>1787</v>
      </c>
      <c r="K7" s="120" t="s">
        <v>1791</v>
      </c>
    </row>
    <row r="8" spans="1:14" ht="26" customHeight="1">
      <c r="B8" s="23" t="s">
        <v>1792</v>
      </c>
      <c r="C8" s="23" t="s">
        <v>1793</v>
      </c>
      <c r="D8" s="23" t="s">
        <v>292</v>
      </c>
      <c r="E8" s="23">
        <f>COUNTIF(UCRETLER!$K$7:$K$306,"TANIMSIZ MÜŞTERİ")</f>
        <v>0</v>
      </c>
      <c r="F8" s="23" t="str">
        <f t="shared" si="0"/>
        <v>GEÇTİ</v>
      </c>
      <c r="G8" s="23" t="s">
        <v>369</v>
      </c>
      <c r="H8" s="23">
        <f t="shared" si="1"/>
        <v>0</v>
      </c>
      <c r="I8" s="23" t="s">
        <v>53</v>
      </c>
      <c r="J8" s="120" t="s">
        <v>1794</v>
      </c>
      <c r="K8" s="120" t="s">
        <v>1795</v>
      </c>
    </row>
    <row r="9" spans="1:14" ht="26" customHeight="1">
      <c r="B9" s="23" t="s">
        <v>1796</v>
      </c>
      <c r="C9" s="23" t="s">
        <v>1797</v>
      </c>
      <c r="D9" s="23" t="s">
        <v>292</v>
      </c>
      <c r="E9" s="23">
        <f>COUNTIF(UCRETLER!$K$7:$K$306,"EKSİK")</f>
        <v>0</v>
      </c>
      <c r="F9" s="23" t="str">
        <f t="shared" si="0"/>
        <v>GEÇTİ</v>
      </c>
      <c r="G9" s="23" t="s">
        <v>369</v>
      </c>
      <c r="H9" s="23">
        <f t="shared" si="1"/>
        <v>0</v>
      </c>
      <c r="I9" s="23" t="s">
        <v>53</v>
      </c>
      <c r="J9" s="120" t="s">
        <v>1794</v>
      </c>
      <c r="K9" s="120" t="s">
        <v>1798</v>
      </c>
    </row>
    <row r="10" spans="1:14" ht="26" customHeight="1">
      <c r="B10" s="23" t="s">
        <v>1799</v>
      </c>
      <c r="C10" s="23" t="s">
        <v>1800</v>
      </c>
      <c r="D10" s="23" t="s">
        <v>292</v>
      </c>
      <c r="E10" s="23">
        <f>COUNTIF(TAHSILAT!$M$7:$M$1006,"TANIMSIZ MÜŞTERİ")</f>
        <v>0</v>
      </c>
      <c r="F10" s="23" t="str">
        <f t="shared" si="0"/>
        <v>GEÇTİ</v>
      </c>
      <c r="G10" s="23" t="s">
        <v>369</v>
      </c>
      <c r="H10" s="23">
        <f t="shared" si="1"/>
        <v>0</v>
      </c>
      <c r="I10" s="23" t="s">
        <v>57</v>
      </c>
      <c r="J10" s="120" t="s">
        <v>1801</v>
      </c>
      <c r="K10" s="120" t="s">
        <v>1802</v>
      </c>
    </row>
    <row r="11" spans="1:14" ht="26" customHeight="1">
      <c r="B11" s="23" t="s">
        <v>1803</v>
      </c>
      <c r="C11" s="23" t="s">
        <v>1804</v>
      </c>
      <c r="D11" s="23" t="s">
        <v>292</v>
      </c>
      <c r="E11" s="23">
        <f>COUNTIF(TAHSILAT!$M$7:$M$1006,"EKSİK")</f>
        <v>0</v>
      </c>
      <c r="F11" s="23" t="str">
        <f t="shared" si="0"/>
        <v>GEÇTİ</v>
      </c>
      <c r="G11" s="23" t="s">
        <v>369</v>
      </c>
      <c r="H11" s="23">
        <f t="shared" si="1"/>
        <v>0</v>
      </c>
      <c r="I11" s="23" t="s">
        <v>57</v>
      </c>
      <c r="J11" s="120" t="s">
        <v>1801</v>
      </c>
      <c r="K11" s="120" t="s">
        <v>1805</v>
      </c>
    </row>
    <row r="12" spans="1:14" ht="26" customHeight="1">
      <c r="B12" s="23" t="s">
        <v>1806</v>
      </c>
      <c r="C12" s="23" t="s">
        <v>1807</v>
      </c>
      <c r="D12" s="23" t="s">
        <v>292</v>
      </c>
      <c r="E12" s="23">
        <f>COUNTIFS(TAHSILAT!$C$7:$C$1006,"&lt;&gt;",TAHSILAT!$F$7:$F$1006,"&lt;=0")</f>
        <v>0</v>
      </c>
      <c r="F12" s="23" t="str">
        <f t="shared" si="0"/>
        <v>GEÇTİ</v>
      </c>
      <c r="G12" s="23" t="s">
        <v>369</v>
      </c>
      <c r="H12" s="23">
        <f t="shared" si="1"/>
        <v>0</v>
      </c>
      <c r="I12" s="23" t="s">
        <v>57</v>
      </c>
      <c r="J12" s="120" t="s">
        <v>1808</v>
      </c>
      <c r="K12" s="120" t="s">
        <v>1809</v>
      </c>
    </row>
    <row r="13" spans="1:14" ht="26" customHeight="1">
      <c r="B13" s="23" t="s">
        <v>1810</v>
      </c>
      <c r="C13" s="23" t="s">
        <v>1811</v>
      </c>
      <c r="D13" s="23" t="s">
        <v>292</v>
      </c>
      <c r="E13" s="23">
        <f>COUNTIFS(TAHSILAT!$G$7:$G$1006,"MERKEZ KASA",TAHSILAT!$H$7:$H$1006,"Mahsup")</f>
        <v>0</v>
      </c>
      <c r="F13" s="23" t="str">
        <f t="shared" si="0"/>
        <v>GEÇTİ</v>
      </c>
      <c r="G13" s="23" t="s">
        <v>369</v>
      </c>
      <c r="H13" s="23">
        <f t="shared" si="1"/>
        <v>0</v>
      </c>
      <c r="I13" s="23" t="s">
        <v>57</v>
      </c>
      <c r="J13" s="120" t="s">
        <v>1812</v>
      </c>
      <c r="K13" s="120" t="s">
        <v>1813</v>
      </c>
    </row>
    <row r="14" spans="1:14" ht="26" customHeight="1">
      <c r="B14" s="23" t="s">
        <v>1814</v>
      </c>
      <c r="C14" s="23" t="s">
        <v>1815</v>
      </c>
      <c r="D14" s="23" t="s">
        <v>292</v>
      </c>
      <c r="E14" s="23">
        <f>COUNTIF(GELIR_GIDER!$P$7:$P$1000,"TANIMSIZ BORÇLU")</f>
        <v>0</v>
      </c>
      <c r="F14" s="23" t="str">
        <f t="shared" si="0"/>
        <v>GEÇTİ</v>
      </c>
      <c r="G14" s="23" t="s">
        <v>369</v>
      </c>
      <c r="H14" s="23">
        <f t="shared" si="1"/>
        <v>0</v>
      </c>
      <c r="I14" s="23" t="s">
        <v>61</v>
      </c>
      <c r="J14" s="120" t="s">
        <v>1816</v>
      </c>
      <c r="K14" s="120" t="s">
        <v>1817</v>
      </c>
    </row>
    <row r="15" spans="1:14" ht="26" customHeight="1">
      <c r="B15" s="23" t="s">
        <v>1818</v>
      </c>
      <c r="C15" s="23" t="s">
        <v>1819</v>
      </c>
      <c r="D15" s="23" t="s">
        <v>292</v>
      </c>
      <c r="E15" s="23">
        <f>COUNTIF(GELIR_GIDER!$P$7:$P$1000,"NAKİTSİZDE KASA OLMAZ")</f>
        <v>0</v>
      </c>
      <c r="F15" s="23" t="str">
        <f t="shared" si="0"/>
        <v>GEÇTİ</v>
      </c>
      <c r="G15" s="23" t="s">
        <v>369</v>
      </c>
      <c r="H15" s="23">
        <f t="shared" si="1"/>
        <v>0</v>
      </c>
      <c r="I15" s="23" t="s">
        <v>61</v>
      </c>
      <c r="J15" s="120" t="s">
        <v>1820</v>
      </c>
      <c r="K15" s="120" t="s">
        <v>1821</v>
      </c>
    </row>
    <row r="16" spans="1:14" ht="26" customHeight="1">
      <c r="B16" s="23" t="s">
        <v>1822</v>
      </c>
      <c r="C16" s="23" t="s">
        <v>1823</v>
      </c>
      <c r="D16" s="23" t="s">
        <v>292</v>
      </c>
      <c r="E16" s="23">
        <f>COUNTIF(GELIR_GIDER!$P$7:$P$1000,"TAHAKKUK NAKİT OLAMAZ")</f>
        <v>0</v>
      </c>
      <c r="F16" s="23" t="str">
        <f t="shared" si="0"/>
        <v>GEÇTİ</v>
      </c>
      <c r="G16" s="23" t="s">
        <v>369</v>
      </c>
      <c r="H16" s="23">
        <f t="shared" si="1"/>
        <v>0</v>
      </c>
      <c r="I16" s="23" t="s">
        <v>61</v>
      </c>
      <c r="J16" s="120" t="s">
        <v>1824</v>
      </c>
      <c r="K16" s="120" t="s">
        <v>1825</v>
      </c>
    </row>
    <row r="17" spans="2:11" ht="26" customHeight="1">
      <c r="B17" s="23" t="s">
        <v>1826</v>
      </c>
      <c r="C17" s="23" t="s">
        <v>1827</v>
      </c>
      <c r="D17" s="23" t="s">
        <v>292</v>
      </c>
      <c r="E17" s="23">
        <f>COUNTIF(GELIR_GIDER!$P$7:$P$1000,"EKSİK")</f>
        <v>0</v>
      </c>
      <c r="F17" s="23" t="str">
        <f t="shared" si="0"/>
        <v>GEÇTİ</v>
      </c>
      <c r="G17" s="23" t="s">
        <v>369</v>
      </c>
      <c r="H17" s="23">
        <f t="shared" si="1"/>
        <v>0</v>
      </c>
      <c r="I17" s="23" t="s">
        <v>61</v>
      </c>
      <c r="J17" s="120" t="s">
        <v>1816</v>
      </c>
      <c r="K17" s="120" t="s">
        <v>1828</v>
      </c>
    </row>
    <row r="18" spans="2:11" ht="26" customHeight="1">
      <c r="B18" s="23" t="s">
        <v>1829</v>
      </c>
      <c r="C18" s="23" t="s">
        <v>1830</v>
      </c>
      <c r="D18" s="23" t="s">
        <v>292</v>
      </c>
      <c r="E18" s="23">
        <f>COUNTIFS(GELIR_GIDER!$C$7:$C$1000,"&lt;&gt;",GELIR_GIDER!$G$7:$G$1000,"&lt;=0")</f>
        <v>0</v>
      </c>
      <c r="F18" s="23" t="str">
        <f t="shared" si="0"/>
        <v>GEÇTİ</v>
      </c>
      <c r="G18" s="23" t="s">
        <v>369</v>
      </c>
      <c r="H18" s="23">
        <f t="shared" si="1"/>
        <v>0</v>
      </c>
      <c r="I18" s="23" t="s">
        <v>61</v>
      </c>
      <c r="J18" s="120" t="s">
        <v>1831</v>
      </c>
      <c r="K18" s="120" t="s">
        <v>1809</v>
      </c>
    </row>
    <row r="19" spans="2:11" ht="26" customHeight="1">
      <c r="B19" s="23" t="s">
        <v>1832</v>
      </c>
      <c r="C19" s="23" t="s">
        <v>1833</v>
      </c>
      <c r="D19" s="23" t="s">
        <v>292</v>
      </c>
      <c r="E19" s="23">
        <f>COUNTIFS(GELIR_GIDER!$D$7:$D$1000,"Gelir",GELIR_GIDER!$I$7:$I$1000,"Evet",GELIR_GIDER!$H$7:$H$1000,"")</f>
        <v>0</v>
      </c>
      <c r="F19" s="23" t="str">
        <f t="shared" si="0"/>
        <v>GEÇTİ</v>
      </c>
      <c r="G19" s="23" t="s">
        <v>369</v>
      </c>
      <c r="H19" s="23">
        <f t="shared" si="1"/>
        <v>0</v>
      </c>
      <c r="I19" s="23" t="s">
        <v>61</v>
      </c>
      <c r="J19" s="120" t="s">
        <v>1834</v>
      </c>
      <c r="K19" s="120" t="s">
        <v>1835</v>
      </c>
    </row>
    <row r="20" spans="2:11" ht="26" customHeight="1">
      <c r="B20" s="23" t="s">
        <v>1836</v>
      </c>
      <c r="C20" s="23" t="s">
        <v>1837</v>
      </c>
      <c r="D20" s="23" t="s">
        <v>292</v>
      </c>
      <c r="E20" s="23">
        <f>COUNTIFS(GELIR_GIDER!$D$7:$D$1000,"Gider",GELIR_GIDER!$I$7:$I$1000,"Evet",GELIR_GIDER!$H$7:$H$1000,"")</f>
        <v>0</v>
      </c>
      <c r="F20" s="23" t="str">
        <f t="shared" si="0"/>
        <v>GEÇTİ</v>
      </c>
      <c r="G20" s="23" t="s">
        <v>369</v>
      </c>
      <c r="H20" s="23">
        <f t="shared" si="1"/>
        <v>0</v>
      </c>
      <c r="I20" s="23" t="s">
        <v>61</v>
      </c>
      <c r="J20" s="120" t="s">
        <v>1834</v>
      </c>
      <c r="K20" s="120" t="s">
        <v>1838</v>
      </c>
    </row>
    <row r="21" spans="2:11" ht="26" customHeight="1">
      <c r="B21" s="23" t="s">
        <v>1839</v>
      </c>
      <c r="C21" s="23" t="s">
        <v>1840</v>
      </c>
      <c r="D21" s="23" t="s">
        <v>292</v>
      </c>
      <c r="E21" s="23">
        <f>COUNTIFS(GELIR_GIDER!$D$7:$D$1000,"Gelir",GELIR_GIDER!$I$7:$I$1000,"Hayır",GELIR_GIDER!$L$7:$L$1000,"")</f>
        <v>0</v>
      </c>
      <c r="F21" s="23" t="str">
        <f t="shared" si="0"/>
        <v>GEÇTİ</v>
      </c>
      <c r="G21" s="23" t="s">
        <v>369</v>
      </c>
      <c r="H21" s="23">
        <f t="shared" si="1"/>
        <v>0</v>
      </c>
      <c r="I21" s="23" t="s">
        <v>61</v>
      </c>
      <c r="J21" s="120" t="s">
        <v>1841</v>
      </c>
      <c r="K21" s="120" t="s">
        <v>1842</v>
      </c>
    </row>
    <row r="22" spans="2:11" ht="26" customHeight="1">
      <c r="B22" s="23" t="s">
        <v>1843</v>
      </c>
      <c r="C22" s="23" t="s">
        <v>1844</v>
      </c>
      <c r="D22" s="23" t="s">
        <v>292</v>
      </c>
      <c r="E22" s="23">
        <f>ABS(COUNTA(GELIR_GIDER!$B$210:$B$225)-16)</f>
        <v>0</v>
      </c>
      <c r="F22" s="23" t="str">
        <f t="shared" si="0"/>
        <v>GEÇTİ</v>
      </c>
      <c r="G22" s="23" t="s">
        <v>369</v>
      </c>
      <c r="H22" s="23">
        <f t="shared" si="1"/>
        <v>0</v>
      </c>
      <c r="I22" s="23" t="s">
        <v>61</v>
      </c>
      <c r="J22" s="120" t="s">
        <v>1845</v>
      </c>
      <c r="K22" s="120" t="s">
        <v>1846</v>
      </c>
    </row>
    <row r="23" spans="2:11" ht="26" customHeight="1">
      <c r="B23" s="23" t="s">
        <v>1847</v>
      </c>
      <c r="C23" s="23" t="s">
        <v>1848</v>
      </c>
      <c r="D23" s="23" t="s">
        <v>292</v>
      </c>
      <c r="E23" s="23">
        <f>ABS(SUM(GELIR_GIDER!$G$210:$G$225)-114000)</f>
        <v>0</v>
      </c>
      <c r="F23" s="23" t="str">
        <f t="shared" si="0"/>
        <v>GEÇTİ</v>
      </c>
      <c r="G23" s="23" t="s">
        <v>369</v>
      </c>
      <c r="H23" s="23">
        <f t="shared" si="1"/>
        <v>0</v>
      </c>
      <c r="I23" s="23" t="s">
        <v>61</v>
      </c>
      <c r="J23" s="120" t="s">
        <v>1849</v>
      </c>
      <c r="K23" s="120" t="s">
        <v>1850</v>
      </c>
    </row>
    <row r="24" spans="2:11" ht="26" customHeight="1">
      <c r="B24" s="23" t="s">
        <v>1851</v>
      </c>
      <c r="C24" s="23" t="s">
        <v>1852</v>
      </c>
      <c r="D24" s="23" t="s">
        <v>292</v>
      </c>
      <c r="E24" s="23">
        <f>COUNTIF(GELIR_GIDER!$H$210:$H$225,"&lt;&gt;")+COUNTIF(GELIR_GIDER!$I$210:$I$225,"&lt;&gt;Hayır")+COUNTIF(GELIR_GIDER!$L$210:$L$225,"&lt;&gt;ÖMER KARTAL")</f>
        <v>0</v>
      </c>
      <c r="F24" s="23" t="str">
        <f t="shared" si="0"/>
        <v>GEÇTİ</v>
      </c>
      <c r="G24" s="23" t="s">
        <v>369</v>
      </c>
      <c r="H24" s="23">
        <f t="shared" si="1"/>
        <v>0</v>
      </c>
      <c r="I24" s="23" t="s">
        <v>61</v>
      </c>
      <c r="J24" s="120" t="s">
        <v>1853</v>
      </c>
      <c r="K24" s="120" t="s">
        <v>1854</v>
      </c>
    </row>
    <row r="25" spans="2:11" ht="26" customHeight="1">
      <c r="B25" s="23" t="s">
        <v>1855</v>
      </c>
      <c r="C25" s="23" t="s">
        <v>1856</v>
      </c>
      <c r="D25" s="23" t="s">
        <v>292</v>
      </c>
      <c r="E25" s="23">
        <f>COUNTIF(VIRMAN!$J$7:$J$500,"AYNI HESAP OLAMAZ")</f>
        <v>0</v>
      </c>
      <c r="F25" s="23" t="str">
        <f t="shared" si="0"/>
        <v>GEÇTİ</v>
      </c>
      <c r="G25" s="23" t="s">
        <v>369</v>
      </c>
      <c r="H25" s="23">
        <f t="shared" si="1"/>
        <v>0</v>
      </c>
      <c r="I25" s="23" t="s">
        <v>69</v>
      </c>
      <c r="J25" s="120" t="s">
        <v>1857</v>
      </c>
      <c r="K25" s="120" t="s">
        <v>1858</v>
      </c>
    </row>
    <row r="26" spans="2:11" ht="26" customHeight="1">
      <c r="B26" s="23" t="s">
        <v>1859</v>
      </c>
      <c r="C26" s="23" t="s">
        <v>1860</v>
      </c>
      <c r="D26" s="23" t="s">
        <v>292</v>
      </c>
      <c r="E26" s="23">
        <f>COUNTIF(VIRMAN!$J$7:$J$500,"YANLIŞ VIRMAN")</f>
        <v>0</v>
      </c>
      <c r="F26" s="23" t="str">
        <f t="shared" si="0"/>
        <v>GEÇTİ</v>
      </c>
      <c r="G26" s="23" t="s">
        <v>369</v>
      </c>
      <c r="H26" s="23">
        <f t="shared" si="1"/>
        <v>0</v>
      </c>
      <c r="I26" s="23" t="s">
        <v>69</v>
      </c>
      <c r="J26" s="120" t="s">
        <v>1857</v>
      </c>
      <c r="K26" s="120" t="s">
        <v>1861</v>
      </c>
    </row>
    <row r="27" spans="2:11" ht="26" customHeight="1">
      <c r="B27" s="23" t="s">
        <v>1862</v>
      </c>
      <c r="C27" s="23" t="s">
        <v>1863</v>
      </c>
      <c r="D27" s="23" t="s">
        <v>292</v>
      </c>
      <c r="E27" s="23">
        <f>COUNTIF(VIRMAN!$J$7:$J$500,"EKSİK")</f>
        <v>0</v>
      </c>
      <c r="F27" s="23" t="str">
        <f t="shared" si="0"/>
        <v>GEÇTİ</v>
      </c>
      <c r="G27" s="23" t="s">
        <v>369</v>
      </c>
      <c r="H27" s="23">
        <f t="shared" si="1"/>
        <v>0</v>
      </c>
      <c r="I27" s="23" t="s">
        <v>69</v>
      </c>
      <c r="J27" s="120" t="s">
        <v>1864</v>
      </c>
      <c r="K27" s="120" t="s">
        <v>1865</v>
      </c>
    </row>
    <row r="28" spans="2:11" ht="26" customHeight="1">
      <c r="B28" s="23" t="s">
        <v>1866</v>
      </c>
      <c r="C28" s="23" t="s">
        <v>1867</v>
      </c>
      <c r="D28" s="23" t="s">
        <v>292</v>
      </c>
      <c r="E28" s="23">
        <f>COUNTIFS(VIRMAN!$C$7:$C$500,"&lt;&gt;",VIRMAN!$F$7:$F$500,"&lt;=0")</f>
        <v>0</v>
      </c>
      <c r="F28" s="23" t="str">
        <f t="shared" si="0"/>
        <v>GEÇTİ</v>
      </c>
      <c r="G28" s="23" t="s">
        <v>369</v>
      </c>
      <c r="H28" s="23">
        <f t="shared" si="1"/>
        <v>0</v>
      </c>
      <c r="I28" s="23" t="s">
        <v>69</v>
      </c>
      <c r="J28" s="120" t="s">
        <v>1868</v>
      </c>
      <c r="K28" s="120" t="s">
        <v>1809</v>
      </c>
    </row>
    <row r="29" spans="2:11" ht="26" customHeight="1">
      <c r="B29" s="23" t="s">
        <v>1869</v>
      </c>
      <c r="C29" s="23" t="s">
        <v>1870</v>
      </c>
      <c r="D29" s="23" t="s">
        <v>292</v>
      </c>
      <c r="E29" s="23">
        <f>COUNTIFS(VIRMAN!$D$7:$D$500,"MERKEZ KASA",VIRMAN!$E$7:$E$500,"ÖMER KARTAL",VIRMAN!$G$7:$G$500,"*MUHASEBE ÜCRETİ*")+COUNTIFS(VIRMAN!$D$7:$D$500,"MERKEZ KASA",VIRMAN!$E$7:$E$500,"ÖMER KARTAL",VIRMAN!$G$7:$G$500,"*SGK*")</f>
        <v>0</v>
      </c>
      <c r="F29" s="23" t="str">
        <f t="shared" si="0"/>
        <v>GEÇTİ</v>
      </c>
      <c r="G29" s="23" t="s">
        <v>369</v>
      </c>
      <c r="H29" s="23">
        <f t="shared" si="1"/>
        <v>0</v>
      </c>
      <c r="I29" s="23" t="s">
        <v>69</v>
      </c>
      <c r="J29" s="120" t="s">
        <v>1871</v>
      </c>
      <c r="K29" s="120" t="s">
        <v>1872</v>
      </c>
    </row>
    <row r="30" spans="2:11" ht="26" customHeight="1">
      <c r="B30" s="23" t="s">
        <v>1873</v>
      </c>
      <c r="C30" s="23" t="s">
        <v>1874</v>
      </c>
      <c r="D30" s="23" t="s">
        <v>292</v>
      </c>
      <c r="E30" s="23">
        <f>COUNTIFS(VIRMAN!$D$7:$D$500,"MERKEZ KASA",VIRMAN!$E$7:$E$500,"ÖMER KARTAL",VIRMAN!$G$7:$G$500,"*MENDERES MAHSUP*")+COUNTIFS(VIRMAN!$D$7:$D$500,"MERKEZ KASA",VIRMAN!$E$7:$E$500,"ÖMER KARTAL",VIRMAN!$G$7:$G$500,"*GRAND 06 ÖMER BAKİYE*")</f>
        <v>0</v>
      </c>
      <c r="F30" s="23" t="str">
        <f t="shared" si="0"/>
        <v>GEÇTİ</v>
      </c>
      <c r="G30" s="23" t="s">
        <v>369</v>
      </c>
      <c r="H30" s="23">
        <f t="shared" si="1"/>
        <v>0</v>
      </c>
      <c r="I30" s="23" t="s">
        <v>69</v>
      </c>
      <c r="J30" s="120" t="s">
        <v>1871</v>
      </c>
      <c r="K30" s="120" t="s">
        <v>1875</v>
      </c>
    </row>
    <row r="31" spans="2:11" ht="26" customHeight="1">
      <c r="B31" s="23" t="s">
        <v>1876</v>
      </c>
      <c r="C31" s="23" t="s">
        <v>1877</v>
      </c>
      <c r="D31" s="23" t="s">
        <v>292</v>
      </c>
      <c r="E31" s="23">
        <f>ABS(COUNTA(ORTAKLAR!$B$7:$B$8)-2)</f>
        <v>0</v>
      </c>
      <c r="F31" s="23" t="str">
        <f t="shared" si="0"/>
        <v>GEÇTİ</v>
      </c>
      <c r="G31" s="23" t="s">
        <v>369</v>
      </c>
      <c r="H31" s="23">
        <f t="shared" si="1"/>
        <v>0</v>
      </c>
      <c r="I31" s="23" t="s">
        <v>154</v>
      </c>
      <c r="J31" s="120" t="s">
        <v>1878</v>
      </c>
      <c r="K31" s="120" t="s">
        <v>1879</v>
      </c>
    </row>
    <row r="32" spans="2:11" ht="26" customHeight="1">
      <c r="B32" s="23" t="s">
        <v>1880</v>
      </c>
      <c r="C32" s="23" t="s">
        <v>1881</v>
      </c>
      <c r="D32" s="23" t="s">
        <v>292</v>
      </c>
      <c r="E32" s="23">
        <f>ABS(SISTEM!$C$11+SISTEM!$C$12-1)</f>
        <v>0</v>
      </c>
      <c r="F32" s="23" t="str">
        <f t="shared" si="0"/>
        <v>GEÇTİ</v>
      </c>
      <c r="G32" s="23" t="s">
        <v>369</v>
      </c>
      <c r="H32" s="23">
        <f t="shared" si="1"/>
        <v>0</v>
      </c>
      <c r="I32" s="23" t="s">
        <v>160</v>
      </c>
      <c r="J32" s="120" t="s">
        <v>1882</v>
      </c>
      <c r="K32" s="120" t="s">
        <v>1883</v>
      </c>
    </row>
    <row r="33" spans="2:11" ht="26" customHeight="1">
      <c r="B33" s="23" t="s">
        <v>1884</v>
      </c>
      <c r="C33" s="23" t="s">
        <v>1885</v>
      </c>
      <c r="D33" s="23" t="s">
        <v>36</v>
      </c>
      <c r="E33" s="23">
        <f>COUNTIFS(HESAPLAR!$C$7:$C$16,"Kasa",HESAPLAR!$K$7:$K$16,"&lt;0")+COUNTIFS(HESAPLAR!$C$7:$C$16,"Banka",HESAPLAR!$K$7:$K$16,"&lt;0")</f>
        <v>1</v>
      </c>
      <c r="F33" s="23" t="str">
        <f t="shared" si="0"/>
        <v>UYARI</v>
      </c>
      <c r="G33" s="23" t="s">
        <v>369</v>
      </c>
      <c r="H33" s="23">
        <f t="shared" si="1"/>
        <v>1</v>
      </c>
      <c r="I33" s="23" t="s">
        <v>145</v>
      </c>
      <c r="J33" s="120" t="s">
        <v>1886</v>
      </c>
      <c r="K33" s="120" t="s">
        <v>1887</v>
      </c>
    </row>
    <row r="34" spans="2:11" ht="26" customHeight="1">
      <c r="B34" s="23" t="s">
        <v>1888</v>
      </c>
      <c r="C34" s="23" t="s">
        <v>1889</v>
      </c>
      <c r="D34" s="23" t="s">
        <v>292</v>
      </c>
      <c r="E34" s="23">
        <f>--(COUNTIF(LST_BORCLU_TARAF,SISTEM!$C$9)=0)+--(COUNTIF(LST_BORCLU_TARAF,SISTEM!$C$10)=0)</f>
        <v>0</v>
      </c>
      <c r="F34" s="23" t="str">
        <f t="shared" si="0"/>
        <v>GEÇTİ</v>
      </c>
      <c r="G34" s="23" t="s">
        <v>369</v>
      </c>
      <c r="H34" s="23">
        <f t="shared" si="1"/>
        <v>0</v>
      </c>
      <c r="I34" s="23" t="s">
        <v>160</v>
      </c>
      <c r="J34" s="120" t="s">
        <v>1890</v>
      </c>
      <c r="K34" s="120" t="s">
        <v>1891</v>
      </c>
    </row>
    <row r="35" spans="2:11" ht="26" customHeight="1">
      <c r="B35" s="23" t="s">
        <v>1892</v>
      </c>
      <c r="C35" s="23" t="s">
        <v>1893</v>
      </c>
      <c r="D35" s="23" t="s">
        <v>292</v>
      </c>
      <c r="E35" s="23">
        <f>COUNTIF(GELIR_GIDER!$F$7:$F$1000,"*KÂR PAYI*")</f>
        <v>0</v>
      </c>
      <c r="F35" s="23" t="str">
        <f t="shared" si="0"/>
        <v>GEÇTİ</v>
      </c>
      <c r="G35" s="23" t="s">
        <v>369</v>
      </c>
      <c r="H35" s="23">
        <f t="shared" si="1"/>
        <v>0</v>
      </c>
      <c r="I35" s="23" t="s">
        <v>61</v>
      </c>
      <c r="J35" s="120" t="s">
        <v>1894</v>
      </c>
      <c r="K35" s="120" t="s">
        <v>1895</v>
      </c>
    </row>
    <row r="36" spans="2:11" ht="26" customHeight="1">
      <c r="B36" s="23" t="s">
        <v>1896</v>
      </c>
      <c r="C36" s="23" t="s">
        <v>1897</v>
      </c>
      <c r="D36" s="23" t="s">
        <v>292</v>
      </c>
      <c r="E36" s="23">
        <f>SUMPRODUCT(--(TAHSILAT!$B$7:$B$1006&lt;&gt;""),--(COUNTIF(TAHSILAT!$B$7:$B$1006,TAHSILAT!$B$7:$B$1006)&gt;1))</f>
        <v>0</v>
      </c>
      <c r="F36" s="23" t="str">
        <f t="shared" si="0"/>
        <v>GEÇTİ</v>
      </c>
      <c r="G36" s="23" t="s">
        <v>369</v>
      </c>
      <c r="H36" s="23">
        <f t="shared" si="1"/>
        <v>0</v>
      </c>
      <c r="I36" s="23" t="s">
        <v>57</v>
      </c>
      <c r="J36" s="120" t="s">
        <v>1898</v>
      </c>
      <c r="K36" s="120" t="s">
        <v>1899</v>
      </c>
    </row>
    <row r="37" spans="2:11" ht="26" customHeight="1">
      <c r="B37" s="24" t="s">
        <v>1900</v>
      </c>
      <c r="C37" s="24" t="s">
        <v>1901</v>
      </c>
      <c r="D37" s="24" t="s">
        <v>292</v>
      </c>
      <c r="E37" s="24">
        <f>SUMPRODUCT(--(GELIR_GIDER!$B$7:$B$1000&lt;&gt;""),--(COUNTIF(GELIR_GIDER!$B$7:$B$1000,GELIR_GIDER!$B$7:$B$1000)&gt;1))</f>
        <v>0</v>
      </c>
      <c r="F37" s="24" t="str">
        <f t="shared" si="0"/>
        <v>GEÇTİ</v>
      </c>
      <c r="G37" s="24" t="s">
        <v>369</v>
      </c>
      <c r="H37" s="24">
        <f t="shared" si="1"/>
        <v>0</v>
      </c>
      <c r="I37" s="24" t="s">
        <v>61</v>
      </c>
      <c r="J37" s="121" t="s">
        <v>1902</v>
      </c>
      <c r="K37" s="121" t="s">
        <v>1903</v>
      </c>
    </row>
    <row r="38" spans="2:11" ht="26" customHeight="1">
      <c r="B38" s="2" t="s">
        <v>1904</v>
      </c>
      <c r="C38" s="2" t="s">
        <v>1905</v>
      </c>
      <c r="D38" s="2" t="s">
        <v>292</v>
      </c>
      <c r="E38" s="2">
        <f>ABS(PANO!J6-(SUMIFS(HESAPLAR!$K$7:$K$16,HESAPLAR!$C$7:$C$16,"Kasa")+SUMIFS(HESAPLAR!$K$7:$K$16,HESAPLAR!$C$7:$C$16,"Banka")))</f>
        <v>440300.02</v>
      </c>
      <c r="F38" s="2" t="str">
        <f t="shared" ref="F38:F46" si="2">IF(E38=0,"GEÇTİ","KALDI")</f>
        <v>KALDI</v>
      </c>
      <c r="G38" s="2" t="s">
        <v>1906</v>
      </c>
      <c r="H38" s="2">
        <f t="shared" si="1"/>
        <v>440300.02</v>
      </c>
      <c r="I38" s="2" t="s">
        <v>1907</v>
      </c>
      <c r="J38" s="122" t="s">
        <v>1908</v>
      </c>
      <c r="K38" s="122" t="s">
        <v>1909</v>
      </c>
    </row>
    <row r="39" spans="2:11" ht="26" customHeight="1">
      <c r="B39" s="2" t="s">
        <v>1910</v>
      </c>
      <c r="C39" s="2" t="s">
        <v>1911</v>
      </c>
      <c r="D39" s="2" t="s">
        <v>292</v>
      </c>
      <c r="E39" s="2">
        <f>ABS(RAPOR!E7-(SUMIFS(HESAPLAR!$K$7:$K$16,HESAPLAR!$C$7:$C$16,"Kasa")+SUMIFS(HESAPLAR!$K$7:$K$16,HESAPLAR!$C$7:$C$16,"Banka")))</f>
        <v>0</v>
      </c>
      <c r="F39" s="2" t="str">
        <f t="shared" si="2"/>
        <v>GEÇTİ</v>
      </c>
      <c r="G39" s="2" t="s">
        <v>1906</v>
      </c>
      <c r="H39" s="2">
        <f t="shared" si="1"/>
        <v>0</v>
      </c>
      <c r="I39" s="2" t="s">
        <v>1912</v>
      </c>
      <c r="J39" s="122" t="s">
        <v>1913</v>
      </c>
      <c r="K39" s="122" t="s">
        <v>1914</v>
      </c>
    </row>
    <row r="40" spans="2:11" ht="26" customHeight="1">
      <c r="B40" s="2" t="s">
        <v>1915</v>
      </c>
      <c r="C40" s="2" t="s">
        <v>1916</v>
      </c>
      <c r="D40" s="2" t="s">
        <v>292</v>
      </c>
      <c r="E40" s="2">
        <f>COUNTIF(UCRETLER!$G$69:$G$306,"*")</f>
        <v>0</v>
      </c>
      <c r="F40" s="2" t="str">
        <f t="shared" si="2"/>
        <v>GEÇTİ</v>
      </c>
      <c r="G40" s="2" t="s">
        <v>369</v>
      </c>
      <c r="H40" s="2">
        <f t="shared" si="1"/>
        <v>0</v>
      </c>
      <c r="I40" s="2" t="s">
        <v>53</v>
      </c>
      <c r="J40" s="122" t="s">
        <v>1917</v>
      </c>
      <c r="K40" s="122" t="s">
        <v>1918</v>
      </c>
    </row>
    <row r="41" spans="2:11" ht="26" customHeight="1">
      <c r="B41" s="2" t="s">
        <v>1919</v>
      </c>
      <c r="C41" s="2" t="s">
        <v>1920</v>
      </c>
      <c r="D41" s="2" t="s">
        <v>292</v>
      </c>
      <c r="E41" s="2">
        <f>IF(AND(ISNUMBER(SISTEM!$C$17),SISTEM!$C$17&gt;40000),0,1)</f>
        <v>0</v>
      </c>
      <c r="F41" s="2" t="str">
        <f t="shared" si="2"/>
        <v>GEÇTİ</v>
      </c>
      <c r="G41" s="2" t="s">
        <v>1921</v>
      </c>
      <c r="H41" s="2">
        <f t="shared" si="1"/>
        <v>0</v>
      </c>
      <c r="I41" s="2" t="s">
        <v>160</v>
      </c>
      <c r="J41" s="122" t="s">
        <v>1922</v>
      </c>
      <c r="K41" s="122" t="s">
        <v>1923</v>
      </c>
    </row>
    <row r="42" spans="2:11" ht="26" customHeight="1">
      <c r="B42" s="109" t="s">
        <v>1924</v>
      </c>
      <c r="C42" s="110" t="s">
        <v>1925</v>
      </c>
      <c r="D42" s="110" t="s">
        <v>292</v>
      </c>
      <c r="E42" s="110">
        <f>ABS(ORTAKLAR!G7-(ORTAKLAR!C7+ORTAKLAR!D7+ORTAKLAR!E7-ORTAKLAR!F7))+ABS(ORTAKLAR!G8-(ORTAKLAR!C8+ORTAKLAR!D8+ORTAKLAR!E8-ORTAKLAR!F8))</f>
        <v>0</v>
      </c>
      <c r="F42" s="110" t="str">
        <f t="shared" si="2"/>
        <v>GEÇTİ</v>
      </c>
      <c r="G42" s="110" t="s">
        <v>1906</v>
      </c>
      <c r="H42" s="110">
        <f t="shared" si="1"/>
        <v>0</v>
      </c>
      <c r="I42" s="110" t="s">
        <v>154</v>
      </c>
      <c r="J42" s="123" t="s">
        <v>1926</v>
      </c>
      <c r="K42" s="124" t="s">
        <v>1927</v>
      </c>
    </row>
    <row r="43" spans="2:11" ht="26" customHeight="1">
      <c r="B43" s="111" t="s">
        <v>1928</v>
      </c>
      <c r="C43" s="2" t="s">
        <v>1929</v>
      </c>
      <c r="D43" s="2" t="s">
        <v>292</v>
      </c>
      <c r="E43" s="2">
        <f>ABS(ORTAKLAR!J7-(ORTAKLAR!H7-ORTAKLAR!I7))+ABS(ORTAKLAR!J8-(ORTAKLAR!H8-ORTAKLAR!I8))</f>
        <v>0</v>
      </c>
      <c r="F43" s="2" t="str">
        <f t="shared" si="2"/>
        <v>GEÇTİ</v>
      </c>
      <c r="G43" s="2" t="s">
        <v>1906</v>
      </c>
      <c r="H43" s="2">
        <f t="shared" si="1"/>
        <v>0</v>
      </c>
      <c r="I43" s="2" t="s">
        <v>154</v>
      </c>
      <c r="J43" s="122" t="s">
        <v>1930</v>
      </c>
      <c r="K43" s="125" t="s">
        <v>1931</v>
      </c>
    </row>
    <row r="44" spans="2:11" ht="26" customHeight="1">
      <c r="B44" s="111" t="s">
        <v>1932</v>
      </c>
      <c r="C44" s="2" t="s">
        <v>1933</v>
      </c>
      <c r="D44" s="2" t="s">
        <v>292</v>
      </c>
      <c r="E44" s="2">
        <f>ABS(ORTAKLAR!K7-(ORTAKLAR!G7-ORTAKLAR!J7))+ABS(ORTAKLAR!K8-(ORTAKLAR!G8-ORTAKLAR!J8))</f>
        <v>0</v>
      </c>
      <c r="F44" s="2" t="str">
        <f t="shared" si="2"/>
        <v>GEÇTİ</v>
      </c>
      <c r="G44" s="2" t="s">
        <v>1906</v>
      </c>
      <c r="H44" s="2">
        <f t="shared" si="1"/>
        <v>0</v>
      </c>
      <c r="I44" s="2" t="s">
        <v>154</v>
      </c>
      <c r="J44" s="122" t="s">
        <v>1934</v>
      </c>
      <c r="K44" s="125" t="s">
        <v>1935</v>
      </c>
    </row>
    <row r="45" spans="2:11" ht="26" customHeight="1">
      <c r="B45" s="111" t="s">
        <v>1936</v>
      </c>
      <c r="C45" s="2" t="s">
        <v>1937</v>
      </c>
      <c r="D45" s="2" t="s">
        <v>292</v>
      </c>
      <c r="E45" s="2">
        <f>COUNTIF(GELIR_GIDER!$E$7:$F$1000,"*KÂR PAYI*")</f>
        <v>0</v>
      </c>
      <c r="F45" s="2" t="str">
        <f t="shared" si="2"/>
        <v>GEÇTİ</v>
      </c>
      <c r="G45" s="2" t="s">
        <v>1938</v>
      </c>
      <c r="H45" s="2">
        <f t="shared" si="1"/>
        <v>0</v>
      </c>
      <c r="I45" s="2" t="s">
        <v>61</v>
      </c>
      <c r="J45" s="122" t="s">
        <v>1939</v>
      </c>
      <c r="K45" s="125" t="s">
        <v>1940</v>
      </c>
    </row>
    <row r="46" spans="2:11" ht="26" customHeight="1">
      <c r="B46" s="111" t="s">
        <v>1941</v>
      </c>
      <c r="C46" s="2" t="s">
        <v>1942</v>
      </c>
      <c r="D46" s="2" t="s">
        <v>292</v>
      </c>
      <c r="E46" s="2">
        <f>COUNTIF(GELIR_GIDER!$E$7:$F$1000,"*KÂR PAYI*")</f>
        <v>0</v>
      </c>
      <c r="F46" s="2" t="str">
        <f t="shared" si="2"/>
        <v>GEÇTİ</v>
      </c>
      <c r="G46" s="2" t="s">
        <v>1943</v>
      </c>
      <c r="H46" s="2">
        <f t="shared" si="1"/>
        <v>0</v>
      </c>
      <c r="I46" s="2" t="s">
        <v>1944</v>
      </c>
      <c r="J46" s="122" t="s">
        <v>1945</v>
      </c>
      <c r="K46" s="125" t="s">
        <v>1946</v>
      </c>
    </row>
    <row r="47" spans="2:11" ht="26" customHeight="1">
      <c r="B47" s="111" t="s">
        <v>1947</v>
      </c>
      <c r="C47" s="2" t="s">
        <v>1948</v>
      </c>
      <c r="D47" s="2" t="s">
        <v>36</v>
      </c>
      <c r="E47" s="2">
        <f>COUNTIF(ORTAKLAR!$J$7:$J$8,"&lt;0")</f>
        <v>0</v>
      </c>
      <c r="F47" s="2" t="str">
        <f>IF(E47=0,"GEÇTİ","UYARI")</f>
        <v>GEÇTİ</v>
      </c>
      <c r="G47" s="2" t="s">
        <v>1949</v>
      </c>
      <c r="H47" s="2">
        <f t="shared" si="1"/>
        <v>0</v>
      </c>
      <c r="I47" s="2" t="s">
        <v>154</v>
      </c>
      <c r="J47" s="122" t="s">
        <v>1950</v>
      </c>
      <c r="K47" s="125" t="s">
        <v>1951</v>
      </c>
    </row>
    <row r="48" spans="2:11" ht="26" customHeight="1">
      <c r="B48" s="111" t="s">
        <v>1952</v>
      </c>
      <c r="C48" s="2" t="s">
        <v>1953</v>
      </c>
      <c r="D48" s="2" t="s">
        <v>292</v>
      </c>
      <c r="E48" s="2">
        <f>ABS(COUNTIF(GELIR_GIDER!$B$210:$B$225,"&lt;&gt;")-16)+IF(ABS(SUM(GELIR_GIDER!$G$210:$G$225)-114000)&gt;0.01,1,0)+COUNTIF(GELIR_GIDER!$H$210:$H$225,"&lt;&gt;")+COUNTIF(GELIR_GIDER!$I$210:$I$225,"&lt;&gt;Hayır")+COUNTIF(GELIR_GIDER!$L$210:$L$225,"&lt;&gt;ÖMER KARTAL")</f>
        <v>0</v>
      </c>
      <c r="F48" s="2" t="str">
        <f t="shared" ref="F48:F53" si="3">IF(E48=0,"GEÇTİ","KALDI")</f>
        <v>GEÇTİ</v>
      </c>
      <c r="G48" s="2" t="s">
        <v>1954</v>
      </c>
      <c r="H48" s="2">
        <f t="shared" si="1"/>
        <v>0</v>
      </c>
      <c r="I48" s="2" t="s">
        <v>61</v>
      </c>
      <c r="J48" s="122" t="s">
        <v>1955</v>
      </c>
      <c r="K48" s="125" t="s">
        <v>1956</v>
      </c>
    </row>
    <row r="49" spans="2:11" ht="26" customHeight="1">
      <c r="B49" s="111" t="s">
        <v>1957</v>
      </c>
      <c r="C49" s="2" t="s">
        <v>1958</v>
      </c>
      <c r="D49" s="2" t="s">
        <v>292</v>
      </c>
      <c r="E49" s="2">
        <f>ABS(COUNT(ORTAK_EKSTRE!$E$12:$E$161)-COUNTIFS(TAHSILAT!$G$7:$G$1006,ORTAK_EKSTRE!$C$4,TAHSILAT!$H$7:$H$1006,"&lt;&gt;Mahsup"))+ABS(COUNT(ORTAK_EKSTRE!$K$12:$K$161)-COUNTIFS(GELIR_GIDER!$L$7:$L$1000,ORTAK_EKSTRE!$C$4,GELIR_GIDER!$D$7:$D$1000,"Gelir",GELIR_GIDER!$I$7:$I$1000,"Hayır"))+ABS(COUNT(ORTAK_EKSTRE!$E$167:$E$196)-COUNTIFS(VIRMAN!$E$7:$E$500,ORTAK_EKSTRE!$C$4,VIRMAN!$L$7:$L$500,"NORMAL CARİ TRANSFER"))+ABS(COUNT(ORTAK_EKSTRE!$K$167:$K$196)-COUNTIFS(VIRMAN!$D$7:$D$500,ORTAK_EKSTRE!$C$4,VIRMAN!$L$7:$L$500,"OFİSE GERİ ÖDEME"))+ABS(COUNT(ORTAK_EKSTRE!$E$202:$E$237)-COUNTIFS(VIRMAN!$E$7:$E$500,ORTAK_EKSTRE!$C$4,VIRMAN!$L$7:$L$500,"KÂR PAYI / AVANS"))+ABS(SUM(ORTAK_EKSTRE!$K$202:$K$237)-SUMIFS(ORTAKLAR!$H$7:$H$8,ORTAKLAR!$B$7:$B$8,ORTAK_EKSTRE!$C$4))</f>
        <v>14</v>
      </c>
      <c r="F49" s="2" t="str">
        <f t="shared" si="3"/>
        <v>KALDI</v>
      </c>
      <c r="G49" s="2" t="s">
        <v>1906</v>
      </c>
      <c r="H49" s="2">
        <f t="shared" si="1"/>
        <v>14</v>
      </c>
      <c r="I49" s="2" t="s">
        <v>141</v>
      </c>
      <c r="J49" s="122" t="s">
        <v>1959</v>
      </c>
      <c r="K49" s="125" t="s">
        <v>1960</v>
      </c>
    </row>
    <row r="50" spans="2:11" ht="26" customHeight="1">
      <c r="B50" s="111" t="s">
        <v>1961</v>
      </c>
      <c r="C50" s="2" t="s">
        <v>1962</v>
      </c>
      <c r="D50" s="2" t="s">
        <v>292</v>
      </c>
      <c r="E50" s="2">
        <f>ABS(ORTAKLAR!C8-SUMIFS(TAHSILAT!$F$7:$F$1006,TAHSILAT!$G$7:$G$1006,"ÖMER KARTAL",TAHSILAT!$H$7:$H$1006,"&lt;&gt;Mahsup"))</f>
        <v>0</v>
      </c>
      <c r="F50" s="2" t="str">
        <f t="shared" si="3"/>
        <v>GEÇTİ</v>
      </c>
      <c r="G50" s="2" t="s">
        <v>1906</v>
      </c>
      <c r="H50" s="2">
        <f t="shared" si="1"/>
        <v>0</v>
      </c>
      <c r="I50" s="2" t="s">
        <v>1963</v>
      </c>
      <c r="J50" s="122" t="s">
        <v>1964</v>
      </c>
      <c r="K50" s="125" t="s">
        <v>1965</v>
      </c>
    </row>
    <row r="51" spans="2:11" ht="26" customHeight="1">
      <c r="B51" s="111" t="s">
        <v>1966</v>
      </c>
      <c r="C51" s="2" t="s">
        <v>1967</v>
      </c>
      <c r="D51" s="2" t="s">
        <v>292</v>
      </c>
      <c r="E51" s="2">
        <f>COUNTIFS(TAHSILAT!$H$7:$H$1006,"Mahsup",TAHSILAT!$G$7:$G$1006,"&lt;&gt;CARİ MAHSUP")</f>
        <v>0</v>
      </c>
      <c r="F51" s="2" t="str">
        <f t="shared" si="3"/>
        <v>GEÇTİ</v>
      </c>
      <c r="G51" s="2" t="s">
        <v>1938</v>
      </c>
      <c r="H51" s="2">
        <f t="shared" si="1"/>
        <v>0</v>
      </c>
      <c r="I51" s="2" t="s">
        <v>57</v>
      </c>
      <c r="J51" s="122" t="s">
        <v>1812</v>
      </c>
      <c r="K51" s="125" t="s">
        <v>1968</v>
      </c>
    </row>
    <row r="52" spans="2:11" ht="26" customHeight="1">
      <c r="B52" s="111" t="s">
        <v>1969</v>
      </c>
      <c r="C52" s="2" t="s">
        <v>1970</v>
      </c>
      <c r="D52" s="2" t="s">
        <v>292</v>
      </c>
      <c r="E52" s="2">
        <f>ABS(ORTAKLAR!C8-SUMIFS(TAHSILAT!$F$7:$F$1006,TAHSILAT!$G$7:$G$1006,"ÖMER KARTAL",TAHSILAT!$H$7:$H$1006,"&lt;&gt;Mahsup"))+ABS(ORTAKLAR!D8-SUMIFS(GELIR_GIDER!$G$7:$G$1000,GELIR_GIDER!$L$7:$L$1000,"ÖMER KARTAL",GELIR_GIDER!$D$7:$D$1000,"Gelir",GELIR_GIDER!$I$7:$I$1000,"Hayır"))</f>
        <v>0</v>
      </c>
      <c r="F52" s="2" t="str">
        <f t="shared" si="3"/>
        <v>GEÇTİ</v>
      </c>
      <c r="G52" s="2" t="s">
        <v>1906</v>
      </c>
      <c r="H52" s="2">
        <f t="shared" si="1"/>
        <v>0</v>
      </c>
      <c r="I52" s="2" t="s">
        <v>141</v>
      </c>
      <c r="J52" s="122" t="s">
        <v>1971</v>
      </c>
      <c r="K52" s="125" t="s">
        <v>1972</v>
      </c>
    </row>
    <row r="53" spans="2:11" ht="26" customHeight="1">
      <c r="B53" s="112" t="s">
        <v>1973</v>
      </c>
      <c r="C53" s="113" t="s">
        <v>1974</v>
      </c>
      <c r="D53" s="113" t="s">
        <v>292</v>
      </c>
      <c r="E53" s="113">
        <f>COUNTIFS($F$42:$F$52,"KALDI",$J$42:$J$52,"")+COUNTIFS($F$42:$F$52,"KALDI",$K$42:$K$52,"")</f>
        <v>0</v>
      </c>
      <c r="F53" s="113" t="str">
        <f t="shared" si="3"/>
        <v>GEÇTİ</v>
      </c>
      <c r="G53" s="113" t="s">
        <v>1975</v>
      </c>
      <c r="H53" s="113">
        <f t="shared" si="1"/>
        <v>0</v>
      </c>
      <c r="I53" s="113" t="s">
        <v>32</v>
      </c>
      <c r="J53" s="126" t="s">
        <v>1976</v>
      </c>
      <c r="K53" s="127" t="s">
        <v>1977</v>
      </c>
    </row>
  </sheetData>
  <sheetProtection password="CC3D" sheet="1"/>
  <mergeCells count="5">
    <mergeCell ref="B3:D3"/>
    <mergeCell ref="A2:K2"/>
    <mergeCell ref="G3:H3"/>
    <mergeCell ref="E3:F3"/>
    <mergeCell ref="I3:J3"/>
  </mergeCells>
  <conditionalFormatting sqref="D6:D53">
    <cfRule type="expression" dxfId="27" priority="17">
      <formula>D6="KRİTİK"</formula>
    </cfRule>
    <cfRule type="expression" dxfId="26" priority="17">
      <formula>D6="UYARI"</formula>
    </cfRule>
    <cfRule type="expression" dxfId="25" priority="18">
      <formula>D6="KRİTİK"</formula>
    </cfRule>
    <cfRule type="expression" dxfId="24" priority="19">
      <formula>D6="UYARI"</formula>
    </cfRule>
  </conditionalFormatting>
  <conditionalFormatting sqref="E6:E53">
    <cfRule type="cellIs" dxfId="23" priority="21" operator="greaterThan">
      <formula>0</formula>
    </cfRule>
  </conditionalFormatting>
  <conditionalFormatting sqref="E3:F3">
    <cfRule type="expression" dxfId="22" priority="4">
      <formula>E3=0</formula>
    </cfRule>
    <cfRule type="expression" dxfId="21" priority="5">
      <formula>E3&gt;0</formula>
    </cfRule>
  </conditionalFormatting>
  <conditionalFormatting sqref="F6:F37">
    <cfRule type="expression" dxfId="20" priority="8">
      <formula>F6="GEÇTİ"</formula>
    </cfRule>
    <cfRule type="expression" dxfId="19" priority="9">
      <formula>F6="KALDI"</formula>
    </cfRule>
    <cfRule type="expression" dxfId="18" priority="10">
      <formula>F6="UYARI"</formula>
    </cfRule>
  </conditionalFormatting>
  <conditionalFormatting sqref="F6:F53">
    <cfRule type="expression" dxfId="17" priority="11">
      <formula>F6="GEÇTİ"</formula>
    </cfRule>
    <cfRule type="expression" dxfId="16" priority="12">
      <formula>F6="UYARI"</formula>
    </cfRule>
    <cfRule type="expression" dxfId="15" priority="13">
      <formula>F6="KALDI"</formula>
    </cfRule>
    <cfRule type="expression" dxfId="14" priority="14">
      <formula>F6="GEÇTİ"</formula>
    </cfRule>
    <cfRule type="expression" dxfId="13" priority="15">
      <formula>F6="KALDI"</formula>
    </cfRule>
    <cfRule type="expression" dxfId="12" priority="16">
      <formula>F6="UYARI"</formula>
    </cfRule>
  </conditionalFormatting>
  <conditionalFormatting sqref="J6:K53">
    <cfRule type="expression" dxfId="11" priority="20">
      <formula>$F6="KALDI"</formula>
    </cfRule>
  </conditionalFormatting>
  <conditionalFormatting sqref="K3">
    <cfRule type="expression" dxfId="10" priority="6">
      <formula>E3=0</formula>
    </cfRule>
    <cfRule type="expression" dxfId="9" priority="7">
      <formula>E3&gt;0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75569"/>
  </sheetPr>
  <dimension ref="A1:O63"/>
  <sheetViews>
    <sheetView showGridLines="0" workbookViewId="0">
      <selection activeCell="D15" sqref="D15"/>
    </sheetView>
  </sheetViews>
  <sheetFormatPr baseColWidth="10" defaultColWidth="8.83203125" defaultRowHeight="14"/>
  <cols>
    <col min="1" max="1" width="10" customWidth="1"/>
    <col min="2" max="2" width="28.1640625" customWidth="1"/>
    <col min="3" max="3" width="24" customWidth="1"/>
    <col min="4" max="5" width="18" customWidth="1"/>
    <col min="6" max="6" width="44" customWidth="1"/>
    <col min="7" max="14" width="18" customWidth="1"/>
    <col min="15" max="15" width="24" customWidth="1"/>
  </cols>
  <sheetData>
    <row r="1" spans="1:15" ht="38" customHeight="1">
      <c r="A1" s="76" t="str">
        <f>IFERROR(HYPERLINK("#MENU!A1","☰ MENÜ"),"☰ MENÜ")</f>
        <v>☰ MENÜ</v>
      </c>
      <c r="B1" s="76" t="str">
        <f>IFERROR(HYPERLINK("#MENU!A1","↗"),"↗")</f>
        <v>↗</v>
      </c>
      <c r="C1" s="232" t="s">
        <v>1978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44" customHeight="1">
      <c r="A2" s="244" t="s">
        <v>1979</v>
      </c>
      <c r="B2" s="245"/>
      <c r="C2" s="213" t="s">
        <v>1980</v>
      </c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</row>
    <row r="3" spans="1:15" ht="28" customHeight="1">
      <c r="A3" s="213" t="s">
        <v>1981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</row>
    <row r="4" spans="1:15" ht="24" customHeight="1">
      <c r="A4" s="207" t="str">
        <f>IFERROR(HYPERLINK("#MENU!A1","← MENÜ   │   SİSTEM"),"← MENÜ   │   SİSTEM")</f>
        <v>← MENÜ   │   SİSTEM</v>
      </c>
      <c r="B4" s="208"/>
      <c r="C4" s="208"/>
      <c r="D4" s="208"/>
      <c r="E4" s="208"/>
      <c r="F4" s="208"/>
      <c r="G4" s="209"/>
      <c r="H4" s="79" t="str">
        <f>IFERROR(HYPERLINK("#TAHSILAT!A1","TAHSİLAT"),"TAHSİLAT")</f>
        <v>TAHSİLAT</v>
      </c>
      <c r="I4" s="80"/>
      <c r="J4" s="79" t="str">
        <f>IFERROR(HYPERLINK("#GELIR_GIDER!A1","GELİR / GİDER"),"GELİR / GİDER")</f>
        <v>GELİR / GİDER</v>
      </c>
      <c r="K4" s="80"/>
      <c r="L4" s="79" t="str">
        <f>IFERROR(HYPERLINK("#VIRMAN!A1","VİRMAN"),"VİRMAN")</f>
        <v>VİRMAN</v>
      </c>
      <c r="M4" s="80"/>
      <c r="N4" s="79" t="str">
        <f>IFERROR(HYPERLINK("#RAPOR!A1","RAPOR"),"RAPOR")</f>
        <v>RAPOR</v>
      </c>
      <c r="O4" s="21"/>
    </row>
    <row r="5" spans="1:15" ht="16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ht="16">
      <c r="A6" s="6"/>
      <c r="B6" s="87" t="s">
        <v>1982</v>
      </c>
      <c r="C6" s="87" t="s">
        <v>1983</v>
      </c>
      <c r="D6" s="87" t="s">
        <v>607</v>
      </c>
      <c r="E6" s="87" t="s">
        <v>447</v>
      </c>
      <c r="F6" s="91"/>
      <c r="G6" s="87" t="s">
        <v>1984</v>
      </c>
      <c r="H6" s="87" t="s">
        <v>447</v>
      </c>
      <c r="I6" s="91"/>
      <c r="J6" s="87" t="s">
        <v>1985</v>
      </c>
      <c r="K6" s="87" t="s">
        <v>447</v>
      </c>
      <c r="L6" s="91"/>
      <c r="M6" s="87" t="s">
        <v>1986</v>
      </c>
      <c r="N6" s="87" t="s">
        <v>1987</v>
      </c>
      <c r="O6" s="20" t="s">
        <v>1988</v>
      </c>
    </row>
    <row r="7" spans="1:15" ht="16">
      <c r="A7" s="6"/>
      <c r="B7" s="6" t="s">
        <v>1989</v>
      </c>
      <c r="C7" s="100" t="s">
        <v>1990</v>
      </c>
      <c r="D7" s="6" t="s">
        <v>1991</v>
      </c>
      <c r="E7" s="6" t="s">
        <v>461</v>
      </c>
      <c r="F7" s="6"/>
      <c r="G7" s="6" t="s">
        <v>1367</v>
      </c>
      <c r="H7" s="6" t="s">
        <v>461</v>
      </c>
      <c r="I7" s="6"/>
      <c r="J7" s="6" t="s">
        <v>1356</v>
      </c>
      <c r="K7" s="6" t="s">
        <v>461</v>
      </c>
      <c r="L7" s="6"/>
      <c r="M7" s="6" t="s">
        <v>1674</v>
      </c>
      <c r="N7" s="6" t="s">
        <v>618</v>
      </c>
      <c r="O7" s="128" t="s">
        <v>1654</v>
      </c>
    </row>
    <row r="8" spans="1:15" ht="16">
      <c r="A8" s="6"/>
      <c r="B8" s="6" t="s">
        <v>1992</v>
      </c>
      <c r="C8" s="100" t="s">
        <v>1993</v>
      </c>
      <c r="D8" s="6" t="s">
        <v>1994</v>
      </c>
      <c r="E8" s="6" t="s">
        <v>461</v>
      </c>
      <c r="F8" s="6"/>
      <c r="G8" s="6" t="s">
        <v>1219</v>
      </c>
      <c r="H8" s="6" t="s">
        <v>461</v>
      </c>
      <c r="I8" s="6"/>
      <c r="J8" s="6" t="s">
        <v>1264</v>
      </c>
      <c r="K8" s="6" t="s">
        <v>461</v>
      </c>
      <c r="L8" s="6"/>
      <c r="M8" s="6" t="s">
        <v>628</v>
      </c>
      <c r="N8" s="6" t="s">
        <v>1674</v>
      </c>
      <c r="O8" s="128" t="s">
        <v>1661</v>
      </c>
    </row>
    <row r="9" spans="1:15" ht="16">
      <c r="A9" s="6"/>
      <c r="B9" s="6" t="s">
        <v>1995</v>
      </c>
      <c r="C9" s="100" t="s">
        <v>1674</v>
      </c>
      <c r="D9" s="6" t="s">
        <v>1996</v>
      </c>
      <c r="E9" s="6" t="s">
        <v>461</v>
      </c>
      <c r="F9" s="6"/>
      <c r="G9" s="6" t="s">
        <v>1242</v>
      </c>
      <c r="H9" s="6" t="s">
        <v>461</v>
      </c>
      <c r="I9" s="6"/>
      <c r="J9" s="6" t="s">
        <v>1293</v>
      </c>
      <c r="K9" s="6" t="s">
        <v>461</v>
      </c>
      <c r="L9" s="6"/>
      <c r="M9" s="6" t="s">
        <v>460</v>
      </c>
      <c r="N9" s="6" t="s">
        <v>628</v>
      </c>
      <c r="O9" s="128" t="s">
        <v>1672</v>
      </c>
    </row>
    <row r="10" spans="1:15" ht="16">
      <c r="A10" s="6"/>
      <c r="B10" s="6" t="s">
        <v>1997</v>
      </c>
      <c r="C10" s="100" t="s">
        <v>628</v>
      </c>
      <c r="D10" s="6" t="s">
        <v>1998</v>
      </c>
      <c r="E10" s="6" t="s">
        <v>461</v>
      </c>
      <c r="F10" s="6"/>
      <c r="G10" s="6" t="s">
        <v>1234</v>
      </c>
      <c r="H10" s="6" t="s">
        <v>461</v>
      </c>
      <c r="I10" s="6"/>
      <c r="J10" s="6" t="s">
        <v>1318</v>
      </c>
      <c r="K10" s="6" t="s">
        <v>461</v>
      </c>
      <c r="L10" s="6"/>
      <c r="M10" s="6" t="s">
        <v>464</v>
      </c>
      <c r="N10" s="6" t="s">
        <v>1734</v>
      </c>
      <c r="O10" s="128" t="s">
        <v>1999</v>
      </c>
    </row>
    <row r="11" spans="1:15" ht="16">
      <c r="A11" s="6"/>
      <c r="B11" s="6" t="s">
        <v>2000</v>
      </c>
      <c r="C11" s="100">
        <v>0.5</v>
      </c>
      <c r="D11" s="6" t="s">
        <v>2001</v>
      </c>
      <c r="E11" s="6" t="s">
        <v>461</v>
      </c>
      <c r="F11" s="6"/>
      <c r="G11" s="6" t="s">
        <v>1260</v>
      </c>
      <c r="H11" s="6" t="s">
        <v>461</v>
      </c>
      <c r="I11" s="6"/>
      <c r="J11" s="6" t="s">
        <v>1415</v>
      </c>
      <c r="K11" s="6" t="s">
        <v>461</v>
      </c>
      <c r="L11" s="6"/>
      <c r="M11" s="6" t="s">
        <v>466</v>
      </c>
      <c r="N11" s="6" t="s">
        <v>1736</v>
      </c>
      <c r="O11" s="6"/>
    </row>
    <row r="12" spans="1:15" ht="16">
      <c r="A12" s="6"/>
      <c r="B12" s="6" t="s">
        <v>2002</v>
      </c>
      <c r="C12" s="100">
        <v>0.5</v>
      </c>
      <c r="D12" s="6" t="s">
        <v>2001</v>
      </c>
      <c r="E12" s="6" t="s">
        <v>461</v>
      </c>
      <c r="F12" s="6"/>
      <c r="G12" s="6" t="s">
        <v>1279</v>
      </c>
      <c r="H12" s="6" t="s">
        <v>461</v>
      </c>
      <c r="I12" s="6"/>
      <c r="J12" s="6" t="s">
        <v>1505</v>
      </c>
      <c r="K12" s="6" t="s">
        <v>461</v>
      </c>
      <c r="L12" s="6"/>
      <c r="M12" s="6" t="s">
        <v>468</v>
      </c>
      <c r="N12" s="6" t="s">
        <v>612</v>
      </c>
      <c r="O12" s="6"/>
    </row>
    <row r="13" spans="1:15" ht="16">
      <c r="A13" s="6"/>
      <c r="B13" s="6" t="s">
        <v>2003</v>
      </c>
      <c r="C13" s="100">
        <v>0</v>
      </c>
      <c r="D13" s="6" t="s">
        <v>2004</v>
      </c>
      <c r="E13" s="6" t="s">
        <v>461</v>
      </c>
      <c r="F13" s="6"/>
      <c r="G13" s="6" t="s">
        <v>1267</v>
      </c>
      <c r="H13" s="6" t="s">
        <v>461</v>
      </c>
      <c r="I13" s="6"/>
      <c r="J13" s="6" t="s">
        <v>1610</v>
      </c>
      <c r="K13" s="6" t="s">
        <v>461</v>
      </c>
      <c r="L13" s="6"/>
      <c r="M13" s="6" t="s">
        <v>470</v>
      </c>
      <c r="N13" s="6"/>
      <c r="O13" s="6"/>
    </row>
    <row r="14" spans="1:15" ht="16">
      <c r="A14" s="6"/>
      <c r="B14" s="6" t="s">
        <v>2005</v>
      </c>
      <c r="C14" s="100" t="s">
        <v>462</v>
      </c>
      <c r="D14" s="6" t="s">
        <v>2006</v>
      </c>
      <c r="E14" s="6" t="s">
        <v>2007</v>
      </c>
      <c r="F14" s="6"/>
      <c r="G14" s="6" t="s">
        <v>1237</v>
      </c>
      <c r="H14" s="6" t="s">
        <v>461</v>
      </c>
      <c r="I14" s="6"/>
      <c r="J14" s="6" t="s">
        <v>1606</v>
      </c>
      <c r="K14" s="6" t="s">
        <v>461</v>
      </c>
      <c r="L14" s="6"/>
      <c r="M14" s="6" t="s">
        <v>472</v>
      </c>
      <c r="N14" s="6"/>
      <c r="O14" s="6"/>
    </row>
    <row r="15" spans="1:15" ht="61">
      <c r="A15" s="6"/>
      <c r="B15" s="25" t="s">
        <v>2008</v>
      </c>
      <c r="C15" s="101" t="s">
        <v>408</v>
      </c>
      <c r="D15" s="25" t="s">
        <v>2009</v>
      </c>
      <c r="E15" s="25" t="s">
        <v>2007</v>
      </c>
      <c r="F15" s="6"/>
      <c r="G15" s="6" t="s">
        <v>1255</v>
      </c>
      <c r="H15" s="6" t="s">
        <v>461</v>
      </c>
      <c r="I15" s="6"/>
      <c r="J15" s="6" t="s">
        <v>1772</v>
      </c>
      <c r="K15" s="6" t="s">
        <v>461</v>
      </c>
      <c r="L15" s="6"/>
      <c r="M15" s="6" t="s">
        <v>474</v>
      </c>
      <c r="N15" s="6"/>
      <c r="O15" s="6"/>
    </row>
    <row r="16" spans="1:15" ht="61">
      <c r="A16" s="6"/>
      <c r="B16" s="26" t="s">
        <v>2010</v>
      </c>
      <c r="C16" s="101" t="s">
        <v>2011</v>
      </c>
      <c r="D16" s="26" t="s">
        <v>2012</v>
      </c>
      <c r="E16" s="26" t="s">
        <v>2007</v>
      </c>
      <c r="F16" s="6"/>
      <c r="G16" s="6" t="s">
        <v>1252</v>
      </c>
      <c r="H16" s="6" t="s">
        <v>461</v>
      </c>
      <c r="I16" s="6"/>
      <c r="J16" s="6"/>
      <c r="K16" s="6"/>
      <c r="L16" s="6"/>
      <c r="M16" s="6" t="s">
        <v>476</v>
      </c>
      <c r="N16" s="6"/>
      <c r="O16" s="6"/>
    </row>
    <row r="17" spans="1:15" ht="16">
      <c r="A17" s="6"/>
      <c r="B17" s="6" t="s">
        <v>2013</v>
      </c>
      <c r="C17" s="102">
        <v>46261</v>
      </c>
      <c r="D17" s="6" t="s">
        <v>2014</v>
      </c>
      <c r="E17" s="6" t="s">
        <v>461</v>
      </c>
      <c r="F17" s="6"/>
      <c r="G17" s="6" t="s">
        <v>1272</v>
      </c>
      <c r="H17" s="6" t="s">
        <v>461</v>
      </c>
      <c r="I17" s="6"/>
      <c r="J17" s="6"/>
      <c r="K17" s="6"/>
      <c r="L17" s="6"/>
      <c r="M17" s="6" t="s">
        <v>478</v>
      </c>
      <c r="N17" s="6"/>
      <c r="O17" s="6"/>
    </row>
    <row r="18" spans="1:15" ht="17">
      <c r="A18" s="6"/>
      <c r="B18" s="12" t="s">
        <v>2015</v>
      </c>
      <c r="C18" s="12" t="s">
        <v>1777</v>
      </c>
      <c r="D18" s="12" t="s">
        <v>2016</v>
      </c>
      <c r="E18" s="12" t="s">
        <v>1779</v>
      </c>
      <c r="F18" s="12" t="s">
        <v>607</v>
      </c>
      <c r="G18" s="6" t="s">
        <v>1388</v>
      </c>
      <c r="H18" s="6" t="s">
        <v>461</v>
      </c>
      <c r="I18" s="6"/>
      <c r="J18" s="6"/>
      <c r="K18" s="6"/>
      <c r="L18" s="6"/>
      <c r="M18" s="6" t="s">
        <v>480</v>
      </c>
      <c r="N18" s="6"/>
      <c r="O18" s="6"/>
    </row>
    <row r="19" spans="1:15" ht="16">
      <c r="A19" s="6"/>
      <c r="B19" s="6" t="s">
        <v>2017</v>
      </c>
      <c r="C19" s="6" t="s">
        <v>292</v>
      </c>
      <c r="D19" s="6">
        <f>COUNTIF(GELIR_GIDER!$P$7:$P$1000,"TANIMSIZ BORÇLU")</f>
        <v>0</v>
      </c>
      <c r="E19" s="6" t="str">
        <f t="shared" ref="E19:E24" si="0">IF(D19=0,"GEÇTİ","KALDI")</f>
        <v>GEÇTİ</v>
      </c>
      <c r="F19" s="6" t="s">
        <v>2018</v>
      </c>
      <c r="G19" s="6"/>
      <c r="H19" s="6"/>
      <c r="I19" s="6"/>
      <c r="J19" s="6"/>
      <c r="K19" s="6"/>
      <c r="L19" s="6"/>
      <c r="M19" s="6" t="s">
        <v>482</v>
      </c>
      <c r="N19" s="6"/>
      <c r="O19" s="6"/>
    </row>
    <row r="20" spans="1:15" ht="16">
      <c r="A20" s="6"/>
      <c r="B20" s="6" t="s">
        <v>2019</v>
      </c>
      <c r="C20" s="6" t="s">
        <v>292</v>
      </c>
      <c r="D20" s="6">
        <f>COUNTIFS(GELIR_GIDER!$D$7:$D$1000,"Gelir",GELIR_GIDER!$I$7:$I$1000,"Hayır",GELIR_GIDER!$H$7:$H$1000,"&lt;&gt;")</f>
        <v>0</v>
      </c>
      <c r="E20" s="6" t="str">
        <f t="shared" si="0"/>
        <v>GEÇTİ</v>
      </c>
      <c r="F20" s="6" t="s">
        <v>2020</v>
      </c>
      <c r="G20" s="6"/>
      <c r="H20" s="6"/>
      <c r="I20" s="6"/>
      <c r="J20" s="6"/>
      <c r="K20" s="6"/>
      <c r="L20" s="6"/>
      <c r="M20" s="6" t="s">
        <v>484</v>
      </c>
      <c r="N20" s="6"/>
      <c r="O20" s="6"/>
    </row>
    <row r="21" spans="1:15" ht="16">
      <c r="A21" s="6"/>
      <c r="B21" s="6" t="s">
        <v>2021</v>
      </c>
      <c r="C21" s="6" t="s">
        <v>292</v>
      </c>
      <c r="D21" s="6">
        <f>COUNTIFS(VIRMAN!$D$7:$D$500,"MERKEZ KASA",VIRMAN!$E$7:$E$500,"ÖMER KARTAL",VIRMAN!$G$7:$G$500,"*MUHASEBE ÜCRETİ*")+COUNTIFS(VIRMAN!$D$7:$D$500,"MERKEZ KASA",VIRMAN!$E$7:$E$500,"ÖMER KARTAL",VIRMAN!$G$7:$G$500,"*SGK*")</f>
        <v>0</v>
      </c>
      <c r="E21" s="6" t="str">
        <f t="shared" si="0"/>
        <v>GEÇTİ</v>
      </c>
      <c r="F21" s="6" t="s">
        <v>2022</v>
      </c>
      <c r="G21" s="6"/>
      <c r="H21" s="6"/>
      <c r="I21" s="6"/>
      <c r="J21" s="6"/>
      <c r="K21" s="6"/>
      <c r="L21" s="6"/>
      <c r="M21" s="6" t="s">
        <v>486</v>
      </c>
      <c r="N21" s="6"/>
      <c r="O21" s="6"/>
    </row>
    <row r="22" spans="1:15" ht="16">
      <c r="A22" s="6"/>
      <c r="B22" s="6" t="s">
        <v>2023</v>
      </c>
      <c r="C22" s="6" t="s">
        <v>292</v>
      </c>
      <c r="D22" s="6">
        <f>COUNTIFS(VIRMAN!$D$7:$D$500,"MERKEZ KASA",VIRMAN!$E$7:$E$500,"ÖMER KARTAL",VIRMAN!$G$7:$G$500,"*MENDERES MAHSUP*")+COUNTIFS(VIRMAN!$D$7:$D$500,"MERKEZ KASA",VIRMAN!$E$7:$E$500,"ÖMER KARTAL",VIRMAN!$G$7:$G$500,"*GRAND 06 ÖMER BAKİYE*")</f>
        <v>0</v>
      </c>
      <c r="E22" s="6" t="str">
        <f t="shared" si="0"/>
        <v>GEÇTİ</v>
      </c>
      <c r="F22" s="6" t="s">
        <v>2024</v>
      </c>
      <c r="G22" s="6"/>
      <c r="H22" s="6"/>
      <c r="I22" s="6"/>
      <c r="J22" s="6"/>
      <c r="K22" s="6"/>
      <c r="L22" s="6"/>
      <c r="M22" s="6" t="s">
        <v>488</v>
      </c>
      <c r="N22" s="6"/>
      <c r="O22" s="6"/>
    </row>
    <row r="23" spans="1:15" ht="16">
      <c r="A23" s="6"/>
      <c r="B23" s="6" t="s">
        <v>2025</v>
      </c>
      <c r="C23" s="6" t="s">
        <v>292</v>
      </c>
      <c r="D23" s="6">
        <f>SUMPRODUCT(--(GELIR_GIDER!$C$7:$C$1000=""),--(((GELIR_GIDER!$D$7:$D$1000&lt;&gt;"")+(GELIR_GIDER!$E$7:$E$1000&lt;&gt;"")+(GELIR_GIDER!$F$7:$F$1000&lt;&gt;"")+(GELIR_GIDER!$G$7:$G$1000&lt;&gt;"")+(GELIR_GIDER!$H$7:$H$1000&lt;&gt;"")+(GELIR_GIDER!$I$7:$I$1000&lt;&gt;"")+(GELIR_GIDER!$J$7:$J$1000&lt;&gt;"")+(GELIR_GIDER!$L$7:$L$1000&lt;&gt;""))&gt;0))</f>
        <v>0</v>
      </c>
      <c r="E23" s="6" t="str">
        <f t="shared" si="0"/>
        <v>GEÇTİ</v>
      </c>
      <c r="F23" s="6" t="s">
        <v>2026</v>
      </c>
      <c r="G23" s="6"/>
      <c r="H23" s="6"/>
      <c r="I23" s="6"/>
      <c r="J23" s="6"/>
      <c r="K23" s="6"/>
      <c r="L23" s="6"/>
      <c r="M23" s="6" t="s">
        <v>490</v>
      </c>
      <c r="N23" s="6"/>
      <c r="O23" s="6"/>
    </row>
    <row r="24" spans="1:15" ht="16">
      <c r="A24" s="6"/>
      <c r="B24" s="6" t="s">
        <v>2027</v>
      </c>
      <c r="C24" s="6" t="s">
        <v>292</v>
      </c>
      <c r="D24" s="6">
        <f>COUNTIFS(TAHSILAT!$G$7:$G$1006,"MERKEZ KASA",TAHSILAT!$J$7:$J$1006,"*TASHİH*")+COUNTIFS(TAHSILAT!$G$7:$G$1006,"MERKEZ KASA",TAHSILAT!$J$7:$J$1006,"*VİRMAN KAYDI*")+COUNTIFS(TAHSILAT!$G$7:$G$1006,"MERKEZ KASA",TAHSILAT!$J$7:$J$1006,"*MUTABAKATINDAN*")</f>
        <v>0</v>
      </c>
      <c r="E24" s="6" t="str">
        <f t="shared" si="0"/>
        <v>GEÇTİ</v>
      </c>
      <c r="F24" s="6" t="s">
        <v>2028</v>
      </c>
      <c r="G24" s="6"/>
      <c r="H24" s="6"/>
      <c r="I24" s="6"/>
      <c r="J24" s="6"/>
      <c r="K24" s="6"/>
      <c r="L24" s="6"/>
      <c r="M24" s="6" t="s">
        <v>492</v>
      </c>
      <c r="N24" s="6"/>
      <c r="O24" s="6"/>
    </row>
    <row r="25" spans="1:15" ht="1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 t="s">
        <v>494</v>
      </c>
      <c r="N25" s="6"/>
      <c r="O25" s="6"/>
    </row>
    <row r="26" spans="1:15" ht="1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 t="s">
        <v>496</v>
      </c>
      <c r="N26" s="6"/>
      <c r="O26" s="6"/>
    </row>
    <row r="27" spans="1:15" ht="1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 t="s">
        <v>498</v>
      </c>
      <c r="N27" s="6"/>
      <c r="O27" s="6"/>
    </row>
    <row r="28" spans="1:15" ht="1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 t="s">
        <v>500</v>
      </c>
      <c r="N28" s="6"/>
      <c r="O28" s="6"/>
    </row>
    <row r="29" spans="1:15" ht="1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 t="s">
        <v>502</v>
      </c>
      <c r="N29" s="6"/>
      <c r="O29" s="6"/>
    </row>
    <row r="30" spans="1:15" ht="1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 t="s">
        <v>504</v>
      </c>
      <c r="N30" s="6"/>
      <c r="O30" s="6"/>
    </row>
    <row r="31" spans="1:15" ht="1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 t="s">
        <v>506</v>
      </c>
      <c r="N31" s="6"/>
      <c r="O31" s="6"/>
    </row>
    <row r="32" spans="1:15" ht="1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 t="s">
        <v>508</v>
      </c>
      <c r="N32" s="6"/>
      <c r="O32" s="6"/>
    </row>
    <row r="33" spans="1:15" ht="1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 t="s">
        <v>510</v>
      </c>
      <c r="N33" s="6"/>
      <c r="O33" s="6"/>
    </row>
    <row r="34" spans="1:15" ht="1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 t="s">
        <v>512</v>
      </c>
      <c r="N34" s="6"/>
      <c r="O34" s="6"/>
    </row>
    <row r="35" spans="1:15" ht="1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 t="s">
        <v>514</v>
      </c>
      <c r="N35" s="6"/>
      <c r="O35" s="6"/>
    </row>
    <row r="36" spans="1:15" ht="1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 t="s">
        <v>516</v>
      </c>
      <c r="N36" s="6"/>
      <c r="O36" s="6"/>
    </row>
    <row r="37" spans="1:15" ht="1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 t="s">
        <v>518</v>
      </c>
      <c r="N37" s="6"/>
      <c r="O37" s="6"/>
    </row>
    <row r="38" spans="1:15" ht="1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 t="s">
        <v>520</v>
      </c>
      <c r="N38" s="6"/>
      <c r="O38" s="6"/>
    </row>
    <row r="39" spans="1:15" ht="1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 t="s">
        <v>522</v>
      </c>
      <c r="N39" s="6"/>
      <c r="O39" s="6"/>
    </row>
    <row r="40" spans="1:15" ht="1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 t="s">
        <v>524</v>
      </c>
      <c r="N40" s="6"/>
      <c r="O40" s="6"/>
    </row>
    <row r="41" spans="1:15" ht="1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 t="s">
        <v>526</v>
      </c>
      <c r="N41" s="6"/>
      <c r="O41" s="6"/>
    </row>
    <row r="42" spans="1:15" ht="1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 t="s">
        <v>528</v>
      </c>
      <c r="N42" s="6"/>
      <c r="O42" s="6"/>
    </row>
    <row r="43" spans="1:15" ht="1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 t="s">
        <v>531</v>
      </c>
      <c r="N43" s="6"/>
      <c r="O43" s="6"/>
    </row>
    <row r="44" spans="1:15" ht="1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 t="s">
        <v>533</v>
      </c>
      <c r="N44" s="6"/>
      <c r="O44" s="6"/>
    </row>
    <row r="45" spans="1:15" ht="1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 t="s">
        <v>535</v>
      </c>
      <c r="N45" s="6"/>
      <c r="O45" s="6"/>
    </row>
    <row r="46" spans="1:15" ht="1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 t="s">
        <v>537</v>
      </c>
      <c r="N46" s="6"/>
      <c r="O46" s="6"/>
    </row>
    <row r="47" spans="1:15" ht="1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 t="s">
        <v>539</v>
      </c>
      <c r="N47" s="6"/>
      <c r="O47" s="6"/>
    </row>
    <row r="48" spans="1:15" ht="1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 t="s">
        <v>541</v>
      </c>
      <c r="N48" s="6"/>
      <c r="O48" s="6"/>
    </row>
    <row r="49" spans="1:15" ht="1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 t="s">
        <v>543</v>
      </c>
      <c r="N49" s="6"/>
      <c r="O49" s="6"/>
    </row>
    <row r="50" spans="1:15" ht="1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 t="s">
        <v>545</v>
      </c>
      <c r="N50" s="6"/>
      <c r="O50" s="6"/>
    </row>
    <row r="51" spans="1:15" ht="1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 t="s">
        <v>547</v>
      </c>
      <c r="N51" s="6"/>
      <c r="O51" s="6"/>
    </row>
    <row r="52" spans="1:15" ht="1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 t="s">
        <v>549</v>
      </c>
      <c r="N52" s="6"/>
      <c r="O52" s="6"/>
    </row>
    <row r="53" spans="1:15" ht="1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 t="s">
        <v>551</v>
      </c>
      <c r="N53" s="6"/>
      <c r="O53" s="6"/>
    </row>
    <row r="54" spans="1:15" ht="1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 t="s">
        <v>553</v>
      </c>
      <c r="N54" s="6"/>
      <c r="O54" s="6"/>
    </row>
    <row r="55" spans="1:15" ht="1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 t="s">
        <v>555</v>
      </c>
      <c r="N55" s="6"/>
      <c r="O55" s="6"/>
    </row>
    <row r="56" spans="1:15" ht="1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 t="s">
        <v>557</v>
      </c>
      <c r="N56" s="6"/>
      <c r="O56" s="6"/>
    </row>
    <row r="57" spans="1:15" ht="1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 t="s">
        <v>559</v>
      </c>
      <c r="N57" s="6"/>
      <c r="O57" s="6"/>
    </row>
    <row r="58" spans="1:15" ht="1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 t="s">
        <v>561</v>
      </c>
      <c r="N58" s="6"/>
      <c r="O58" s="6"/>
    </row>
    <row r="59" spans="1:15" ht="1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 t="s">
        <v>563</v>
      </c>
      <c r="N59" s="6"/>
      <c r="O59" s="6"/>
    </row>
    <row r="60" spans="1:15" ht="1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 t="s">
        <v>565</v>
      </c>
      <c r="N60" s="6"/>
      <c r="O60" s="6"/>
    </row>
    <row r="61" spans="1:15" ht="1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 t="s">
        <v>567</v>
      </c>
      <c r="N61" s="6"/>
      <c r="O61" s="6"/>
    </row>
    <row r="62" spans="1:15" ht="1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 t="s">
        <v>569</v>
      </c>
      <c r="N62" s="6"/>
      <c r="O62" s="6"/>
    </row>
    <row r="63" spans="1:15" ht="1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 t="s">
        <v>571</v>
      </c>
      <c r="N63" s="6"/>
      <c r="O63" s="6"/>
    </row>
  </sheetData>
  <mergeCells count="5">
    <mergeCell ref="A2:B2"/>
    <mergeCell ref="A4:G4"/>
    <mergeCell ref="C1:O1"/>
    <mergeCell ref="A3:O3"/>
    <mergeCell ref="C2:O2"/>
  </mergeCells>
  <conditionalFormatting sqref="B19:F24">
    <cfRule type="expression" dxfId="8" priority="1">
      <formula>$E19="KALDI"</formula>
    </cfRule>
    <cfRule type="expression" dxfId="7" priority="2">
      <formula>$E19="GEÇTİ"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AL171"/>
  <sheetViews>
    <sheetView workbookViewId="0">
      <selection activeCell="G39" sqref="G39"/>
    </sheetView>
  </sheetViews>
  <sheetFormatPr baseColWidth="10" defaultColWidth="8.83203125" defaultRowHeight="14"/>
  <cols>
    <col min="1" max="1" width="16" customWidth="1"/>
    <col min="2" max="3" width="14" customWidth="1"/>
    <col min="4" max="4" width="28" customWidth="1"/>
    <col min="5" max="5" width="14" customWidth="1"/>
    <col min="6" max="6" width="42" customWidth="1"/>
    <col min="7" max="11" width="17" customWidth="1"/>
    <col min="12" max="12" width="16" customWidth="1"/>
    <col min="13" max="13" width="34" customWidth="1"/>
  </cols>
  <sheetData>
    <row r="1" spans="1:38" ht="40" customHeight="1">
      <c r="A1" s="129" t="s">
        <v>2029</v>
      </c>
      <c r="B1" s="130" t="s">
        <v>602</v>
      </c>
      <c r="C1" s="130" t="s">
        <v>2030</v>
      </c>
      <c r="D1" s="130" t="s">
        <v>2031</v>
      </c>
      <c r="E1" s="130" t="s">
        <v>2032</v>
      </c>
      <c r="F1" s="130" t="s">
        <v>607</v>
      </c>
      <c r="G1" s="130" t="s">
        <v>603</v>
      </c>
      <c r="H1" s="130" t="s">
        <v>2033</v>
      </c>
      <c r="I1" s="130" t="s">
        <v>2034</v>
      </c>
      <c r="J1" s="130" t="s">
        <v>2035</v>
      </c>
      <c r="K1" s="130" t="s">
        <v>2036</v>
      </c>
      <c r="L1" s="131" t="s">
        <v>2037</v>
      </c>
      <c r="M1" s="170" t="s">
        <v>2038</v>
      </c>
      <c r="N1" t="s">
        <v>2039</v>
      </c>
      <c r="O1" t="s">
        <v>602</v>
      </c>
      <c r="P1" t="s">
        <v>2030</v>
      </c>
      <c r="Q1" t="s">
        <v>2031</v>
      </c>
      <c r="R1" t="s">
        <v>2032</v>
      </c>
      <c r="S1" t="s">
        <v>607</v>
      </c>
      <c r="T1" t="s">
        <v>603</v>
      </c>
      <c r="U1" t="s">
        <v>2033</v>
      </c>
      <c r="V1" t="s">
        <v>2034</v>
      </c>
      <c r="W1" t="s">
        <v>2035</v>
      </c>
      <c r="X1" t="s">
        <v>2036</v>
      </c>
      <c r="Y1" t="s">
        <v>2037</v>
      </c>
      <c r="AA1" t="s">
        <v>2040</v>
      </c>
      <c r="AB1" t="s">
        <v>602</v>
      </c>
      <c r="AC1" t="s">
        <v>2030</v>
      </c>
      <c r="AD1" t="s">
        <v>2031</v>
      </c>
      <c r="AE1" t="s">
        <v>2032</v>
      </c>
      <c r="AF1" t="s">
        <v>607</v>
      </c>
      <c r="AG1" t="s">
        <v>603</v>
      </c>
      <c r="AH1" t="s">
        <v>2033</v>
      </c>
      <c r="AI1" t="s">
        <v>2034</v>
      </c>
      <c r="AJ1" t="s">
        <v>2035</v>
      </c>
      <c r="AK1" t="s">
        <v>2036</v>
      </c>
      <c r="AL1" t="s">
        <v>2037</v>
      </c>
    </row>
    <row r="2" spans="1:38">
      <c r="A2" s="133" t="s">
        <v>628</v>
      </c>
      <c r="B2" s="134" t="s">
        <v>2041</v>
      </c>
      <c r="C2" s="134" t="s">
        <v>2042</v>
      </c>
      <c r="D2" s="134" t="s">
        <v>2043</v>
      </c>
      <c r="E2" s="134" t="s">
        <v>627</v>
      </c>
      <c r="F2" s="134" t="s">
        <v>2044</v>
      </c>
      <c r="G2" s="141">
        <v>3000</v>
      </c>
      <c r="H2" s="141">
        <v>3000</v>
      </c>
      <c r="I2" s="141">
        <v>0</v>
      </c>
      <c r="J2" s="141">
        <v>3000</v>
      </c>
      <c r="K2" s="141">
        <v>0</v>
      </c>
      <c r="L2" s="135" t="s">
        <v>57</v>
      </c>
      <c r="N2" t="s">
        <v>628</v>
      </c>
      <c r="O2" t="s">
        <v>2041</v>
      </c>
      <c r="P2" t="s">
        <v>2042</v>
      </c>
      <c r="Q2" t="s">
        <v>2043</v>
      </c>
      <c r="R2" t="s">
        <v>627</v>
      </c>
      <c r="S2" t="s">
        <v>2044</v>
      </c>
      <c r="T2">
        <v>3000</v>
      </c>
      <c r="U2">
        <v>3000</v>
      </c>
      <c r="V2">
        <v>0</v>
      </c>
      <c r="W2">
        <v>3000</v>
      </c>
      <c r="X2">
        <v>0</v>
      </c>
      <c r="Y2" t="s">
        <v>57</v>
      </c>
      <c r="AA2" t="s">
        <v>1674</v>
      </c>
      <c r="AB2" t="s">
        <v>2045</v>
      </c>
      <c r="AC2" t="s">
        <v>2046</v>
      </c>
      <c r="AD2" t="s">
        <v>2047</v>
      </c>
      <c r="AE2" t="s">
        <v>2048</v>
      </c>
      <c r="AF2" t="s">
        <v>2049</v>
      </c>
      <c r="AG2">
        <v>119183.09</v>
      </c>
      <c r="AH2">
        <v>0</v>
      </c>
      <c r="AI2">
        <v>119183.09</v>
      </c>
      <c r="AJ2">
        <v>0</v>
      </c>
      <c r="AK2">
        <v>119183.09</v>
      </c>
      <c r="AL2" t="s">
        <v>2050</v>
      </c>
    </row>
    <row r="3" spans="1:38">
      <c r="A3" s="136" t="s">
        <v>628</v>
      </c>
      <c r="B3" s="132" t="s">
        <v>2041</v>
      </c>
      <c r="C3" s="132" t="s">
        <v>2042</v>
      </c>
      <c r="D3" s="132" t="s">
        <v>2043</v>
      </c>
      <c r="E3" s="132" t="s">
        <v>630</v>
      </c>
      <c r="F3" s="132" t="s">
        <v>2051</v>
      </c>
      <c r="G3" s="142">
        <v>2000</v>
      </c>
      <c r="H3" s="142">
        <v>2000</v>
      </c>
      <c r="I3" s="142">
        <v>0</v>
      </c>
      <c r="J3" s="142">
        <v>5000</v>
      </c>
      <c r="K3" s="142">
        <v>0</v>
      </c>
      <c r="L3" s="137" t="s">
        <v>57</v>
      </c>
      <c r="N3" t="s">
        <v>628</v>
      </c>
      <c r="O3" t="s">
        <v>2041</v>
      </c>
      <c r="P3" t="s">
        <v>2042</v>
      </c>
      <c r="Q3" t="s">
        <v>2043</v>
      </c>
      <c r="R3" t="s">
        <v>630</v>
      </c>
      <c r="S3" t="s">
        <v>2051</v>
      </c>
      <c r="T3">
        <v>2000</v>
      </c>
      <c r="U3">
        <v>2000</v>
      </c>
      <c r="V3">
        <v>0</v>
      </c>
      <c r="W3">
        <v>5000</v>
      </c>
      <c r="X3">
        <v>0</v>
      </c>
      <c r="Y3" t="s">
        <v>57</v>
      </c>
      <c r="AA3" t="s">
        <v>1674</v>
      </c>
      <c r="AB3" t="s">
        <v>2045</v>
      </c>
      <c r="AC3" t="s">
        <v>2046</v>
      </c>
      <c r="AD3" t="s">
        <v>2052</v>
      </c>
      <c r="AE3" t="s">
        <v>1673</v>
      </c>
      <c r="AF3" t="s">
        <v>1675</v>
      </c>
      <c r="AG3">
        <v>127783.09</v>
      </c>
      <c r="AH3">
        <v>0</v>
      </c>
      <c r="AI3">
        <v>-127783.09</v>
      </c>
      <c r="AJ3">
        <v>0</v>
      </c>
      <c r="AK3">
        <v>-8600</v>
      </c>
      <c r="AL3" t="s">
        <v>69</v>
      </c>
    </row>
    <row r="4" spans="1:38">
      <c r="A4" s="136" t="s">
        <v>628</v>
      </c>
      <c r="B4" s="132" t="s">
        <v>2041</v>
      </c>
      <c r="C4" s="132" t="s">
        <v>2042</v>
      </c>
      <c r="D4" s="132" t="s">
        <v>2043</v>
      </c>
      <c r="E4" s="132" t="s">
        <v>631</v>
      </c>
      <c r="F4" s="132" t="s">
        <v>2053</v>
      </c>
      <c r="G4" s="142">
        <v>2000</v>
      </c>
      <c r="H4" s="142">
        <v>2000</v>
      </c>
      <c r="I4" s="142">
        <v>0</v>
      </c>
      <c r="J4" s="142">
        <v>7000</v>
      </c>
      <c r="K4" s="142">
        <v>0</v>
      </c>
      <c r="L4" s="137" t="s">
        <v>57</v>
      </c>
      <c r="N4" t="s">
        <v>628</v>
      </c>
      <c r="O4" t="s">
        <v>2041</v>
      </c>
      <c r="P4" t="s">
        <v>2042</v>
      </c>
      <c r="Q4" t="s">
        <v>2043</v>
      </c>
      <c r="R4" t="s">
        <v>631</v>
      </c>
      <c r="S4" t="s">
        <v>2053</v>
      </c>
      <c r="T4">
        <v>2000</v>
      </c>
      <c r="U4">
        <v>2000</v>
      </c>
      <c r="V4">
        <v>0</v>
      </c>
      <c r="W4">
        <v>7000</v>
      </c>
      <c r="X4">
        <v>0</v>
      </c>
      <c r="Y4" t="s">
        <v>57</v>
      </c>
      <c r="AA4" t="s">
        <v>1674</v>
      </c>
      <c r="AB4" t="s">
        <v>2054</v>
      </c>
      <c r="AC4" t="s">
        <v>2046</v>
      </c>
      <c r="AD4" t="s">
        <v>2047</v>
      </c>
      <c r="AE4" t="s">
        <v>2055</v>
      </c>
      <c r="AF4" t="s">
        <v>2056</v>
      </c>
      <c r="AG4">
        <v>10310.9</v>
      </c>
      <c r="AH4">
        <v>0</v>
      </c>
      <c r="AI4">
        <v>10310.9</v>
      </c>
      <c r="AJ4">
        <v>0</v>
      </c>
      <c r="AK4">
        <v>1710.9</v>
      </c>
      <c r="AL4" t="s">
        <v>2050</v>
      </c>
    </row>
    <row r="5" spans="1:38">
      <c r="A5" s="136" t="s">
        <v>628</v>
      </c>
      <c r="B5" s="132" t="s">
        <v>2041</v>
      </c>
      <c r="C5" s="132" t="s">
        <v>2042</v>
      </c>
      <c r="D5" s="132" t="s">
        <v>2043</v>
      </c>
      <c r="E5" s="132" t="s">
        <v>632</v>
      </c>
      <c r="F5" s="132" t="s">
        <v>2057</v>
      </c>
      <c r="G5" s="142">
        <v>1750</v>
      </c>
      <c r="H5" s="142">
        <v>1750</v>
      </c>
      <c r="I5" s="142">
        <v>0</v>
      </c>
      <c r="J5" s="142">
        <v>8750</v>
      </c>
      <c r="K5" s="142">
        <v>0</v>
      </c>
      <c r="L5" s="137" t="s">
        <v>57</v>
      </c>
      <c r="N5" t="s">
        <v>628</v>
      </c>
      <c r="O5" t="s">
        <v>2041</v>
      </c>
      <c r="P5" t="s">
        <v>2042</v>
      </c>
      <c r="Q5" t="s">
        <v>2043</v>
      </c>
      <c r="R5" t="s">
        <v>632</v>
      </c>
      <c r="S5" t="s">
        <v>2057</v>
      </c>
      <c r="T5">
        <v>1750</v>
      </c>
      <c r="U5">
        <v>1750</v>
      </c>
      <c r="V5">
        <v>0</v>
      </c>
      <c r="W5">
        <v>8750</v>
      </c>
      <c r="X5">
        <v>0</v>
      </c>
      <c r="Y5" t="s">
        <v>57</v>
      </c>
      <c r="AA5" t="s">
        <v>1674</v>
      </c>
      <c r="AB5" t="s">
        <v>2054</v>
      </c>
      <c r="AC5" t="s">
        <v>2046</v>
      </c>
      <c r="AD5" t="s">
        <v>2052</v>
      </c>
      <c r="AE5" t="s">
        <v>1678</v>
      </c>
      <c r="AF5" t="s">
        <v>1679</v>
      </c>
      <c r="AG5">
        <v>10310.91</v>
      </c>
      <c r="AH5">
        <v>0</v>
      </c>
      <c r="AI5">
        <v>-10310.91</v>
      </c>
      <c r="AJ5">
        <v>0</v>
      </c>
      <c r="AK5">
        <v>-8600.01</v>
      </c>
      <c r="AL5" t="s">
        <v>69</v>
      </c>
    </row>
    <row r="6" spans="1:38">
      <c r="A6" s="136" t="s">
        <v>628</v>
      </c>
      <c r="B6" s="132" t="s">
        <v>2058</v>
      </c>
      <c r="C6" s="132" t="s">
        <v>2042</v>
      </c>
      <c r="D6" s="132" t="s">
        <v>2043</v>
      </c>
      <c r="E6" s="132" t="s">
        <v>633</v>
      </c>
      <c r="F6" s="132" t="s">
        <v>2059</v>
      </c>
      <c r="G6" s="142">
        <v>4000</v>
      </c>
      <c r="H6" s="142">
        <v>4000</v>
      </c>
      <c r="I6" s="142">
        <v>0</v>
      </c>
      <c r="J6" s="142">
        <v>12750</v>
      </c>
      <c r="K6" s="142">
        <v>0</v>
      </c>
      <c r="L6" s="137" t="s">
        <v>57</v>
      </c>
      <c r="N6" t="s">
        <v>628</v>
      </c>
      <c r="O6" t="s">
        <v>2058</v>
      </c>
      <c r="P6" t="s">
        <v>2042</v>
      </c>
      <c r="Q6" t="s">
        <v>2043</v>
      </c>
      <c r="R6" t="s">
        <v>633</v>
      </c>
      <c r="S6" t="s">
        <v>2059</v>
      </c>
      <c r="T6">
        <v>4000</v>
      </c>
      <c r="U6">
        <v>4000</v>
      </c>
      <c r="V6">
        <v>0</v>
      </c>
      <c r="W6">
        <v>12750</v>
      </c>
      <c r="X6">
        <v>0</v>
      </c>
      <c r="Y6" t="s">
        <v>57</v>
      </c>
      <c r="AA6" t="s">
        <v>1674</v>
      </c>
      <c r="AB6" t="s">
        <v>2060</v>
      </c>
      <c r="AC6" t="s">
        <v>2046</v>
      </c>
      <c r="AD6" t="s">
        <v>2047</v>
      </c>
      <c r="AE6" t="s">
        <v>2061</v>
      </c>
      <c r="AF6" t="s">
        <v>2062</v>
      </c>
      <c r="AG6">
        <v>77421.02</v>
      </c>
      <c r="AH6">
        <v>0</v>
      </c>
      <c r="AI6">
        <v>77421.02</v>
      </c>
      <c r="AJ6">
        <v>0</v>
      </c>
      <c r="AK6">
        <v>68821.009999999995</v>
      </c>
      <c r="AL6" t="s">
        <v>2050</v>
      </c>
    </row>
    <row r="7" spans="1:38">
      <c r="A7" s="136" t="s">
        <v>628</v>
      </c>
      <c r="B7" s="132" t="s">
        <v>2058</v>
      </c>
      <c r="C7" s="132" t="s">
        <v>2042</v>
      </c>
      <c r="D7" s="132" t="s">
        <v>2043</v>
      </c>
      <c r="E7" s="132" t="s">
        <v>634</v>
      </c>
      <c r="F7" s="132" t="s">
        <v>2044</v>
      </c>
      <c r="G7" s="142">
        <v>3000</v>
      </c>
      <c r="H7" s="142">
        <v>3000</v>
      </c>
      <c r="I7" s="142">
        <v>0</v>
      </c>
      <c r="J7" s="142">
        <v>15750</v>
      </c>
      <c r="K7" s="142">
        <v>0</v>
      </c>
      <c r="L7" s="137" t="s">
        <v>57</v>
      </c>
      <c r="N7" t="s">
        <v>628</v>
      </c>
      <c r="O7" t="s">
        <v>2058</v>
      </c>
      <c r="P7" t="s">
        <v>2042</v>
      </c>
      <c r="Q7" t="s">
        <v>2043</v>
      </c>
      <c r="R7" t="s">
        <v>634</v>
      </c>
      <c r="S7" t="s">
        <v>2044</v>
      </c>
      <c r="T7">
        <v>3000</v>
      </c>
      <c r="U7">
        <v>3000</v>
      </c>
      <c r="V7">
        <v>0</v>
      </c>
      <c r="W7">
        <v>15750</v>
      </c>
      <c r="X7">
        <v>0</v>
      </c>
      <c r="Y7" t="s">
        <v>57</v>
      </c>
      <c r="AA7" t="s">
        <v>1674</v>
      </c>
      <c r="AB7" t="s">
        <v>2060</v>
      </c>
      <c r="AC7" t="s">
        <v>2046</v>
      </c>
      <c r="AD7" t="s">
        <v>2052</v>
      </c>
      <c r="AE7" t="s">
        <v>1682</v>
      </c>
      <c r="AF7" t="s">
        <v>1683</v>
      </c>
      <c r="AG7">
        <v>77421.02</v>
      </c>
      <c r="AH7">
        <v>0</v>
      </c>
      <c r="AI7">
        <v>-77421.02</v>
      </c>
      <c r="AJ7">
        <v>0</v>
      </c>
      <c r="AK7">
        <v>-8600.01</v>
      </c>
      <c r="AL7" t="s">
        <v>69</v>
      </c>
    </row>
    <row r="8" spans="1:38">
      <c r="A8" s="136" t="s">
        <v>628</v>
      </c>
      <c r="B8" s="132" t="s">
        <v>2058</v>
      </c>
      <c r="C8" s="132" t="s">
        <v>2042</v>
      </c>
      <c r="D8" s="132" t="s">
        <v>2043</v>
      </c>
      <c r="E8" s="132" t="s">
        <v>635</v>
      </c>
      <c r="F8" s="132" t="s">
        <v>2063</v>
      </c>
      <c r="G8" s="142">
        <v>4000</v>
      </c>
      <c r="H8" s="142">
        <v>4000</v>
      </c>
      <c r="I8" s="142">
        <v>0</v>
      </c>
      <c r="J8" s="142">
        <v>19750</v>
      </c>
      <c r="K8" s="142">
        <v>0</v>
      </c>
      <c r="L8" s="137" t="s">
        <v>57</v>
      </c>
      <c r="N8" t="s">
        <v>628</v>
      </c>
      <c r="O8" t="s">
        <v>2058</v>
      </c>
      <c r="P8" t="s">
        <v>2042</v>
      </c>
      <c r="Q8" t="s">
        <v>2043</v>
      </c>
      <c r="R8" t="s">
        <v>635</v>
      </c>
      <c r="S8" t="s">
        <v>2063</v>
      </c>
      <c r="T8">
        <v>4000</v>
      </c>
      <c r="U8">
        <v>4000</v>
      </c>
      <c r="V8">
        <v>0</v>
      </c>
      <c r="W8">
        <v>19750</v>
      </c>
      <c r="X8">
        <v>0</v>
      </c>
      <c r="Y8" t="s">
        <v>57</v>
      </c>
      <c r="AA8" t="s">
        <v>1674</v>
      </c>
      <c r="AB8" t="s">
        <v>2064</v>
      </c>
      <c r="AC8" t="s">
        <v>2046</v>
      </c>
      <c r="AD8" t="s">
        <v>2047</v>
      </c>
      <c r="AE8" t="s">
        <v>2065</v>
      </c>
      <c r="AF8" t="s">
        <v>2066</v>
      </c>
      <c r="AG8">
        <v>137353</v>
      </c>
      <c r="AH8">
        <v>0</v>
      </c>
      <c r="AI8">
        <v>137353</v>
      </c>
      <c r="AJ8">
        <v>0</v>
      </c>
      <c r="AK8">
        <v>128752.99</v>
      </c>
      <c r="AL8" t="s">
        <v>2050</v>
      </c>
    </row>
    <row r="9" spans="1:38">
      <c r="A9" s="136" t="s">
        <v>628</v>
      </c>
      <c r="B9" s="132" t="s">
        <v>2058</v>
      </c>
      <c r="C9" s="132" t="s">
        <v>2042</v>
      </c>
      <c r="D9" s="132" t="s">
        <v>2043</v>
      </c>
      <c r="E9" s="132" t="s">
        <v>636</v>
      </c>
      <c r="F9" s="132" t="s">
        <v>2067</v>
      </c>
      <c r="G9" s="142">
        <v>4000</v>
      </c>
      <c r="H9" s="142">
        <v>4000</v>
      </c>
      <c r="I9" s="142">
        <v>0</v>
      </c>
      <c r="J9" s="142">
        <v>23750</v>
      </c>
      <c r="K9" s="142">
        <v>0</v>
      </c>
      <c r="L9" s="137" t="s">
        <v>57</v>
      </c>
      <c r="N9" t="s">
        <v>628</v>
      </c>
      <c r="O9" t="s">
        <v>2058</v>
      </c>
      <c r="P9" t="s">
        <v>2042</v>
      </c>
      <c r="Q9" t="s">
        <v>2043</v>
      </c>
      <c r="R9" t="s">
        <v>636</v>
      </c>
      <c r="S9" t="s">
        <v>2067</v>
      </c>
      <c r="T9">
        <v>4000</v>
      </c>
      <c r="U9">
        <v>4000</v>
      </c>
      <c r="V9">
        <v>0</v>
      </c>
      <c r="W9">
        <v>23750</v>
      </c>
      <c r="X9">
        <v>0</v>
      </c>
      <c r="Y9" t="s">
        <v>57</v>
      </c>
      <c r="AA9" t="s">
        <v>1674</v>
      </c>
      <c r="AB9" t="s">
        <v>2064</v>
      </c>
      <c r="AC9" t="s">
        <v>2046</v>
      </c>
      <c r="AD9" t="s">
        <v>2052</v>
      </c>
      <c r="AE9" t="s">
        <v>1686</v>
      </c>
      <c r="AF9" t="s">
        <v>1687</v>
      </c>
      <c r="AG9">
        <v>137353</v>
      </c>
      <c r="AH9">
        <v>0</v>
      </c>
      <c r="AI9">
        <v>-137353</v>
      </c>
      <c r="AJ9">
        <v>0</v>
      </c>
      <c r="AK9">
        <v>-8600.01</v>
      </c>
      <c r="AL9" t="s">
        <v>69</v>
      </c>
    </row>
    <row r="10" spans="1:38">
      <c r="A10" s="136" t="s">
        <v>628</v>
      </c>
      <c r="B10" s="132" t="s">
        <v>2058</v>
      </c>
      <c r="C10" s="132" t="s">
        <v>2042</v>
      </c>
      <c r="D10" s="132" t="s">
        <v>2043</v>
      </c>
      <c r="E10" s="132" t="s">
        <v>637</v>
      </c>
      <c r="F10" s="132" t="s">
        <v>2068</v>
      </c>
      <c r="G10" s="142">
        <v>3500</v>
      </c>
      <c r="H10" s="142">
        <v>3500</v>
      </c>
      <c r="I10" s="142">
        <v>0</v>
      </c>
      <c r="J10" s="142">
        <v>27250</v>
      </c>
      <c r="K10" s="142">
        <v>0</v>
      </c>
      <c r="L10" s="137" t="s">
        <v>57</v>
      </c>
      <c r="N10" t="s">
        <v>628</v>
      </c>
      <c r="O10" t="s">
        <v>2058</v>
      </c>
      <c r="P10" t="s">
        <v>2042</v>
      </c>
      <c r="Q10" t="s">
        <v>2043</v>
      </c>
      <c r="R10" t="s">
        <v>637</v>
      </c>
      <c r="S10" t="s">
        <v>2068</v>
      </c>
      <c r="T10">
        <v>3500</v>
      </c>
      <c r="U10">
        <v>3500</v>
      </c>
      <c r="V10">
        <v>0</v>
      </c>
      <c r="W10">
        <v>27250</v>
      </c>
      <c r="X10">
        <v>0</v>
      </c>
      <c r="Y10" t="s">
        <v>57</v>
      </c>
      <c r="AA10" t="s">
        <v>1674</v>
      </c>
      <c r="AB10" t="s">
        <v>2069</v>
      </c>
      <c r="AC10" t="s">
        <v>2046</v>
      </c>
      <c r="AD10" t="s">
        <v>2047</v>
      </c>
      <c r="AE10" t="s">
        <v>2070</v>
      </c>
      <c r="AF10" t="s">
        <v>2071</v>
      </c>
      <c r="AG10">
        <v>109773</v>
      </c>
      <c r="AH10">
        <v>0</v>
      </c>
      <c r="AI10">
        <v>109773</v>
      </c>
      <c r="AJ10">
        <v>0</v>
      </c>
      <c r="AK10">
        <v>101172.99</v>
      </c>
      <c r="AL10" t="s">
        <v>2050</v>
      </c>
    </row>
    <row r="11" spans="1:38">
      <c r="A11" s="136" t="s">
        <v>628</v>
      </c>
      <c r="B11" s="132" t="s">
        <v>2058</v>
      </c>
      <c r="C11" s="132" t="s">
        <v>2042</v>
      </c>
      <c r="D11" s="132" t="s">
        <v>2043</v>
      </c>
      <c r="E11" s="132" t="s">
        <v>638</v>
      </c>
      <c r="F11" s="132" t="s">
        <v>2072</v>
      </c>
      <c r="G11" s="142">
        <v>13150</v>
      </c>
      <c r="H11" s="142">
        <v>13150</v>
      </c>
      <c r="I11" s="142">
        <v>0</v>
      </c>
      <c r="J11" s="142">
        <v>40400</v>
      </c>
      <c r="K11" s="142">
        <v>0</v>
      </c>
      <c r="L11" s="137" t="s">
        <v>57</v>
      </c>
      <c r="N11" t="s">
        <v>628</v>
      </c>
      <c r="O11" t="s">
        <v>2058</v>
      </c>
      <c r="P11" t="s">
        <v>2042</v>
      </c>
      <c r="Q11" t="s">
        <v>2043</v>
      </c>
      <c r="R11" t="s">
        <v>638</v>
      </c>
      <c r="S11" t="s">
        <v>2072</v>
      </c>
      <c r="T11">
        <v>13150</v>
      </c>
      <c r="U11">
        <v>13150</v>
      </c>
      <c r="V11">
        <v>0</v>
      </c>
      <c r="W11">
        <v>40400</v>
      </c>
      <c r="X11">
        <v>0</v>
      </c>
      <c r="Y11" t="s">
        <v>57</v>
      </c>
      <c r="AA11" t="s">
        <v>1674</v>
      </c>
      <c r="AB11" t="s">
        <v>2069</v>
      </c>
      <c r="AC11" t="s">
        <v>2046</v>
      </c>
      <c r="AD11" t="s">
        <v>2052</v>
      </c>
      <c r="AE11" t="s">
        <v>1690</v>
      </c>
      <c r="AF11" t="s">
        <v>1691</v>
      </c>
      <c r="AG11">
        <v>109773</v>
      </c>
      <c r="AH11">
        <v>0</v>
      </c>
      <c r="AI11">
        <v>-109773</v>
      </c>
      <c r="AJ11">
        <v>0</v>
      </c>
      <c r="AK11">
        <v>-8600.01</v>
      </c>
      <c r="AL11" t="s">
        <v>69</v>
      </c>
    </row>
    <row r="12" spans="1:38">
      <c r="A12" s="136" t="s">
        <v>628</v>
      </c>
      <c r="B12" s="132" t="s">
        <v>2058</v>
      </c>
      <c r="C12" s="132" t="s">
        <v>2042</v>
      </c>
      <c r="D12" s="132" t="s">
        <v>2043</v>
      </c>
      <c r="E12" s="132" t="s">
        <v>639</v>
      </c>
      <c r="F12" s="132" t="s">
        <v>2051</v>
      </c>
      <c r="G12" s="142">
        <v>4000</v>
      </c>
      <c r="H12" s="142">
        <v>4000</v>
      </c>
      <c r="I12" s="142">
        <v>0</v>
      </c>
      <c r="J12" s="142">
        <v>44400</v>
      </c>
      <c r="K12" s="142">
        <v>0</v>
      </c>
      <c r="L12" s="137" t="s">
        <v>57</v>
      </c>
      <c r="N12" t="s">
        <v>628</v>
      </c>
      <c r="O12" t="s">
        <v>2058</v>
      </c>
      <c r="P12" t="s">
        <v>2042</v>
      </c>
      <c r="Q12" t="s">
        <v>2043</v>
      </c>
      <c r="R12" t="s">
        <v>639</v>
      </c>
      <c r="S12" t="s">
        <v>2051</v>
      </c>
      <c r="T12">
        <v>4000</v>
      </c>
      <c r="U12">
        <v>4000</v>
      </c>
      <c r="V12">
        <v>0</v>
      </c>
      <c r="W12">
        <v>44400</v>
      </c>
      <c r="X12">
        <v>0</v>
      </c>
      <c r="Y12" t="s">
        <v>57</v>
      </c>
      <c r="AA12" t="s">
        <v>1674</v>
      </c>
      <c r="AB12" t="s">
        <v>2073</v>
      </c>
      <c r="AC12" t="s">
        <v>2046</v>
      </c>
      <c r="AD12" t="s">
        <v>2047</v>
      </c>
      <c r="AE12" t="s">
        <v>2074</v>
      </c>
      <c r="AF12" t="s">
        <v>2075</v>
      </c>
      <c r="AG12">
        <v>113720</v>
      </c>
      <c r="AH12">
        <v>0</v>
      </c>
      <c r="AI12">
        <v>113720</v>
      </c>
      <c r="AJ12">
        <v>0</v>
      </c>
      <c r="AK12">
        <v>105119.99</v>
      </c>
      <c r="AL12" t="s">
        <v>2050</v>
      </c>
    </row>
    <row r="13" spans="1:38">
      <c r="A13" s="136" t="s">
        <v>628</v>
      </c>
      <c r="B13" s="132" t="s">
        <v>2058</v>
      </c>
      <c r="C13" s="132" t="s">
        <v>2042</v>
      </c>
      <c r="D13" s="132" t="s">
        <v>2043</v>
      </c>
      <c r="E13" s="132" t="s">
        <v>640</v>
      </c>
      <c r="F13" s="132" t="s">
        <v>2057</v>
      </c>
      <c r="G13" s="142">
        <v>1750</v>
      </c>
      <c r="H13" s="142">
        <v>1750</v>
      </c>
      <c r="I13" s="142">
        <v>0</v>
      </c>
      <c r="J13" s="142">
        <v>46150</v>
      </c>
      <c r="K13" s="142">
        <v>0</v>
      </c>
      <c r="L13" s="137" t="s">
        <v>57</v>
      </c>
      <c r="N13" t="s">
        <v>628</v>
      </c>
      <c r="O13" t="s">
        <v>2058</v>
      </c>
      <c r="P13" t="s">
        <v>2042</v>
      </c>
      <c r="Q13" t="s">
        <v>2043</v>
      </c>
      <c r="R13" t="s">
        <v>640</v>
      </c>
      <c r="S13" t="s">
        <v>2057</v>
      </c>
      <c r="T13">
        <v>1750</v>
      </c>
      <c r="U13">
        <v>1750</v>
      </c>
      <c r="V13">
        <v>0</v>
      </c>
      <c r="W13">
        <v>46150</v>
      </c>
      <c r="X13">
        <v>0</v>
      </c>
      <c r="Y13" t="s">
        <v>57</v>
      </c>
      <c r="AA13" t="s">
        <v>1674</v>
      </c>
      <c r="AB13" t="s">
        <v>2073</v>
      </c>
      <c r="AC13" t="s">
        <v>2046</v>
      </c>
      <c r="AD13" t="s">
        <v>2052</v>
      </c>
      <c r="AE13" t="s">
        <v>1694</v>
      </c>
      <c r="AF13" t="s">
        <v>1695</v>
      </c>
      <c r="AG13">
        <v>113720</v>
      </c>
      <c r="AH13">
        <v>0</v>
      </c>
      <c r="AI13">
        <v>-113720</v>
      </c>
      <c r="AJ13">
        <v>0</v>
      </c>
      <c r="AK13">
        <v>-8600.01</v>
      </c>
      <c r="AL13" t="s">
        <v>69</v>
      </c>
    </row>
    <row r="14" spans="1:38">
      <c r="A14" s="136" t="s">
        <v>628</v>
      </c>
      <c r="B14" s="132" t="s">
        <v>2076</v>
      </c>
      <c r="C14" s="132" t="s">
        <v>2042</v>
      </c>
      <c r="D14" s="132" t="s">
        <v>2043</v>
      </c>
      <c r="E14" s="132" t="s">
        <v>641</v>
      </c>
      <c r="F14" s="132" t="s">
        <v>2077</v>
      </c>
      <c r="G14" s="142">
        <v>6000</v>
      </c>
      <c r="H14" s="142">
        <v>6000</v>
      </c>
      <c r="I14" s="142">
        <v>0</v>
      </c>
      <c r="J14" s="142">
        <v>52150</v>
      </c>
      <c r="K14" s="142">
        <v>0</v>
      </c>
      <c r="L14" s="137" t="s">
        <v>57</v>
      </c>
      <c r="N14" t="s">
        <v>628</v>
      </c>
      <c r="O14" t="s">
        <v>2076</v>
      </c>
      <c r="P14" t="s">
        <v>2042</v>
      </c>
      <c r="Q14" t="s">
        <v>2043</v>
      </c>
      <c r="R14" t="s">
        <v>641</v>
      </c>
      <c r="S14" t="s">
        <v>2077</v>
      </c>
      <c r="T14">
        <v>6000</v>
      </c>
      <c r="U14">
        <v>6000</v>
      </c>
      <c r="V14">
        <v>0</v>
      </c>
      <c r="W14">
        <v>52150</v>
      </c>
      <c r="X14">
        <v>0</v>
      </c>
      <c r="Y14" t="s">
        <v>57</v>
      </c>
      <c r="AA14" t="s">
        <v>1674</v>
      </c>
      <c r="AB14" t="s">
        <v>2078</v>
      </c>
      <c r="AC14" t="s">
        <v>2046</v>
      </c>
      <c r="AD14" t="s">
        <v>2047</v>
      </c>
      <c r="AE14" t="s">
        <v>2079</v>
      </c>
      <c r="AF14" t="s">
        <v>2080</v>
      </c>
      <c r="AG14">
        <v>58370</v>
      </c>
      <c r="AH14">
        <v>0</v>
      </c>
      <c r="AI14">
        <v>58370</v>
      </c>
      <c r="AJ14">
        <v>0</v>
      </c>
      <c r="AK14">
        <v>49769.99</v>
      </c>
      <c r="AL14" t="s">
        <v>2050</v>
      </c>
    </row>
    <row r="15" spans="1:38">
      <c r="A15" s="136" t="s">
        <v>628</v>
      </c>
      <c r="B15" s="132" t="s">
        <v>2076</v>
      </c>
      <c r="C15" s="132" t="s">
        <v>2042</v>
      </c>
      <c r="D15" s="132" t="s">
        <v>2043</v>
      </c>
      <c r="E15" s="132" t="s">
        <v>642</v>
      </c>
      <c r="F15" s="132" t="s">
        <v>2081</v>
      </c>
      <c r="G15" s="142">
        <v>3000</v>
      </c>
      <c r="H15" s="142">
        <v>3000</v>
      </c>
      <c r="I15" s="142">
        <v>0</v>
      </c>
      <c r="J15" s="142">
        <v>55150</v>
      </c>
      <c r="K15" s="142">
        <v>0</v>
      </c>
      <c r="L15" s="137" t="s">
        <v>57</v>
      </c>
      <c r="N15" t="s">
        <v>628</v>
      </c>
      <c r="O15" t="s">
        <v>2076</v>
      </c>
      <c r="P15" t="s">
        <v>2042</v>
      </c>
      <c r="Q15" t="s">
        <v>2043</v>
      </c>
      <c r="R15" t="s">
        <v>642</v>
      </c>
      <c r="S15" t="s">
        <v>2081</v>
      </c>
      <c r="T15">
        <v>3000</v>
      </c>
      <c r="U15">
        <v>3000</v>
      </c>
      <c r="V15">
        <v>0</v>
      </c>
      <c r="W15">
        <v>55150</v>
      </c>
      <c r="X15">
        <v>0</v>
      </c>
      <c r="Y15" t="s">
        <v>57</v>
      </c>
      <c r="AA15" t="s">
        <v>1674</v>
      </c>
      <c r="AB15" t="s">
        <v>2078</v>
      </c>
      <c r="AC15" t="s">
        <v>2046</v>
      </c>
      <c r="AD15" t="s">
        <v>2052</v>
      </c>
      <c r="AE15" t="s">
        <v>1698</v>
      </c>
      <c r="AF15" t="s">
        <v>1699</v>
      </c>
      <c r="AG15">
        <v>58370</v>
      </c>
      <c r="AH15">
        <v>0</v>
      </c>
      <c r="AI15">
        <v>-58370</v>
      </c>
      <c r="AJ15">
        <v>0</v>
      </c>
      <c r="AK15">
        <v>-8600.01</v>
      </c>
      <c r="AL15" t="s">
        <v>69</v>
      </c>
    </row>
    <row r="16" spans="1:38">
      <c r="A16" s="136" t="s">
        <v>628</v>
      </c>
      <c r="B16" s="132" t="s">
        <v>2076</v>
      </c>
      <c r="C16" s="132" t="s">
        <v>2042</v>
      </c>
      <c r="D16" s="132" t="s">
        <v>2043</v>
      </c>
      <c r="E16" s="132" t="s">
        <v>643</v>
      </c>
      <c r="F16" s="132" t="s">
        <v>2082</v>
      </c>
      <c r="G16" s="142">
        <v>4000</v>
      </c>
      <c r="H16" s="142">
        <v>4000</v>
      </c>
      <c r="I16" s="142">
        <v>0</v>
      </c>
      <c r="J16" s="142">
        <v>59150</v>
      </c>
      <c r="K16" s="142">
        <v>0</v>
      </c>
      <c r="L16" s="137" t="s">
        <v>57</v>
      </c>
      <c r="N16" t="s">
        <v>628</v>
      </c>
      <c r="O16" t="s">
        <v>2076</v>
      </c>
      <c r="P16" t="s">
        <v>2042</v>
      </c>
      <c r="Q16" t="s">
        <v>2043</v>
      </c>
      <c r="R16" t="s">
        <v>643</v>
      </c>
      <c r="S16" t="s">
        <v>2082</v>
      </c>
      <c r="T16">
        <v>4000</v>
      </c>
      <c r="U16">
        <v>4000</v>
      </c>
      <c r="V16">
        <v>0</v>
      </c>
      <c r="W16">
        <v>59150</v>
      </c>
      <c r="X16">
        <v>0</v>
      </c>
      <c r="Y16" t="s">
        <v>57</v>
      </c>
      <c r="AA16" t="s">
        <v>1674</v>
      </c>
      <c r="AB16" t="s">
        <v>2083</v>
      </c>
      <c r="AC16" t="s">
        <v>2046</v>
      </c>
      <c r="AD16" t="s">
        <v>2047</v>
      </c>
      <c r="AE16" t="s">
        <v>2084</v>
      </c>
      <c r="AF16" t="s">
        <v>2085</v>
      </c>
      <c r="AG16">
        <v>136800</v>
      </c>
      <c r="AH16">
        <v>0</v>
      </c>
      <c r="AI16">
        <v>136800</v>
      </c>
      <c r="AJ16">
        <v>0</v>
      </c>
      <c r="AK16">
        <v>128199.99</v>
      </c>
      <c r="AL16" t="s">
        <v>2050</v>
      </c>
    </row>
    <row r="17" spans="1:25">
      <c r="A17" s="136" t="s">
        <v>628</v>
      </c>
      <c r="B17" s="132" t="s">
        <v>2076</v>
      </c>
      <c r="C17" s="132" t="s">
        <v>2042</v>
      </c>
      <c r="D17" s="132" t="s">
        <v>2043</v>
      </c>
      <c r="E17" s="132" t="s">
        <v>644</v>
      </c>
      <c r="F17" s="132" t="s">
        <v>2086</v>
      </c>
      <c r="G17" s="142">
        <v>6000</v>
      </c>
      <c r="H17" s="142">
        <v>6000</v>
      </c>
      <c r="I17" s="142">
        <v>0</v>
      </c>
      <c r="J17" s="142">
        <v>65150</v>
      </c>
      <c r="K17" s="142">
        <v>0</v>
      </c>
      <c r="L17" s="137" t="s">
        <v>57</v>
      </c>
      <c r="N17" t="s">
        <v>628</v>
      </c>
      <c r="O17" t="s">
        <v>2076</v>
      </c>
      <c r="P17" t="s">
        <v>2042</v>
      </c>
      <c r="Q17" t="s">
        <v>2043</v>
      </c>
      <c r="R17" t="s">
        <v>644</v>
      </c>
      <c r="S17" t="s">
        <v>2086</v>
      </c>
      <c r="T17">
        <v>6000</v>
      </c>
      <c r="U17">
        <v>6000</v>
      </c>
      <c r="V17">
        <v>0</v>
      </c>
      <c r="W17">
        <v>65150</v>
      </c>
      <c r="X17">
        <v>0</v>
      </c>
      <c r="Y17" t="s">
        <v>57</v>
      </c>
    </row>
    <row r="18" spans="1:25">
      <c r="A18" s="136" t="s">
        <v>628</v>
      </c>
      <c r="B18" s="132" t="s">
        <v>2076</v>
      </c>
      <c r="C18" s="132" t="s">
        <v>2042</v>
      </c>
      <c r="D18" s="132" t="s">
        <v>1654</v>
      </c>
      <c r="E18" s="132" t="s">
        <v>1652</v>
      </c>
      <c r="F18" s="132" t="s">
        <v>1653</v>
      </c>
      <c r="G18" s="142">
        <v>15000</v>
      </c>
      <c r="H18" s="142">
        <v>15000</v>
      </c>
      <c r="I18" s="142">
        <v>0</v>
      </c>
      <c r="J18" s="142">
        <v>80150</v>
      </c>
      <c r="K18" s="142">
        <v>0</v>
      </c>
      <c r="L18" s="137" t="s">
        <v>69</v>
      </c>
      <c r="N18" t="s">
        <v>628</v>
      </c>
      <c r="O18" t="s">
        <v>2076</v>
      </c>
      <c r="P18" t="s">
        <v>2042</v>
      </c>
      <c r="Q18" t="s">
        <v>1654</v>
      </c>
      <c r="R18" t="s">
        <v>1652</v>
      </c>
      <c r="S18" t="s">
        <v>1653</v>
      </c>
      <c r="T18">
        <v>15000</v>
      </c>
      <c r="U18">
        <v>15000</v>
      </c>
      <c r="V18">
        <v>0</v>
      </c>
      <c r="W18">
        <v>80150</v>
      </c>
      <c r="X18">
        <v>0</v>
      </c>
      <c r="Y18" t="s">
        <v>69</v>
      </c>
    </row>
    <row r="19" spans="1:25">
      <c r="A19" s="136" t="s">
        <v>628</v>
      </c>
      <c r="B19" s="132" t="s">
        <v>2087</v>
      </c>
      <c r="C19" s="132" t="s">
        <v>2042</v>
      </c>
      <c r="D19" s="132" t="s">
        <v>2043</v>
      </c>
      <c r="E19" s="132" t="s">
        <v>645</v>
      </c>
      <c r="F19" s="132" t="s">
        <v>2088</v>
      </c>
      <c r="G19" s="142">
        <v>3000</v>
      </c>
      <c r="H19" s="142">
        <v>3000</v>
      </c>
      <c r="I19" s="142">
        <v>0</v>
      </c>
      <c r="J19" s="142">
        <v>83150</v>
      </c>
      <c r="K19" s="142">
        <v>0</v>
      </c>
      <c r="L19" s="137" t="s">
        <v>57</v>
      </c>
      <c r="N19" t="s">
        <v>628</v>
      </c>
      <c r="O19" t="s">
        <v>2087</v>
      </c>
      <c r="P19" t="s">
        <v>2042</v>
      </c>
      <c r="Q19" t="s">
        <v>2043</v>
      </c>
      <c r="R19" t="s">
        <v>645</v>
      </c>
      <c r="S19" t="s">
        <v>2088</v>
      </c>
      <c r="T19">
        <v>3000</v>
      </c>
      <c r="U19">
        <v>3000</v>
      </c>
      <c r="V19">
        <v>0</v>
      </c>
      <c r="W19">
        <v>83150</v>
      </c>
      <c r="X19">
        <v>0</v>
      </c>
      <c r="Y19" t="s">
        <v>57</v>
      </c>
    </row>
    <row r="20" spans="1:25">
      <c r="A20" s="136" t="s">
        <v>628</v>
      </c>
      <c r="B20" s="132" t="s">
        <v>2045</v>
      </c>
      <c r="C20" s="132" t="s">
        <v>2046</v>
      </c>
      <c r="D20" s="132" t="s">
        <v>2047</v>
      </c>
      <c r="E20" s="132" t="s">
        <v>2048</v>
      </c>
      <c r="F20" s="132" t="s">
        <v>2049</v>
      </c>
      <c r="G20" s="142">
        <v>119183.09</v>
      </c>
      <c r="H20" s="142">
        <v>0</v>
      </c>
      <c r="I20" s="142">
        <v>119183.09</v>
      </c>
      <c r="J20" s="142">
        <v>83150</v>
      </c>
      <c r="K20" s="142">
        <v>119183.09</v>
      </c>
      <c r="L20" s="137" t="s">
        <v>2050</v>
      </c>
      <c r="N20" t="s">
        <v>628</v>
      </c>
      <c r="O20" t="s">
        <v>2045</v>
      </c>
      <c r="P20" t="s">
        <v>2046</v>
      </c>
      <c r="Q20" t="s">
        <v>2047</v>
      </c>
      <c r="R20" t="s">
        <v>2048</v>
      </c>
      <c r="S20" t="s">
        <v>2049</v>
      </c>
      <c r="T20">
        <v>119183.09</v>
      </c>
      <c r="U20">
        <v>0</v>
      </c>
      <c r="V20">
        <v>119183.09</v>
      </c>
      <c r="W20">
        <v>83150</v>
      </c>
      <c r="X20">
        <v>119183.09</v>
      </c>
      <c r="Y20" t="s">
        <v>2050</v>
      </c>
    </row>
    <row r="21" spans="1:25">
      <c r="A21" s="136" t="s">
        <v>628</v>
      </c>
      <c r="B21" s="132" t="s">
        <v>2045</v>
      </c>
      <c r="C21" s="132" t="s">
        <v>2042</v>
      </c>
      <c r="D21" s="132" t="s">
        <v>2043</v>
      </c>
      <c r="E21" s="132" t="s">
        <v>683</v>
      </c>
      <c r="F21" s="132" t="s">
        <v>2089</v>
      </c>
      <c r="G21" s="142">
        <v>12000</v>
      </c>
      <c r="H21" s="142">
        <v>12000</v>
      </c>
      <c r="I21" s="142">
        <v>0</v>
      </c>
      <c r="J21" s="142">
        <v>95150</v>
      </c>
      <c r="K21" s="142">
        <v>119183.09</v>
      </c>
      <c r="L21" s="137" t="s">
        <v>57</v>
      </c>
      <c r="N21" t="s">
        <v>628</v>
      </c>
      <c r="O21" t="s">
        <v>2045</v>
      </c>
      <c r="P21" t="s">
        <v>2042</v>
      </c>
      <c r="Q21" t="s">
        <v>2043</v>
      </c>
      <c r="R21" t="s">
        <v>683</v>
      </c>
      <c r="S21" t="s">
        <v>2089</v>
      </c>
      <c r="T21">
        <v>12000</v>
      </c>
      <c r="U21">
        <v>12000</v>
      </c>
      <c r="V21">
        <v>0</v>
      </c>
      <c r="W21">
        <v>95150</v>
      </c>
      <c r="X21">
        <v>119183.09</v>
      </c>
      <c r="Y21" t="s">
        <v>57</v>
      </c>
    </row>
    <row r="22" spans="1:25">
      <c r="A22" s="136" t="s">
        <v>628</v>
      </c>
      <c r="B22" s="132" t="s">
        <v>2045</v>
      </c>
      <c r="C22" s="132" t="s">
        <v>2042</v>
      </c>
      <c r="D22" s="132" t="s">
        <v>2043</v>
      </c>
      <c r="E22" s="132" t="s">
        <v>685</v>
      </c>
      <c r="F22" s="132" t="s">
        <v>2090</v>
      </c>
      <c r="G22" s="142">
        <v>3000</v>
      </c>
      <c r="H22" s="142">
        <v>3000</v>
      </c>
      <c r="I22" s="142">
        <v>0</v>
      </c>
      <c r="J22" s="142">
        <v>98150</v>
      </c>
      <c r="K22" s="142">
        <v>119183.09</v>
      </c>
      <c r="L22" s="137" t="s">
        <v>57</v>
      </c>
      <c r="N22" t="s">
        <v>628</v>
      </c>
      <c r="O22" t="s">
        <v>2045</v>
      </c>
      <c r="P22" t="s">
        <v>2042</v>
      </c>
      <c r="Q22" t="s">
        <v>2043</v>
      </c>
      <c r="R22" t="s">
        <v>685</v>
      </c>
      <c r="S22" t="s">
        <v>2090</v>
      </c>
      <c r="T22">
        <v>3000</v>
      </c>
      <c r="U22">
        <v>3000</v>
      </c>
      <c r="V22">
        <v>0</v>
      </c>
      <c r="W22">
        <v>98150</v>
      </c>
      <c r="X22">
        <v>119183.09</v>
      </c>
      <c r="Y22" t="s">
        <v>57</v>
      </c>
    </row>
    <row r="23" spans="1:25">
      <c r="A23" s="136" t="s">
        <v>628</v>
      </c>
      <c r="B23" s="132" t="s">
        <v>2045</v>
      </c>
      <c r="C23" s="132" t="s">
        <v>2042</v>
      </c>
      <c r="D23" s="132" t="s">
        <v>2043</v>
      </c>
      <c r="E23" s="132" t="s">
        <v>686</v>
      </c>
      <c r="F23" s="132" t="s">
        <v>2091</v>
      </c>
      <c r="G23" s="142">
        <v>20000</v>
      </c>
      <c r="H23" s="142">
        <v>20000</v>
      </c>
      <c r="I23" s="142">
        <v>0</v>
      </c>
      <c r="J23" s="142">
        <v>118150</v>
      </c>
      <c r="K23" s="142">
        <v>119183.09</v>
      </c>
      <c r="L23" s="137" t="s">
        <v>57</v>
      </c>
      <c r="N23" t="s">
        <v>628</v>
      </c>
      <c r="O23" t="s">
        <v>2045</v>
      </c>
      <c r="P23" t="s">
        <v>2042</v>
      </c>
      <c r="Q23" t="s">
        <v>2043</v>
      </c>
      <c r="R23" t="s">
        <v>686</v>
      </c>
      <c r="S23" t="s">
        <v>2091</v>
      </c>
      <c r="T23">
        <v>20000</v>
      </c>
      <c r="U23">
        <v>20000</v>
      </c>
      <c r="V23">
        <v>0</v>
      </c>
      <c r="W23">
        <v>118150</v>
      </c>
      <c r="X23">
        <v>119183.09</v>
      </c>
      <c r="Y23" t="s">
        <v>57</v>
      </c>
    </row>
    <row r="24" spans="1:25">
      <c r="A24" s="136" t="s">
        <v>628</v>
      </c>
      <c r="B24" s="132" t="s">
        <v>2045</v>
      </c>
      <c r="C24" s="132" t="s">
        <v>2042</v>
      </c>
      <c r="D24" s="132" t="s">
        <v>2043</v>
      </c>
      <c r="E24" s="132" t="s">
        <v>688</v>
      </c>
      <c r="F24" s="132" t="s">
        <v>2092</v>
      </c>
      <c r="G24" s="142">
        <v>2500</v>
      </c>
      <c r="H24" s="142">
        <v>2500</v>
      </c>
      <c r="I24" s="142">
        <v>0</v>
      </c>
      <c r="J24" s="142">
        <v>120650</v>
      </c>
      <c r="K24" s="142">
        <v>119183.09</v>
      </c>
      <c r="L24" s="137" t="s">
        <v>57</v>
      </c>
      <c r="N24" t="s">
        <v>628</v>
      </c>
      <c r="O24" t="s">
        <v>2045</v>
      </c>
      <c r="P24" t="s">
        <v>2042</v>
      </c>
      <c r="Q24" t="s">
        <v>2043</v>
      </c>
      <c r="R24" t="s">
        <v>688</v>
      </c>
      <c r="S24" t="s">
        <v>2092</v>
      </c>
      <c r="T24">
        <v>2500</v>
      </c>
      <c r="U24">
        <v>2500</v>
      </c>
      <c r="V24">
        <v>0</v>
      </c>
      <c r="W24">
        <v>120650</v>
      </c>
      <c r="X24">
        <v>119183.09</v>
      </c>
      <c r="Y24" t="s">
        <v>57</v>
      </c>
    </row>
    <row r="25" spans="1:25">
      <c r="A25" s="136" t="s">
        <v>628</v>
      </c>
      <c r="B25" s="132" t="s">
        <v>2045</v>
      </c>
      <c r="C25" s="132" t="s">
        <v>2042</v>
      </c>
      <c r="D25" s="132" t="s">
        <v>2043</v>
      </c>
      <c r="E25" s="132" t="s">
        <v>689</v>
      </c>
      <c r="F25" s="132" t="s">
        <v>2044</v>
      </c>
      <c r="G25" s="142">
        <v>6000</v>
      </c>
      <c r="H25" s="142">
        <v>6000</v>
      </c>
      <c r="I25" s="142">
        <v>0</v>
      </c>
      <c r="J25" s="142">
        <v>126650</v>
      </c>
      <c r="K25" s="142">
        <v>119183.09</v>
      </c>
      <c r="L25" s="137" t="s">
        <v>57</v>
      </c>
      <c r="N25" t="s">
        <v>628</v>
      </c>
      <c r="O25" t="s">
        <v>2045</v>
      </c>
      <c r="P25" t="s">
        <v>2042</v>
      </c>
      <c r="Q25" t="s">
        <v>2043</v>
      </c>
      <c r="R25" t="s">
        <v>689</v>
      </c>
      <c r="S25" t="s">
        <v>2044</v>
      </c>
      <c r="T25">
        <v>6000</v>
      </c>
      <c r="U25">
        <v>6000</v>
      </c>
      <c r="V25">
        <v>0</v>
      </c>
      <c r="W25">
        <v>126650</v>
      </c>
      <c r="X25">
        <v>119183.09</v>
      </c>
      <c r="Y25" t="s">
        <v>57</v>
      </c>
    </row>
    <row r="26" spans="1:25">
      <c r="A26" s="136" t="s">
        <v>628</v>
      </c>
      <c r="B26" s="132" t="s">
        <v>2045</v>
      </c>
      <c r="C26" s="132" t="s">
        <v>2042</v>
      </c>
      <c r="D26" s="132" t="s">
        <v>2043</v>
      </c>
      <c r="E26" s="132" t="s">
        <v>693</v>
      </c>
      <c r="F26" s="132" t="s">
        <v>2072</v>
      </c>
      <c r="G26" s="142">
        <v>2000</v>
      </c>
      <c r="H26" s="142">
        <v>2000</v>
      </c>
      <c r="I26" s="142">
        <v>0</v>
      </c>
      <c r="J26" s="142">
        <v>128650</v>
      </c>
      <c r="K26" s="142">
        <v>119183.09</v>
      </c>
      <c r="L26" s="137" t="s">
        <v>57</v>
      </c>
      <c r="N26" t="s">
        <v>628</v>
      </c>
      <c r="O26" t="s">
        <v>2045</v>
      </c>
      <c r="P26" t="s">
        <v>2042</v>
      </c>
      <c r="Q26" t="s">
        <v>2043</v>
      </c>
      <c r="R26" t="s">
        <v>693</v>
      </c>
      <c r="S26" t="s">
        <v>2072</v>
      </c>
      <c r="T26">
        <v>2000</v>
      </c>
      <c r="U26">
        <v>2000</v>
      </c>
      <c r="V26">
        <v>0</v>
      </c>
      <c r="W26">
        <v>128650</v>
      </c>
      <c r="X26">
        <v>119183.09</v>
      </c>
      <c r="Y26" t="s">
        <v>57</v>
      </c>
    </row>
    <row r="27" spans="1:25">
      <c r="A27" s="136" t="s">
        <v>628</v>
      </c>
      <c r="B27" s="132" t="s">
        <v>2045</v>
      </c>
      <c r="C27" s="132" t="s">
        <v>2042</v>
      </c>
      <c r="D27" s="132" t="s">
        <v>2043</v>
      </c>
      <c r="E27" s="132" t="s">
        <v>697</v>
      </c>
      <c r="F27" s="132" t="s">
        <v>2093</v>
      </c>
      <c r="G27" s="142">
        <v>1000</v>
      </c>
      <c r="H27" s="142">
        <v>1000</v>
      </c>
      <c r="I27" s="142">
        <v>0</v>
      </c>
      <c r="J27" s="142">
        <v>129650</v>
      </c>
      <c r="K27" s="142">
        <v>119183.09</v>
      </c>
      <c r="L27" s="137" t="s">
        <v>57</v>
      </c>
      <c r="N27" t="s">
        <v>628</v>
      </c>
      <c r="O27" t="s">
        <v>2045</v>
      </c>
      <c r="P27" t="s">
        <v>2042</v>
      </c>
      <c r="Q27" t="s">
        <v>2043</v>
      </c>
      <c r="R27" t="s">
        <v>697</v>
      </c>
      <c r="S27" t="s">
        <v>2093</v>
      </c>
      <c r="T27">
        <v>1000</v>
      </c>
      <c r="U27">
        <v>1000</v>
      </c>
      <c r="V27">
        <v>0</v>
      </c>
      <c r="W27">
        <v>129650</v>
      </c>
      <c r="X27">
        <v>119183.09</v>
      </c>
      <c r="Y27" t="s">
        <v>57</v>
      </c>
    </row>
    <row r="28" spans="1:25">
      <c r="A28" s="136" t="s">
        <v>628</v>
      </c>
      <c r="B28" s="132" t="s">
        <v>2045</v>
      </c>
      <c r="C28" s="132" t="s">
        <v>2042</v>
      </c>
      <c r="D28" s="132" t="s">
        <v>2094</v>
      </c>
      <c r="E28" s="132" t="s">
        <v>1605</v>
      </c>
      <c r="F28" s="132" t="s">
        <v>1607</v>
      </c>
      <c r="G28" s="142">
        <v>12000</v>
      </c>
      <c r="H28" s="142">
        <v>12000</v>
      </c>
      <c r="I28" s="142">
        <v>0</v>
      </c>
      <c r="J28" s="142">
        <v>141650</v>
      </c>
      <c r="K28" s="142">
        <v>119183.09</v>
      </c>
      <c r="L28" s="137" t="s">
        <v>61</v>
      </c>
      <c r="N28" t="s">
        <v>628</v>
      </c>
      <c r="O28" t="s">
        <v>2045</v>
      </c>
      <c r="P28" t="s">
        <v>2042</v>
      </c>
      <c r="Q28" t="s">
        <v>2094</v>
      </c>
      <c r="R28" t="s">
        <v>1605</v>
      </c>
      <c r="S28" t="s">
        <v>1607</v>
      </c>
      <c r="T28">
        <v>12000</v>
      </c>
      <c r="U28">
        <v>12000</v>
      </c>
      <c r="V28">
        <v>0</v>
      </c>
      <c r="W28">
        <v>141650</v>
      </c>
      <c r="X28">
        <v>119183.09</v>
      </c>
      <c r="Y28" t="s">
        <v>61</v>
      </c>
    </row>
    <row r="29" spans="1:25">
      <c r="A29" s="136" t="s">
        <v>628</v>
      </c>
      <c r="B29" s="132" t="s">
        <v>2045</v>
      </c>
      <c r="C29" s="132" t="s">
        <v>2042</v>
      </c>
      <c r="D29" s="132" t="s">
        <v>2094</v>
      </c>
      <c r="E29" s="132" t="s">
        <v>1609</v>
      </c>
      <c r="F29" s="132" t="s">
        <v>1611</v>
      </c>
      <c r="G29" s="142">
        <v>3000</v>
      </c>
      <c r="H29" s="142">
        <v>3000</v>
      </c>
      <c r="I29" s="142">
        <v>0</v>
      </c>
      <c r="J29" s="142">
        <v>144650</v>
      </c>
      <c r="K29" s="142">
        <v>119183.09</v>
      </c>
      <c r="L29" s="137" t="s">
        <v>61</v>
      </c>
      <c r="N29" t="s">
        <v>628</v>
      </c>
      <c r="O29" t="s">
        <v>2045</v>
      </c>
      <c r="P29" t="s">
        <v>2042</v>
      </c>
      <c r="Q29" t="s">
        <v>2094</v>
      </c>
      <c r="R29" t="s">
        <v>1609</v>
      </c>
      <c r="S29" t="s">
        <v>1611</v>
      </c>
      <c r="T29">
        <v>3000</v>
      </c>
      <c r="U29">
        <v>3000</v>
      </c>
      <c r="V29">
        <v>0</v>
      </c>
      <c r="W29">
        <v>144650</v>
      </c>
      <c r="X29">
        <v>119183.09</v>
      </c>
      <c r="Y29" t="s">
        <v>61</v>
      </c>
    </row>
    <row r="30" spans="1:25">
      <c r="A30" s="136" t="s">
        <v>628</v>
      </c>
      <c r="B30" s="132" t="s">
        <v>2045</v>
      </c>
      <c r="C30" s="132" t="s">
        <v>2042</v>
      </c>
      <c r="D30" s="132" t="s">
        <v>2094</v>
      </c>
      <c r="E30" s="132" t="s">
        <v>1613</v>
      </c>
      <c r="F30" s="132" t="s">
        <v>1614</v>
      </c>
      <c r="G30" s="142">
        <v>2000</v>
      </c>
      <c r="H30" s="142">
        <v>2000</v>
      </c>
      <c r="I30" s="142">
        <v>0</v>
      </c>
      <c r="J30" s="142">
        <v>146650</v>
      </c>
      <c r="K30" s="142">
        <v>119183.09</v>
      </c>
      <c r="L30" s="137" t="s">
        <v>61</v>
      </c>
      <c r="N30" t="s">
        <v>628</v>
      </c>
      <c r="O30" t="s">
        <v>2045</v>
      </c>
      <c r="P30" t="s">
        <v>2042</v>
      </c>
      <c r="Q30" t="s">
        <v>2094</v>
      </c>
      <c r="R30" t="s">
        <v>1613</v>
      </c>
      <c r="S30" t="s">
        <v>1614</v>
      </c>
      <c r="T30">
        <v>2000</v>
      </c>
      <c r="U30">
        <v>2000</v>
      </c>
      <c r="V30">
        <v>0</v>
      </c>
      <c r="W30">
        <v>146650</v>
      </c>
      <c r="X30">
        <v>119183.09</v>
      </c>
      <c r="Y30" t="s">
        <v>61</v>
      </c>
    </row>
    <row r="31" spans="1:25">
      <c r="A31" s="136" t="s">
        <v>628</v>
      </c>
      <c r="B31" s="132" t="s">
        <v>2045</v>
      </c>
      <c r="C31" s="132" t="s">
        <v>2042</v>
      </c>
      <c r="D31" s="132" t="s">
        <v>1654</v>
      </c>
      <c r="E31" s="132" t="s">
        <v>1655</v>
      </c>
      <c r="F31" s="132" t="s">
        <v>1656</v>
      </c>
      <c r="G31" s="142">
        <v>15000</v>
      </c>
      <c r="H31" s="142">
        <v>15000</v>
      </c>
      <c r="I31" s="142">
        <v>0</v>
      </c>
      <c r="J31" s="142">
        <v>161650</v>
      </c>
      <c r="K31" s="142">
        <v>119183.09</v>
      </c>
      <c r="L31" s="137" t="s">
        <v>69</v>
      </c>
      <c r="N31" t="s">
        <v>628</v>
      </c>
      <c r="O31" t="s">
        <v>2045</v>
      </c>
      <c r="P31" t="s">
        <v>2042</v>
      </c>
      <c r="Q31" t="s">
        <v>1654</v>
      </c>
      <c r="R31" t="s">
        <v>1655</v>
      </c>
      <c r="S31" t="s">
        <v>1656</v>
      </c>
      <c r="T31">
        <v>15000</v>
      </c>
      <c r="U31">
        <v>15000</v>
      </c>
      <c r="V31">
        <v>0</v>
      </c>
      <c r="W31">
        <v>161650</v>
      </c>
      <c r="X31">
        <v>119183.09</v>
      </c>
      <c r="Y31" t="s">
        <v>69</v>
      </c>
    </row>
    <row r="32" spans="1:25">
      <c r="A32" s="136" t="s">
        <v>628</v>
      </c>
      <c r="B32" s="132" t="s">
        <v>2045</v>
      </c>
      <c r="C32" s="132" t="s">
        <v>2042</v>
      </c>
      <c r="D32" s="132" t="s">
        <v>1654</v>
      </c>
      <c r="E32" s="132" t="s">
        <v>1657</v>
      </c>
      <c r="F32" s="132" t="s">
        <v>1658</v>
      </c>
      <c r="G32" s="142">
        <v>5000</v>
      </c>
      <c r="H32" s="142">
        <v>5000</v>
      </c>
      <c r="I32" s="142">
        <v>0</v>
      </c>
      <c r="J32" s="142">
        <v>166650</v>
      </c>
      <c r="K32" s="142">
        <v>119183.09</v>
      </c>
      <c r="L32" s="137" t="s">
        <v>69</v>
      </c>
      <c r="N32" t="s">
        <v>628</v>
      </c>
      <c r="O32" t="s">
        <v>2045</v>
      </c>
      <c r="P32" t="s">
        <v>2042</v>
      </c>
      <c r="Q32" t="s">
        <v>1654</v>
      </c>
      <c r="R32" t="s">
        <v>1657</v>
      </c>
      <c r="S32" t="s">
        <v>1658</v>
      </c>
      <c r="T32">
        <v>5000</v>
      </c>
      <c r="U32">
        <v>5000</v>
      </c>
      <c r="V32">
        <v>0</v>
      </c>
      <c r="W32">
        <v>166650</v>
      </c>
      <c r="X32">
        <v>119183.09</v>
      </c>
      <c r="Y32" t="s">
        <v>69</v>
      </c>
    </row>
    <row r="33" spans="1:25">
      <c r="A33" s="136" t="s">
        <v>628</v>
      </c>
      <c r="B33" s="132" t="s">
        <v>2045</v>
      </c>
      <c r="C33" s="132" t="s">
        <v>2046</v>
      </c>
      <c r="D33" s="132" t="s">
        <v>2052</v>
      </c>
      <c r="E33" s="132" t="s">
        <v>1670</v>
      </c>
      <c r="F33" s="132" t="s">
        <v>1671</v>
      </c>
      <c r="G33" s="142">
        <v>127783.09</v>
      </c>
      <c r="H33" s="142">
        <v>0</v>
      </c>
      <c r="I33" s="142">
        <v>-127783.09</v>
      </c>
      <c r="J33" s="142">
        <v>166650</v>
      </c>
      <c r="K33" s="142">
        <v>-8600</v>
      </c>
      <c r="L33" s="137" t="s">
        <v>69</v>
      </c>
      <c r="N33" t="s">
        <v>628</v>
      </c>
      <c r="O33" t="s">
        <v>2045</v>
      </c>
      <c r="P33" t="s">
        <v>2046</v>
      </c>
      <c r="Q33" t="s">
        <v>2052</v>
      </c>
      <c r="R33" t="s">
        <v>1670</v>
      </c>
      <c r="S33" t="s">
        <v>1671</v>
      </c>
      <c r="T33">
        <v>127783.09</v>
      </c>
      <c r="U33">
        <v>0</v>
      </c>
      <c r="V33">
        <v>-127783.09</v>
      </c>
      <c r="W33">
        <v>166650</v>
      </c>
      <c r="X33">
        <v>-8600</v>
      </c>
      <c r="Y33" t="s">
        <v>69</v>
      </c>
    </row>
    <row r="34" spans="1:25">
      <c r="A34" s="136" t="s">
        <v>628</v>
      </c>
      <c r="B34" s="132" t="s">
        <v>2095</v>
      </c>
      <c r="C34" s="132" t="s">
        <v>2042</v>
      </c>
      <c r="D34" s="132" t="s">
        <v>2043</v>
      </c>
      <c r="E34" s="132" t="s">
        <v>707</v>
      </c>
      <c r="F34" s="132" t="s">
        <v>2096</v>
      </c>
      <c r="G34" s="142">
        <v>10000</v>
      </c>
      <c r="H34" s="142">
        <v>10000</v>
      </c>
      <c r="I34" s="142">
        <v>0</v>
      </c>
      <c r="J34" s="142">
        <v>176650</v>
      </c>
      <c r="K34" s="142">
        <v>-8600</v>
      </c>
      <c r="L34" s="137" t="s">
        <v>57</v>
      </c>
      <c r="N34" t="s">
        <v>628</v>
      </c>
      <c r="O34" t="s">
        <v>2095</v>
      </c>
      <c r="P34" t="s">
        <v>2042</v>
      </c>
      <c r="Q34" t="s">
        <v>2043</v>
      </c>
      <c r="R34" t="s">
        <v>707</v>
      </c>
      <c r="S34" t="s">
        <v>2096</v>
      </c>
      <c r="T34">
        <v>10000</v>
      </c>
      <c r="U34">
        <v>10000</v>
      </c>
      <c r="V34">
        <v>0</v>
      </c>
      <c r="W34">
        <v>176650</v>
      </c>
      <c r="X34">
        <v>-8600</v>
      </c>
      <c r="Y34" t="s">
        <v>57</v>
      </c>
    </row>
    <row r="35" spans="1:25">
      <c r="A35" s="136" t="s">
        <v>628</v>
      </c>
      <c r="B35" s="132" t="s">
        <v>2095</v>
      </c>
      <c r="C35" s="132" t="s">
        <v>2042</v>
      </c>
      <c r="D35" s="132" t="s">
        <v>1661</v>
      </c>
      <c r="E35" s="132" t="s">
        <v>1668</v>
      </c>
      <c r="F35" s="132" t="s">
        <v>1669</v>
      </c>
      <c r="G35" s="142">
        <v>32000</v>
      </c>
      <c r="H35" s="142">
        <v>-32000</v>
      </c>
      <c r="I35" s="142">
        <v>0</v>
      </c>
      <c r="J35" s="142">
        <v>144650</v>
      </c>
      <c r="K35" s="142">
        <v>-8600</v>
      </c>
      <c r="L35" s="137" t="s">
        <v>69</v>
      </c>
      <c r="N35" t="s">
        <v>628</v>
      </c>
      <c r="O35" t="s">
        <v>2095</v>
      </c>
      <c r="P35" t="s">
        <v>2042</v>
      </c>
      <c r="Q35" t="s">
        <v>1661</v>
      </c>
      <c r="R35" t="s">
        <v>1668</v>
      </c>
      <c r="S35" t="s">
        <v>1669</v>
      </c>
      <c r="T35">
        <v>32000</v>
      </c>
      <c r="U35">
        <v>-32000</v>
      </c>
      <c r="V35">
        <v>0</v>
      </c>
      <c r="W35">
        <v>144650</v>
      </c>
      <c r="X35">
        <v>-8600</v>
      </c>
      <c r="Y35" t="s">
        <v>69</v>
      </c>
    </row>
    <row r="36" spans="1:25">
      <c r="A36" s="136" t="s">
        <v>628</v>
      </c>
      <c r="B36" s="132" t="s">
        <v>2097</v>
      </c>
      <c r="C36" s="132" t="s">
        <v>2042</v>
      </c>
      <c r="D36" s="132" t="s">
        <v>2043</v>
      </c>
      <c r="E36" s="132" t="s">
        <v>722</v>
      </c>
      <c r="F36" s="132" t="s">
        <v>2098</v>
      </c>
      <c r="G36" s="142">
        <v>2500</v>
      </c>
      <c r="H36" s="142">
        <v>2500</v>
      </c>
      <c r="I36" s="142">
        <v>0</v>
      </c>
      <c r="J36" s="142">
        <v>147150</v>
      </c>
      <c r="K36" s="142">
        <v>-8600</v>
      </c>
      <c r="L36" s="137" t="s">
        <v>57</v>
      </c>
      <c r="N36" t="s">
        <v>628</v>
      </c>
      <c r="O36" t="s">
        <v>2097</v>
      </c>
      <c r="P36" t="s">
        <v>2042</v>
      </c>
      <c r="Q36" t="s">
        <v>2043</v>
      </c>
      <c r="R36" t="s">
        <v>722</v>
      </c>
      <c r="S36" t="s">
        <v>2098</v>
      </c>
      <c r="T36">
        <v>2500</v>
      </c>
      <c r="U36">
        <v>2500</v>
      </c>
      <c r="V36">
        <v>0</v>
      </c>
      <c r="W36">
        <v>147150</v>
      </c>
      <c r="X36">
        <v>-8600</v>
      </c>
      <c r="Y36" t="s">
        <v>57</v>
      </c>
    </row>
    <row r="37" spans="1:25">
      <c r="A37" s="136" t="s">
        <v>628</v>
      </c>
      <c r="B37" s="132" t="s">
        <v>2099</v>
      </c>
      <c r="C37" s="132" t="s">
        <v>2042</v>
      </c>
      <c r="D37" s="132" t="s">
        <v>2043</v>
      </c>
      <c r="E37" s="132" t="s">
        <v>731</v>
      </c>
      <c r="F37" s="132" t="s">
        <v>2100</v>
      </c>
      <c r="G37" s="142">
        <v>3500</v>
      </c>
      <c r="H37" s="142">
        <v>3500</v>
      </c>
      <c r="I37" s="142">
        <v>0</v>
      </c>
      <c r="J37" s="142">
        <v>150650</v>
      </c>
      <c r="K37" s="142">
        <v>-8600</v>
      </c>
      <c r="L37" s="137" t="s">
        <v>57</v>
      </c>
      <c r="N37" t="s">
        <v>628</v>
      </c>
      <c r="O37" t="s">
        <v>2099</v>
      </c>
      <c r="P37" t="s">
        <v>2042</v>
      </c>
      <c r="Q37" t="s">
        <v>2043</v>
      </c>
      <c r="R37" t="s">
        <v>731</v>
      </c>
      <c r="S37" t="s">
        <v>2100</v>
      </c>
      <c r="T37">
        <v>3500</v>
      </c>
      <c r="U37">
        <v>3500</v>
      </c>
      <c r="V37">
        <v>0</v>
      </c>
      <c r="W37">
        <v>150650</v>
      </c>
      <c r="X37">
        <v>-8600</v>
      </c>
      <c r="Y37" t="s">
        <v>57</v>
      </c>
    </row>
    <row r="38" spans="1:25">
      <c r="A38" s="136" t="s">
        <v>628</v>
      </c>
      <c r="B38" s="132" t="s">
        <v>2101</v>
      </c>
      <c r="C38" s="132" t="s">
        <v>2042</v>
      </c>
      <c r="D38" s="132" t="s">
        <v>2043</v>
      </c>
      <c r="E38" s="132" t="s">
        <v>733</v>
      </c>
      <c r="F38" s="132" t="s">
        <v>2088</v>
      </c>
      <c r="G38" s="142">
        <v>3000</v>
      </c>
      <c r="H38" s="142">
        <v>3000</v>
      </c>
      <c r="I38" s="142">
        <v>0</v>
      </c>
      <c r="J38" s="142">
        <v>153650</v>
      </c>
      <c r="K38" s="142">
        <v>-8600</v>
      </c>
      <c r="L38" s="137" t="s">
        <v>57</v>
      </c>
      <c r="N38" t="s">
        <v>628</v>
      </c>
      <c r="O38" t="s">
        <v>2101</v>
      </c>
      <c r="P38" t="s">
        <v>2042</v>
      </c>
      <c r="Q38" t="s">
        <v>2043</v>
      </c>
      <c r="R38" t="s">
        <v>733</v>
      </c>
      <c r="S38" t="s">
        <v>2088</v>
      </c>
      <c r="T38">
        <v>3000</v>
      </c>
      <c r="U38">
        <v>3000</v>
      </c>
      <c r="V38">
        <v>0</v>
      </c>
      <c r="W38">
        <v>153650</v>
      </c>
      <c r="X38">
        <v>-8600</v>
      </c>
      <c r="Y38" t="s">
        <v>57</v>
      </c>
    </row>
    <row r="39" spans="1:25">
      <c r="A39" s="136" t="s">
        <v>628</v>
      </c>
      <c r="B39" s="132" t="s">
        <v>2102</v>
      </c>
      <c r="C39" s="132" t="s">
        <v>2042</v>
      </c>
      <c r="D39" s="132" t="s">
        <v>2043</v>
      </c>
      <c r="E39" s="132" t="s">
        <v>748</v>
      </c>
      <c r="F39" s="132" t="s">
        <v>2103</v>
      </c>
      <c r="G39" s="142">
        <v>7500</v>
      </c>
      <c r="H39" s="142">
        <v>7500</v>
      </c>
      <c r="I39" s="142">
        <v>0</v>
      </c>
      <c r="J39" s="142">
        <v>161150</v>
      </c>
      <c r="K39" s="142">
        <v>-8600</v>
      </c>
      <c r="L39" s="137" t="s">
        <v>57</v>
      </c>
      <c r="N39" t="s">
        <v>628</v>
      </c>
      <c r="O39" t="s">
        <v>2102</v>
      </c>
      <c r="P39" t="s">
        <v>2042</v>
      </c>
      <c r="Q39" t="s">
        <v>2043</v>
      </c>
      <c r="R39" t="s">
        <v>748</v>
      </c>
      <c r="S39" t="s">
        <v>2103</v>
      </c>
      <c r="T39">
        <v>7500</v>
      </c>
      <c r="U39">
        <v>7500</v>
      </c>
      <c r="V39">
        <v>0</v>
      </c>
      <c r="W39">
        <v>161150</v>
      </c>
      <c r="X39">
        <v>-8600</v>
      </c>
      <c r="Y39" t="s">
        <v>57</v>
      </c>
    </row>
    <row r="40" spans="1:25">
      <c r="A40" s="136" t="s">
        <v>628</v>
      </c>
      <c r="B40" s="132" t="s">
        <v>2104</v>
      </c>
      <c r="C40" s="132" t="s">
        <v>2042</v>
      </c>
      <c r="D40" s="132" t="s">
        <v>2043</v>
      </c>
      <c r="E40" s="132" t="s">
        <v>751</v>
      </c>
      <c r="F40" s="132" t="s">
        <v>2105</v>
      </c>
      <c r="G40" s="142">
        <v>2500</v>
      </c>
      <c r="H40" s="142">
        <v>2500</v>
      </c>
      <c r="I40" s="142">
        <v>0</v>
      </c>
      <c r="J40" s="142">
        <v>163650</v>
      </c>
      <c r="K40" s="142">
        <v>-8600</v>
      </c>
      <c r="L40" s="137" t="s">
        <v>57</v>
      </c>
      <c r="N40" t="s">
        <v>628</v>
      </c>
      <c r="O40" t="s">
        <v>2104</v>
      </c>
      <c r="P40" t="s">
        <v>2042</v>
      </c>
      <c r="Q40" t="s">
        <v>2043</v>
      </c>
      <c r="R40" t="s">
        <v>751</v>
      </c>
      <c r="S40" t="s">
        <v>2105</v>
      </c>
      <c r="T40">
        <v>2500</v>
      </c>
      <c r="U40">
        <v>2500</v>
      </c>
      <c r="V40">
        <v>0</v>
      </c>
      <c r="W40">
        <v>163650</v>
      </c>
      <c r="X40">
        <v>-8600</v>
      </c>
      <c r="Y40" t="s">
        <v>57</v>
      </c>
    </row>
    <row r="41" spans="1:25">
      <c r="A41" s="136" t="s">
        <v>628</v>
      </c>
      <c r="B41" s="132" t="s">
        <v>2104</v>
      </c>
      <c r="C41" s="132" t="s">
        <v>2042</v>
      </c>
      <c r="D41" s="132" t="s">
        <v>2043</v>
      </c>
      <c r="E41" s="132" t="s">
        <v>752</v>
      </c>
      <c r="F41" s="132" t="s">
        <v>2106</v>
      </c>
      <c r="G41" s="142">
        <v>4000</v>
      </c>
      <c r="H41" s="142">
        <v>4000</v>
      </c>
      <c r="I41" s="142">
        <v>0</v>
      </c>
      <c r="J41" s="142">
        <v>167650</v>
      </c>
      <c r="K41" s="142">
        <v>-8600</v>
      </c>
      <c r="L41" s="137" t="s">
        <v>57</v>
      </c>
      <c r="N41" t="s">
        <v>628</v>
      </c>
      <c r="O41" t="s">
        <v>2104</v>
      </c>
      <c r="P41" t="s">
        <v>2042</v>
      </c>
      <c r="Q41" t="s">
        <v>2043</v>
      </c>
      <c r="R41" t="s">
        <v>752</v>
      </c>
      <c r="S41" t="s">
        <v>2106</v>
      </c>
      <c r="T41">
        <v>4000</v>
      </c>
      <c r="U41">
        <v>4000</v>
      </c>
      <c r="V41">
        <v>0</v>
      </c>
      <c r="W41">
        <v>167650</v>
      </c>
      <c r="X41">
        <v>-8600</v>
      </c>
      <c r="Y41" t="s">
        <v>57</v>
      </c>
    </row>
    <row r="42" spans="1:25">
      <c r="A42" s="136" t="s">
        <v>628</v>
      </c>
      <c r="B42" s="132" t="s">
        <v>2104</v>
      </c>
      <c r="C42" s="132" t="s">
        <v>2042</v>
      </c>
      <c r="D42" s="132" t="s">
        <v>2043</v>
      </c>
      <c r="E42" s="132" t="s">
        <v>753</v>
      </c>
      <c r="F42" s="132" t="s">
        <v>2107</v>
      </c>
      <c r="G42" s="142">
        <v>8000</v>
      </c>
      <c r="H42" s="142">
        <v>8000</v>
      </c>
      <c r="I42" s="142">
        <v>0</v>
      </c>
      <c r="J42" s="142">
        <v>175650</v>
      </c>
      <c r="K42" s="142">
        <v>-8600</v>
      </c>
      <c r="L42" s="137" t="s">
        <v>57</v>
      </c>
      <c r="N42" t="s">
        <v>628</v>
      </c>
      <c r="O42" t="s">
        <v>2104</v>
      </c>
      <c r="P42" t="s">
        <v>2042</v>
      </c>
      <c r="Q42" t="s">
        <v>2043</v>
      </c>
      <c r="R42" t="s">
        <v>753</v>
      </c>
      <c r="S42" t="s">
        <v>2107</v>
      </c>
      <c r="T42">
        <v>8000</v>
      </c>
      <c r="U42">
        <v>8000</v>
      </c>
      <c r="V42">
        <v>0</v>
      </c>
      <c r="W42">
        <v>175650</v>
      </c>
      <c r="X42">
        <v>-8600</v>
      </c>
      <c r="Y42" t="s">
        <v>57</v>
      </c>
    </row>
    <row r="43" spans="1:25">
      <c r="A43" s="136" t="s">
        <v>628</v>
      </c>
      <c r="B43" s="132" t="s">
        <v>2104</v>
      </c>
      <c r="C43" s="132" t="s">
        <v>2042</v>
      </c>
      <c r="D43" s="132" t="s">
        <v>2043</v>
      </c>
      <c r="E43" s="132" t="s">
        <v>755</v>
      </c>
      <c r="F43" s="132" t="s">
        <v>2108</v>
      </c>
      <c r="G43" s="142">
        <v>3000</v>
      </c>
      <c r="H43" s="142">
        <v>3000</v>
      </c>
      <c r="I43" s="142">
        <v>0</v>
      </c>
      <c r="J43" s="142">
        <v>178650</v>
      </c>
      <c r="K43" s="142">
        <v>-8600</v>
      </c>
      <c r="L43" s="137" t="s">
        <v>57</v>
      </c>
      <c r="N43" t="s">
        <v>628</v>
      </c>
      <c r="O43" t="s">
        <v>2104</v>
      </c>
      <c r="P43" t="s">
        <v>2042</v>
      </c>
      <c r="Q43" t="s">
        <v>2043</v>
      </c>
      <c r="R43" t="s">
        <v>755</v>
      </c>
      <c r="S43" t="s">
        <v>2108</v>
      </c>
      <c r="T43">
        <v>3000</v>
      </c>
      <c r="U43">
        <v>3000</v>
      </c>
      <c r="V43">
        <v>0</v>
      </c>
      <c r="W43">
        <v>178650</v>
      </c>
      <c r="X43">
        <v>-8600</v>
      </c>
      <c r="Y43" t="s">
        <v>57</v>
      </c>
    </row>
    <row r="44" spans="1:25">
      <c r="A44" s="136" t="s">
        <v>628</v>
      </c>
      <c r="B44" s="132" t="s">
        <v>2104</v>
      </c>
      <c r="C44" s="132" t="s">
        <v>2042</v>
      </c>
      <c r="D44" s="132" t="s">
        <v>2043</v>
      </c>
      <c r="E44" s="132" t="s">
        <v>756</v>
      </c>
      <c r="F44" s="132" t="s">
        <v>2109</v>
      </c>
      <c r="G44" s="142">
        <v>3000</v>
      </c>
      <c r="H44" s="142">
        <v>3000</v>
      </c>
      <c r="I44" s="142">
        <v>0</v>
      </c>
      <c r="J44" s="142">
        <v>181650</v>
      </c>
      <c r="K44" s="142">
        <v>-8600</v>
      </c>
      <c r="L44" s="137" t="s">
        <v>57</v>
      </c>
      <c r="N44" t="s">
        <v>628</v>
      </c>
      <c r="O44" t="s">
        <v>2104</v>
      </c>
      <c r="P44" t="s">
        <v>2042</v>
      </c>
      <c r="Q44" t="s">
        <v>2043</v>
      </c>
      <c r="R44" t="s">
        <v>756</v>
      </c>
      <c r="S44" t="s">
        <v>2109</v>
      </c>
      <c r="T44">
        <v>3000</v>
      </c>
      <c r="U44">
        <v>3000</v>
      </c>
      <c r="V44">
        <v>0</v>
      </c>
      <c r="W44">
        <v>181650</v>
      </c>
      <c r="X44">
        <v>-8600</v>
      </c>
      <c r="Y44" t="s">
        <v>57</v>
      </c>
    </row>
    <row r="45" spans="1:25">
      <c r="A45" s="136" t="s">
        <v>628</v>
      </c>
      <c r="B45" s="132" t="s">
        <v>2104</v>
      </c>
      <c r="C45" s="132" t="s">
        <v>2042</v>
      </c>
      <c r="D45" s="132" t="s">
        <v>2043</v>
      </c>
      <c r="E45" s="132" t="s">
        <v>757</v>
      </c>
      <c r="F45" s="132" t="s">
        <v>2110</v>
      </c>
      <c r="G45" s="142">
        <v>3500</v>
      </c>
      <c r="H45" s="142">
        <v>3500</v>
      </c>
      <c r="I45" s="142">
        <v>0</v>
      </c>
      <c r="J45" s="142">
        <v>185150</v>
      </c>
      <c r="K45" s="142">
        <v>-8600</v>
      </c>
      <c r="L45" s="137" t="s">
        <v>57</v>
      </c>
      <c r="N45" t="s">
        <v>628</v>
      </c>
      <c r="O45" t="s">
        <v>2104</v>
      </c>
      <c r="P45" t="s">
        <v>2042</v>
      </c>
      <c r="Q45" t="s">
        <v>2043</v>
      </c>
      <c r="R45" t="s">
        <v>757</v>
      </c>
      <c r="S45" t="s">
        <v>2110</v>
      </c>
      <c r="T45">
        <v>3500</v>
      </c>
      <c r="U45">
        <v>3500</v>
      </c>
      <c r="V45">
        <v>0</v>
      </c>
      <c r="W45">
        <v>185150</v>
      </c>
      <c r="X45">
        <v>-8600</v>
      </c>
      <c r="Y45" t="s">
        <v>57</v>
      </c>
    </row>
    <row r="46" spans="1:25">
      <c r="A46" s="136" t="s">
        <v>628</v>
      </c>
      <c r="B46" s="132" t="s">
        <v>2111</v>
      </c>
      <c r="C46" s="132" t="s">
        <v>2042</v>
      </c>
      <c r="D46" s="132" t="s">
        <v>2043</v>
      </c>
      <c r="E46" s="132" t="s">
        <v>761</v>
      </c>
      <c r="F46" s="132" t="s">
        <v>2112</v>
      </c>
      <c r="G46" s="142">
        <v>2000</v>
      </c>
      <c r="H46" s="142">
        <v>2000</v>
      </c>
      <c r="I46" s="142">
        <v>0</v>
      </c>
      <c r="J46" s="142">
        <v>187150</v>
      </c>
      <c r="K46" s="142">
        <v>-8600</v>
      </c>
      <c r="L46" s="137" t="s">
        <v>57</v>
      </c>
      <c r="N46" t="s">
        <v>628</v>
      </c>
      <c r="O46" t="s">
        <v>2111</v>
      </c>
      <c r="P46" t="s">
        <v>2042</v>
      </c>
      <c r="Q46" t="s">
        <v>2043</v>
      </c>
      <c r="R46" t="s">
        <v>761</v>
      </c>
      <c r="S46" t="s">
        <v>2112</v>
      </c>
      <c r="T46">
        <v>2000</v>
      </c>
      <c r="U46">
        <v>2000</v>
      </c>
      <c r="V46">
        <v>0</v>
      </c>
      <c r="W46">
        <v>187150</v>
      </c>
      <c r="X46">
        <v>-8600</v>
      </c>
      <c r="Y46" t="s">
        <v>57</v>
      </c>
    </row>
    <row r="47" spans="1:25">
      <c r="A47" s="136" t="s">
        <v>628</v>
      </c>
      <c r="B47" s="132" t="s">
        <v>2054</v>
      </c>
      <c r="C47" s="132" t="s">
        <v>2046</v>
      </c>
      <c r="D47" s="132" t="s">
        <v>2047</v>
      </c>
      <c r="E47" s="132" t="s">
        <v>2055</v>
      </c>
      <c r="F47" s="132" t="s">
        <v>2056</v>
      </c>
      <c r="G47" s="142">
        <v>10310.9</v>
      </c>
      <c r="H47" s="142">
        <v>0</v>
      </c>
      <c r="I47" s="142">
        <v>10310.9</v>
      </c>
      <c r="J47" s="142">
        <v>187150</v>
      </c>
      <c r="K47" s="142">
        <v>1710.9</v>
      </c>
      <c r="L47" s="137" t="s">
        <v>2050</v>
      </c>
      <c r="N47" t="s">
        <v>628</v>
      </c>
      <c r="O47" t="s">
        <v>2054</v>
      </c>
      <c r="P47" t="s">
        <v>2046</v>
      </c>
      <c r="Q47" t="s">
        <v>2047</v>
      </c>
      <c r="R47" t="s">
        <v>2055</v>
      </c>
      <c r="S47" t="s">
        <v>2056</v>
      </c>
      <c r="T47">
        <v>10310.9</v>
      </c>
      <c r="U47">
        <v>0</v>
      </c>
      <c r="V47">
        <v>10310.9</v>
      </c>
      <c r="W47">
        <v>187150</v>
      </c>
      <c r="X47">
        <v>1710.9</v>
      </c>
      <c r="Y47" t="s">
        <v>2050</v>
      </c>
    </row>
    <row r="48" spans="1:25">
      <c r="A48" s="136" t="s">
        <v>628</v>
      </c>
      <c r="B48" s="132" t="s">
        <v>2054</v>
      </c>
      <c r="C48" s="132" t="s">
        <v>2042</v>
      </c>
      <c r="D48" s="132" t="s">
        <v>2043</v>
      </c>
      <c r="E48" s="132" t="s">
        <v>763</v>
      </c>
      <c r="F48" s="132" t="s">
        <v>2089</v>
      </c>
      <c r="G48" s="142">
        <v>12000</v>
      </c>
      <c r="H48" s="142">
        <v>12000</v>
      </c>
      <c r="I48" s="142">
        <v>0</v>
      </c>
      <c r="J48" s="142">
        <v>199150</v>
      </c>
      <c r="K48" s="142">
        <v>1710.9</v>
      </c>
      <c r="L48" s="137" t="s">
        <v>57</v>
      </c>
      <c r="N48" t="s">
        <v>628</v>
      </c>
      <c r="O48" t="s">
        <v>2054</v>
      </c>
      <c r="P48" t="s">
        <v>2042</v>
      </c>
      <c r="Q48" t="s">
        <v>2043</v>
      </c>
      <c r="R48" t="s">
        <v>763</v>
      </c>
      <c r="S48" t="s">
        <v>2089</v>
      </c>
      <c r="T48">
        <v>12000</v>
      </c>
      <c r="U48">
        <v>12000</v>
      </c>
      <c r="V48">
        <v>0</v>
      </c>
      <c r="W48">
        <v>199150</v>
      </c>
      <c r="X48">
        <v>1710.9</v>
      </c>
      <c r="Y48" t="s">
        <v>57</v>
      </c>
    </row>
    <row r="49" spans="1:25">
      <c r="A49" s="136" t="s">
        <v>628</v>
      </c>
      <c r="B49" s="132" t="s">
        <v>2054</v>
      </c>
      <c r="C49" s="132" t="s">
        <v>2042</v>
      </c>
      <c r="D49" s="132" t="s">
        <v>2043</v>
      </c>
      <c r="E49" s="132" t="s">
        <v>771</v>
      </c>
      <c r="F49" s="132" t="s">
        <v>2113</v>
      </c>
      <c r="G49" s="142">
        <v>5000</v>
      </c>
      <c r="H49" s="142">
        <v>5000</v>
      </c>
      <c r="I49" s="142">
        <v>0</v>
      </c>
      <c r="J49" s="142">
        <v>204150</v>
      </c>
      <c r="K49" s="142">
        <v>1710.9</v>
      </c>
      <c r="L49" s="137" t="s">
        <v>57</v>
      </c>
      <c r="N49" t="s">
        <v>628</v>
      </c>
      <c r="O49" t="s">
        <v>2054</v>
      </c>
      <c r="P49" t="s">
        <v>2042</v>
      </c>
      <c r="Q49" t="s">
        <v>2043</v>
      </c>
      <c r="R49" t="s">
        <v>771</v>
      </c>
      <c r="S49" t="s">
        <v>2113</v>
      </c>
      <c r="T49">
        <v>5000</v>
      </c>
      <c r="U49">
        <v>5000</v>
      </c>
      <c r="V49">
        <v>0</v>
      </c>
      <c r="W49">
        <v>204150</v>
      </c>
      <c r="X49">
        <v>1710.9</v>
      </c>
      <c r="Y49" t="s">
        <v>57</v>
      </c>
    </row>
    <row r="50" spans="1:25">
      <c r="A50" s="136" t="s">
        <v>628</v>
      </c>
      <c r="B50" s="132" t="s">
        <v>2054</v>
      </c>
      <c r="C50" s="132" t="s">
        <v>2042</v>
      </c>
      <c r="D50" s="132" t="s">
        <v>2094</v>
      </c>
      <c r="E50" s="132" t="s">
        <v>1616</v>
      </c>
      <c r="F50" s="132" t="s">
        <v>1607</v>
      </c>
      <c r="G50" s="142">
        <v>12000</v>
      </c>
      <c r="H50" s="142">
        <v>12000</v>
      </c>
      <c r="I50" s="142">
        <v>0</v>
      </c>
      <c r="J50" s="142">
        <v>216150</v>
      </c>
      <c r="K50" s="142">
        <v>1710.9</v>
      </c>
      <c r="L50" s="137" t="s">
        <v>61</v>
      </c>
      <c r="N50" t="s">
        <v>628</v>
      </c>
      <c r="O50" t="s">
        <v>2054</v>
      </c>
      <c r="P50" t="s">
        <v>2042</v>
      </c>
      <c r="Q50" t="s">
        <v>2094</v>
      </c>
      <c r="R50" t="s">
        <v>1616</v>
      </c>
      <c r="S50" t="s">
        <v>1607</v>
      </c>
      <c r="T50">
        <v>12000</v>
      </c>
      <c r="U50">
        <v>12000</v>
      </c>
      <c r="V50">
        <v>0</v>
      </c>
      <c r="W50">
        <v>216150</v>
      </c>
      <c r="X50">
        <v>1710.9</v>
      </c>
      <c r="Y50" t="s">
        <v>61</v>
      </c>
    </row>
    <row r="51" spans="1:25">
      <c r="A51" s="136" t="s">
        <v>628</v>
      </c>
      <c r="B51" s="132" t="s">
        <v>2054</v>
      </c>
      <c r="C51" s="132" t="s">
        <v>2042</v>
      </c>
      <c r="D51" s="132" t="s">
        <v>2094</v>
      </c>
      <c r="E51" s="132" t="s">
        <v>1618</v>
      </c>
      <c r="F51" s="132" t="s">
        <v>1611</v>
      </c>
      <c r="G51" s="142">
        <v>3000</v>
      </c>
      <c r="H51" s="142">
        <v>3000</v>
      </c>
      <c r="I51" s="142">
        <v>0</v>
      </c>
      <c r="J51" s="142">
        <v>219150</v>
      </c>
      <c r="K51" s="142">
        <v>1710.9</v>
      </c>
      <c r="L51" s="137" t="s">
        <v>61</v>
      </c>
      <c r="N51" t="s">
        <v>628</v>
      </c>
      <c r="O51" t="s">
        <v>2054</v>
      </c>
      <c r="P51" t="s">
        <v>2042</v>
      </c>
      <c r="Q51" t="s">
        <v>2094</v>
      </c>
      <c r="R51" t="s">
        <v>1618</v>
      </c>
      <c r="S51" t="s">
        <v>1611</v>
      </c>
      <c r="T51">
        <v>3000</v>
      </c>
      <c r="U51">
        <v>3000</v>
      </c>
      <c r="V51">
        <v>0</v>
      </c>
      <c r="W51">
        <v>219150</v>
      </c>
      <c r="X51">
        <v>1710.9</v>
      </c>
      <c r="Y51" t="s">
        <v>61</v>
      </c>
    </row>
    <row r="52" spans="1:25">
      <c r="A52" s="136" t="s">
        <v>628</v>
      </c>
      <c r="B52" s="132" t="s">
        <v>2054</v>
      </c>
      <c r="C52" s="132" t="s">
        <v>2042</v>
      </c>
      <c r="D52" s="132" t="s">
        <v>2094</v>
      </c>
      <c r="E52" s="132" t="s">
        <v>1620</v>
      </c>
      <c r="F52" s="132" t="s">
        <v>1614</v>
      </c>
      <c r="G52" s="142">
        <v>2000</v>
      </c>
      <c r="H52" s="142">
        <v>2000</v>
      </c>
      <c r="I52" s="142">
        <v>0</v>
      </c>
      <c r="J52" s="142">
        <v>221150</v>
      </c>
      <c r="K52" s="142">
        <v>1710.9</v>
      </c>
      <c r="L52" s="137" t="s">
        <v>61</v>
      </c>
      <c r="N52" t="s">
        <v>628</v>
      </c>
      <c r="O52" t="s">
        <v>2054</v>
      </c>
      <c r="P52" t="s">
        <v>2042</v>
      </c>
      <c r="Q52" t="s">
        <v>2094</v>
      </c>
      <c r="R52" t="s">
        <v>1620</v>
      </c>
      <c r="S52" t="s">
        <v>1614</v>
      </c>
      <c r="T52">
        <v>2000</v>
      </c>
      <c r="U52">
        <v>2000</v>
      </c>
      <c r="V52">
        <v>0</v>
      </c>
      <c r="W52">
        <v>221150</v>
      </c>
      <c r="X52">
        <v>1710.9</v>
      </c>
      <c r="Y52" t="s">
        <v>61</v>
      </c>
    </row>
    <row r="53" spans="1:25">
      <c r="A53" s="136" t="s">
        <v>628</v>
      </c>
      <c r="B53" s="132" t="s">
        <v>2054</v>
      </c>
      <c r="C53" s="132" t="s">
        <v>2046</v>
      </c>
      <c r="D53" s="132" t="s">
        <v>2052</v>
      </c>
      <c r="E53" s="132" t="s">
        <v>1676</v>
      </c>
      <c r="F53" s="132" t="s">
        <v>1677</v>
      </c>
      <c r="G53" s="142">
        <v>10310.91</v>
      </c>
      <c r="H53" s="142">
        <v>0</v>
      </c>
      <c r="I53" s="142">
        <v>-10310.91</v>
      </c>
      <c r="J53" s="142">
        <v>221150</v>
      </c>
      <c r="K53" s="142">
        <v>-8600.01</v>
      </c>
      <c r="L53" s="137" t="s">
        <v>69</v>
      </c>
      <c r="N53" t="s">
        <v>628</v>
      </c>
      <c r="O53" t="s">
        <v>2054</v>
      </c>
      <c r="P53" t="s">
        <v>2046</v>
      </c>
      <c r="Q53" t="s">
        <v>2052</v>
      </c>
      <c r="R53" t="s">
        <v>1676</v>
      </c>
      <c r="S53" t="s">
        <v>1677</v>
      </c>
      <c r="T53">
        <v>10310.91</v>
      </c>
      <c r="U53">
        <v>0</v>
      </c>
      <c r="V53">
        <v>-10310.91</v>
      </c>
      <c r="W53">
        <v>221150</v>
      </c>
      <c r="X53">
        <v>-8600.01</v>
      </c>
      <c r="Y53" t="s">
        <v>69</v>
      </c>
    </row>
    <row r="54" spans="1:25">
      <c r="A54" s="136" t="s">
        <v>628</v>
      </c>
      <c r="B54" s="132" t="s">
        <v>2114</v>
      </c>
      <c r="C54" s="132" t="s">
        <v>2042</v>
      </c>
      <c r="D54" s="132" t="s">
        <v>2043</v>
      </c>
      <c r="E54" s="132" t="s">
        <v>772</v>
      </c>
      <c r="F54" s="132" t="s">
        <v>2096</v>
      </c>
      <c r="G54" s="142">
        <v>10000</v>
      </c>
      <c r="H54" s="142">
        <v>10000</v>
      </c>
      <c r="I54" s="142">
        <v>0</v>
      </c>
      <c r="J54" s="142">
        <v>231150</v>
      </c>
      <c r="K54" s="142">
        <v>-8600.01</v>
      </c>
      <c r="L54" s="137" t="s">
        <v>57</v>
      </c>
      <c r="N54" t="s">
        <v>628</v>
      </c>
      <c r="O54" t="s">
        <v>2114</v>
      </c>
      <c r="P54" t="s">
        <v>2042</v>
      </c>
      <c r="Q54" t="s">
        <v>2043</v>
      </c>
      <c r="R54" t="s">
        <v>772</v>
      </c>
      <c r="S54" t="s">
        <v>2096</v>
      </c>
      <c r="T54">
        <v>10000</v>
      </c>
      <c r="U54">
        <v>10000</v>
      </c>
      <c r="V54">
        <v>0</v>
      </c>
      <c r="W54">
        <v>231150</v>
      </c>
      <c r="X54">
        <v>-8600.01</v>
      </c>
      <c r="Y54" t="s">
        <v>57</v>
      </c>
    </row>
    <row r="55" spans="1:25">
      <c r="A55" s="136" t="s">
        <v>628</v>
      </c>
      <c r="B55" s="132" t="s">
        <v>2115</v>
      </c>
      <c r="C55" s="132" t="s">
        <v>2042</v>
      </c>
      <c r="D55" s="132" t="s">
        <v>1661</v>
      </c>
      <c r="E55" s="132" t="s">
        <v>1659</v>
      </c>
      <c r="F55" s="132" t="s">
        <v>2116</v>
      </c>
      <c r="G55" s="142">
        <v>15000</v>
      </c>
      <c r="H55" s="142">
        <v>-15000</v>
      </c>
      <c r="I55" s="142">
        <v>0</v>
      </c>
      <c r="J55" s="142">
        <v>216150</v>
      </c>
      <c r="K55" s="142">
        <v>-8600.01</v>
      </c>
      <c r="L55" s="137" t="s">
        <v>69</v>
      </c>
      <c r="N55" t="s">
        <v>628</v>
      </c>
      <c r="O55" t="s">
        <v>2115</v>
      </c>
      <c r="P55" t="s">
        <v>2042</v>
      </c>
      <c r="Q55" t="s">
        <v>1661</v>
      </c>
      <c r="R55" t="s">
        <v>1659</v>
      </c>
      <c r="S55" t="s">
        <v>2116</v>
      </c>
      <c r="T55">
        <v>15000</v>
      </c>
      <c r="U55">
        <v>-15000</v>
      </c>
      <c r="V55">
        <v>0</v>
      </c>
      <c r="W55">
        <v>216150</v>
      </c>
      <c r="X55">
        <v>-8600.01</v>
      </c>
      <c r="Y55" t="s">
        <v>69</v>
      </c>
    </row>
    <row r="56" spans="1:25">
      <c r="A56" s="136" t="s">
        <v>628</v>
      </c>
      <c r="B56" s="132" t="s">
        <v>2117</v>
      </c>
      <c r="C56" s="132" t="s">
        <v>2042</v>
      </c>
      <c r="D56" s="132" t="s">
        <v>2043</v>
      </c>
      <c r="E56" s="132" t="s">
        <v>787</v>
      </c>
      <c r="F56" s="132" t="s">
        <v>2118</v>
      </c>
      <c r="G56" s="142">
        <v>17000</v>
      </c>
      <c r="H56" s="142">
        <v>17000</v>
      </c>
      <c r="I56" s="142">
        <v>0</v>
      </c>
      <c r="J56" s="142">
        <v>233150</v>
      </c>
      <c r="K56" s="142">
        <v>-8600.01</v>
      </c>
      <c r="L56" s="137" t="s">
        <v>57</v>
      </c>
      <c r="N56" t="s">
        <v>628</v>
      </c>
      <c r="O56" t="s">
        <v>2117</v>
      </c>
      <c r="P56" t="s">
        <v>2042</v>
      </c>
      <c r="Q56" t="s">
        <v>2043</v>
      </c>
      <c r="R56" t="s">
        <v>787</v>
      </c>
      <c r="S56" t="s">
        <v>2118</v>
      </c>
      <c r="T56">
        <v>17000</v>
      </c>
      <c r="U56">
        <v>17000</v>
      </c>
      <c r="V56">
        <v>0</v>
      </c>
      <c r="W56">
        <v>233150</v>
      </c>
      <c r="X56">
        <v>-8600.01</v>
      </c>
      <c r="Y56" t="s">
        <v>57</v>
      </c>
    </row>
    <row r="57" spans="1:25">
      <c r="A57" s="136" t="s">
        <v>628</v>
      </c>
      <c r="B57" s="132" t="s">
        <v>2119</v>
      </c>
      <c r="C57" s="132" t="s">
        <v>2042</v>
      </c>
      <c r="D57" s="132" t="s">
        <v>2043</v>
      </c>
      <c r="E57" s="132" t="s">
        <v>790</v>
      </c>
      <c r="F57" s="132" t="s">
        <v>2120</v>
      </c>
      <c r="G57" s="142">
        <v>2500</v>
      </c>
      <c r="H57" s="142">
        <v>2500</v>
      </c>
      <c r="I57" s="142">
        <v>0</v>
      </c>
      <c r="J57" s="142">
        <v>235650</v>
      </c>
      <c r="K57" s="142">
        <v>-8600.01</v>
      </c>
      <c r="L57" s="137" t="s">
        <v>57</v>
      </c>
      <c r="N57" t="s">
        <v>628</v>
      </c>
      <c r="O57" t="s">
        <v>2119</v>
      </c>
      <c r="P57" t="s">
        <v>2042</v>
      </c>
      <c r="Q57" t="s">
        <v>2043</v>
      </c>
      <c r="R57" t="s">
        <v>790</v>
      </c>
      <c r="S57" t="s">
        <v>2120</v>
      </c>
      <c r="T57">
        <v>2500</v>
      </c>
      <c r="U57">
        <v>2500</v>
      </c>
      <c r="V57">
        <v>0</v>
      </c>
      <c r="W57">
        <v>235650</v>
      </c>
      <c r="X57">
        <v>-8600.01</v>
      </c>
      <c r="Y57" t="s">
        <v>57</v>
      </c>
    </row>
    <row r="58" spans="1:25">
      <c r="A58" s="136" t="s">
        <v>628</v>
      </c>
      <c r="B58" s="132" t="s">
        <v>2119</v>
      </c>
      <c r="C58" s="132" t="s">
        <v>2042</v>
      </c>
      <c r="D58" s="132" t="s">
        <v>2043</v>
      </c>
      <c r="E58" s="132" t="s">
        <v>791</v>
      </c>
      <c r="F58" s="132" t="s">
        <v>2121</v>
      </c>
      <c r="G58" s="142">
        <v>12000</v>
      </c>
      <c r="H58" s="142">
        <v>12000</v>
      </c>
      <c r="I58" s="142">
        <v>0</v>
      </c>
      <c r="J58" s="142">
        <v>247650</v>
      </c>
      <c r="K58" s="142">
        <v>-8600.01</v>
      </c>
      <c r="L58" s="137" t="s">
        <v>57</v>
      </c>
      <c r="N58" t="s">
        <v>628</v>
      </c>
      <c r="O58" t="s">
        <v>2119</v>
      </c>
      <c r="P58" t="s">
        <v>2042</v>
      </c>
      <c r="Q58" t="s">
        <v>2043</v>
      </c>
      <c r="R58" t="s">
        <v>791</v>
      </c>
      <c r="S58" t="s">
        <v>2121</v>
      </c>
      <c r="T58">
        <v>12000</v>
      </c>
      <c r="U58">
        <v>12000</v>
      </c>
      <c r="V58">
        <v>0</v>
      </c>
      <c r="W58">
        <v>247650</v>
      </c>
      <c r="X58">
        <v>-8600.01</v>
      </c>
      <c r="Y58" t="s">
        <v>57</v>
      </c>
    </row>
    <row r="59" spans="1:25">
      <c r="A59" s="136" t="s">
        <v>628</v>
      </c>
      <c r="B59" s="132" t="s">
        <v>2119</v>
      </c>
      <c r="C59" s="132" t="s">
        <v>2042</v>
      </c>
      <c r="D59" s="132" t="s">
        <v>2043</v>
      </c>
      <c r="E59" s="132" t="s">
        <v>792</v>
      </c>
      <c r="F59" s="132" t="s">
        <v>2122</v>
      </c>
      <c r="G59" s="142">
        <v>4000</v>
      </c>
      <c r="H59" s="142">
        <v>4000</v>
      </c>
      <c r="I59" s="142">
        <v>0</v>
      </c>
      <c r="J59" s="142">
        <v>251650</v>
      </c>
      <c r="K59" s="142">
        <v>-8600.01</v>
      </c>
      <c r="L59" s="137" t="s">
        <v>57</v>
      </c>
      <c r="N59" t="s">
        <v>628</v>
      </c>
      <c r="O59" t="s">
        <v>2119</v>
      </c>
      <c r="P59" t="s">
        <v>2042</v>
      </c>
      <c r="Q59" t="s">
        <v>2043</v>
      </c>
      <c r="R59" t="s">
        <v>792</v>
      </c>
      <c r="S59" t="s">
        <v>2122</v>
      </c>
      <c r="T59">
        <v>4000</v>
      </c>
      <c r="U59">
        <v>4000</v>
      </c>
      <c r="V59">
        <v>0</v>
      </c>
      <c r="W59">
        <v>251650</v>
      </c>
      <c r="X59">
        <v>-8600.01</v>
      </c>
      <c r="Y59" t="s">
        <v>57</v>
      </c>
    </row>
    <row r="60" spans="1:25">
      <c r="A60" s="136" t="s">
        <v>628</v>
      </c>
      <c r="B60" s="132" t="s">
        <v>2119</v>
      </c>
      <c r="C60" s="132" t="s">
        <v>2042</v>
      </c>
      <c r="D60" s="132" t="s">
        <v>2043</v>
      </c>
      <c r="E60" s="132" t="s">
        <v>793</v>
      </c>
      <c r="F60" s="132" t="s">
        <v>2108</v>
      </c>
      <c r="G60" s="142">
        <v>3000</v>
      </c>
      <c r="H60" s="142">
        <v>3000</v>
      </c>
      <c r="I60" s="142">
        <v>0</v>
      </c>
      <c r="J60" s="142">
        <v>254650</v>
      </c>
      <c r="K60" s="142">
        <v>-8600.01</v>
      </c>
      <c r="L60" s="137" t="s">
        <v>57</v>
      </c>
      <c r="N60" t="s">
        <v>628</v>
      </c>
      <c r="O60" t="s">
        <v>2119</v>
      </c>
      <c r="P60" t="s">
        <v>2042</v>
      </c>
      <c r="Q60" t="s">
        <v>2043</v>
      </c>
      <c r="R60" t="s">
        <v>793</v>
      </c>
      <c r="S60" t="s">
        <v>2108</v>
      </c>
      <c r="T60">
        <v>3000</v>
      </c>
      <c r="U60">
        <v>3000</v>
      </c>
      <c r="V60">
        <v>0</v>
      </c>
      <c r="W60">
        <v>254650</v>
      </c>
      <c r="X60">
        <v>-8600.01</v>
      </c>
      <c r="Y60" t="s">
        <v>57</v>
      </c>
    </row>
    <row r="61" spans="1:25">
      <c r="A61" s="136" t="s">
        <v>628</v>
      </c>
      <c r="B61" s="132" t="s">
        <v>2119</v>
      </c>
      <c r="C61" s="132" t="s">
        <v>2042</v>
      </c>
      <c r="D61" s="132" t="s">
        <v>2043</v>
      </c>
      <c r="E61" s="132" t="s">
        <v>795</v>
      </c>
      <c r="F61" s="132" t="s">
        <v>2123</v>
      </c>
      <c r="G61" s="142">
        <v>4000</v>
      </c>
      <c r="H61" s="142">
        <v>4000</v>
      </c>
      <c r="I61" s="142">
        <v>0</v>
      </c>
      <c r="J61" s="142">
        <v>258650</v>
      </c>
      <c r="K61" s="142">
        <v>-8600.01</v>
      </c>
      <c r="L61" s="137" t="s">
        <v>57</v>
      </c>
      <c r="N61" t="s">
        <v>628</v>
      </c>
      <c r="O61" t="s">
        <v>2119</v>
      </c>
      <c r="P61" t="s">
        <v>2042</v>
      </c>
      <c r="Q61" t="s">
        <v>2043</v>
      </c>
      <c r="R61" t="s">
        <v>795</v>
      </c>
      <c r="S61" t="s">
        <v>2123</v>
      </c>
      <c r="T61">
        <v>4000</v>
      </c>
      <c r="U61">
        <v>4000</v>
      </c>
      <c r="V61">
        <v>0</v>
      </c>
      <c r="W61">
        <v>258650</v>
      </c>
      <c r="X61">
        <v>-8600.01</v>
      </c>
      <c r="Y61" t="s">
        <v>57</v>
      </c>
    </row>
    <row r="62" spans="1:25">
      <c r="A62" s="136" t="s">
        <v>628</v>
      </c>
      <c r="B62" s="132" t="s">
        <v>2119</v>
      </c>
      <c r="C62" s="132" t="s">
        <v>2042</v>
      </c>
      <c r="D62" s="132" t="s">
        <v>2043</v>
      </c>
      <c r="E62" s="132" t="s">
        <v>796</v>
      </c>
      <c r="F62" s="132" t="s">
        <v>2124</v>
      </c>
      <c r="G62" s="142">
        <v>4000</v>
      </c>
      <c r="H62" s="142">
        <v>4000</v>
      </c>
      <c r="I62" s="142">
        <v>0</v>
      </c>
      <c r="J62" s="142">
        <v>262650</v>
      </c>
      <c r="K62" s="142">
        <v>-8600.01</v>
      </c>
      <c r="L62" s="137" t="s">
        <v>57</v>
      </c>
      <c r="N62" t="s">
        <v>628</v>
      </c>
      <c r="O62" t="s">
        <v>2119</v>
      </c>
      <c r="P62" t="s">
        <v>2042</v>
      </c>
      <c r="Q62" t="s">
        <v>2043</v>
      </c>
      <c r="R62" t="s">
        <v>796</v>
      </c>
      <c r="S62" t="s">
        <v>2124</v>
      </c>
      <c r="T62">
        <v>4000</v>
      </c>
      <c r="U62">
        <v>4000</v>
      </c>
      <c r="V62">
        <v>0</v>
      </c>
      <c r="W62">
        <v>262650</v>
      </c>
      <c r="X62">
        <v>-8600.01</v>
      </c>
      <c r="Y62" t="s">
        <v>57</v>
      </c>
    </row>
    <row r="63" spans="1:25">
      <c r="A63" s="136" t="s">
        <v>628</v>
      </c>
      <c r="B63" s="132" t="s">
        <v>2125</v>
      </c>
      <c r="C63" s="132" t="s">
        <v>2042</v>
      </c>
      <c r="D63" s="132" t="s">
        <v>2043</v>
      </c>
      <c r="E63" s="132" t="s">
        <v>818</v>
      </c>
      <c r="F63" s="132" t="s">
        <v>2126</v>
      </c>
      <c r="G63" s="142">
        <v>6000</v>
      </c>
      <c r="H63" s="142">
        <v>6000</v>
      </c>
      <c r="I63" s="142">
        <v>0</v>
      </c>
      <c r="J63" s="142">
        <v>268650</v>
      </c>
      <c r="K63" s="142">
        <v>-8600.01</v>
      </c>
      <c r="L63" s="137" t="s">
        <v>57</v>
      </c>
      <c r="N63" t="s">
        <v>628</v>
      </c>
      <c r="O63" t="s">
        <v>2125</v>
      </c>
      <c r="P63" t="s">
        <v>2042</v>
      </c>
      <c r="Q63" t="s">
        <v>2043</v>
      </c>
      <c r="R63" t="s">
        <v>818</v>
      </c>
      <c r="S63" t="s">
        <v>2126</v>
      </c>
      <c r="T63">
        <v>6000</v>
      </c>
      <c r="U63">
        <v>6000</v>
      </c>
      <c r="V63">
        <v>0</v>
      </c>
      <c r="W63">
        <v>268650</v>
      </c>
      <c r="X63">
        <v>-8600.01</v>
      </c>
      <c r="Y63" t="s">
        <v>57</v>
      </c>
    </row>
    <row r="64" spans="1:25">
      <c r="A64" s="136" t="s">
        <v>628</v>
      </c>
      <c r="B64" s="132" t="s">
        <v>2127</v>
      </c>
      <c r="C64" s="132" t="s">
        <v>2042</v>
      </c>
      <c r="D64" s="132" t="s">
        <v>2043</v>
      </c>
      <c r="E64" s="132" t="s">
        <v>825</v>
      </c>
      <c r="F64" s="132" t="s">
        <v>2128</v>
      </c>
      <c r="G64" s="142">
        <v>5500</v>
      </c>
      <c r="H64" s="142">
        <v>5500</v>
      </c>
      <c r="I64" s="142">
        <v>0</v>
      </c>
      <c r="J64" s="142">
        <v>274150</v>
      </c>
      <c r="K64" s="142">
        <v>-8600.01</v>
      </c>
      <c r="L64" s="137" t="s">
        <v>57</v>
      </c>
      <c r="N64" t="s">
        <v>628</v>
      </c>
      <c r="O64" t="s">
        <v>2127</v>
      </c>
      <c r="P64" t="s">
        <v>2042</v>
      </c>
      <c r="Q64" t="s">
        <v>2043</v>
      </c>
      <c r="R64" t="s">
        <v>825</v>
      </c>
      <c r="S64" t="s">
        <v>2128</v>
      </c>
      <c r="T64">
        <v>5500</v>
      </c>
      <c r="U64">
        <v>5500</v>
      </c>
      <c r="V64">
        <v>0</v>
      </c>
      <c r="W64">
        <v>274150</v>
      </c>
      <c r="X64">
        <v>-8600.01</v>
      </c>
      <c r="Y64" t="s">
        <v>57</v>
      </c>
    </row>
    <row r="65" spans="1:25">
      <c r="A65" s="136" t="s">
        <v>628</v>
      </c>
      <c r="B65" s="132" t="s">
        <v>2060</v>
      </c>
      <c r="C65" s="132" t="s">
        <v>2046</v>
      </c>
      <c r="D65" s="132" t="s">
        <v>2047</v>
      </c>
      <c r="E65" s="132" t="s">
        <v>2061</v>
      </c>
      <c r="F65" s="132" t="s">
        <v>2062</v>
      </c>
      <c r="G65" s="142">
        <v>77421.02</v>
      </c>
      <c r="H65" s="142">
        <v>0</v>
      </c>
      <c r="I65" s="142">
        <v>77421.02</v>
      </c>
      <c r="J65" s="142">
        <v>274150</v>
      </c>
      <c r="K65" s="142">
        <v>68821.009999999995</v>
      </c>
      <c r="L65" s="137" t="s">
        <v>2050</v>
      </c>
      <c r="N65" t="s">
        <v>628</v>
      </c>
      <c r="O65" t="s">
        <v>2060</v>
      </c>
      <c r="P65" t="s">
        <v>2046</v>
      </c>
      <c r="Q65" t="s">
        <v>2047</v>
      </c>
      <c r="R65" t="s">
        <v>2061</v>
      </c>
      <c r="S65" t="s">
        <v>2062</v>
      </c>
      <c r="T65">
        <v>77421.02</v>
      </c>
      <c r="U65">
        <v>0</v>
      </c>
      <c r="V65">
        <v>77421.02</v>
      </c>
      <c r="W65">
        <v>274150</v>
      </c>
      <c r="X65">
        <v>68821.009999999995</v>
      </c>
      <c r="Y65" t="s">
        <v>2050</v>
      </c>
    </row>
    <row r="66" spans="1:25">
      <c r="A66" s="136" t="s">
        <v>628</v>
      </c>
      <c r="B66" s="132" t="s">
        <v>2060</v>
      </c>
      <c r="C66" s="132" t="s">
        <v>2042</v>
      </c>
      <c r="D66" s="132" t="s">
        <v>2043</v>
      </c>
      <c r="E66" s="132" t="s">
        <v>837</v>
      </c>
      <c r="F66" s="132" t="s">
        <v>2089</v>
      </c>
      <c r="G66" s="142">
        <v>12000</v>
      </c>
      <c r="H66" s="142">
        <v>12000</v>
      </c>
      <c r="I66" s="142">
        <v>0</v>
      </c>
      <c r="J66" s="142">
        <v>286150</v>
      </c>
      <c r="K66" s="142">
        <v>68821.009999999995</v>
      </c>
      <c r="L66" s="137" t="s">
        <v>57</v>
      </c>
      <c r="N66" t="s">
        <v>628</v>
      </c>
      <c r="O66" t="s">
        <v>2060</v>
      </c>
      <c r="P66" t="s">
        <v>2042</v>
      </c>
      <c r="Q66" t="s">
        <v>2043</v>
      </c>
      <c r="R66" t="s">
        <v>837</v>
      </c>
      <c r="S66" t="s">
        <v>2089</v>
      </c>
      <c r="T66">
        <v>12000</v>
      </c>
      <c r="U66">
        <v>12000</v>
      </c>
      <c r="V66">
        <v>0</v>
      </c>
      <c r="W66">
        <v>286150</v>
      </c>
      <c r="X66">
        <v>68821.009999999995</v>
      </c>
      <c r="Y66" t="s">
        <v>57</v>
      </c>
    </row>
    <row r="67" spans="1:25">
      <c r="A67" s="136" t="s">
        <v>628</v>
      </c>
      <c r="B67" s="132" t="s">
        <v>2060</v>
      </c>
      <c r="C67" s="132" t="s">
        <v>2042</v>
      </c>
      <c r="D67" s="132" t="s">
        <v>2043</v>
      </c>
      <c r="E67" s="132" t="s">
        <v>838</v>
      </c>
      <c r="F67" s="132" t="s">
        <v>2100</v>
      </c>
      <c r="G67" s="142">
        <v>7000</v>
      </c>
      <c r="H67" s="142">
        <v>7000</v>
      </c>
      <c r="I67" s="142">
        <v>0</v>
      </c>
      <c r="J67" s="142">
        <v>293150</v>
      </c>
      <c r="K67" s="142">
        <v>68821.009999999995</v>
      </c>
      <c r="L67" s="137" t="s">
        <v>57</v>
      </c>
      <c r="N67" t="s">
        <v>628</v>
      </c>
      <c r="O67" t="s">
        <v>2060</v>
      </c>
      <c r="P67" t="s">
        <v>2042</v>
      </c>
      <c r="Q67" t="s">
        <v>2043</v>
      </c>
      <c r="R67" t="s">
        <v>838</v>
      </c>
      <c r="S67" t="s">
        <v>2100</v>
      </c>
      <c r="T67">
        <v>7000</v>
      </c>
      <c r="U67">
        <v>7000</v>
      </c>
      <c r="V67">
        <v>0</v>
      </c>
      <c r="W67">
        <v>293150</v>
      </c>
      <c r="X67">
        <v>68821.009999999995</v>
      </c>
      <c r="Y67" t="s">
        <v>57</v>
      </c>
    </row>
    <row r="68" spans="1:25">
      <c r="A68" s="136" t="s">
        <v>628</v>
      </c>
      <c r="B68" s="132" t="s">
        <v>2060</v>
      </c>
      <c r="C68" s="132" t="s">
        <v>2042</v>
      </c>
      <c r="D68" s="132" t="s">
        <v>2094</v>
      </c>
      <c r="E68" s="132" t="s">
        <v>1622</v>
      </c>
      <c r="F68" s="132" t="s">
        <v>1607</v>
      </c>
      <c r="G68" s="142">
        <v>12000</v>
      </c>
      <c r="H68" s="142">
        <v>12000</v>
      </c>
      <c r="I68" s="142">
        <v>0</v>
      </c>
      <c r="J68" s="142">
        <v>305150</v>
      </c>
      <c r="K68" s="142">
        <v>68821.009999999995</v>
      </c>
      <c r="L68" s="137" t="s">
        <v>61</v>
      </c>
      <c r="N68" t="s">
        <v>628</v>
      </c>
      <c r="O68" t="s">
        <v>2060</v>
      </c>
      <c r="P68" t="s">
        <v>2042</v>
      </c>
      <c r="Q68" t="s">
        <v>2094</v>
      </c>
      <c r="R68" t="s">
        <v>1622</v>
      </c>
      <c r="S68" t="s">
        <v>1607</v>
      </c>
      <c r="T68">
        <v>12000</v>
      </c>
      <c r="U68">
        <v>12000</v>
      </c>
      <c r="V68">
        <v>0</v>
      </c>
      <c r="W68">
        <v>305150</v>
      </c>
      <c r="X68">
        <v>68821.009999999995</v>
      </c>
      <c r="Y68" t="s">
        <v>61</v>
      </c>
    </row>
    <row r="69" spans="1:25">
      <c r="A69" s="136" t="s">
        <v>628</v>
      </c>
      <c r="B69" s="132" t="s">
        <v>2060</v>
      </c>
      <c r="C69" s="132" t="s">
        <v>2042</v>
      </c>
      <c r="D69" s="132" t="s">
        <v>2094</v>
      </c>
      <c r="E69" s="132" t="s">
        <v>1624</v>
      </c>
      <c r="F69" s="132" t="s">
        <v>1614</v>
      </c>
      <c r="G69" s="142">
        <v>2000</v>
      </c>
      <c r="H69" s="142">
        <v>2000</v>
      </c>
      <c r="I69" s="142">
        <v>0</v>
      </c>
      <c r="J69" s="142">
        <v>307150</v>
      </c>
      <c r="K69" s="142">
        <v>68821.009999999995</v>
      </c>
      <c r="L69" s="137" t="s">
        <v>61</v>
      </c>
      <c r="N69" t="s">
        <v>628</v>
      </c>
      <c r="O69" t="s">
        <v>2060</v>
      </c>
      <c r="P69" t="s">
        <v>2042</v>
      </c>
      <c r="Q69" t="s">
        <v>2094</v>
      </c>
      <c r="R69" t="s">
        <v>1624</v>
      </c>
      <c r="S69" t="s">
        <v>1614</v>
      </c>
      <c r="T69">
        <v>2000</v>
      </c>
      <c r="U69">
        <v>2000</v>
      </c>
      <c r="V69">
        <v>0</v>
      </c>
      <c r="W69">
        <v>307150</v>
      </c>
      <c r="X69">
        <v>68821.009999999995</v>
      </c>
      <c r="Y69" t="s">
        <v>61</v>
      </c>
    </row>
    <row r="70" spans="1:25">
      <c r="A70" s="136" t="s">
        <v>628</v>
      </c>
      <c r="B70" s="132" t="s">
        <v>2060</v>
      </c>
      <c r="C70" s="132" t="s">
        <v>2046</v>
      </c>
      <c r="D70" s="132" t="s">
        <v>2052</v>
      </c>
      <c r="E70" s="132" t="s">
        <v>1680</v>
      </c>
      <c r="F70" s="132" t="s">
        <v>1681</v>
      </c>
      <c r="G70" s="142">
        <v>77421.02</v>
      </c>
      <c r="H70" s="142">
        <v>0</v>
      </c>
      <c r="I70" s="142">
        <v>-77421.02</v>
      </c>
      <c r="J70" s="142">
        <v>307150</v>
      </c>
      <c r="K70" s="142">
        <v>-8600.01</v>
      </c>
      <c r="L70" s="137" t="s">
        <v>69</v>
      </c>
      <c r="N70" t="s">
        <v>628</v>
      </c>
      <c r="O70" t="s">
        <v>2060</v>
      </c>
      <c r="P70" t="s">
        <v>2046</v>
      </c>
      <c r="Q70" t="s">
        <v>2052</v>
      </c>
      <c r="R70" t="s">
        <v>1680</v>
      </c>
      <c r="S70" t="s">
        <v>1681</v>
      </c>
      <c r="T70">
        <v>77421.02</v>
      </c>
      <c r="U70">
        <v>0</v>
      </c>
      <c r="V70">
        <v>-77421.02</v>
      </c>
      <c r="W70">
        <v>307150</v>
      </c>
      <c r="X70">
        <v>-8600.01</v>
      </c>
      <c r="Y70" t="s">
        <v>69</v>
      </c>
    </row>
    <row r="71" spans="1:25">
      <c r="A71" s="136" t="s">
        <v>628</v>
      </c>
      <c r="B71" s="132" t="s">
        <v>2129</v>
      </c>
      <c r="C71" s="132" t="s">
        <v>2042</v>
      </c>
      <c r="D71" s="132" t="s">
        <v>2043</v>
      </c>
      <c r="E71" s="132" t="s">
        <v>856</v>
      </c>
      <c r="F71" s="132" t="s">
        <v>2130</v>
      </c>
      <c r="G71" s="142">
        <v>10000</v>
      </c>
      <c r="H71" s="142">
        <v>10000</v>
      </c>
      <c r="I71" s="142">
        <v>0</v>
      </c>
      <c r="J71" s="142">
        <v>317150</v>
      </c>
      <c r="K71" s="142">
        <v>-8600.01</v>
      </c>
      <c r="L71" s="137" t="s">
        <v>57</v>
      </c>
      <c r="N71" t="s">
        <v>628</v>
      </c>
      <c r="O71" t="s">
        <v>2129</v>
      </c>
      <c r="P71" t="s">
        <v>2042</v>
      </c>
      <c r="Q71" t="s">
        <v>2043</v>
      </c>
      <c r="R71" t="s">
        <v>856</v>
      </c>
      <c r="S71" t="s">
        <v>2130</v>
      </c>
      <c r="T71">
        <v>10000</v>
      </c>
      <c r="U71">
        <v>10000</v>
      </c>
      <c r="V71">
        <v>0</v>
      </c>
      <c r="W71">
        <v>317150</v>
      </c>
      <c r="X71">
        <v>-8600.01</v>
      </c>
      <c r="Y71" t="s">
        <v>57</v>
      </c>
    </row>
    <row r="72" spans="1:25">
      <c r="A72" s="136" t="s">
        <v>628</v>
      </c>
      <c r="B72" s="132" t="s">
        <v>2131</v>
      </c>
      <c r="C72" s="132" t="s">
        <v>2042</v>
      </c>
      <c r="D72" s="132" t="s">
        <v>2043</v>
      </c>
      <c r="E72" s="132" t="s">
        <v>857</v>
      </c>
      <c r="F72" s="132" t="s">
        <v>2132</v>
      </c>
      <c r="G72" s="142">
        <v>2000</v>
      </c>
      <c r="H72" s="142">
        <v>2000</v>
      </c>
      <c r="I72" s="142">
        <v>0</v>
      </c>
      <c r="J72" s="142">
        <v>319150</v>
      </c>
      <c r="K72" s="142">
        <v>-8600.01</v>
      </c>
      <c r="L72" s="137" t="s">
        <v>57</v>
      </c>
      <c r="N72" t="s">
        <v>628</v>
      </c>
      <c r="O72" t="s">
        <v>2131</v>
      </c>
      <c r="P72" t="s">
        <v>2042</v>
      </c>
      <c r="Q72" t="s">
        <v>2043</v>
      </c>
      <c r="R72" t="s">
        <v>857</v>
      </c>
      <c r="S72" t="s">
        <v>2132</v>
      </c>
      <c r="T72">
        <v>2000</v>
      </c>
      <c r="U72">
        <v>2000</v>
      </c>
      <c r="V72">
        <v>0</v>
      </c>
      <c r="W72">
        <v>319150</v>
      </c>
      <c r="X72">
        <v>-8600.01</v>
      </c>
      <c r="Y72" t="s">
        <v>57</v>
      </c>
    </row>
    <row r="73" spans="1:25">
      <c r="A73" s="136" t="s">
        <v>628</v>
      </c>
      <c r="B73" s="132" t="s">
        <v>2131</v>
      </c>
      <c r="C73" s="132" t="s">
        <v>2042</v>
      </c>
      <c r="D73" s="132" t="s">
        <v>2043</v>
      </c>
      <c r="E73" s="132" t="s">
        <v>858</v>
      </c>
      <c r="F73" s="132" t="s">
        <v>2120</v>
      </c>
      <c r="G73" s="142">
        <v>2500</v>
      </c>
      <c r="H73" s="142">
        <v>2500</v>
      </c>
      <c r="I73" s="142">
        <v>0</v>
      </c>
      <c r="J73" s="142">
        <v>321650</v>
      </c>
      <c r="K73" s="142">
        <v>-8600.01</v>
      </c>
      <c r="L73" s="137" t="s">
        <v>57</v>
      </c>
      <c r="N73" t="s">
        <v>628</v>
      </c>
      <c r="O73" t="s">
        <v>2131</v>
      </c>
      <c r="P73" t="s">
        <v>2042</v>
      </c>
      <c r="Q73" t="s">
        <v>2043</v>
      </c>
      <c r="R73" t="s">
        <v>858</v>
      </c>
      <c r="S73" t="s">
        <v>2120</v>
      </c>
      <c r="T73">
        <v>2500</v>
      </c>
      <c r="U73">
        <v>2500</v>
      </c>
      <c r="V73">
        <v>0</v>
      </c>
      <c r="W73">
        <v>321650</v>
      </c>
      <c r="X73">
        <v>-8600.01</v>
      </c>
      <c r="Y73" t="s">
        <v>57</v>
      </c>
    </row>
    <row r="74" spans="1:25">
      <c r="A74" s="136" t="s">
        <v>628</v>
      </c>
      <c r="B74" s="132" t="s">
        <v>2131</v>
      </c>
      <c r="C74" s="132" t="s">
        <v>2042</v>
      </c>
      <c r="D74" s="132" t="s">
        <v>2043</v>
      </c>
      <c r="E74" s="132" t="s">
        <v>859</v>
      </c>
      <c r="F74" s="132" t="s">
        <v>2121</v>
      </c>
      <c r="G74" s="142">
        <v>3000</v>
      </c>
      <c r="H74" s="142">
        <v>3000</v>
      </c>
      <c r="I74" s="142">
        <v>0</v>
      </c>
      <c r="J74" s="142">
        <v>324650</v>
      </c>
      <c r="K74" s="142">
        <v>-8600.01</v>
      </c>
      <c r="L74" s="137" t="s">
        <v>57</v>
      </c>
      <c r="N74" t="s">
        <v>628</v>
      </c>
      <c r="O74" t="s">
        <v>2131</v>
      </c>
      <c r="P74" t="s">
        <v>2042</v>
      </c>
      <c r="Q74" t="s">
        <v>2043</v>
      </c>
      <c r="R74" t="s">
        <v>859</v>
      </c>
      <c r="S74" t="s">
        <v>2121</v>
      </c>
      <c r="T74">
        <v>3000</v>
      </c>
      <c r="U74">
        <v>3000</v>
      </c>
      <c r="V74">
        <v>0</v>
      </c>
      <c r="W74">
        <v>324650</v>
      </c>
      <c r="X74">
        <v>-8600.01</v>
      </c>
      <c r="Y74" t="s">
        <v>57</v>
      </c>
    </row>
    <row r="75" spans="1:25">
      <c r="A75" s="136" t="s">
        <v>628</v>
      </c>
      <c r="B75" s="132" t="s">
        <v>2131</v>
      </c>
      <c r="C75" s="132" t="s">
        <v>2042</v>
      </c>
      <c r="D75" s="132" t="s">
        <v>2043</v>
      </c>
      <c r="E75" s="132" t="s">
        <v>860</v>
      </c>
      <c r="F75" s="132" t="s">
        <v>2122</v>
      </c>
      <c r="G75" s="142">
        <v>4000</v>
      </c>
      <c r="H75" s="142">
        <v>4000</v>
      </c>
      <c r="I75" s="142">
        <v>0</v>
      </c>
      <c r="J75" s="142">
        <v>328650</v>
      </c>
      <c r="K75" s="142">
        <v>-8600.01</v>
      </c>
      <c r="L75" s="137" t="s">
        <v>57</v>
      </c>
      <c r="N75" t="s">
        <v>628</v>
      </c>
      <c r="O75" t="s">
        <v>2131</v>
      </c>
      <c r="P75" t="s">
        <v>2042</v>
      </c>
      <c r="Q75" t="s">
        <v>2043</v>
      </c>
      <c r="R75" t="s">
        <v>860</v>
      </c>
      <c r="S75" t="s">
        <v>2122</v>
      </c>
      <c r="T75">
        <v>4000</v>
      </c>
      <c r="U75">
        <v>4000</v>
      </c>
      <c r="V75">
        <v>0</v>
      </c>
      <c r="W75">
        <v>328650</v>
      </c>
      <c r="X75">
        <v>-8600.01</v>
      </c>
      <c r="Y75" t="s">
        <v>57</v>
      </c>
    </row>
    <row r="76" spans="1:25">
      <c r="A76" s="136" t="s">
        <v>628</v>
      </c>
      <c r="B76" s="132" t="s">
        <v>2131</v>
      </c>
      <c r="C76" s="132" t="s">
        <v>2042</v>
      </c>
      <c r="D76" s="132" t="s">
        <v>2043</v>
      </c>
      <c r="E76" s="132" t="s">
        <v>861</v>
      </c>
      <c r="F76" s="132" t="s">
        <v>2133</v>
      </c>
      <c r="G76" s="142">
        <v>4000</v>
      </c>
      <c r="H76" s="142">
        <v>4000</v>
      </c>
      <c r="I76" s="142">
        <v>0</v>
      </c>
      <c r="J76" s="142">
        <v>332650</v>
      </c>
      <c r="K76" s="142">
        <v>-8600.01</v>
      </c>
      <c r="L76" s="137" t="s">
        <v>57</v>
      </c>
      <c r="N76" t="s">
        <v>628</v>
      </c>
      <c r="O76" t="s">
        <v>2131</v>
      </c>
      <c r="P76" t="s">
        <v>2042</v>
      </c>
      <c r="Q76" t="s">
        <v>2043</v>
      </c>
      <c r="R76" t="s">
        <v>861</v>
      </c>
      <c r="S76" t="s">
        <v>2133</v>
      </c>
      <c r="T76">
        <v>4000</v>
      </c>
      <c r="U76">
        <v>4000</v>
      </c>
      <c r="V76">
        <v>0</v>
      </c>
      <c r="W76">
        <v>332650</v>
      </c>
      <c r="X76">
        <v>-8600.01</v>
      </c>
      <c r="Y76" t="s">
        <v>57</v>
      </c>
    </row>
    <row r="77" spans="1:25">
      <c r="A77" s="136" t="s">
        <v>628</v>
      </c>
      <c r="B77" s="132" t="s">
        <v>2131</v>
      </c>
      <c r="C77" s="132" t="s">
        <v>2042</v>
      </c>
      <c r="D77" s="132" t="s">
        <v>2043</v>
      </c>
      <c r="E77" s="132" t="s">
        <v>862</v>
      </c>
      <c r="F77" s="132" t="s">
        <v>2108</v>
      </c>
      <c r="G77" s="142">
        <v>3000</v>
      </c>
      <c r="H77" s="142">
        <v>3000</v>
      </c>
      <c r="I77" s="142">
        <v>0</v>
      </c>
      <c r="J77" s="142">
        <v>335650</v>
      </c>
      <c r="K77" s="142">
        <v>-8600.01</v>
      </c>
      <c r="L77" s="137" t="s">
        <v>57</v>
      </c>
      <c r="N77" t="s">
        <v>628</v>
      </c>
      <c r="O77" t="s">
        <v>2131</v>
      </c>
      <c r="P77" t="s">
        <v>2042</v>
      </c>
      <c r="Q77" t="s">
        <v>2043</v>
      </c>
      <c r="R77" t="s">
        <v>862</v>
      </c>
      <c r="S77" t="s">
        <v>2108</v>
      </c>
      <c r="T77">
        <v>3000</v>
      </c>
      <c r="U77">
        <v>3000</v>
      </c>
      <c r="V77">
        <v>0</v>
      </c>
      <c r="W77">
        <v>335650</v>
      </c>
      <c r="X77">
        <v>-8600.01</v>
      </c>
      <c r="Y77" t="s">
        <v>57</v>
      </c>
    </row>
    <row r="78" spans="1:25">
      <c r="A78" s="136" t="s">
        <v>628</v>
      </c>
      <c r="B78" s="132" t="s">
        <v>2131</v>
      </c>
      <c r="C78" s="132" t="s">
        <v>2042</v>
      </c>
      <c r="D78" s="132" t="s">
        <v>2043</v>
      </c>
      <c r="E78" s="132" t="s">
        <v>863</v>
      </c>
      <c r="F78" s="132" t="s">
        <v>2098</v>
      </c>
      <c r="G78" s="142">
        <v>2500</v>
      </c>
      <c r="H78" s="142">
        <v>2500</v>
      </c>
      <c r="I78" s="142">
        <v>0</v>
      </c>
      <c r="J78" s="142">
        <v>338150</v>
      </c>
      <c r="K78" s="142">
        <v>-8600.01</v>
      </c>
      <c r="L78" s="137" t="s">
        <v>57</v>
      </c>
      <c r="N78" t="s">
        <v>628</v>
      </c>
      <c r="O78" t="s">
        <v>2131</v>
      </c>
      <c r="P78" t="s">
        <v>2042</v>
      </c>
      <c r="Q78" t="s">
        <v>2043</v>
      </c>
      <c r="R78" t="s">
        <v>863</v>
      </c>
      <c r="S78" t="s">
        <v>2098</v>
      </c>
      <c r="T78">
        <v>2500</v>
      </c>
      <c r="U78">
        <v>2500</v>
      </c>
      <c r="V78">
        <v>0</v>
      </c>
      <c r="W78">
        <v>338150</v>
      </c>
      <c r="X78">
        <v>-8600.01</v>
      </c>
      <c r="Y78" t="s">
        <v>57</v>
      </c>
    </row>
    <row r="79" spans="1:25">
      <c r="A79" s="136" t="s">
        <v>628</v>
      </c>
      <c r="B79" s="132" t="s">
        <v>2131</v>
      </c>
      <c r="C79" s="132" t="s">
        <v>2042</v>
      </c>
      <c r="D79" s="132" t="s">
        <v>2043</v>
      </c>
      <c r="E79" s="132" t="s">
        <v>864</v>
      </c>
      <c r="F79" s="132" t="s">
        <v>2109</v>
      </c>
      <c r="G79" s="142">
        <v>3000</v>
      </c>
      <c r="H79" s="142">
        <v>3000</v>
      </c>
      <c r="I79" s="142">
        <v>0</v>
      </c>
      <c r="J79" s="142">
        <v>341150</v>
      </c>
      <c r="K79" s="142">
        <v>-8600.01</v>
      </c>
      <c r="L79" s="137" t="s">
        <v>57</v>
      </c>
      <c r="N79" t="s">
        <v>628</v>
      </c>
      <c r="O79" t="s">
        <v>2131</v>
      </c>
      <c r="P79" t="s">
        <v>2042</v>
      </c>
      <c r="Q79" t="s">
        <v>2043</v>
      </c>
      <c r="R79" t="s">
        <v>864</v>
      </c>
      <c r="S79" t="s">
        <v>2109</v>
      </c>
      <c r="T79">
        <v>3000</v>
      </c>
      <c r="U79">
        <v>3000</v>
      </c>
      <c r="V79">
        <v>0</v>
      </c>
      <c r="W79">
        <v>341150</v>
      </c>
      <c r="X79">
        <v>-8600.01</v>
      </c>
      <c r="Y79" t="s">
        <v>57</v>
      </c>
    </row>
    <row r="80" spans="1:25">
      <c r="A80" s="136" t="s">
        <v>628</v>
      </c>
      <c r="B80" s="132" t="s">
        <v>2131</v>
      </c>
      <c r="C80" s="132" t="s">
        <v>2042</v>
      </c>
      <c r="D80" s="132" t="s">
        <v>2043</v>
      </c>
      <c r="E80" s="132" t="s">
        <v>865</v>
      </c>
      <c r="F80" s="132" t="s">
        <v>2123</v>
      </c>
      <c r="G80" s="142">
        <v>4000</v>
      </c>
      <c r="H80" s="142">
        <v>4000</v>
      </c>
      <c r="I80" s="142">
        <v>0</v>
      </c>
      <c r="J80" s="142">
        <v>345150</v>
      </c>
      <c r="K80" s="142">
        <v>-8600.01</v>
      </c>
      <c r="L80" s="137" t="s">
        <v>57</v>
      </c>
      <c r="N80" t="s">
        <v>628</v>
      </c>
      <c r="O80" t="s">
        <v>2131</v>
      </c>
      <c r="P80" t="s">
        <v>2042</v>
      </c>
      <c r="Q80" t="s">
        <v>2043</v>
      </c>
      <c r="R80" t="s">
        <v>865</v>
      </c>
      <c r="S80" t="s">
        <v>2123</v>
      </c>
      <c r="T80">
        <v>4000</v>
      </c>
      <c r="U80">
        <v>4000</v>
      </c>
      <c r="V80">
        <v>0</v>
      </c>
      <c r="W80">
        <v>345150</v>
      </c>
      <c r="X80">
        <v>-8600.01</v>
      </c>
      <c r="Y80" t="s">
        <v>57</v>
      </c>
    </row>
    <row r="81" spans="1:25">
      <c r="A81" s="136" t="s">
        <v>628</v>
      </c>
      <c r="B81" s="132" t="s">
        <v>2134</v>
      </c>
      <c r="C81" s="132" t="s">
        <v>2042</v>
      </c>
      <c r="D81" s="132" t="s">
        <v>2043</v>
      </c>
      <c r="E81" s="132" t="s">
        <v>870</v>
      </c>
      <c r="F81" s="132" t="s">
        <v>2100</v>
      </c>
      <c r="G81" s="142">
        <v>3500</v>
      </c>
      <c r="H81" s="142">
        <v>3500</v>
      </c>
      <c r="I81" s="142">
        <v>0</v>
      </c>
      <c r="J81" s="142">
        <v>348650</v>
      </c>
      <c r="K81" s="142">
        <v>-8600.01</v>
      </c>
      <c r="L81" s="137" t="s">
        <v>57</v>
      </c>
      <c r="N81" t="s">
        <v>628</v>
      </c>
      <c r="O81" t="s">
        <v>2134</v>
      </c>
      <c r="P81" t="s">
        <v>2042</v>
      </c>
      <c r="Q81" t="s">
        <v>2043</v>
      </c>
      <c r="R81" t="s">
        <v>870</v>
      </c>
      <c r="S81" t="s">
        <v>2100</v>
      </c>
      <c r="T81">
        <v>3500</v>
      </c>
      <c r="U81">
        <v>3500</v>
      </c>
      <c r="V81">
        <v>0</v>
      </c>
      <c r="W81">
        <v>348650</v>
      </c>
      <c r="X81">
        <v>-8600.01</v>
      </c>
      <c r="Y81" t="s">
        <v>57</v>
      </c>
    </row>
    <row r="82" spans="1:25">
      <c r="A82" s="136" t="s">
        <v>628</v>
      </c>
      <c r="B82" s="132" t="s">
        <v>2135</v>
      </c>
      <c r="C82" s="132" t="s">
        <v>2042</v>
      </c>
      <c r="D82" s="132" t="s">
        <v>2043</v>
      </c>
      <c r="E82" s="132" t="s">
        <v>872</v>
      </c>
      <c r="F82" s="132" t="s">
        <v>2088</v>
      </c>
      <c r="G82" s="142">
        <v>3000</v>
      </c>
      <c r="H82" s="142">
        <v>3000</v>
      </c>
      <c r="I82" s="142">
        <v>0</v>
      </c>
      <c r="J82" s="142">
        <v>351650</v>
      </c>
      <c r="K82" s="142">
        <v>-8600.01</v>
      </c>
      <c r="L82" s="137" t="s">
        <v>57</v>
      </c>
      <c r="N82" t="s">
        <v>628</v>
      </c>
      <c r="O82" t="s">
        <v>2135</v>
      </c>
      <c r="P82" t="s">
        <v>2042</v>
      </c>
      <c r="Q82" t="s">
        <v>2043</v>
      </c>
      <c r="R82" t="s">
        <v>872</v>
      </c>
      <c r="S82" t="s">
        <v>2088</v>
      </c>
      <c r="T82">
        <v>3000</v>
      </c>
      <c r="U82">
        <v>3000</v>
      </c>
      <c r="V82">
        <v>0</v>
      </c>
      <c r="W82">
        <v>351650</v>
      </c>
      <c r="X82">
        <v>-8600.01</v>
      </c>
      <c r="Y82" t="s">
        <v>57</v>
      </c>
    </row>
    <row r="83" spans="1:25">
      <c r="A83" s="136" t="s">
        <v>628</v>
      </c>
      <c r="B83" s="132" t="s">
        <v>2136</v>
      </c>
      <c r="C83" s="132" t="s">
        <v>2042</v>
      </c>
      <c r="D83" s="132" t="s">
        <v>1654</v>
      </c>
      <c r="E83" s="132" t="s">
        <v>1662</v>
      </c>
      <c r="F83" s="132" t="s">
        <v>1663</v>
      </c>
      <c r="G83" s="142">
        <v>20000</v>
      </c>
      <c r="H83" s="142">
        <v>20000</v>
      </c>
      <c r="I83" s="142">
        <v>0</v>
      </c>
      <c r="J83" s="142">
        <v>371650</v>
      </c>
      <c r="K83" s="142">
        <v>-8600.01</v>
      </c>
      <c r="L83" s="137" t="s">
        <v>69</v>
      </c>
      <c r="N83" t="s">
        <v>628</v>
      </c>
      <c r="O83" t="s">
        <v>2136</v>
      </c>
      <c r="P83" t="s">
        <v>2042</v>
      </c>
      <c r="Q83" t="s">
        <v>1654</v>
      </c>
      <c r="R83" t="s">
        <v>1662</v>
      </c>
      <c r="S83" t="s">
        <v>1663</v>
      </c>
      <c r="T83">
        <v>20000</v>
      </c>
      <c r="U83">
        <v>20000</v>
      </c>
      <c r="V83">
        <v>0</v>
      </c>
      <c r="W83">
        <v>371650</v>
      </c>
      <c r="X83">
        <v>-8600.01</v>
      </c>
      <c r="Y83" t="s">
        <v>69</v>
      </c>
    </row>
    <row r="84" spans="1:25">
      <c r="A84" s="136" t="s">
        <v>628</v>
      </c>
      <c r="B84" s="132" t="s">
        <v>2064</v>
      </c>
      <c r="C84" s="132" t="s">
        <v>2046</v>
      </c>
      <c r="D84" s="132" t="s">
        <v>2047</v>
      </c>
      <c r="E84" s="132" t="s">
        <v>2065</v>
      </c>
      <c r="F84" s="132" t="s">
        <v>2066</v>
      </c>
      <c r="G84" s="142">
        <v>137353</v>
      </c>
      <c r="H84" s="142">
        <v>0</v>
      </c>
      <c r="I84" s="142">
        <v>137353</v>
      </c>
      <c r="J84" s="142">
        <v>371650</v>
      </c>
      <c r="K84" s="142">
        <v>128752.99</v>
      </c>
      <c r="L84" s="137" t="s">
        <v>2050</v>
      </c>
      <c r="N84" t="s">
        <v>628</v>
      </c>
      <c r="O84" t="s">
        <v>2064</v>
      </c>
      <c r="P84" t="s">
        <v>2046</v>
      </c>
      <c r="Q84" t="s">
        <v>2047</v>
      </c>
      <c r="R84" t="s">
        <v>2065</v>
      </c>
      <c r="S84" t="s">
        <v>2066</v>
      </c>
      <c r="T84">
        <v>137353</v>
      </c>
      <c r="U84">
        <v>0</v>
      </c>
      <c r="V84">
        <v>137353</v>
      </c>
      <c r="W84">
        <v>371650</v>
      </c>
      <c r="X84">
        <v>128752.99</v>
      </c>
      <c r="Y84" t="s">
        <v>2050</v>
      </c>
    </row>
    <row r="85" spans="1:25">
      <c r="A85" s="136" t="s">
        <v>628</v>
      </c>
      <c r="B85" s="132" t="s">
        <v>2064</v>
      </c>
      <c r="C85" s="132" t="s">
        <v>2042</v>
      </c>
      <c r="D85" s="132" t="s">
        <v>2043</v>
      </c>
      <c r="E85" s="132" t="s">
        <v>911</v>
      </c>
      <c r="F85" s="132" t="s">
        <v>2089</v>
      </c>
      <c r="G85" s="142">
        <v>12000</v>
      </c>
      <c r="H85" s="142">
        <v>12000</v>
      </c>
      <c r="I85" s="142">
        <v>0</v>
      </c>
      <c r="J85" s="142">
        <v>383650</v>
      </c>
      <c r="K85" s="142">
        <v>128752.99</v>
      </c>
      <c r="L85" s="137" t="s">
        <v>57</v>
      </c>
      <c r="N85" t="s">
        <v>628</v>
      </c>
      <c r="O85" t="s">
        <v>2064</v>
      </c>
      <c r="P85" t="s">
        <v>2042</v>
      </c>
      <c r="Q85" t="s">
        <v>2043</v>
      </c>
      <c r="R85" t="s">
        <v>911</v>
      </c>
      <c r="S85" t="s">
        <v>2089</v>
      </c>
      <c r="T85">
        <v>12000</v>
      </c>
      <c r="U85">
        <v>12000</v>
      </c>
      <c r="V85">
        <v>0</v>
      </c>
      <c r="W85">
        <v>383650</v>
      </c>
      <c r="X85">
        <v>128752.99</v>
      </c>
      <c r="Y85" t="s">
        <v>57</v>
      </c>
    </row>
    <row r="86" spans="1:25">
      <c r="A86" s="136" t="s">
        <v>628</v>
      </c>
      <c r="B86" s="132" t="s">
        <v>2064</v>
      </c>
      <c r="C86" s="132" t="s">
        <v>2042</v>
      </c>
      <c r="D86" s="132" t="s">
        <v>2094</v>
      </c>
      <c r="E86" s="132" t="s">
        <v>1626</v>
      </c>
      <c r="F86" s="132" t="s">
        <v>1607</v>
      </c>
      <c r="G86" s="142">
        <v>12000</v>
      </c>
      <c r="H86" s="142">
        <v>12000</v>
      </c>
      <c r="I86" s="142">
        <v>0</v>
      </c>
      <c r="J86" s="142">
        <v>395650</v>
      </c>
      <c r="K86" s="142">
        <v>128752.99</v>
      </c>
      <c r="L86" s="137" t="s">
        <v>61</v>
      </c>
      <c r="N86" t="s">
        <v>628</v>
      </c>
      <c r="O86" t="s">
        <v>2064</v>
      </c>
      <c r="P86" t="s">
        <v>2042</v>
      </c>
      <c r="Q86" t="s">
        <v>2094</v>
      </c>
      <c r="R86" t="s">
        <v>1626</v>
      </c>
      <c r="S86" t="s">
        <v>1607</v>
      </c>
      <c r="T86">
        <v>12000</v>
      </c>
      <c r="U86">
        <v>12000</v>
      </c>
      <c r="V86">
        <v>0</v>
      </c>
      <c r="W86">
        <v>395650</v>
      </c>
      <c r="X86">
        <v>128752.99</v>
      </c>
      <c r="Y86" t="s">
        <v>61</v>
      </c>
    </row>
    <row r="87" spans="1:25">
      <c r="A87" s="136" t="s">
        <v>628</v>
      </c>
      <c r="B87" s="132" t="s">
        <v>2064</v>
      </c>
      <c r="C87" s="132" t="s">
        <v>2042</v>
      </c>
      <c r="D87" s="132" t="s">
        <v>2094</v>
      </c>
      <c r="E87" s="132" t="s">
        <v>1628</v>
      </c>
      <c r="F87" s="132" t="s">
        <v>1614</v>
      </c>
      <c r="G87" s="142">
        <v>2000</v>
      </c>
      <c r="H87" s="142">
        <v>2000</v>
      </c>
      <c r="I87" s="142">
        <v>0</v>
      </c>
      <c r="J87" s="142">
        <v>397650</v>
      </c>
      <c r="K87" s="142">
        <v>128752.99</v>
      </c>
      <c r="L87" s="137" t="s">
        <v>61</v>
      </c>
      <c r="N87" t="s">
        <v>628</v>
      </c>
      <c r="O87" t="s">
        <v>2064</v>
      </c>
      <c r="P87" t="s">
        <v>2042</v>
      </c>
      <c r="Q87" t="s">
        <v>2094</v>
      </c>
      <c r="R87" t="s">
        <v>1628</v>
      </c>
      <c r="S87" t="s">
        <v>1614</v>
      </c>
      <c r="T87">
        <v>2000</v>
      </c>
      <c r="U87">
        <v>2000</v>
      </c>
      <c r="V87">
        <v>0</v>
      </c>
      <c r="W87">
        <v>397650</v>
      </c>
      <c r="X87">
        <v>128752.99</v>
      </c>
      <c r="Y87" t="s">
        <v>61</v>
      </c>
    </row>
    <row r="88" spans="1:25">
      <c r="A88" s="136" t="s">
        <v>628</v>
      </c>
      <c r="B88" s="132" t="s">
        <v>2064</v>
      </c>
      <c r="C88" s="132" t="s">
        <v>2046</v>
      </c>
      <c r="D88" s="132" t="s">
        <v>2052</v>
      </c>
      <c r="E88" s="132" t="s">
        <v>1684</v>
      </c>
      <c r="F88" s="132" t="s">
        <v>1685</v>
      </c>
      <c r="G88" s="142">
        <v>137353</v>
      </c>
      <c r="H88" s="142">
        <v>0</v>
      </c>
      <c r="I88" s="142">
        <v>-137353</v>
      </c>
      <c r="J88" s="142">
        <v>397650</v>
      </c>
      <c r="K88" s="142">
        <v>-8600.01</v>
      </c>
      <c r="L88" s="137" t="s">
        <v>69</v>
      </c>
      <c r="N88" t="s">
        <v>628</v>
      </c>
      <c r="O88" t="s">
        <v>2064</v>
      </c>
      <c r="P88" t="s">
        <v>2046</v>
      </c>
      <c r="Q88" t="s">
        <v>2052</v>
      </c>
      <c r="R88" t="s">
        <v>1684</v>
      </c>
      <c r="S88" t="s">
        <v>1685</v>
      </c>
      <c r="T88">
        <v>137353</v>
      </c>
      <c r="U88">
        <v>0</v>
      </c>
      <c r="V88">
        <v>-137353</v>
      </c>
      <c r="W88">
        <v>397650</v>
      </c>
      <c r="X88">
        <v>-8600.01</v>
      </c>
      <c r="Y88" t="s">
        <v>69</v>
      </c>
    </row>
    <row r="89" spans="1:25">
      <c r="A89" s="136" t="s">
        <v>628</v>
      </c>
      <c r="B89" s="132" t="s">
        <v>2137</v>
      </c>
      <c r="C89" s="132" t="s">
        <v>2042</v>
      </c>
      <c r="D89" s="132" t="s">
        <v>1654</v>
      </c>
      <c r="E89" s="132" t="s">
        <v>1664</v>
      </c>
      <c r="F89" s="132" t="s">
        <v>1665</v>
      </c>
      <c r="G89" s="142">
        <v>1000</v>
      </c>
      <c r="H89" s="142">
        <v>1000</v>
      </c>
      <c r="I89" s="142">
        <v>0</v>
      </c>
      <c r="J89" s="142">
        <v>398650</v>
      </c>
      <c r="K89" s="142">
        <v>-8600.01</v>
      </c>
      <c r="L89" s="137" t="s">
        <v>69</v>
      </c>
      <c r="N89" t="s">
        <v>628</v>
      </c>
      <c r="O89" t="s">
        <v>2137</v>
      </c>
      <c r="P89" t="s">
        <v>2042</v>
      </c>
      <c r="Q89" t="s">
        <v>1654</v>
      </c>
      <c r="R89" t="s">
        <v>1664</v>
      </c>
      <c r="S89" t="s">
        <v>1665</v>
      </c>
      <c r="T89">
        <v>1000</v>
      </c>
      <c r="U89">
        <v>1000</v>
      </c>
      <c r="V89">
        <v>0</v>
      </c>
      <c r="W89">
        <v>398650</v>
      </c>
      <c r="X89">
        <v>-8600.01</v>
      </c>
      <c r="Y89" t="s">
        <v>69</v>
      </c>
    </row>
    <row r="90" spans="1:25">
      <c r="A90" s="136" t="s">
        <v>628</v>
      </c>
      <c r="B90" s="132" t="s">
        <v>2138</v>
      </c>
      <c r="C90" s="132" t="s">
        <v>2042</v>
      </c>
      <c r="D90" s="132" t="s">
        <v>2043</v>
      </c>
      <c r="E90" s="132" t="s">
        <v>931</v>
      </c>
      <c r="F90" s="132" t="s">
        <v>2139</v>
      </c>
      <c r="G90" s="142">
        <v>4000</v>
      </c>
      <c r="H90" s="142">
        <v>4000</v>
      </c>
      <c r="I90" s="142">
        <v>0</v>
      </c>
      <c r="J90" s="142">
        <v>402650</v>
      </c>
      <c r="K90" s="142">
        <v>-8600.01</v>
      </c>
      <c r="L90" s="137" t="s">
        <v>57</v>
      </c>
      <c r="N90" t="s">
        <v>628</v>
      </c>
      <c r="O90" t="s">
        <v>2138</v>
      </c>
      <c r="P90" t="s">
        <v>2042</v>
      </c>
      <c r="Q90" t="s">
        <v>2043</v>
      </c>
      <c r="R90" t="s">
        <v>931</v>
      </c>
      <c r="S90" t="s">
        <v>2139</v>
      </c>
      <c r="T90">
        <v>4000</v>
      </c>
      <c r="U90">
        <v>4000</v>
      </c>
      <c r="V90">
        <v>0</v>
      </c>
      <c r="W90">
        <v>402650</v>
      </c>
      <c r="X90">
        <v>-8600.01</v>
      </c>
      <c r="Y90" t="s">
        <v>57</v>
      </c>
    </row>
    <row r="91" spans="1:25">
      <c r="A91" s="136" t="s">
        <v>628</v>
      </c>
      <c r="B91" s="132" t="s">
        <v>2138</v>
      </c>
      <c r="C91" s="132" t="s">
        <v>2042</v>
      </c>
      <c r="D91" s="132" t="s">
        <v>2043</v>
      </c>
      <c r="E91" s="132" t="s">
        <v>932</v>
      </c>
      <c r="F91" s="132" t="s">
        <v>2106</v>
      </c>
      <c r="G91" s="142">
        <v>4000</v>
      </c>
      <c r="H91" s="142">
        <v>4000</v>
      </c>
      <c r="I91" s="142">
        <v>0</v>
      </c>
      <c r="J91" s="142">
        <v>406650</v>
      </c>
      <c r="K91" s="142">
        <v>-8600.01</v>
      </c>
      <c r="L91" s="137" t="s">
        <v>57</v>
      </c>
      <c r="N91" t="s">
        <v>628</v>
      </c>
      <c r="O91" t="s">
        <v>2138</v>
      </c>
      <c r="P91" t="s">
        <v>2042</v>
      </c>
      <c r="Q91" t="s">
        <v>2043</v>
      </c>
      <c r="R91" t="s">
        <v>932</v>
      </c>
      <c r="S91" t="s">
        <v>2106</v>
      </c>
      <c r="T91">
        <v>4000</v>
      </c>
      <c r="U91">
        <v>4000</v>
      </c>
      <c r="V91">
        <v>0</v>
      </c>
      <c r="W91">
        <v>406650</v>
      </c>
      <c r="X91">
        <v>-8600.01</v>
      </c>
      <c r="Y91" t="s">
        <v>57</v>
      </c>
    </row>
    <row r="92" spans="1:25">
      <c r="A92" s="136" t="s">
        <v>628</v>
      </c>
      <c r="B92" s="132" t="s">
        <v>2138</v>
      </c>
      <c r="C92" s="132" t="s">
        <v>2042</v>
      </c>
      <c r="D92" s="132" t="s">
        <v>2043</v>
      </c>
      <c r="E92" s="132" t="s">
        <v>934</v>
      </c>
      <c r="F92" s="132" t="s">
        <v>2133</v>
      </c>
      <c r="G92" s="142">
        <v>4000</v>
      </c>
      <c r="H92" s="142">
        <v>4000</v>
      </c>
      <c r="I92" s="142">
        <v>0</v>
      </c>
      <c r="J92" s="142">
        <v>410650</v>
      </c>
      <c r="K92" s="142">
        <v>-8600.01</v>
      </c>
      <c r="L92" s="137" t="s">
        <v>57</v>
      </c>
      <c r="N92" t="s">
        <v>628</v>
      </c>
      <c r="O92" t="s">
        <v>2138</v>
      </c>
      <c r="P92" t="s">
        <v>2042</v>
      </c>
      <c r="Q92" t="s">
        <v>2043</v>
      </c>
      <c r="R92" t="s">
        <v>934</v>
      </c>
      <c r="S92" t="s">
        <v>2133</v>
      </c>
      <c r="T92">
        <v>4000</v>
      </c>
      <c r="U92">
        <v>4000</v>
      </c>
      <c r="V92">
        <v>0</v>
      </c>
      <c r="W92">
        <v>410650</v>
      </c>
      <c r="X92">
        <v>-8600.01</v>
      </c>
      <c r="Y92" t="s">
        <v>57</v>
      </c>
    </row>
    <row r="93" spans="1:25">
      <c r="A93" s="136" t="s">
        <v>628</v>
      </c>
      <c r="B93" s="132" t="s">
        <v>2138</v>
      </c>
      <c r="C93" s="132" t="s">
        <v>2042</v>
      </c>
      <c r="D93" s="132" t="s">
        <v>2043</v>
      </c>
      <c r="E93" s="132" t="s">
        <v>937</v>
      </c>
      <c r="F93" s="132" t="s">
        <v>2098</v>
      </c>
      <c r="G93" s="142">
        <v>2500</v>
      </c>
      <c r="H93" s="142">
        <v>2500</v>
      </c>
      <c r="I93" s="142">
        <v>0</v>
      </c>
      <c r="J93" s="142">
        <v>413150</v>
      </c>
      <c r="K93" s="142">
        <v>-8600.01</v>
      </c>
      <c r="L93" s="137" t="s">
        <v>57</v>
      </c>
      <c r="N93" t="s">
        <v>628</v>
      </c>
      <c r="O93" t="s">
        <v>2138</v>
      </c>
      <c r="P93" t="s">
        <v>2042</v>
      </c>
      <c r="Q93" t="s">
        <v>2043</v>
      </c>
      <c r="R93" t="s">
        <v>937</v>
      </c>
      <c r="S93" t="s">
        <v>2098</v>
      </c>
      <c r="T93">
        <v>2500</v>
      </c>
      <c r="U93">
        <v>2500</v>
      </c>
      <c r="V93">
        <v>0</v>
      </c>
      <c r="W93">
        <v>413150</v>
      </c>
      <c r="X93">
        <v>-8600.01</v>
      </c>
      <c r="Y93" t="s">
        <v>57</v>
      </c>
    </row>
    <row r="94" spans="1:25">
      <c r="A94" s="136" t="s">
        <v>628</v>
      </c>
      <c r="B94" s="132" t="s">
        <v>2138</v>
      </c>
      <c r="C94" s="132" t="s">
        <v>2042</v>
      </c>
      <c r="D94" s="132" t="s">
        <v>2043</v>
      </c>
      <c r="E94" s="132" t="s">
        <v>938</v>
      </c>
      <c r="F94" s="132" t="s">
        <v>2098</v>
      </c>
      <c r="G94" s="142">
        <v>17500</v>
      </c>
      <c r="H94" s="142">
        <v>17500</v>
      </c>
      <c r="I94" s="142">
        <v>0</v>
      </c>
      <c r="J94" s="142">
        <v>430650</v>
      </c>
      <c r="K94" s="142">
        <v>-8600.01</v>
      </c>
      <c r="L94" s="137" t="s">
        <v>57</v>
      </c>
      <c r="N94" t="s">
        <v>628</v>
      </c>
      <c r="O94" t="s">
        <v>2138</v>
      </c>
      <c r="P94" t="s">
        <v>2042</v>
      </c>
      <c r="Q94" t="s">
        <v>2043</v>
      </c>
      <c r="R94" t="s">
        <v>938</v>
      </c>
      <c r="S94" t="s">
        <v>2098</v>
      </c>
      <c r="T94">
        <v>17500</v>
      </c>
      <c r="U94">
        <v>17500</v>
      </c>
      <c r="V94">
        <v>0</v>
      </c>
      <c r="W94">
        <v>430650</v>
      </c>
      <c r="X94">
        <v>-8600.01</v>
      </c>
      <c r="Y94" t="s">
        <v>57</v>
      </c>
    </row>
    <row r="95" spans="1:25">
      <c r="A95" s="136" t="s">
        <v>628</v>
      </c>
      <c r="B95" s="132" t="s">
        <v>2138</v>
      </c>
      <c r="C95" s="132" t="s">
        <v>2042</v>
      </c>
      <c r="D95" s="132" t="s">
        <v>2043</v>
      </c>
      <c r="E95" s="132" t="s">
        <v>940</v>
      </c>
      <c r="F95" s="132" t="s">
        <v>2123</v>
      </c>
      <c r="G95" s="142">
        <v>4000</v>
      </c>
      <c r="H95" s="142">
        <v>4000</v>
      </c>
      <c r="I95" s="142">
        <v>0</v>
      </c>
      <c r="J95" s="142">
        <v>434650</v>
      </c>
      <c r="K95" s="142">
        <v>-8600.01</v>
      </c>
      <c r="L95" s="137" t="s">
        <v>57</v>
      </c>
      <c r="N95" t="s">
        <v>628</v>
      </c>
      <c r="O95" t="s">
        <v>2138</v>
      </c>
      <c r="P95" t="s">
        <v>2042</v>
      </c>
      <c r="Q95" t="s">
        <v>2043</v>
      </c>
      <c r="R95" t="s">
        <v>940</v>
      </c>
      <c r="S95" t="s">
        <v>2123</v>
      </c>
      <c r="T95">
        <v>4000</v>
      </c>
      <c r="U95">
        <v>4000</v>
      </c>
      <c r="V95">
        <v>0</v>
      </c>
      <c r="W95">
        <v>434650</v>
      </c>
      <c r="X95">
        <v>-8600.01</v>
      </c>
      <c r="Y95" t="s">
        <v>57</v>
      </c>
    </row>
    <row r="96" spans="1:25">
      <c r="A96" s="136" t="s">
        <v>628</v>
      </c>
      <c r="B96" s="132" t="s">
        <v>2140</v>
      </c>
      <c r="C96" s="132" t="s">
        <v>2042</v>
      </c>
      <c r="D96" s="132" t="s">
        <v>2043</v>
      </c>
      <c r="E96" s="132" t="s">
        <v>947</v>
      </c>
      <c r="F96" s="132" t="s">
        <v>2088</v>
      </c>
      <c r="G96" s="142">
        <v>3000</v>
      </c>
      <c r="H96" s="142">
        <v>3000</v>
      </c>
      <c r="I96" s="142">
        <v>0</v>
      </c>
      <c r="J96" s="142">
        <v>437650</v>
      </c>
      <c r="K96" s="142">
        <v>-8600.01</v>
      </c>
      <c r="L96" s="137" t="s">
        <v>57</v>
      </c>
      <c r="N96" t="s">
        <v>628</v>
      </c>
      <c r="O96" t="s">
        <v>2140</v>
      </c>
      <c r="P96" t="s">
        <v>2042</v>
      </c>
      <c r="Q96" t="s">
        <v>2043</v>
      </c>
      <c r="R96" t="s">
        <v>947</v>
      </c>
      <c r="S96" t="s">
        <v>2088</v>
      </c>
      <c r="T96">
        <v>3000</v>
      </c>
      <c r="U96">
        <v>3000</v>
      </c>
      <c r="V96">
        <v>0</v>
      </c>
      <c r="W96">
        <v>437650</v>
      </c>
      <c r="X96">
        <v>-8600.01</v>
      </c>
      <c r="Y96" t="s">
        <v>57</v>
      </c>
    </row>
    <row r="97" spans="1:25">
      <c r="A97" s="136" t="s">
        <v>628</v>
      </c>
      <c r="B97" s="132" t="s">
        <v>2141</v>
      </c>
      <c r="C97" s="132" t="s">
        <v>2042</v>
      </c>
      <c r="D97" s="132" t="s">
        <v>2043</v>
      </c>
      <c r="E97" s="132" t="s">
        <v>948</v>
      </c>
      <c r="F97" s="132" t="s">
        <v>2120</v>
      </c>
      <c r="G97" s="142">
        <v>2500</v>
      </c>
      <c r="H97" s="142">
        <v>2500</v>
      </c>
      <c r="I97" s="142">
        <v>0</v>
      </c>
      <c r="J97" s="142">
        <v>440150</v>
      </c>
      <c r="K97" s="142">
        <v>-8600.01</v>
      </c>
      <c r="L97" s="137" t="s">
        <v>57</v>
      </c>
      <c r="N97" t="s">
        <v>628</v>
      </c>
      <c r="O97" t="s">
        <v>2141</v>
      </c>
      <c r="P97" t="s">
        <v>2042</v>
      </c>
      <c r="Q97" t="s">
        <v>2043</v>
      </c>
      <c r="R97" t="s">
        <v>948</v>
      </c>
      <c r="S97" t="s">
        <v>2120</v>
      </c>
      <c r="T97">
        <v>2500</v>
      </c>
      <c r="U97">
        <v>2500</v>
      </c>
      <c r="V97">
        <v>0</v>
      </c>
      <c r="W97">
        <v>440150</v>
      </c>
      <c r="X97">
        <v>-8600.01</v>
      </c>
      <c r="Y97" t="s">
        <v>57</v>
      </c>
    </row>
    <row r="98" spans="1:25">
      <c r="A98" s="136" t="s">
        <v>628</v>
      </c>
      <c r="B98" s="132" t="s">
        <v>2142</v>
      </c>
      <c r="C98" s="132" t="s">
        <v>2042</v>
      </c>
      <c r="D98" s="132" t="s">
        <v>2043</v>
      </c>
      <c r="E98" s="132" t="s">
        <v>985</v>
      </c>
      <c r="F98" s="132" t="s">
        <v>2109</v>
      </c>
      <c r="G98" s="142">
        <v>6000</v>
      </c>
      <c r="H98" s="142">
        <v>6000</v>
      </c>
      <c r="I98" s="142">
        <v>0</v>
      </c>
      <c r="J98" s="142">
        <v>446150</v>
      </c>
      <c r="K98" s="142">
        <v>-8600.01</v>
      </c>
      <c r="L98" s="137" t="s">
        <v>57</v>
      </c>
      <c r="N98" t="s">
        <v>628</v>
      </c>
      <c r="O98" t="s">
        <v>2142</v>
      </c>
      <c r="P98" t="s">
        <v>2042</v>
      </c>
      <c r="Q98" t="s">
        <v>2043</v>
      </c>
      <c r="R98" t="s">
        <v>985</v>
      </c>
      <c r="S98" t="s">
        <v>2109</v>
      </c>
      <c r="T98">
        <v>6000</v>
      </c>
      <c r="U98">
        <v>6000</v>
      </c>
      <c r="V98">
        <v>0</v>
      </c>
      <c r="W98">
        <v>446150</v>
      </c>
      <c r="X98">
        <v>-8600.01</v>
      </c>
      <c r="Y98" t="s">
        <v>57</v>
      </c>
    </row>
    <row r="99" spans="1:25">
      <c r="A99" s="136" t="s">
        <v>628</v>
      </c>
      <c r="B99" s="132" t="s">
        <v>2069</v>
      </c>
      <c r="C99" s="132" t="s">
        <v>2046</v>
      </c>
      <c r="D99" s="132" t="s">
        <v>2047</v>
      </c>
      <c r="E99" s="132" t="s">
        <v>2070</v>
      </c>
      <c r="F99" s="132" t="s">
        <v>2071</v>
      </c>
      <c r="G99" s="142">
        <v>109773</v>
      </c>
      <c r="H99" s="142">
        <v>0</v>
      </c>
      <c r="I99" s="142">
        <v>109773</v>
      </c>
      <c r="J99" s="142">
        <v>446150</v>
      </c>
      <c r="K99" s="142">
        <v>101172.99</v>
      </c>
      <c r="L99" s="137" t="s">
        <v>2050</v>
      </c>
      <c r="N99" t="s">
        <v>628</v>
      </c>
      <c r="O99" t="s">
        <v>2069</v>
      </c>
      <c r="P99" t="s">
        <v>2046</v>
      </c>
      <c r="Q99" t="s">
        <v>2047</v>
      </c>
      <c r="R99" t="s">
        <v>2070</v>
      </c>
      <c r="S99" t="s">
        <v>2071</v>
      </c>
      <c r="T99">
        <v>109773</v>
      </c>
      <c r="U99">
        <v>0</v>
      </c>
      <c r="V99">
        <v>109773</v>
      </c>
      <c r="W99">
        <v>446150</v>
      </c>
      <c r="X99">
        <v>101172.99</v>
      </c>
      <c r="Y99" t="s">
        <v>2050</v>
      </c>
    </row>
    <row r="100" spans="1:25">
      <c r="A100" s="136" t="s">
        <v>628</v>
      </c>
      <c r="B100" s="132" t="s">
        <v>2069</v>
      </c>
      <c r="C100" s="132" t="s">
        <v>2042</v>
      </c>
      <c r="D100" s="132" t="s">
        <v>2043</v>
      </c>
      <c r="E100" s="132" t="s">
        <v>993</v>
      </c>
      <c r="F100" s="132" t="s">
        <v>2089</v>
      </c>
      <c r="G100" s="142">
        <v>12000</v>
      </c>
      <c r="H100" s="142">
        <v>12000</v>
      </c>
      <c r="I100" s="142">
        <v>0</v>
      </c>
      <c r="J100" s="142">
        <v>458150</v>
      </c>
      <c r="K100" s="142">
        <v>101172.99</v>
      </c>
      <c r="L100" s="137" t="s">
        <v>57</v>
      </c>
      <c r="N100" t="s">
        <v>628</v>
      </c>
      <c r="O100" t="s">
        <v>2069</v>
      </c>
      <c r="P100" t="s">
        <v>2042</v>
      </c>
      <c r="Q100" t="s">
        <v>2043</v>
      </c>
      <c r="R100" t="s">
        <v>993</v>
      </c>
      <c r="S100" t="s">
        <v>2089</v>
      </c>
      <c r="T100">
        <v>12000</v>
      </c>
      <c r="U100">
        <v>12000</v>
      </c>
      <c r="V100">
        <v>0</v>
      </c>
      <c r="W100">
        <v>458150</v>
      </c>
      <c r="X100">
        <v>101172.99</v>
      </c>
      <c r="Y100" t="s">
        <v>57</v>
      </c>
    </row>
    <row r="101" spans="1:25">
      <c r="A101" s="136" t="s">
        <v>628</v>
      </c>
      <c r="B101" s="132" t="s">
        <v>2069</v>
      </c>
      <c r="C101" s="132" t="s">
        <v>2042</v>
      </c>
      <c r="D101" s="132" t="s">
        <v>2094</v>
      </c>
      <c r="E101" s="132" t="s">
        <v>1630</v>
      </c>
      <c r="F101" s="132" t="s">
        <v>1607</v>
      </c>
      <c r="G101" s="142">
        <v>12000</v>
      </c>
      <c r="H101" s="142">
        <v>12000</v>
      </c>
      <c r="I101" s="142">
        <v>0</v>
      </c>
      <c r="J101" s="142">
        <v>470150</v>
      </c>
      <c r="K101" s="142">
        <v>101172.99</v>
      </c>
      <c r="L101" s="137" t="s">
        <v>61</v>
      </c>
      <c r="N101" t="s">
        <v>628</v>
      </c>
      <c r="O101" t="s">
        <v>2069</v>
      </c>
      <c r="P101" t="s">
        <v>2042</v>
      </c>
      <c r="Q101" t="s">
        <v>2094</v>
      </c>
      <c r="R101" t="s">
        <v>1630</v>
      </c>
      <c r="S101" t="s">
        <v>1607</v>
      </c>
      <c r="T101">
        <v>12000</v>
      </c>
      <c r="U101">
        <v>12000</v>
      </c>
      <c r="V101">
        <v>0</v>
      </c>
      <c r="W101">
        <v>470150</v>
      </c>
      <c r="X101">
        <v>101172.99</v>
      </c>
      <c r="Y101" t="s">
        <v>61</v>
      </c>
    </row>
    <row r="102" spans="1:25">
      <c r="A102" s="136" t="s">
        <v>628</v>
      </c>
      <c r="B102" s="132" t="s">
        <v>2069</v>
      </c>
      <c r="C102" s="132" t="s">
        <v>2042</v>
      </c>
      <c r="D102" s="132" t="s">
        <v>2094</v>
      </c>
      <c r="E102" s="132" t="s">
        <v>1632</v>
      </c>
      <c r="F102" s="132" t="s">
        <v>1614</v>
      </c>
      <c r="G102" s="142">
        <v>2000</v>
      </c>
      <c r="H102" s="142">
        <v>2000</v>
      </c>
      <c r="I102" s="142">
        <v>0</v>
      </c>
      <c r="J102" s="142">
        <v>472150</v>
      </c>
      <c r="K102" s="142">
        <v>101172.99</v>
      </c>
      <c r="L102" s="137" t="s">
        <v>61</v>
      </c>
      <c r="N102" t="s">
        <v>628</v>
      </c>
      <c r="O102" t="s">
        <v>2069</v>
      </c>
      <c r="P102" t="s">
        <v>2042</v>
      </c>
      <c r="Q102" t="s">
        <v>2094</v>
      </c>
      <c r="R102" t="s">
        <v>1632</v>
      </c>
      <c r="S102" t="s">
        <v>1614</v>
      </c>
      <c r="T102">
        <v>2000</v>
      </c>
      <c r="U102">
        <v>2000</v>
      </c>
      <c r="V102">
        <v>0</v>
      </c>
      <c r="W102">
        <v>472150</v>
      </c>
      <c r="X102">
        <v>101172.99</v>
      </c>
      <c r="Y102" t="s">
        <v>61</v>
      </c>
    </row>
    <row r="103" spans="1:25">
      <c r="A103" s="136" t="s">
        <v>628</v>
      </c>
      <c r="B103" s="132" t="s">
        <v>2069</v>
      </c>
      <c r="C103" s="132" t="s">
        <v>2042</v>
      </c>
      <c r="D103" s="132" t="s">
        <v>1654</v>
      </c>
      <c r="E103" s="132" t="s">
        <v>1666</v>
      </c>
      <c r="F103" s="132" t="s">
        <v>2143</v>
      </c>
      <c r="G103" s="142">
        <v>17000</v>
      </c>
      <c r="H103" s="142">
        <v>17000</v>
      </c>
      <c r="I103" s="142">
        <v>0</v>
      </c>
      <c r="J103" s="142">
        <v>489150</v>
      </c>
      <c r="K103" s="142">
        <v>101172.99</v>
      </c>
      <c r="L103" s="137" t="s">
        <v>69</v>
      </c>
      <c r="N103" t="s">
        <v>628</v>
      </c>
      <c r="O103" t="s">
        <v>2069</v>
      </c>
      <c r="P103" t="s">
        <v>2042</v>
      </c>
      <c r="Q103" t="s">
        <v>1654</v>
      </c>
      <c r="R103" t="s">
        <v>1666</v>
      </c>
      <c r="S103" t="s">
        <v>2143</v>
      </c>
      <c r="T103">
        <v>17000</v>
      </c>
      <c r="U103">
        <v>17000</v>
      </c>
      <c r="V103">
        <v>0</v>
      </c>
      <c r="W103">
        <v>489150</v>
      </c>
      <c r="X103">
        <v>101172.99</v>
      </c>
      <c r="Y103" t="s">
        <v>69</v>
      </c>
    </row>
    <row r="104" spans="1:25">
      <c r="A104" s="136" t="s">
        <v>628</v>
      </c>
      <c r="B104" s="132" t="s">
        <v>2069</v>
      </c>
      <c r="C104" s="132" t="s">
        <v>2046</v>
      </c>
      <c r="D104" s="132" t="s">
        <v>2052</v>
      </c>
      <c r="E104" s="132" t="s">
        <v>1688</v>
      </c>
      <c r="F104" s="132" t="s">
        <v>1689</v>
      </c>
      <c r="G104" s="142">
        <v>109773</v>
      </c>
      <c r="H104" s="142">
        <v>0</v>
      </c>
      <c r="I104" s="142">
        <v>-109773</v>
      </c>
      <c r="J104" s="142">
        <v>489150</v>
      </c>
      <c r="K104" s="142">
        <v>-8600.01</v>
      </c>
      <c r="L104" s="137" t="s">
        <v>69</v>
      </c>
      <c r="N104" t="s">
        <v>628</v>
      </c>
      <c r="O104" t="s">
        <v>2069</v>
      </c>
      <c r="P104" t="s">
        <v>2046</v>
      </c>
      <c r="Q104" t="s">
        <v>2052</v>
      </c>
      <c r="R104" t="s">
        <v>1688</v>
      </c>
      <c r="S104" t="s">
        <v>1689</v>
      </c>
      <c r="T104">
        <v>109773</v>
      </c>
      <c r="U104">
        <v>0</v>
      </c>
      <c r="V104">
        <v>-109773</v>
      </c>
      <c r="W104">
        <v>489150</v>
      </c>
      <c r="X104">
        <v>-8600.01</v>
      </c>
      <c r="Y104" t="s">
        <v>69</v>
      </c>
    </row>
    <row r="105" spans="1:25">
      <c r="A105" s="136" t="s">
        <v>628</v>
      </c>
      <c r="B105" s="132" t="s">
        <v>2144</v>
      </c>
      <c r="C105" s="132" t="s">
        <v>2042</v>
      </c>
      <c r="D105" s="132" t="s">
        <v>2043</v>
      </c>
      <c r="E105" s="132" t="s">
        <v>995</v>
      </c>
      <c r="F105" s="132" t="s">
        <v>2089</v>
      </c>
      <c r="G105" s="142">
        <v>12000</v>
      </c>
      <c r="H105" s="142">
        <v>12000</v>
      </c>
      <c r="I105" s="142">
        <v>0</v>
      </c>
      <c r="J105" s="142">
        <v>501150</v>
      </c>
      <c r="K105" s="142">
        <v>-8600.01</v>
      </c>
      <c r="L105" s="137" t="s">
        <v>57</v>
      </c>
      <c r="N105" t="s">
        <v>628</v>
      </c>
      <c r="O105" t="s">
        <v>2144</v>
      </c>
      <c r="P105" t="s">
        <v>2042</v>
      </c>
      <c r="Q105" t="s">
        <v>2043</v>
      </c>
      <c r="R105" t="s">
        <v>995</v>
      </c>
      <c r="S105" t="s">
        <v>2089</v>
      </c>
      <c r="T105">
        <v>12000</v>
      </c>
      <c r="U105">
        <v>12000</v>
      </c>
      <c r="V105">
        <v>0</v>
      </c>
      <c r="W105">
        <v>501150</v>
      </c>
      <c r="X105">
        <v>-8600.01</v>
      </c>
      <c r="Y105" t="s">
        <v>57</v>
      </c>
    </row>
    <row r="106" spans="1:25">
      <c r="A106" s="136" t="s">
        <v>628</v>
      </c>
      <c r="B106" s="132" t="s">
        <v>2145</v>
      </c>
      <c r="C106" s="132" t="s">
        <v>2042</v>
      </c>
      <c r="D106" s="132" t="s">
        <v>2043</v>
      </c>
      <c r="E106" s="132" t="s">
        <v>1004</v>
      </c>
      <c r="F106" s="132" t="s">
        <v>2109</v>
      </c>
      <c r="G106" s="142">
        <v>3000</v>
      </c>
      <c r="H106" s="142">
        <v>3000</v>
      </c>
      <c r="I106" s="142">
        <v>0</v>
      </c>
      <c r="J106" s="142">
        <v>504150</v>
      </c>
      <c r="K106" s="142">
        <v>-8600.01</v>
      </c>
      <c r="L106" s="137" t="s">
        <v>57</v>
      </c>
      <c r="N106" t="s">
        <v>628</v>
      </c>
      <c r="O106" t="s">
        <v>2145</v>
      </c>
      <c r="P106" t="s">
        <v>2042</v>
      </c>
      <c r="Q106" t="s">
        <v>2043</v>
      </c>
      <c r="R106" t="s">
        <v>1004</v>
      </c>
      <c r="S106" t="s">
        <v>2109</v>
      </c>
      <c r="T106">
        <v>3000</v>
      </c>
      <c r="U106">
        <v>3000</v>
      </c>
      <c r="V106">
        <v>0</v>
      </c>
      <c r="W106">
        <v>504150</v>
      </c>
      <c r="X106">
        <v>-8600.01</v>
      </c>
      <c r="Y106" t="s">
        <v>57</v>
      </c>
    </row>
    <row r="107" spans="1:25">
      <c r="A107" s="136" t="s">
        <v>628</v>
      </c>
      <c r="B107" s="132" t="s">
        <v>2146</v>
      </c>
      <c r="C107" s="132" t="s">
        <v>2042</v>
      </c>
      <c r="D107" s="132" t="s">
        <v>2043</v>
      </c>
      <c r="E107" s="132" t="s">
        <v>1029</v>
      </c>
      <c r="F107" s="132" t="s">
        <v>2088</v>
      </c>
      <c r="G107" s="142">
        <v>3000</v>
      </c>
      <c r="H107" s="142">
        <v>3000</v>
      </c>
      <c r="I107" s="142">
        <v>0</v>
      </c>
      <c r="J107" s="142">
        <v>507150</v>
      </c>
      <c r="K107" s="142">
        <v>-8600.01</v>
      </c>
      <c r="L107" s="137" t="s">
        <v>57</v>
      </c>
      <c r="N107" t="s">
        <v>628</v>
      </c>
      <c r="O107" t="s">
        <v>2146</v>
      </c>
      <c r="P107" t="s">
        <v>2042</v>
      </c>
      <c r="Q107" t="s">
        <v>2043</v>
      </c>
      <c r="R107" t="s">
        <v>1029</v>
      </c>
      <c r="S107" t="s">
        <v>2088</v>
      </c>
      <c r="T107">
        <v>3000</v>
      </c>
      <c r="U107">
        <v>3000</v>
      </c>
      <c r="V107">
        <v>0</v>
      </c>
      <c r="W107">
        <v>507150</v>
      </c>
      <c r="X107">
        <v>-8600.01</v>
      </c>
      <c r="Y107" t="s">
        <v>57</v>
      </c>
    </row>
    <row r="108" spans="1:25">
      <c r="A108" s="136" t="s">
        <v>628</v>
      </c>
      <c r="B108" s="132" t="s">
        <v>2147</v>
      </c>
      <c r="C108" s="132" t="s">
        <v>2042</v>
      </c>
      <c r="D108" s="132" t="s">
        <v>2043</v>
      </c>
      <c r="E108" s="132" t="s">
        <v>1031</v>
      </c>
      <c r="F108" s="132" t="s">
        <v>2132</v>
      </c>
      <c r="G108" s="142">
        <v>2000</v>
      </c>
      <c r="H108" s="142">
        <v>2000</v>
      </c>
      <c r="I108" s="142">
        <v>0</v>
      </c>
      <c r="J108" s="142">
        <v>509150</v>
      </c>
      <c r="K108" s="142">
        <v>-8600.01</v>
      </c>
      <c r="L108" s="137" t="s">
        <v>57</v>
      </c>
      <c r="N108" t="s">
        <v>628</v>
      </c>
      <c r="O108" t="s">
        <v>2147</v>
      </c>
      <c r="P108" t="s">
        <v>2042</v>
      </c>
      <c r="Q108" t="s">
        <v>2043</v>
      </c>
      <c r="R108" t="s">
        <v>1031</v>
      </c>
      <c r="S108" t="s">
        <v>2132</v>
      </c>
      <c r="T108">
        <v>2000</v>
      </c>
      <c r="U108">
        <v>2000</v>
      </c>
      <c r="V108">
        <v>0</v>
      </c>
      <c r="W108">
        <v>509150</v>
      </c>
      <c r="X108">
        <v>-8600.01</v>
      </c>
      <c r="Y108" t="s">
        <v>57</v>
      </c>
    </row>
    <row r="109" spans="1:25">
      <c r="A109" s="136" t="s">
        <v>628</v>
      </c>
      <c r="B109" s="132" t="s">
        <v>2147</v>
      </c>
      <c r="C109" s="132" t="s">
        <v>2042</v>
      </c>
      <c r="D109" s="132" t="s">
        <v>2043</v>
      </c>
      <c r="E109" s="132" t="s">
        <v>1032</v>
      </c>
      <c r="F109" s="132" t="s">
        <v>2120</v>
      </c>
      <c r="G109" s="142">
        <v>2500</v>
      </c>
      <c r="H109" s="142">
        <v>2500</v>
      </c>
      <c r="I109" s="142">
        <v>0</v>
      </c>
      <c r="J109" s="142">
        <v>511650</v>
      </c>
      <c r="K109" s="142">
        <v>-8600.01</v>
      </c>
      <c r="L109" s="137" t="s">
        <v>57</v>
      </c>
      <c r="N109" t="s">
        <v>628</v>
      </c>
      <c r="O109" t="s">
        <v>2147</v>
      </c>
      <c r="P109" t="s">
        <v>2042</v>
      </c>
      <c r="Q109" t="s">
        <v>2043</v>
      </c>
      <c r="R109" t="s">
        <v>1032</v>
      </c>
      <c r="S109" t="s">
        <v>2120</v>
      </c>
      <c r="T109">
        <v>2500</v>
      </c>
      <c r="U109">
        <v>2500</v>
      </c>
      <c r="V109">
        <v>0</v>
      </c>
      <c r="W109">
        <v>511650</v>
      </c>
      <c r="X109">
        <v>-8600.01</v>
      </c>
      <c r="Y109" t="s">
        <v>57</v>
      </c>
    </row>
    <row r="110" spans="1:25">
      <c r="A110" s="136" t="s">
        <v>628</v>
      </c>
      <c r="B110" s="132" t="s">
        <v>2147</v>
      </c>
      <c r="C110" s="132" t="s">
        <v>2042</v>
      </c>
      <c r="D110" s="132" t="s">
        <v>2043</v>
      </c>
      <c r="E110" s="132" t="s">
        <v>1033</v>
      </c>
      <c r="F110" s="132" t="s">
        <v>2121</v>
      </c>
      <c r="G110" s="142">
        <v>3000</v>
      </c>
      <c r="H110" s="142">
        <v>3000</v>
      </c>
      <c r="I110" s="142">
        <v>0</v>
      </c>
      <c r="J110" s="142">
        <v>514650</v>
      </c>
      <c r="K110" s="142">
        <v>-8600.01</v>
      </c>
      <c r="L110" s="137" t="s">
        <v>57</v>
      </c>
      <c r="N110" t="s">
        <v>628</v>
      </c>
      <c r="O110" t="s">
        <v>2147</v>
      </c>
      <c r="P110" t="s">
        <v>2042</v>
      </c>
      <c r="Q110" t="s">
        <v>2043</v>
      </c>
      <c r="R110" t="s">
        <v>1033</v>
      </c>
      <c r="S110" t="s">
        <v>2121</v>
      </c>
      <c r="T110">
        <v>3000</v>
      </c>
      <c r="U110">
        <v>3000</v>
      </c>
      <c r="V110">
        <v>0</v>
      </c>
      <c r="W110">
        <v>514650</v>
      </c>
      <c r="X110">
        <v>-8600.01</v>
      </c>
      <c r="Y110" t="s">
        <v>57</v>
      </c>
    </row>
    <row r="111" spans="1:25">
      <c r="A111" s="136" t="s">
        <v>628</v>
      </c>
      <c r="B111" s="132" t="s">
        <v>2147</v>
      </c>
      <c r="C111" s="132" t="s">
        <v>2042</v>
      </c>
      <c r="D111" s="132" t="s">
        <v>2043</v>
      </c>
      <c r="E111" s="132" t="s">
        <v>1034</v>
      </c>
      <c r="F111" s="132" t="s">
        <v>2100</v>
      </c>
      <c r="G111" s="142">
        <v>3500</v>
      </c>
      <c r="H111" s="142">
        <v>3500</v>
      </c>
      <c r="I111" s="142">
        <v>0</v>
      </c>
      <c r="J111" s="142">
        <v>518150</v>
      </c>
      <c r="K111" s="142">
        <v>-8600.01</v>
      </c>
      <c r="L111" s="137" t="s">
        <v>57</v>
      </c>
      <c r="N111" t="s">
        <v>628</v>
      </c>
      <c r="O111" t="s">
        <v>2147</v>
      </c>
      <c r="P111" t="s">
        <v>2042</v>
      </c>
      <c r="Q111" t="s">
        <v>2043</v>
      </c>
      <c r="R111" t="s">
        <v>1034</v>
      </c>
      <c r="S111" t="s">
        <v>2100</v>
      </c>
      <c r="T111">
        <v>3500</v>
      </c>
      <c r="U111">
        <v>3500</v>
      </c>
      <c r="V111">
        <v>0</v>
      </c>
      <c r="W111">
        <v>518150</v>
      </c>
      <c r="X111">
        <v>-8600.01</v>
      </c>
      <c r="Y111" t="s">
        <v>57</v>
      </c>
    </row>
    <row r="112" spans="1:25">
      <c r="A112" s="136" t="s">
        <v>628</v>
      </c>
      <c r="B112" s="132" t="s">
        <v>2147</v>
      </c>
      <c r="C112" s="132" t="s">
        <v>2042</v>
      </c>
      <c r="D112" s="132" t="s">
        <v>2043</v>
      </c>
      <c r="E112" s="132" t="s">
        <v>1035</v>
      </c>
      <c r="F112" s="132" t="s">
        <v>2133</v>
      </c>
      <c r="G112" s="142">
        <v>4000</v>
      </c>
      <c r="H112" s="142">
        <v>4000</v>
      </c>
      <c r="I112" s="142">
        <v>0</v>
      </c>
      <c r="J112" s="142">
        <v>522150</v>
      </c>
      <c r="K112" s="142">
        <v>-8600.01</v>
      </c>
      <c r="L112" s="137" t="s">
        <v>57</v>
      </c>
      <c r="N112" t="s">
        <v>628</v>
      </c>
      <c r="O112" t="s">
        <v>2147</v>
      </c>
      <c r="P112" t="s">
        <v>2042</v>
      </c>
      <c r="Q112" t="s">
        <v>2043</v>
      </c>
      <c r="R112" t="s">
        <v>1035</v>
      </c>
      <c r="S112" t="s">
        <v>2133</v>
      </c>
      <c r="T112">
        <v>4000</v>
      </c>
      <c r="U112">
        <v>4000</v>
      </c>
      <c r="V112">
        <v>0</v>
      </c>
      <c r="W112">
        <v>522150</v>
      </c>
      <c r="X112">
        <v>-8600.01</v>
      </c>
      <c r="Y112" t="s">
        <v>57</v>
      </c>
    </row>
    <row r="113" spans="1:25">
      <c r="A113" s="136" t="s">
        <v>628</v>
      </c>
      <c r="B113" s="132" t="s">
        <v>2147</v>
      </c>
      <c r="C113" s="132" t="s">
        <v>2042</v>
      </c>
      <c r="D113" s="132" t="s">
        <v>2043</v>
      </c>
      <c r="E113" s="132" t="s">
        <v>1036</v>
      </c>
      <c r="F113" s="132" t="s">
        <v>2108</v>
      </c>
      <c r="G113" s="142">
        <v>3000</v>
      </c>
      <c r="H113" s="142">
        <v>3000</v>
      </c>
      <c r="I113" s="142">
        <v>0</v>
      </c>
      <c r="J113" s="142">
        <v>525150</v>
      </c>
      <c r="K113" s="142">
        <v>-8600.01</v>
      </c>
      <c r="L113" s="137" t="s">
        <v>57</v>
      </c>
      <c r="N113" t="s">
        <v>628</v>
      </c>
      <c r="O113" t="s">
        <v>2147</v>
      </c>
      <c r="P113" t="s">
        <v>2042</v>
      </c>
      <c r="Q113" t="s">
        <v>2043</v>
      </c>
      <c r="R113" t="s">
        <v>1036</v>
      </c>
      <c r="S113" t="s">
        <v>2108</v>
      </c>
      <c r="T113">
        <v>3000</v>
      </c>
      <c r="U113">
        <v>3000</v>
      </c>
      <c r="V113">
        <v>0</v>
      </c>
      <c r="W113">
        <v>525150</v>
      </c>
      <c r="X113">
        <v>-8600.01</v>
      </c>
      <c r="Y113" t="s">
        <v>57</v>
      </c>
    </row>
    <row r="114" spans="1:25">
      <c r="A114" s="136" t="s">
        <v>628</v>
      </c>
      <c r="B114" s="132" t="s">
        <v>2148</v>
      </c>
      <c r="C114" s="132" t="s">
        <v>2042</v>
      </c>
      <c r="D114" s="132" t="s">
        <v>2043</v>
      </c>
      <c r="E114" s="132" t="s">
        <v>1046</v>
      </c>
      <c r="F114" s="132" t="s">
        <v>2149</v>
      </c>
      <c r="G114" s="142">
        <v>23600</v>
      </c>
      <c r="H114" s="142">
        <v>23600</v>
      </c>
      <c r="I114" s="142">
        <v>0</v>
      </c>
      <c r="J114" s="142">
        <v>548750</v>
      </c>
      <c r="K114" s="142">
        <v>-8600.01</v>
      </c>
      <c r="L114" s="137" t="s">
        <v>57</v>
      </c>
      <c r="N114" t="s">
        <v>628</v>
      </c>
      <c r="O114" t="s">
        <v>2148</v>
      </c>
      <c r="P114" t="s">
        <v>2042</v>
      </c>
      <c r="Q114" t="s">
        <v>2043</v>
      </c>
      <c r="R114" t="s">
        <v>1046</v>
      </c>
      <c r="S114" t="s">
        <v>2149</v>
      </c>
      <c r="T114">
        <v>23600</v>
      </c>
      <c r="U114">
        <v>23600</v>
      </c>
      <c r="V114">
        <v>0</v>
      </c>
      <c r="W114">
        <v>548750</v>
      </c>
      <c r="X114">
        <v>-8600.01</v>
      </c>
      <c r="Y114" t="s">
        <v>57</v>
      </c>
    </row>
    <row r="115" spans="1:25">
      <c r="A115" s="136" t="s">
        <v>628</v>
      </c>
      <c r="B115" s="132" t="s">
        <v>2150</v>
      </c>
      <c r="C115" s="132" t="s">
        <v>2042</v>
      </c>
      <c r="D115" s="132" t="s">
        <v>2043</v>
      </c>
      <c r="E115" s="132" t="s">
        <v>1051</v>
      </c>
      <c r="F115" s="132" t="s">
        <v>2100</v>
      </c>
      <c r="G115" s="142">
        <v>3500</v>
      </c>
      <c r="H115" s="142">
        <v>3500</v>
      </c>
      <c r="I115" s="142">
        <v>0</v>
      </c>
      <c r="J115" s="142">
        <v>552250</v>
      </c>
      <c r="K115" s="142">
        <v>-8600.01</v>
      </c>
      <c r="L115" s="137" t="s">
        <v>57</v>
      </c>
      <c r="N115" t="s">
        <v>628</v>
      </c>
      <c r="O115" t="s">
        <v>2150</v>
      </c>
      <c r="P115" t="s">
        <v>2042</v>
      </c>
      <c r="Q115" t="s">
        <v>2043</v>
      </c>
      <c r="R115" t="s">
        <v>1051</v>
      </c>
      <c r="S115" t="s">
        <v>2100</v>
      </c>
      <c r="T115">
        <v>3500</v>
      </c>
      <c r="U115">
        <v>3500</v>
      </c>
      <c r="V115">
        <v>0</v>
      </c>
      <c r="W115">
        <v>552250</v>
      </c>
      <c r="X115">
        <v>-8600.01</v>
      </c>
      <c r="Y115" t="s">
        <v>57</v>
      </c>
    </row>
    <row r="116" spans="1:25">
      <c r="A116" s="136" t="s">
        <v>628</v>
      </c>
      <c r="B116" s="132" t="s">
        <v>2150</v>
      </c>
      <c r="C116" s="132" t="s">
        <v>2042</v>
      </c>
      <c r="D116" s="132" t="s">
        <v>2043</v>
      </c>
      <c r="E116" s="132" t="s">
        <v>1055</v>
      </c>
      <c r="F116" s="132" t="s">
        <v>2151</v>
      </c>
      <c r="G116" s="142">
        <v>3500</v>
      </c>
      <c r="H116" s="142">
        <v>3500</v>
      </c>
      <c r="I116" s="142">
        <v>0</v>
      </c>
      <c r="J116" s="142">
        <v>555750</v>
      </c>
      <c r="K116" s="142">
        <v>-8600.01</v>
      </c>
      <c r="L116" s="137" t="s">
        <v>57</v>
      </c>
      <c r="N116" t="s">
        <v>628</v>
      </c>
      <c r="O116" t="s">
        <v>2150</v>
      </c>
      <c r="P116" t="s">
        <v>2042</v>
      </c>
      <c r="Q116" t="s">
        <v>2043</v>
      </c>
      <c r="R116" t="s">
        <v>1055</v>
      </c>
      <c r="S116" t="s">
        <v>2151</v>
      </c>
      <c r="T116">
        <v>3500</v>
      </c>
      <c r="U116">
        <v>3500</v>
      </c>
      <c r="V116">
        <v>0</v>
      </c>
      <c r="W116">
        <v>555750</v>
      </c>
      <c r="X116">
        <v>-8600.01</v>
      </c>
      <c r="Y116" t="s">
        <v>57</v>
      </c>
    </row>
    <row r="117" spans="1:25">
      <c r="A117" s="136" t="s">
        <v>628</v>
      </c>
      <c r="B117" s="132" t="s">
        <v>2150</v>
      </c>
      <c r="C117" s="132" t="s">
        <v>2042</v>
      </c>
      <c r="D117" s="132" t="s">
        <v>2043</v>
      </c>
      <c r="E117" s="132" t="s">
        <v>1058</v>
      </c>
      <c r="F117" s="132" t="s">
        <v>2152</v>
      </c>
      <c r="G117" s="142">
        <v>23000</v>
      </c>
      <c r="H117" s="142">
        <v>23000</v>
      </c>
      <c r="I117" s="142">
        <v>0</v>
      </c>
      <c r="J117" s="142">
        <v>578750</v>
      </c>
      <c r="K117" s="142">
        <v>-8600.01</v>
      </c>
      <c r="L117" s="137" t="s">
        <v>57</v>
      </c>
      <c r="N117" t="s">
        <v>628</v>
      </c>
      <c r="O117" t="s">
        <v>2150</v>
      </c>
      <c r="P117" t="s">
        <v>2042</v>
      </c>
      <c r="Q117" t="s">
        <v>2043</v>
      </c>
      <c r="R117" t="s">
        <v>1058</v>
      </c>
      <c r="S117" t="s">
        <v>2152</v>
      </c>
      <c r="T117">
        <v>23000</v>
      </c>
      <c r="U117">
        <v>23000</v>
      </c>
      <c r="V117">
        <v>0</v>
      </c>
      <c r="W117">
        <v>578750</v>
      </c>
      <c r="X117">
        <v>-8600.01</v>
      </c>
      <c r="Y117" t="s">
        <v>57</v>
      </c>
    </row>
    <row r="118" spans="1:25">
      <c r="A118" s="136" t="s">
        <v>628</v>
      </c>
      <c r="B118" s="132" t="s">
        <v>2150</v>
      </c>
      <c r="C118" s="132" t="s">
        <v>2042</v>
      </c>
      <c r="D118" s="132" t="s">
        <v>2043</v>
      </c>
      <c r="E118" s="132" t="s">
        <v>1059</v>
      </c>
      <c r="F118" s="132" t="s">
        <v>2153</v>
      </c>
      <c r="G118" s="142">
        <v>3500</v>
      </c>
      <c r="H118" s="142">
        <v>3500</v>
      </c>
      <c r="I118" s="142">
        <v>0</v>
      </c>
      <c r="J118" s="142">
        <v>582250</v>
      </c>
      <c r="K118" s="142">
        <v>-8600.01</v>
      </c>
      <c r="L118" s="137" t="s">
        <v>57</v>
      </c>
      <c r="N118" t="s">
        <v>628</v>
      </c>
      <c r="O118" t="s">
        <v>2150</v>
      </c>
      <c r="P118" t="s">
        <v>2042</v>
      </c>
      <c r="Q118" t="s">
        <v>2043</v>
      </c>
      <c r="R118" t="s">
        <v>1059</v>
      </c>
      <c r="S118" t="s">
        <v>2153</v>
      </c>
      <c r="T118">
        <v>3500</v>
      </c>
      <c r="U118">
        <v>3500</v>
      </c>
      <c r="V118">
        <v>0</v>
      </c>
      <c r="W118">
        <v>582250</v>
      </c>
      <c r="X118">
        <v>-8600.01</v>
      </c>
      <c r="Y118" t="s">
        <v>57</v>
      </c>
    </row>
    <row r="119" spans="1:25">
      <c r="A119" s="136" t="s">
        <v>628</v>
      </c>
      <c r="B119" s="132" t="s">
        <v>2073</v>
      </c>
      <c r="C119" s="132" t="s">
        <v>2046</v>
      </c>
      <c r="D119" s="132" t="s">
        <v>2047</v>
      </c>
      <c r="E119" s="132" t="s">
        <v>2074</v>
      </c>
      <c r="F119" s="132" t="s">
        <v>2075</v>
      </c>
      <c r="G119" s="142">
        <v>113720</v>
      </c>
      <c r="H119" s="142">
        <v>0</v>
      </c>
      <c r="I119" s="142">
        <v>113720</v>
      </c>
      <c r="J119" s="142">
        <v>582250</v>
      </c>
      <c r="K119" s="142">
        <v>105119.99</v>
      </c>
      <c r="L119" s="137" t="s">
        <v>2050</v>
      </c>
      <c r="N119" t="s">
        <v>628</v>
      </c>
      <c r="O119" t="s">
        <v>2073</v>
      </c>
      <c r="P119" t="s">
        <v>2046</v>
      </c>
      <c r="Q119" t="s">
        <v>2047</v>
      </c>
      <c r="R119" t="s">
        <v>2074</v>
      </c>
      <c r="S119" t="s">
        <v>2075</v>
      </c>
      <c r="T119">
        <v>113720</v>
      </c>
      <c r="U119">
        <v>0</v>
      </c>
      <c r="V119">
        <v>113720</v>
      </c>
      <c r="W119">
        <v>582250</v>
      </c>
      <c r="X119">
        <v>105119.99</v>
      </c>
      <c r="Y119" t="s">
        <v>2050</v>
      </c>
    </row>
    <row r="120" spans="1:25">
      <c r="A120" s="136" t="s">
        <v>628</v>
      </c>
      <c r="B120" s="132" t="s">
        <v>2073</v>
      </c>
      <c r="C120" s="132" t="s">
        <v>2042</v>
      </c>
      <c r="D120" s="132" t="s">
        <v>2094</v>
      </c>
      <c r="E120" s="132" t="s">
        <v>1634</v>
      </c>
      <c r="F120" s="132" t="s">
        <v>1607</v>
      </c>
      <c r="G120" s="142">
        <v>12000</v>
      </c>
      <c r="H120" s="142">
        <v>12000</v>
      </c>
      <c r="I120" s="142">
        <v>0</v>
      </c>
      <c r="J120" s="142">
        <v>594250</v>
      </c>
      <c r="K120" s="142">
        <v>105119.99</v>
      </c>
      <c r="L120" s="137" t="s">
        <v>61</v>
      </c>
      <c r="N120" t="s">
        <v>628</v>
      </c>
      <c r="O120" t="s">
        <v>2073</v>
      </c>
      <c r="P120" t="s">
        <v>2042</v>
      </c>
      <c r="Q120" t="s">
        <v>2094</v>
      </c>
      <c r="R120" t="s">
        <v>1634</v>
      </c>
      <c r="S120" t="s">
        <v>1607</v>
      </c>
      <c r="T120">
        <v>12000</v>
      </c>
      <c r="U120">
        <v>12000</v>
      </c>
      <c r="V120">
        <v>0</v>
      </c>
      <c r="W120">
        <v>594250</v>
      </c>
      <c r="X120">
        <v>105119.99</v>
      </c>
      <c r="Y120" t="s">
        <v>61</v>
      </c>
    </row>
    <row r="121" spans="1:25">
      <c r="A121" s="136" t="s">
        <v>628</v>
      </c>
      <c r="B121" s="132" t="s">
        <v>2073</v>
      </c>
      <c r="C121" s="132" t="s">
        <v>2042</v>
      </c>
      <c r="D121" s="132" t="s">
        <v>2094</v>
      </c>
      <c r="E121" s="132" t="s">
        <v>1636</v>
      </c>
      <c r="F121" s="132" t="s">
        <v>1614</v>
      </c>
      <c r="G121" s="142">
        <v>2000</v>
      </c>
      <c r="H121" s="142">
        <v>2000</v>
      </c>
      <c r="I121" s="142">
        <v>0</v>
      </c>
      <c r="J121" s="142">
        <v>596250</v>
      </c>
      <c r="K121" s="142">
        <v>105119.99</v>
      </c>
      <c r="L121" s="137" t="s">
        <v>61</v>
      </c>
      <c r="N121" t="s">
        <v>628</v>
      </c>
      <c r="O121" t="s">
        <v>2073</v>
      </c>
      <c r="P121" t="s">
        <v>2042</v>
      </c>
      <c r="Q121" t="s">
        <v>2094</v>
      </c>
      <c r="R121" t="s">
        <v>1636</v>
      </c>
      <c r="S121" t="s">
        <v>1614</v>
      </c>
      <c r="T121">
        <v>2000</v>
      </c>
      <c r="U121">
        <v>2000</v>
      </c>
      <c r="V121">
        <v>0</v>
      </c>
      <c r="W121">
        <v>596250</v>
      </c>
      <c r="X121">
        <v>105119.99</v>
      </c>
      <c r="Y121" t="s">
        <v>61</v>
      </c>
    </row>
    <row r="122" spans="1:25">
      <c r="A122" s="136" t="s">
        <v>628</v>
      </c>
      <c r="B122" s="132" t="s">
        <v>2073</v>
      </c>
      <c r="C122" s="132" t="s">
        <v>2046</v>
      </c>
      <c r="D122" s="132" t="s">
        <v>2052</v>
      </c>
      <c r="E122" s="132" t="s">
        <v>1692</v>
      </c>
      <c r="F122" s="132" t="s">
        <v>1693</v>
      </c>
      <c r="G122" s="142">
        <v>113720</v>
      </c>
      <c r="H122" s="142">
        <v>0</v>
      </c>
      <c r="I122" s="142">
        <v>-113720</v>
      </c>
      <c r="J122" s="142">
        <v>596250</v>
      </c>
      <c r="K122" s="142">
        <v>-8600.01</v>
      </c>
      <c r="L122" s="137" t="s">
        <v>69</v>
      </c>
      <c r="N122" t="s">
        <v>628</v>
      </c>
      <c r="O122" t="s">
        <v>2073</v>
      </c>
      <c r="P122" t="s">
        <v>2046</v>
      </c>
      <c r="Q122" t="s">
        <v>2052</v>
      </c>
      <c r="R122" t="s">
        <v>1692</v>
      </c>
      <c r="S122" t="s">
        <v>1693</v>
      </c>
      <c r="T122">
        <v>113720</v>
      </c>
      <c r="U122">
        <v>0</v>
      </c>
      <c r="V122">
        <v>-113720</v>
      </c>
      <c r="W122">
        <v>596250</v>
      </c>
      <c r="X122">
        <v>-8600.01</v>
      </c>
      <c r="Y122" t="s">
        <v>69</v>
      </c>
    </row>
    <row r="123" spans="1:25">
      <c r="A123" s="136" t="s">
        <v>628</v>
      </c>
      <c r="B123" s="132" t="s">
        <v>2154</v>
      </c>
      <c r="C123" s="132" t="s">
        <v>2042</v>
      </c>
      <c r="D123" s="132" t="s">
        <v>2043</v>
      </c>
      <c r="E123" s="132" t="s">
        <v>1066</v>
      </c>
      <c r="F123" s="132" t="s">
        <v>2089</v>
      </c>
      <c r="G123" s="142">
        <v>12000</v>
      </c>
      <c r="H123" s="142">
        <v>12000</v>
      </c>
      <c r="I123" s="142">
        <v>0</v>
      </c>
      <c r="J123" s="142">
        <v>608250</v>
      </c>
      <c r="K123" s="142">
        <v>-8600.01</v>
      </c>
      <c r="L123" s="137" t="s">
        <v>57</v>
      </c>
      <c r="N123" t="s">
        <v>628</v>
      </c>
      <c r="O123" t="s">
        <v>2154</v>
      </c>
      <c r="P123" t="s">
        <v>2042</v>
      </c>
      <c r="Q123" t="s">
        <v>2043</v>
      </c>
      <c r="R123" t="s">
        <v>1066</v>
      </c>
      <c r="S123" t="s">
        <v>2089</v>
      </c>
      <c r="T123">
        <v>12000</v>
      </c>
      <c r="U123">
        <v>12000</v>
      </c>
      <c r="V123">
        <v>0</v>
      </c>
      <c r="W123">
        <v>608250</v>
      </c>
      <c r="X123">
        <v>-8600.01</v>
      </c>
      <c r="Y123" t="s">
        <v>57</v>
      </c>
    </row>
    <row r="124" spans="1:25">
      <c r="A124" s="136" t="s">
        <v>628</v>
      </c>
      <c r="B124" s="132" t="s">
        <v>2155</v>
      </c>
      <c r="C124" s="132" t="s">
        <v>2042</v>
      </c>
      <c r="D124" s="132" t="s">
        <v>2043</v>
      </c>
      <c r="E124" s="132" t="s">
        <v>1068</v>
      </c>
      <c r="F124" s="132" t="s">
        <v>2132</v>
      </c>
      <c r="G124" s="142">
        <v>2000</v>
      </c>
      <c r="H124" s="142">
        <v>2000</v>
      </c>
      <c r="I124" s="142">
        <v>0</v>
      </c>
      <c r="J124" s="142">
        <v>610250</v>
      </c>
      <c r="K124" s="142">
        <v>-8600.01</v>
      </c>
      <c r="L124" s="137" t="s">
        <v>57</v>
      </c>
      <c r="N124" t="s">
        <v>628</v>
      </c>
      <c r="O124" t="s">
        <v>2155</v>
      </c>
      <c r="P124" t="s">
        <v>2042</v>
      </c>
      <c r="Q124" t="s">
        <v>2043</v>
      </c>
      <c r="R124" t="s">
        <v>1068</v>
      </c>
      <c r="S124" t="s">
        <v>2132</v>
      </c>
      <c r="T124">
        <v>2000</v>
      </c>
      <c r="U124">
        <v>2000</v>
      </c>
      <c r="V124">
        <v>0</v>
      </c>
      <c r="W124">
        <v>610250</v>
      </c>
      <c r="X124">
        <v>-8600.01</v>
      </c>
      <c r="Y124" t="s">
        <v>57</v>
      </c>
    </row>
    <row r="125" spans="1:25">
      <c r="A125" s="136" t="s">
        <v>628</v>
      </c>
      <c r="B125" s="132" t="s">
        <v>2155</v>
      </c>
      <c r="C125" s="132" t="s">
        <v>2042</v>
      </c>
      <c r="D125" s="132" t="s">
        <v>2043</v>
      </c>
      <c r="E125" s="132" t="s">
        <v>1069</v>
      </c>
      <c r="F125" s="132" t="s">
        <v>2120</v>
      </c>
      <c r="G125" s="142">
        <v>2500</v>
      </c>
      <c r="H125" s="142">
        <v>2500</v>
      </c>
      <c r="I125" s="142">
        <v>0</v>
      </c>
      <c r="J125" s="142">
        <v>612750</v>
      </c>
      <c r="K125" s="142">
        <v>-8600.01</v>
      </c>
      <c r="L125" s="137" t="s">
        <v>57</v>
      </c>
      <c r="N125" t="s">
        <v>628</v>
      </c>
      <c r="O125" t="s">
        <v>2155</v>
      </c>
      <c r="P125" t="s">
        <v>2042</v>
      </c>
      <c r="Q125" t="s">
        <v>2043</v>
      </c>
      <c r="R125" t="s">
        <v>1069</v>
      </c>
      <c r="S125" t="s">
        <v>2120</v>
      </c>
      <c r="T125">
        <v>2500</v>
      </c>
      <c r="U125">
        <v>2500</v>
      </c>
      <c r="V125">
        <v>0</v>
      </c>
      <c r="W125">
        <v>612750</v>
      </c>
      <c r="X125">
        <v>-8600.01</v>
      </c>
      <c r="Y125" t="s">
        <v>57</v>
      </c>
    </row>
    <row r="126" spans="1:25">
      <c r="A126" s="136" t="s">
        <v>628</v>
      </c>
      <c r="B126" s="132" t="s">
        <v>2155</v>
      </c>
      <c r="C126" s="132" t="s">
        <v>2042</v>
      </c>
      <c r="D126" s="132" t="s">
        <v>2043</v>
      </c>
      <c r="E126" s="132" t="s">
        <v>1070</v>
      </c>
      <c r="F126" s="132" t="s">
        <v>2121</v>
      </c>
      <c r="G126" s="142">
        <v>3000</v>
      </c>
      <c r="H126" s="142">
        <v>3000</v>
      </c>
      <c r="I126" s="142">
        <v>0</v>
      </c>
      <c r="J126" s="142">
        <v>615750</v>
      </c>
      <c r="K126" s="142">
        <v>-8600.01</v>
      </c>
      <c r="L126" s="137" t="s">
        <v>57</v>
      </c>
      <c r="N126" t="s">
        <v>628</v>
      </c>
      <c r="O126" t="s">
        <v>2155</v>
      </c>
      <c r="P126" t="s">
        <v>2042</v>
      </c>
      <c r="Q126" t="s">
        <v>2043</v>
      </c>
      <c r="R126" t="s">
        <v>1070</v>
      </c>
      <c r="S126" t="s">
        <v>2121</v>
      </c>
      <c r="T126">
        <v>3000</v>
      </c>
      <c r="U126">
        <v>3000</v>
      </c>
      <c r="V126">
        <v>0</v>
      </c>
      <c r="W126">
        <v>615750</v>
      </c>
      <c r="X126">
        <v>-8600.01</v>
      </c>
      <c r="Y126" t="s">
        <v>57</v>
      </c>
    </row>
    <row r="127" spans="1:25">
      <c r="A127" s="136" t="s">
        <v>628</v>
      </c>
      <c r="B127" s="132" t="s">
        <v>2155</v>
      </c>
      <c r="C127" s="132" t="s">
        <v>2042</v>
      </c>
      <c r="D127" s="132" t="s">
        <v>2043</v>
      </c>
      <c r="E127" s="132" t="s">
        <v>1071</v>
      </c>
      <c r="F127" s="132" t="s">
        <v>2139</v>
      </c>
      <c r="G127" s="142">
        <v>4000</v>
      </c>
      <c r="H127" s="142">
        <v>4000</v>
      </c>
      <c r="I127" s="142">
        <v>0</v>
      </c>
      <c r="J127" s="142">
        <v>619750</v>
      </c>
      <c r="K127" s="142">
        <v>-8600.01</v>
      </c>
      <c r="L127" s="137" t="s">
        <v>57</v>
      </c>
      <c r="N127" t="s">
        <v>628</v>
      </c>
      <c r="O127" t="s">
        <v>2155</v>
      </c>
      <c r="P127" t="s">
        <v>2042</v>
      </c>
      <c r="Q127" t="s">
        <v>2043</v>
      </c>
      <c r="R127" t="s">
        <v>1071</v>
      </c>
      <c r="S127" t="s">
        <v>2139</v>
      </c>
      <c r="T127">
        <v>4000</v>
      </c>
      <c r="U127">
        <v>4000</v>
      </c>
      <c r="V127">
        <v>0</v>
      </c>
      <c r="W127">
        <v>619750</v>
      </c>
      <c r="X127">
        <v>-8600.01</v>
      </c>
      <c r="Y127" t="s">
        <v>57</v>
      </c>
    </row>
    <row r="128" spans="1:25">
      <c r="A128" s="136" t="s">
        <v>628</v>
      </c>
      <c r="B128" s="132" t="s">
        <v>2155</v>
      </c>
      <c r="C128" s="132" t="s">
        <v>2042</v>
      </c>
      <c r="D128" s="132" t="s">
        <v>2043</v>
      </c>
      <c r="E128" s="132" t="s">
        <v>1072</v>
      </c>
      <c r="F128" s="132" t="s">
        <v>2156</v>
      </c>
      <c r="G128" s="142">
        <v>4000</v>
      </c>
      <c r="H128" s="142">
        <v>4000</v>
      </c>
      <c r="I128" s="142">
        <v>0</v>
      </c>
      <c r="J128" s="142">
        <v>623750</v>
      </c>
      <c r="K128" s="142">
        <v>-8600.01</v>
      </c>
      <c r="L128" s="137" t="s">
        <v>57</v>
      </c>
      <c r="N128" t="s">
        <v>628</v>
      </c>
      <c r="O128" t="s">
        <v>2155</v>
      </c>
      <c r="P128" t="s">
        <v>2042</v>
      </c>
      <c r="Q128" t="s">
        <v>2043</v>
      </c>
      <c r="R128" t="s">
        <v>1072</v>
      </c>
      <c r="S128" t="s">
        <v>2156</v>
      </c>
      <c r="T128">
        <v>4000</v>
      </c>
      <c r="U128">
        <v>4000</v>
      </c>
      <c r="V128">
        <v>0</v>
      </c>
      <c r="W128">
        <v>623750</v>
      </c>
      <c r="X128">
        <v>-8600.01</v>
      </c>
      <c r="Y128" t="s">
        <v>57</v>
      </c>
    </row>
    <row r="129" spans="1:25">
      <c r="A129" s="136" t="s">
        <v>628</v>
      </c>
      <c r="B129" s="132" t="s">
        <v>2155</v>
      </c>
      <c r="C129" s="132" t="s">
        <v>2042</v>
      </c>
      <c r="D129" s="132" t="s">
        <v>2043</v>
      </c>
      <c r="E129" s="132" t="s">
        <v>1073</v>
      </c>
      <c r="F129" s="132" t="s">
        <v>2126</v>
      </c>
      <c r="G129" s="142">
        <v>2000</v>
      </c>
      <c r="H129" s="142">
        <v>2000</v>
      </c>
      <c r="I129" s="142">
        <v>0</v>
      </c>
      <c r="J129" s="142">
        <v>625750</v>
      </c>
      <c r="K129" s="142">
        <v>-8600.01</v>
      </c>
      <c r="L129" s="137" t="s">
        <v>57</v>
      </c>
      <c r="N129" t="s">
        <v>628</v>
      </c>
      <c r="O129" t="s">
        <v>2155</v>
      </c>
      <c r="P129" t="s">
        <v>2042</v>
      </c>
      <c r="Q129" t="s">
        <v>2043</v>
      </c>
      <c r="R129" t="s">
        <v>1073</v>
      </c>
      <c r="S129" t="s">
        <v>2126</v>
      </c>
      <c r="T129">
        <v>2000</v>
      </c>
      <c r="U129">
        <v>2000</v>
      </c>
      <c r="V129">
        <v>0</v>
      </c>
      <c r="W129">
        <v>625750</v>
      </c>
      <c r="X129">
        <v>-8600.01</v>
      </c>
      <c r="Y129" t="s">
        <v>57</v>
      </c>
    </row>
    <row r="130" spans="1:25">
      <c r="A130" s="136" t="s">
        <v>628</v>
      </c>
      <c r="B130" s="132" t="s">
        <v>2155</v>
      </c>
      <c r="C130" s="132" t="s">
        <v>2042</v>
      </c>
      <c r="D130" s="132" t="s">
        <v>2043</v>
      </c>
      <c r="E130" s="132" t="s">
        <v>1074</v>
      </c>
      <c r="F130" s="132" t="s">
        <v>2133</v>
      </c>
      <c r="G130" s="142">
        <v>4000</v>
      </c>
      <c r="H130" s="142">
        <v>4000</v>
      </c>
      <c r="I130" s="142">
        <v>0</v>
      </c>
      <c r="J130" s="142">
        <v>629750</v>
      </c>
      <c r="K130" s="142">
        <v>-8600.01</v>
      </c>
      <c r="L130" s="137" t="s">
        <v>57</v>
      </c>
      <c r="N130" t="s">
        <v>628</v>
      </c>
      <c r="O130" t="s">
        <v>2155</v>
      </c>
      <c r="P130" t="s">
        <v>2042</v>
      </c>
      <c r="Q130" t="s">
        <v>2043</v>
      </c>
      <c r="R130" t="s">
        <v>1074</v>
      </c>
      <c r="S130" t="s">
        <v>2133</v>
      </c>
      <c r="T130">
        <v>4000</v>
      </c>
      <c r="U130">
        <v>4000</v>
      </c>
      <c r="V130">
        <v>0</v>
      </c>
      <c r="W130">
        <v>629750</v>
      </c>
      <c r="X130">
        <v>-8600.01</v>
      </c>
      <c r="Y130" t="s">
        <v>57</v>
      </c>
    </row>
    <row r="131" spans="1:25">
      <c r="A131" s="136" t="s">
        <v>628</v>
      </c>
      <c r="B131" s="132" t="s">
        <v>2155</v>
      </c>
      <c r="C131" s="132" t="s">
        <v>2042</v>
      </c>
      <c r="D131" s="132" t="s">
        <v>2043</v>
      </c>
      <c r="E131" s="132" t="s">
        <v>1075</v>
      </c>
      <c r="F131" s="132" t="s">
        <v>2108</v>
      </c>
      <c r="G131" s="142">
        <v>3000</v>
      </c>
      <c r="H131" s="142">
        <v>3000</v>
      </c>
      <c r="I131" s="142">
        <v>0</v>
      </c>
      <c r="J131" s="142">
        <v>632750</v>
      </c>
      <c r="K131" s="142">
        <v>-8600.01</v>
      </c>
      <c r="L131" s="137" t="s">
        <v>57</v>
      </c>
      <c r="N131" t="s">
        <v>628</v>
      </c>
      <c r="O131" t="s">
        <v>2155</v>
      </c>
      <c r="P131" t="s">
        <v>2042</v>
      </c>
      <c r="Q131" t="s">
        <v>2043</v>
      </c>
      <c r="R131" t="s">
        <v>1075</v>
      </c>
      <c r="S131" t="s">
        <v>2108</v>
      </c>
      <c r="T131">
        <v>3000</v>
      </c>
      <c r="U131">
        <v>3000</v>
      </c>
      <c r="V131">
        <v>0</v>
      </c>
      <c r="W131">
        <v>632750</v>
      </c>
      <c r="X131">
        <v>-8600.01</v>
      </c>
      <c r="Y131" t="s">
        <v>57</v>
      </c>
    </row>
    <row r="132" spans="1:25">
      <c r="A132" s="136" t="s">
        <v>628</v>
      </c>
      <c r="B132" s="132" t="s">
        <v>2155</v>
      </c>
      <c r="C132" s="132" t="s">
        <v>2042</v>
      </c>
      <c r="D132" s="132" t="s">
        <v>2043</v>
      </c>
      <c r="E132" s="132" t="s">
        <v>1076</v>
      </c>
      <c r="F132" s="132" t="s">
        <v>2157</v>
      </c>
      <c r="G132" s="142">
        <v>5000</v>
      </c>
      <c r="H132" s="142">
        <v>5000</v>
      </c>
      <c r="I132" s="142">
        <v>0</v>
      </c>
      <c r="J132" s="142">
        <v>637750</v>
      </c>
      <c r="K132" s="142">
        <v>-8600.01</v>
      </c>
      <c r="L132" s="137" t="s">
        <v>57</v>
      </c>
      <c r="N132" t="s">
        <v>628</v>
      </c>
      <c r="O132" t="s">
        <v>2155</v>
      </c>
      <c r="P132" t="s">
        <v>2042</v>
      </c>
      <c r="Q132" t="s">
        <v>2043</v>
      </c>
      <c r="R132" t="s">
        <v>1076</v>
      </c>
      <c r="S132" t="s">
        <v>2157</v>
      </c>
      <c r="T132">
        <v>5000</v>
      </c>
      <c r="U132">
        <v>5000</v>
      </c>
      <c r="V132">
        <v>0</v>
      </c>
      <c r="W132">
        <v>637750</v>
      </c>
      <c r="X132">
        <v>-8600.01</v>
      </c>
      <c r="Y132" t="s">
        <v>57</v>
      </c>
    </row>
    <row r="133" spans="1:25">
      <c r="A133" s="136" t="s">
        <v>628</v>
      </c>
      <c r="B133" s="132" t="s">
        <v>2158</v>
      </c>
      <c r="C133" s="132" t="s">
        <v>2042</v>
      </c>
      <c r="D133" s="132" t="s">
        <v>2043</v>
      </c>
      <c r="E133" s="132" t="s">
        <v>1079</v>
      </c>
      <c r="F133" s="132" t="s">
        <v>2132</v>
      </c>
      <c r="G133" s="142">
        <v>2000</v>
      </c>
      <c r="H133" s="142">
        <v>2000</v>
      </c>
      <c r="I133" s="142">
        <v>0</v>
      </c>
      <c r="J133" s="142">
        <v>639750</v>
      </c>
      <c r="K133" s="142">
        <v>-8600.01</v>
      </c>
      <c r="L133" s="137" t="s">
        <v>57</v>
      </c>
      <c r="N133" t="s">
        <v>628</v>
      </c>
      <c r="O133" t="s">
        <v>2158</v>
      </c>
      <c r="P133" t="s">
        <v>2042</v>
      </c>
      <c r="Q133" t="s">
        <v>2043</v>
      </c>
      <c r="R133" t="s">
        <v>1079</v>
      </c>
      <c r="S133" t="s">
        <v>2132</v>
      </c>
      <c r="T133">
        <v>2000</v>
      </c>
      <c r="U133">
        <v>2000</v>
      </c>
      <c r="V133">
        <v>0</v>
      </c>
      <c r="W133">
        <v>639750</v>
      </c>
      <c r="X133">
        <v>-8600.01</v>
      </c>
      <c r="Y133" t="s">
        <v>57</v>
      </c>
    </row>
    <row r="134" spans="1:25">
      <c r="A134" s="136" t="s">
        <v>628</v>
      </c>
      <c r="B134" s="132" t="s">
        <v>2158</v>
      </c>
      <c r="C134" s="132" t="s">
        <v>2042</v>
      </c>
      <c r="D134" s="132" t="s">
        <v>2043</v>
      </c>
      <c r="E134" s="132" t="s">
        <v>1080</v>
      </c>
      <c r="F134" s="132" t="s">
        <v>2120</v>
      </c>
      <c r="G134" s="142">
        <v>2500</v>
      </c>
      <c r="H134" s="142">
        <v>2500</v>
      </c>
      <c r="I134" s="142">
        <v>0</v>
      </c>
      <c r="J134" s="142">
        <v>642250</v>
      </c>
      <c r="K134" s="142">
        <v>-8600.01</v>
      </c>
      <c r="L134" s="137" t="s">
        <v>57</v>
      </c>
      <c r="N134" t="s">
        <v>628</v>
      </c>
      <c r="O134" t="s">
        <v>2158</v>
      </c>
      <c r="P134" t="s">
        <v>2042</v>
      </c>
      <c r="Q134" t="s">
        <v>2043</v>
      </c>
      <c r="R134" t="s">
        <v>1080</v>
      </c>
      <c r="S134" t="s">
        <v>2120</v>
      </c>
      <c r="T134">
        <v>2500</v>
      </c>
      <c r="U134">
        <v>2500</v>
      </c>
      <c r="V134">
        <v>0</v>
      </c>
      <c r="W134">
        <v>642250</v>
      </c>
      <c r="X134">
        <v>-8600.01</v>
      </c>
      <c r="Y134" t="s">
        <v>57</v>
      </c>
    </row>
    <row r="135" spans="1:25">
      <c r="A135" s="136" t="s">
        <v>628</v>
      </c>
      <c r="B135" s="132" t="s">
        <v>2158</v>
      </c>
      <c r="C135" s="132" t="s">
        <v>2042</v>
      </c>
      <c r="D135" s="132" t="s">
        <v>2043</v>
      </c>
      <c r="E135" s="132" t="s">
        <v>1081</v>
      </c>
      <c r="F135" s="132" t="s">
        <v>2121</v>
      </c>
      <c r="G135" s="142">
        <v>3000</v>
      </c>
      <c r="H135" s="142">
        <v>3000</v>
      </c>
      <c r="I135" s="142">
        <v>0</v>
      </c>
      <c r="J135" s="142">
        <v>645250</v>
      </c>
      <c r="K135" s="142">
        <v>-8600.01</v>
      </c>
      <c r="L135" s="137" t="s">
        <v>57</v>
      </c>
      <c r="N135" t="s">
        <v>628</v>
      </c>
      <c r="O135" t="s">
        <v>2158</v>
      </c>
      <c r="P135" t="s">
        <v>2042</v>
      </c>
      <c r="Q135" t="s">
        <v>2043</v>
      </c>
      <c r="R135" t="s">
        <v>1081</v>
      </c>
      <c r="S135" t="s">
        <v>2121</v>
      </c>
      <c r="T135">
        <v>3000</v>
      </c>
      <c r="U135">
        <v>3000</v>
      </c>
      <c r="V135">
        <v>0</v>
      </c>
      <c r="W135">
        <v>645250</v>
      </c>
      <c r="X135">
        <v>-8600.01</v>
      </c>
      <c r="Y135" t="s">
        <v>57</v>
      </c>
    </row>
    <row r="136" spans="1:25">
      <c r="A136" s="136" t="s">
        <v>628</v>
      </c>
      <c r="B136" s="132" t="s">
        <v>2158</v>
      </c>
      <c r="C136" s="132" t="s">
        <v>2042</v>
      </c>
      <c r="D136" s="132" t="s">
        <v>2043</v>
      </c>
      <c r="E136" s="132" t="s">
        <v>1082</v>
      </c>
      <c r="F136" s="132" t="s">
        <v>2139</v>
      </c>
      <c r="G136" s="142">
        <v>4000</v>
      </c>
      <c r="H136" s="142">
        <v>4000</v>
      </c>
      <c r="I136" s="142">
        <v>0</v>
      </c>
      <c r="J136" s="142">
        <v>649250</v>
      </c>
      <c r="K136" s="142">
        <v>-8600.01</v>
      </c>
      <c r="L136" s="137" t="s">
        <v>57</v>
      </c>
      <c r="N136" t="s">
        <v>628</v>
      </c>
      <c r="O136" t="s">
        <v>2158</v>
      </c>
      <c r="P136" t="s">
        <v>2042</v>
      </c>
      <c r="Q136" t="s">
        <v>2043</v>
      </c>
      <c r="R136" t="s">
        <v>1082</v>
      </c>
      <c r="S136" t="s">
        <v>2139</v>
      </c>
      <c r="T136">
        <v>4000</v>
      </c>
      <c r="U136">
        <v>4000</v>
      </c>
      <c r="V136">
        <v>0</v>
      </c>
      <c r="W136">
        <v>649250</v>
      </c>
      <c r="X136">
        <v>-8600.01</v>
      </c>
      <c r="Y136" t="s">
        <v>57</v>
      </c>
    </row>
    <row r="137" spans="1:25">
      <c r="A137" s="136" t="s">
        <v>628</v>
      </c>
      <c r="B137" s="132" t="s">
        <v>2158</v>
      </c>
      <c r="C137" s="132" t="s">
        <v>2042</v>
      </c>
      <c r="D137" s="132" t="s">
        <v>2043</v>
      </c>
      <c r="E137" s="132" t="s">
        <v>1083</v>
      </c>
      <c r="F137" s="132" t="s">
        <v>2156</v>
      </c>
      <c r="G137" s="142">
        <v>4000</v>
      </c>
      <c r="H137" s="142">
        <v>4000</v>
      </c>
      <c r="I137" s="142">
        <v>0</v>
      </c>
      <c r="J137" s="142">
        <v>653250</v>
      </c>
      <c r="K137" s="142">
        <v>-8600.01</v>
      </c>
      <c r="L137" s="137" t="s">
        <v>57</v>
      </c>
      <c r="N137" t="s">
        <v>628</v>
      </c>
      <c r="O137" t="s">
        <v>2158</v>
      </c>
      <c r="P137" t="s">
        <v>2042</v>
      </c>
      <c r="Q137" t="s">
        <v>2043</v>
      </c>
      <c r="R137" t="s">
        <v>1083</v>
      </c>
      <c r="S137" t="s">
        <v>2156</v>
      </c>
      <c r="T137">
        <v>4000</v>
      </c>
      <c r="U137">
        <v>4000</v>
      </c>
      <c r="V137">
        <v>0</v>
      </c>
      <c r="W137">
        <v>653250</v>
      </c>
      <c r="X137">
        <v>-8600.01</v>
      </c>
      <c r="Y137" t="s">
        <v>57</v>
      </c>
    </row>
    <row r="138" spans="1:25">
      <c r="A138" s="136" t="s">
        <v>628</v>
      </c>
      <c r="B138" s="132" t="s">
        <v>2158</v>
      </c>
      <c r="C138" s="132" t="s">
        <v>2042</v>
      </c>
      <c r="D138" s="132" t="s">
        <v>2043</v>
      </c>
      <c r="E138" s="132" t="s">
        <v>1084</v>
      </c>
      <c r="F138" s="132" t="s">
        <v>2126</v>
      </c>
      <c r="G138" s="142">
        <v>2000</v>
      </c>
      <c r="H138" s="142">
        <v>2000</v>
      </c>
      <c r="I138" s="142">
        <v>0</v>
      </c>
      <c r="J138" s="142">
        <v>655250</v>
      </c>
      <c r="K138" s="142">
        <v>-8600.01</v>
      </c>
      <c r="L138" s="137" t="s">
        <v>57</v>
      </c>
      <c r="N138" t="s">
        <v>628</v>
      </c>
      <c r="O138" t="s">
        <v>2158</v>
      </c>
      <c r="P138" t="s">
        <v>2042</v>
      </c>
      <c r="Q138" t="s">
        <v>2043</v>
      </c>
      <c r="R138" t="s">
        <v>1084</v>
      </c>
      <c r="S138" t="s">
        <v>2126</v>
      </c>
      <c r="T138">
        <v>2000</v>
      </c>
      <c r="U138">
        <v>2000</v>
      </c>
      <c r="V138">
        <v>0</v>
      </c>
      <c r="W138">
        <v>655250</v>
      </c>
      <c r="X138">
        <v>-8600.01</v>
      </c>
      <c r="Y138" t="s">
        <v>57</v>
      </c>
    </row>
    <row r="139" spans="1:25">
      <c r="A139" s="136" t="s">
        <v>628</v>
      </c>
      <c r="B139" s="132" t="s">
        <v>2158</v>
      </c>
      <c r="C139" s="132" t="s">
        <v>2042</v>
      </c>
      <c r="D139" s="132" t="s">
        <v>2043</v>
      </c>
      <c r="E139" s="132" t="s">
        <v>1085</v>
      </c>
      <c r="F139" s="132" t="s">
        <v>2133</v>
      </c>
      <c r="G139" s="142">
        <v>4000</v>
      </c>
      <c r="H139" s="142">
        <v>4000</v>
      </c>
      <c r="I139" s="142">
        <v>0</v>
      </c>
      <c r="J139" s="142">
        <v>659250</v>
      </c>
      <c r="K139" s="142">
        <v>-8600.01</v>
      </c>
      <c r="L139" s="137" t="s">
        <v>57</v>
      </c>
      <c r="N139" t="s">
        <v>628</v>
      </c>
      <c r="O139" t="s">
        <v>2158</v>
      </c>
      <c r="P139" t="s">
        <v>2042</v>
      </c>
      <c r="Q139" t="s">
        <v>2043</v>
      </c>
      <c r="R139" t="s">
        <v>1085</v>
      </c>
      <c r="S139" t="s">
        <v>2133</v>
      </c>
      <c r="T139">
        <v>4000</v>
      </c>
      <c r="U139">
        <v>4000</v>
      </c>
      <c r="V139">
        <v>0</v>
      </c>
      <c r="W139">
        <v>659250</v>
      </c>
      <c r="X139">
        <v>-8600.01</v>
      </c>
      <c r="Y139" t="s">
        <v>57</v>
      </c>
    </row>
    <row r="140" spans="1:25">
      <c r="A140" s="136" t="s">
        <v>628</v>
      </c>
      <c r="B140" s="132" t="s">
        <v>2158</v>
      </c>
      <c r="C140" s="132" t="s">
        <v>2042</v>
      </c>
      <c r="D140" s="132" t="s">
        <v>2043</v>
      </c>
      <c r="E140" s="132" t="s">
        <v>1086</v>
      </c>
      <c r="F140" s="132" t="s">
        <v>2108</v>
      </c>
      <c r="G140" s="142">
        <v>3000</v>
      </c>
      <c r="H140" s="142">
        <v>3000</v>
      </c>
      <c r="I140" s="142">
        <v>0</v>
      </c>
      <c r="J140" s="142">
        <v>662250</v>
      </c>
      <c r="K140" s="142">
        <v>-8600.01</v>
      </c>
      <c r="L140" s="137" t="s">
        <v>57</v>
      </c>
      <c r="N140" t="s">
        <v>628</v>
      </c>
      <c r="O140" t="s">
        <v>2158</v>
      </c>
      <c r="P140" t="s">
        <v>2042</v>
      </c>
      <c r="Q140" t="s">
        <v>2043</v>
      </c>
      <c r="R140" t="s">
        <v>1086</v>
      </c>
      <c r="S140" t="s">
        <v>2108</v>
      </c>
      <c r="T140">
        <v>3000</v>
      </c>
      <c r="U140">
        <v>3000</v>
      </c>
      <c r="V140">
        <v>0</v>
      </c>
      <c r="W140">
        <v>662250</v>
      </c>
      <c r="X140">
        <v>-8600.01</v>
      </c>
      <c r="Y140" t="s">
        <v>57</v>
      </c>
    </row>
    <row r="141" spans="1:25">
      <c r="A141" s="136" t="s">
        <v>628</v>
      </c>
      <c r="B141" s="132" t="s">
        <v>2158</v>
      </c>
      <c r="C141" s="132" t="s">
        <v>2042</v>
      </c>
      <c r="D141" s="132" t="s">
        <v>2043</v>
      </c>
      <c r="E141" s="132" t="s">
        <v>1087</v>
      </c>
      <c r="F141" s="132" t="s">
        <v>2109</v>
      </c>
      <c r="G141" s="142">
        <v>3000</v>
      </c>
      <c r="H141" s="142">
        <v>3000</v>
      </c>
      <c r="I141" s="142">
        <v>0</v>
      </c>
      <c r="J141" s="142">
        <v>665250</v>
      </c>
      <c r="K141" s="142">
        <v>-8600.01</v>
      </c>
      <c r="L141" s="137" t="s">
        <v>57</v>
      </c>
      <c r="N141" t="s">
        <v>628</v>
      </c>
      <c r="O141" t="s">
        <v>2158</v>
      </c>
      <c r="P141" t="s">
        <v>2042</v>
      </c>
      <c r="Q141" t="s">
        <v>2043</v>
      </c>
      <c r="R141" t="s">
        <v>1087</v>
      </c>
      <c r="S141" t="s">
        <v>2109</v>
      </c>
      <c r="T141">
        <v>3000</v>
      </c>
      <c r="U141">
        <v>3000</v>
      </c>
      <c r="V141">
        <v>0</v>
      </c>
      <c r="W141">
        <v>665250</v>
      </c>
      <c r="X141">
        <v>-8600.01</v>
      </c>
      <c r="Y141" t="s">
        <v>57</v>
      </c>
    </row>
    <row r="142" spans="1:25">
      <c r="A142" s="136" t="s">
        <v>628</v>
      </c>
      <c r="B142" s="132" t="s">
        <v>2158</v>
      </c>
      <c r="C142" s="132" t="s">
        <v>2042</v>
      </c>
      <c r="D142" s="132" t="s">
        <v>2043</v>
      </c>
      <c r="E142" s="132" t="s">
        <v>1088</v>
      </c>
      <c r="F142" s="132" t="s">
        <v>2157</v>
      </c>
      <c r="G142" s="142">
        <v>5000</v>
      </c>
      <c r="H142" s="142">
        <v>5000</v>
      </c>
      <c r="I142" s="142">
        <v>0</v>
      </c>
      <c r="J142" s="142">
        <v>670250</v>
      </c>
      <c r="K142" s="142">
        <v>-8600.01</v>
      </c>
      <c r="L142" s="137" t="s">
        <v>57</v>
      </c>
      <c r="N142" t="s">
        <v>628</v>
      </c>
      <c r="O142" t="s">
        <v>2158</v>
      </c>
      <c r="P142" t="s">
        <v>2042</v>
      </c>
      <c r="Q142" t="s">
        <v>2043</v>
      </c>
      <c r="R142" t="s">
        <v>1088</v>
      </c>
      <c r="S142" t="s">
        <v>2157</v>
      </c>
      <c r="T142">
        <v>5000</v>
      </c>
      <c r="U142">
        <v>5000</v>
      </c>
      <c r="V142">
        <v>0</v>
      </c>
      <c r="W142">
        <v>670250</v>
      </c>
      <c r="X142">
        <v>-8600.01</v>
      </c>
      <c r="Y142" t="s">
        <v>57</v>
      </c>
    </row>
    <row r="143" spans="1:25">
      <c r="A143" s="136" t="s">
        <v>628</v>
      </c>
      <c r="B143" s="132" t="s">
        <v>2159</v>
      </c>
      <c r="C143" s="132" t="s">
        <v>2042</v>
      </c>
      <c r="D143" s="132" t="s">
        <v>2043</v>
      </c>
      <c r="E143" s="132" t="s">
        <v>1089</v>
      </c>
      <c r="F143" s="132" t="s">
        <v>2088</v>
      </c>
      <c r="G143" s="142">
        <v>3000</v>
      </c>
      <c r="H143" s="142">
        <v>3000</v>
      </c>
      <c r="I143" s="142">
        <v>0</v>
      </c>
      <c r="J143" s="142">
        <v>673250</v>
      </c>
      <c r="K143" s="142">
        <v>-8600.01</v>
      </c>
      <c r="L143" s="137" t="s">
        <v>57</v>
      </c>
      <c r="N143" t="s">
        <v>628</v>
      </c>
      <c r="O143" t="s">
        <v>2159</v>
      </c>
      <c r="P143" t="s">
        <v>2042</v>
      </c>
      <c r="Q143" t="s">
        <v>2043</v>
      </c>
      <c r="R143" t="s">
        <v>1089</v>
      </c>
      <c r="S143" t="s">
        <v>2088</v>
      </c>
      <c r="T143">
        <v>3000</v>
      </c>
      <c r="U143">
        <v>3000</v>
      </c>
      <c r="V143">
        <v>0</v>
      </c>
      <c r="W143">
        <v>673250</v>
      </c>
      <c r="X143">
        <v>-8600.01</v>
      </c>
      <c r="Y143" t="s">
        <v>57</v>
      </c>
    </row>
    <row r="144" spans="1:25">
      <c r="A144" s="136" t="s">
        <v>628</v>
      </c>
      <c r="B144" s="132" t="s">
        <v>2160</v>
      </c>
      <c r="C144" s="132" t="s">
        <v>2042</v>
      </c>
      <c r="D144" s="132" t="s">
        <v>2043</v>
      </c>
      <c r="E144" s="132" t="s">
        <v>1099</v>
      </c>
      <c r="F144" s="132" t="s">
        <v>2151</v>
      </c>
      <c r="G144" s="142">
        <v>3500</v>
      </c>
      <c r="H144" s="142">
        <v>3500</v>
      </c>
      <c r="I144" s="142">
        <v>0</v>
      </c>
      <c r="J144" s="142">
        <v>676750</v>
      </c>
      <c r="K144" s="142">
        <v>-8600.01</v>
      </c>
      <c r="L144" s="137" t="s">
        <v>57</v>
      </c>
      <c r="N144" t="s">
        <v>628</v>
      </c>
      <c r="O144" t="s">
        <v>2160</v>
      </c>
      <c r="P144" t="s">
        <v>2042</v>
      </c>
      <c r="Q144" t="s">
        <v>2043</v>
      </c>
      <c r="R144" t="s">
        <v>1099</v>
      </c>
      <c r="S144" t="s">
        <v>2151</v>
      </c>
      <c r="T144">
        <v>3500</v>
      </c>
      <c r="U144">
        <v>3500</v>
      </c>
      <c r="V144">
        <v>0</v>
      </c>
      <c r="W144">
        <v>676750</v>
      </c>
      <c r="X144">
        <v>-8600.01</v>
      </c>
      <c r="Y144" t="s">
        <v>57</v>
      </c>
    </row>
    <row r="145" spans="1:25">
      <c r="A145" s="136" t="s">
        <v>628</v>
      </c>
      <c r="B145" s="132" t="s">
        <v>2160</v>
      </c>
      <c r="C145" s="132" t="s">
        <v>2042</v>
      </c>
      <c r="D145" s="132" t="s">
        <v>2043</v>
      </c>
      <c r="E145" s="132" t="s">
        <v>1101</v>
      </c>
      <c r="F145" s="132" t="s">
        <v>2153</v>
      </c>
      <c r="G145" s="142">
        <v>3500</v>
      </c>
      <c r="H145" s="142">
        <v>3500</v>
      </c>
      <c r="I145" s="142">
        <v>0</v>
      </c>
      <c r="J145" s="142">
        <v>680250</v>
      </c>
      <c r="K145" s="142">
        <v>-8600.01</v>
      </c>
      <c r="L145" s="137" t="s">
        <v>57</v>
      </c>
      <c r="N145" t="s">
        <v>628</v>
      </c>
      <c r="O145" t="s">
        <v>2160</v>
      </c>
      <c r="P145" t="s">
        <v>2042</v>
      </c>
      <c r="Q145" t="s">
        <v>2043</v>
      </c>
      <c r="R145" t="s">
        <v>1101</v>
      </c>
      <c r="S145" t="s">
        <v>2153</v>
      </c>
      <c r="T145">
        <v>3500</v>
      </c>
      <c r="U145">
        <v>3500</v>
      </c>
      <c r="V145">
        <v>0</v>
      </c>
      <c r="W145">
        <v>680250</v>
      </c>
      <c r="X145">
        <v>-8600.01</v>
      </c>
      <c r="Y145" t="s">
        <v>57</v>
      </c>
    </row>
    <row r="146" spans="1:25">
      <c r="A146" s="136" t="s">
        <v>628</v>
      </c>
      <c r="B146" s="132" t="s">
        <v>2160</v>
      </c>
      <c r="C146" s="132" t="s">
        <v>2042</v>
      </c>
      <c r="D146" s="132" t="s">
        <v>2043</v>
      </c>
      <c r="E146" s="132" t="s">
        <v>1102</v>
      </c>
      <c r="F146" s="132" t="s">
        <v>2157</v>
      </c>
      <c r="G146" s="142">
        <v>5000</v>
      </c>
      <c r="H146" s="142">
        <v>5000</v>
      </c>
      <c r="I146" s="142">
        <v>0</v>
      </c>
      <c r="J146" s="142">
        <v>685250</v>
      </c>
      <c r="K146" s="142">
        <v>-8600.01</v>
      </c>
      <c r="L146" s="137" t="s">
        <v>57</v>
      </c>
      <c r="N146" t="s">
        <v>628</v>
      </c>
      <c r="O146" t="s">
        <v>2160</v>
      </c>
      <c r="P146" t="s">
        <v>2042</v>
      </c>
      <c r="Q146" t="s">
        <v>2043</v>
      </c>
      <c r="R146" t="s">
        <v>1102</v>
      </c>
      <c r="S146" t="s">
        <v>2157</v>
      </c>
      <c r="T146">
        <v>5000</v>
      </c>
      <c r="U146">
        <v>5000</v>
      </c>
      <c r="V146">
        <v>0</v>
      </c>
      <c r="W146">
        <v>685250</v>
      </c>
      <c r="X146">
        <v>-8600.01</v>
      </c>
      <c r="Y146" t="s">
        <v>57</v>
      </c>
    </row>
    <row r="147" spans="1:25">
      <c r="A147" s="136" t="s">
        <v>628</v>
      </c>
      <c r="B147" s="132" t="s">
        <v>2161</v>
      </c>
      <c r="C147" s="132" t="s">
        <v>2042</v>
      </c>
      <c r="D147" s="132" t="s">
        <v>2043</v>
      </c>
      <c r="E147" s="132" t="s">
        <v>1118</v>
      </c>
      <c r="F147" s="132" t="s">
        <v>2157</v>
      </c>
      <c r="G147" s="142">
        <v>5000</v>
      </c>
      <c r="H147" s="142">
        <v>5000</v>
      </c>
      <c r="I147" s="142">
        <v>0</v>
      </c>
      <c r="J147" s="142">
        <v>690250</v>
      </c>
      <c r="K147" s="142">
        <v>-8600.01</v>
      </c>
      <c r="L147" s="137" t="s">
        <v>57</v>
      </c>
      <c r="N147" t="s">
        <v>628</v>
      </c>
      <c r="O147" t="s">
        <v>2161</v>
      </c>
      <c r="P147" t="s">
        <v>2042</v>
      </c>
      <c r="Q147" t="s">
        <v>2043</v>
      </c>
      <c r="R147" t="s">
        <v>1118</v>
      </c>
      <c r="S147" t="s">
        <v>2157</v>
      </c>
      <c r="T147">
        <v>5000</v>
      </c>
      <c r="U147">
        <v>5000</v>
      </c>
      <c r="V147">
        <v>0</v>
      </c>
      <c r="W147">
        <v>690250</v>
      </c>
      <c r="X147">
        <v>-8600.01</v>
      </c>
      <c r="Y147" t="s">
        <v>57</v>
      </c>
    </row>
    <row r="148" spans="1:25">
      <c r="A148" s="136" t="s">
        <v>628</v>
      </c>
      <c r="B148" s="132" t="s">
        <v>2078</v>
      </c>
      <c r="C148" s="132" t="s">
        <v>2046</v>
      </c>
      <c r="D148" s="132" t="s">
        <v>2047</v>
      </c>
      <c r="E148" s="132" t="s">
        <v>2079</v>
      </c>
      <c r="F148" s="132" t="s">
        <v>2080</v>
      </c>
      <c r="G148" s="142">
        <v>58370</v>
      </c>
      <c r="H148" s="142">
        <v>0</v>
      </c>
      <c r="I148" s="142">
        <v>58370</v>
      </c>
      <c r="J148" s="142">
        <v>690250</v>
      </c>
      <c r="K148" s="142">
        <v>49769.99</v>
      </c>
      <c r="L148" s="137" t="s">
        <v>2050</v>
      </c>
      <c r="N148" t="s">
        <v>628</v>
      </c>
      <c r="O148" t="s">
        <v>2078</v>
      </c>
      <c r="P148" t="s">
        <v>2046</v>
      </c>
      <c r="Q148" t="s">
        <v>2047</v>
      </c>
      <c r="R148" t="s">
        <v>2079</v>
      </c>
      <c r="S148" t="s">
        <v>2080</v>
      </c>
      <c r="T148">
        <v>58370</v>
      </c>
      <c r="U148">
        <v>0</v>
      </c>
      <c r="V148">
        <v>58370</v>
      </c>
      <c r="W148">
        <v>690250</v>
      </c>
      <c r="X148">
        <v>49769.99</v>
      </c>
      <c r="Y148" t="s">
        <v>2050</v>
      </c>
    </row>
    <row r="149" spans="1:25">
      <c r="A149" s="136" t="s">
        <v>628</v>
      </c>
      <c r="B149" s="132" t="s">
        <v>2078</v>
      </c>
      <c r="C149" s="132" t="s">
        <v>2042</v>
      </c>
      <c r="D149" s="132" t="s">
        <v>2094</v>
      </c>
      <c r="E149" s="132" t="s">
        <v>1638</v>
      </c>
      <c r="F149" s="132" t="s">
        <v>1607</v>
      </c>
      <c r="G149" s="142">
        <v>12000</v>
      </c>
      <c r="H149" s="142">
        <v>12000</v>
      </c>
      <c r="I149" s="142">
        <v>0</v>
      </c>
      <c r="J149" s="142">
        <v>702250</v>
      </c>
      <c r="K149" s="142">
        <v>49769.99</v>
      </c>
      <c r="L149" s="137" t="s">
        <v>61</v>
      </c>
      <c r="N149" t="s">
        <v>628</v>
      </c>
      <c r="O149" t="s">
        <v>2078</v>
      </c>
      <c r="P149" t="s">
        <v>2042</v>
      </c>
      <c r="Q149" t="s">
        <v>2094</v>
      </c>
      <c r="R149" t="s">
        <v>1638</v>
      </c>
      <c r="S149" t="s">
        <v>1607</v>
      </c>
      <c r="T149">
        <v>12000</v>
      </c>
      <c r="U149">
        <v>12000</v>
      </c>
      <c r="V149">
        <v>0</v>
      </c>
      <c r="W149">
        <v>702250</v>
      </c>
      <c r="X149">
        <v>49769.99</v>
      </c>
      <c r="Y149" t="s">
        <v>61</v>
      </c>
    </row>
    <row r="150" spans="1:25">
      <c r="A150" s="136" t="s">
        <v>628</v>
      </c>
      <c r="B150" s="132" t="s">
        <v>2078</v>
      </c>
      <c r="C150" s="132" t="s">
        <v>2046</v>
      </c>
      <c r="D150" s="132" t="s">
        <v>2052</v>
      </c>
      <c r="E150" s="132" t="s">
        <v>1696</v>
      </c>
      <c r="F150" s="132" t="s">
        <v>1697</v>
      </c>
      <c r="G150" s="142">
        <v>58370</v>
      </c>
      <c r="H150" s="142">
        <v>0</v>
      </c>
      <c r="I150" s="142">
        <v>-58370</v>
      </c>
      <c r="J150" s="142">
        <v>702250</v>
      </c>
      <c r="K150" s="142">
        <v>-8600.01</v>
      </c>
      <c r="L150" s="137" t="s">
        <v>69</v>
      </c>
      <c r="N150" t="s">
        <v>628</v>
      </c>
      <c r="O150" t="s">
        <v>2078</v>
      </c>
      <c r="P150" t="s">
        <v>2046</v>
      </c>
      <c r="Q150" t="s">
        <v>2052</v>
      </c>
      <c r="R150" t="s">
        <v>1696</v>
      </c>
      <c r="S150" t="s">
        <v>1697</v>
      </c>
      <c r="T150">
        <v>58370</v>
      </c>
      <c r="U150">
        <v>0</v>
      </c>
      <c r="V150">
        <v>-58370</v>
      </c>
      <c r="W150">
        <v>702250</v>
      </c>
      <c r="X150">
        <v>-8600.01</v>
      </c>
      <c r="Y150" t="s">
        <v>69</v>
      </c>
    </row>
    <row r="151" spans="1:25">
      <c r="A151" s="136" t="s">
        <v>628</v>
      </c>
      <c r="B151" s="132" t="s">
        <v>2162</v>
      </c>
      <c r="C151" s="132" t="s">
        <v>2042</v>
      </c>
      <c r="D151" s="132" t="s">
        <v>2043</v>
      </c>
      <c r="E151" s="132" t="s">
        <v>1131</v>
      </c>
      <c r="F151" s="132" t="s">
        <v>2157</v>
      </c>
      <c r="G151" s="142">
        <v>5000</v>
      </c>
      <c r="H151" s="142">
        <v>5000</v>
      </c>
      <c r="I151" s="142">
        <v>0</v>
      </c>
      <c r="J151" s="142">
        <v>707250</v>
      </c>
      <c r="K151" s="142">
        <v>-8600.01</v>
      </c>
      <c r="L151" s="137" t="s">
        <v>57</v>
      </c>
      <c r="N151" t="s">
        <v>628</v>
      </c>
      <c r="O151" t="s">
        <v>2162</v>
      </c>
      <c r="P151" t="s">
        <v>2042</v>
      </c>
      <c r="Q151" t="s">
        <v>2043</v>
      </c>
      <c r="R151" t="s">
        <v>1131</v>
      </c>
      <c r="S151" t="s">
        <v>2157</v>
      </c>
      <c r="T151">
        <v>5000</v>
      </c>
      <c r="U151">
        <v>5000</v>
      </c>
      <c r="V151">
        <v>0</v>
      </c>
      <c r="W151">
        <v>707250</v>
      </c>
      <c r="X151">
        <v>-8600.01</v>
      </c>
      <c r="Y151" t="s">
        <v>57</v>
      </c>
    </row>
    <row r="152" spans="1:25">
      <c r="A152" s="136" t="s">
        <v>628</v>
      </c>
      <c r="B152" s="132" t="s">
        <v>2163</v>
      </c>
      <c r="C152" s="132" t="s">
        <v>2042</v>
      </c>
      <c r="D152" s="132" t="s">
        <v>2043</v>
      </c>
      <c r="E152" s="132" t="s">
        <v>1142</v>
      </c>
      <c r="F152" s="132" t="s">
        <v>2124</v>
      </c>
      <c r="G152" s="142">
        <v>3000</v>
      </c>
      <c r="H152" s="142">
        <v>3000</v>
      </c>
      <c r="I152" s="142">
        <v>0</v>
      </c>
      <c r="J152" s="142">
        <v>710250</v>
      </c>
      <c r="K152" s="142">
        <v>-8600.01</v>
      </c>
      <c r="L152" s="137" t="s">
        <v>57</v>
      </c>
      <c r="N152" t="s">
        <v>628</v>
      </c>
      <c r="O152" t="s">
        <v>2163</v>
      </c>
      <c r="P152" t="s">
        <v>2042</v>
      </c>
      <c r="Q152" t="s">
        <v>2043</v>
      </c>
      <c r="R152" t="s">
        <v>1142</v>
      </c>
      <c r="S152" t="s">
        <v>2124</v>
      </c>
      <c r="T152">
        <v>3000</v>
      </c>
      <c r="U152">
        <v>3000</v>
      </c>
      <c r="V152">
        <v>0</v>
      </c>
      <c r="W152">
        <v>710250</v>
      </c>
      <c r="X152">
        <v>-8600.01</v>
      </c>
      <c r="Y152" t="s">
        <v>57</v>
      </c>
    </row>
    <row r="153" spans="1:25">
      <c r="A153" s="136" t="s">
        <v>628</v>
      </c>
      <c r="B153" s="132" t="s">
        <v>2163</v>
      </c>
      <c r="C153" s="132" t="s">
        <v>2042</v>
      </c>
      <c r="D153" s="132" t="s">
        <v>2043</v>
      </c>
      <c r="E153" s="132" t="s">
        <v>1144</v>
      </c>
      <c r="F153" s="132" t="s">
        <v>2164</v>
      </c>
      <c r="G153" s="142">
        <v>9400</v>
      </c>
      <c r="H153" s="142">
        <v>9400</v>
      </c>
      <c r="I153" s="142">
        <v>0</v>
      </c>
      <c r="J153" s="142">
        <v>719650</v>
      </c>
      <c r="K153" s="142">
        <v>-8600.01</v>
      </c>
      <c r="L153" s="137" t="s">
        <v>57</v>
      </c>
      <c r="N153" t="s">
        <v>628</v>
      </c>
      <c r="O153" t="s">
        <v>2163</v>
      </c>
      <c r="P153" t="s">
        <v>2042</v>
      </c>
      <c r="Q153" t="s">
        <v>2043</v>
      </c>
      <c r="R153" t="s">
        <v>1144</v>
      </c>
      <c r="S153" t="s">
        <v>2164</v>
      </c>
      <c r="T153">
        <v>9400</v>
      </c>
      <c r="U153">
        <v>9400</v>
      </c>
      <c r="V153">
        <v>0</v>
      </c>
      <c r="W153">
        <v>719650</v>
      </c>
      <c r="X153">
        <v>-8600.01</v>
      </c>
      <c r="Y153" t="s">
        <v>57</v>
      </c>
    </row>
    <row r="154" spans="1:25">
      <c r="A154" s="136" t="s">
        <v>628</v>
      </c>
      <c r="B154" s="132" t="s">
        <v>2165</v>
      </c>
      <c r="C154" s="132" t="s">
        <v>2042</v>
      </c>
      <c r="D154" s="132" t="s">
        <v>2043</v>
      </c>
      <c r="E154" s="132" t="s">
        <v>1168</v>
      </c>
      <c r="F154" s="132" t="s">
        <v>2088</v>
      </c>
      <c r="G154" s="142">
        <v>3000</v>
      </c>
      <c r="H154" s="142">
        <v>3000</v>
      </c>
      <c r="I154" s="142">
        <v>0</v>
      </c>
      <c r="J154" s="142">
        <v>722650</v>
      </c>
      <c r="K154" s="142">
        <v>-8600.01</v>
      </c>
      <c r="L154" s="137" t="s">
        <v>57</v>
      </c>
      <c r="N154" t="s">
        <v>628</v>
      </c>
      <c r="O154" t="s">
        <v>2165</v>
      </c>
      <c r="P154" t="s">
        <v>2042</v>
      </c>
      <c r="Q154" t="s">
        <v>2043</v>
      </c>
      <c r="R154" t="s">
        <v>1168</v>
      </c>
      <c r="S154" t="s">
        <v>2088</v>
      </c>
      <c r="T154">
        <v>3000</v>
      </c>
      <c r="U154">
        <v>3000</v>
      </c>
      <c r="V154">
        <v>0</v>
      </c>
      <c r="W154">
        <v>722650</v>
      </c>
      <c r="X154">
        <v>-8600.01</v>
      </c>
      <c r="Y154" t="s">
        <v>57</v>
      </c>
    </row>
    <row r="155" spans="1:25">
      <c r="A155" s="136" t="s">
        <v>628</v>
      </c>
      <c r="B155" s="132" t="s">
        <v>2083</v>
      </c>
      <c r="C155" s="132" t="s">
        <v>2046</v>
      </c>
      <c r="D155" s="132" t="s">
        <v>2047</v>
      </c>
      <c r="E155" s="132" t="s">
        <v>2084</v>
      </c>
      <c r="F155" s="132" t="s">
        <v>2085</v>
      </c>
      <c r="G155" s="142">
        <v>136800</v>
      </c>
      <c r="H155" s="142">
        <v>0</v>
      </c>
      <c r="I155" s="142">
        <v>136800</v>
      </c>
      <c r="J155" s="142">
        <v>722650</v>
      </c>
      <c r="K155" s="142">
        <v>128199.99</v>
      </c>
      <c r="L155" s="137" t="s">
        <v>2050</v>
      </c>
      <c r="N155" t="s">
        <v>628</v>
      </c>
      <c r="O155" t="s">
        <v>2083</v>
      </c>
      <c r="P155" t="s">
        <v>2046</v>
      </c>
      <c r="Q155" t="s">
        <v>2047</v>
      </c>
      <c r="R155" t="s">
        <v>2084</v>
      </c>
      <c r="S155" t="s">
        <v>2085</v>
      </c>
      <c r="T155">
        <v>136800</v>
      </c>
      <c r="U155">
        <v>0</v>
      </c>
      <c r="V155">
        <v>136800</v>
      </c>
      <c r="W155">
        <v>722650</v>
      </c>
      <c r="X155">
        <v>128199.99</v>
      </c>
      <c r="Y155" t="s">
        <v>2050</v>
      </c>
    </row>
    <row r="156" spans="1:25">
      <c r="A156" s="136" t="s">
        <v>628</v>
      </c>
      <c r="B156" s="132" t="s">
        <v>2083</v>
      </c>
      <c r="C156" s="132" t="s">
        <v>2042</v>
      </c>
      <c r="D156" s="132" t="s">
        <v>2094</v>
      </c>
      <c r="E156" s="132" t="s">
        <v>1640</v>
      </c>
      <c r="F156" s="132" t="s">
        <v>1607</v>
      </c>
      <c r="G156" s="142">
        <v>12000</v>
      </c>
      <c r="H156" s="142">
        <v>12000</v>
      </c>
      <c r="I156" s="142">
        <v>0</v>
      </c>
      <c r="J156" s="142">
        <v>734650</v>
      </c>
      <c r="K156" s="142">
        <v>128199.99</v>
      </c>
      <c r="L156" s="137" t="s">
        <v>61</v>
      </c>
      <c r="N156" t="s">
        <v>628</v>
      </c>
      <c r="O156" t="s">
        <v>2083</v>
      </c>
      <c r="P156" t="s">
        <v>2042</v>
      </c>
      <c r="Q156" t="s">
        <v>2094</v>
      </c>
      <c r="R156" t="s">
        <v>1640</v>
      </c>
      <c r="S156" t="s">
        <v>1607</v>
      </c>
      <c r="T156">
        <v>12000</v>
      </c>
      <c r="U156">
        <v>12000</v>
      </c>
      <c r="V156">
        <v>0</v>
      </c>
      <c r="W156">
        <v>734650</v>
      </c>
      <c r="X156">
        <v>128199.99</v>
      </c>
      <c r="Y156" t="s">
        <v>61</v>
      </c>
    </row>
    <row r="157" spans="1:25">
      <c r="A157" s="136" t="s">
        <v>1674</v>
      </c>
      <c r="B157" s="132" t="s">
        <v>2045</v>
      </c>
      <c r="C157" s="132" t="s">
        <v>2046</v>
      </c>
      <c r="D157" s="132" t="s">
        <v>2047</v>
      </c>
      <c r="E157" s="132" t="s">
        <v>2048</v>
      </c>
      <c r="F157" s="132" t="s">
        <v>2049</v>
      </c>
      <c r="G157" s="142">
        <v>119183.09</v>
      </c>
      <c r="H157" s="142">
        <v>0</v>
      </c>
      <c r="I157" s="142">
        <v>119183.09</v>
      </c>
      <c r="J157" s="142">
        <v>0</v>
      </c>
      <c r="K157" s="142">
        <v>119183.09</v>
      </c>
      <c r="L157" s="137" t="s">
        <v>2050</v>
      </c>
    </row>
    <row r="158" spans="1:25">
      <c r="A158" s="136" t="s">
        <v>1674</v>
      </c>
      <c r="B158" s="132" t="s">
        <v>2045</v>
      </c>
      <c r="C158" s="132" t="s">
        <v>2046</v>
      </c>
      <c r="D158" s="132" t="s">
        <v>2052</v>
      </c>
      <c r="E158" s="132" t="s">
        <v>1673</v>
      </c>
      <c r="F158" s="132" t="s">
        <v>1675</v>
      </c>
      <c r="G158" s="142">
        <v>127783.09</v>
      </c>
      <c r="H158" s="142">
        <v>0</v>
      </c>
      <c r="I158" s="142">
        <v>-127783.09</v>
      </c>
      <c r="J158" s="142">
        <v>0</v>
      </c>
      <c r="K158" s="142">
        <v>-8600</v>
      </c>
      <c r="L158" s="137" t="s">
        <v>69</v>
      </c>
    </row>
    <row r="159" spans="1:25">
      <c r="A159" s="136" t="s">
        <v>1674</v>
      </c>
      <c r="B159" s="132" t="s">
        <v>2054</v>
      </c>
      <c r="C159" s="132" t="s">
        <v>2046</v>
      </c>
      <c r="D159" s="132" t="s">
        <v>2047</v>
      </c>
      <c r="E159" s="132" t="s">
        <v>2055</v>
      </c>
      <c r="F159" s="132" t="s">
        <v>2056</v>
      </c>
      <c r="G159" s="142">
        <v>10310.9</v>
      </c>
      <c r="H159" s="142">
        <v>0</v>
      </c>
      <c r="I159" s="142">
        <v>10310.9</v>
      </c>
      <c r="J159" s="142">
        <v>0</v>
      </c>
      <c r="K159" s="142">
        <v>1710.9</v>
      </c>
      <c r="L159" s="137" t="s">
        <v>2050</v>
      </c>
    </row>
    <row r="160" spans="1:25">
      <c r="A160" s="136" t="s">
        <v>1674</v>
      </c>
      <c r="B160" s="132" t="s">
        <v>2054</v>
      </c>
      <c r="C160" s="132" t="s">
        <v>2046</v>
      </c>
      <c r="D160" s="132" t="s">
        <v>2052</v>
      </c>
      <c r="E160" s="132" t="s">
        <v>1678</v>
      </c>
      <c r="F160" s="132" t="s">
        <v>1679</v>
      </c>
      <c r="G160" s="142">
        <v>10310.91</v>
      </c>
      <c r="H160" s="142">
        <v>0</v>
      </c>
      <c r="I160" s="142">
        <v>-10310.91</v>
      </c>
      <c r="J160" s="142">
        <v>0</v>
      </c>
      <c r="K160" s="142">
        <v>-8600.01</v>
      </c>
      <c r="L160" s="137" t="s">
        <v>69</v>
      </c>
    </row>
    <row r="161" spans="1:12">
      <c r="A161" s="136" t="s">
        <v>1674</v>
      </c>
      <c r="B161" s="132" t="s">
        <v>2060</v>
      </c>
      <c r="C161" s="132" t="s">
        <v>2046</v>
      </c>
      <c r="D161" s="132" t="s">
        <v>2047</v>
      </c>
      <c r="E161" s="132" t="s">
        <v>2061</v>
      </c>
      <c r="F161" s="132" t="s">
        <v>2062</v>
      </c>
      <c r="G161" s="142">
        <v>77421.02</v>
      </c>
      <c r="H161" s="142">
        <v>0</v>
      </c>
      <c r="I161" s="142">
        <v>77421.02</v>
      </c>
      <c r="J161" s="142">
        <v>0</v>
      </c>
      <c r="K161" s="142">
        <v>68821.009999999995</v>
      </c>
      <c r="L161" s="137" t="s">
        <v>2050</v>
      </c>
    </row>
    <row r="162" spans="1:12">
      <c r="A162" s="136" t="s">
        <v>1674</v>
      </c>
      <c r="B162" s="132" t="s">
        <v>2060</v>
      </c>
      <c r="C162" s="132" t="s">
        <v>2046</v>
      </c>
      <c r="D162" s="132" t="s">
        <v>2052</v>
      </c>
      <c r="E162" s="132" t="s">
        <v>1682</v>
      </c>
      <c r="F162" s="132" t="s">
        <v>1683</v>
      </c>
      <c r="G162" s="142">
        <v>77421.02</v>
      </c>
      <c r="H162" s="142">
        <v>0</v>
      </c>
      <c r="I162" s="142">
        <v>-77421.02</v>
      </c>
      <c r="J162" s="142">
        <v>0</v>
      </c>
      <c r="K162" s="142">
        <v>-8600.01</v>
      </c>
      <c r="L162" s="137" t="s">
        <v>69</v>
      </c>
    </row>
    <row r="163" spans="1:12">
      <c r="A163" s="136" t="s">
        <v>1674</v>
      </c>
      <c r="B163" s="132" t="s">
        <v>2064</v>
      </c>
      <c r="C163" s="132" t="s">
        <v>2046</v>
      </c>
      <c r="D163" s="132" t="s">
        <v>2047</v>
      </c>
      <c r="E163" s="132" t="s">
        <v>2065</v>
      </c>
      <c r="F163" s="132" t="s">
        <v>2066</v>
      </c>
      <c r="G163" s="142">
        <v>137353</v>
      </c>
      <c r="H163" s="142">
        <v>0</v>
      </c>
      <c r="I163" s="142">
        <v>137353</v>
      </c>
      <c r="J163" s="142">
        <v>0</v>
      </c>
      <c r="K163" s="142">
        <v>128752.99</v>
      </c>
      <c r="L163" s="137" t="s">
        <v>2050</v>
      </c>
    </row>
    <row r="164" spans="1:12">
      <c r="A164" s="136" t="s">
        <v>1674</v>
      </c>
      <c r="B164" s="132" t="s">
        <v>2064</v>
      </c>
      <c r="C164" s="132" t="s">
        <v>2046</v>
      </c>
      <c r="D164" s="132" t="s">
        <v>2052</v>
      </c>
      <c r="E164" s="132" t="s">
        <v>1686</v>
      </c>
      <c r="F164" s="132" t="s">
        <v>1687</v>
      </c>
      <c r="G164" s="142">
        <v>137353</v>
      </c>
      <c r="H164" s="142">
        <v>0</v>
      </c>
      <c r="I164" s="142">
        <v>-137353</v>
      </c>
      <c r="J164" s="142">
        <v>0</v>
      </c>
      <c r="K164" s="142">
        <v>-8600.01</v>
      </c>
      <c r="L164" s="137" t="s">
        <v>69</v>
      </c>
    </row>
    <row r="165" spans="1:12">
      <c r="A165" s="136" t="s">
        <v>1674</v>
      </c>
      <c r="B165" s="132" t="s">
        <v>2069</v>
      </c>
      <c r="C165" s="132" t="s">
        <v>2046</v>
      </c>
      <c r="D165" s="132" t="s">
        <v>2047</v>
      </c>
      <c r="E165" s="132" t="s">
        <v>2070</v>
      </c>
      <c r="F165" s="132" t="s">
        <v>2071</v>
      </c>
      <c r="G165" s="142">
        <v>109773</v>
      </c>
      <c r="H165" s="142">
        <v>0</v>
      </c>
      <c r="I165" s="142">
        <v>109773</v>
      </c>
      <c r="J165" s="142">
        <v>0</v>
      </c>
      <c r="K165" s="142">
        <v>101172.99</v>
      </c>
      <c r="L165" s="137" t="s">
        <v>2050</v>
      </c>
    </row>
    <row r="166" spans="1:12">
      <c r="A166" s="136" t="s">
        <v>1674</v>
      </c>
      <c r="B166" s="132" t="s">
        <v>2069</v>
      </c>
      <c r="C166" s="132" t="s">
        <v>2046</v>
      </c>
      <c r="D166" s="132" t="s">
        <v>2052</v>
      </c>
      <c r="E166" s="132" t="s">
        <v>1690</v>
      </c>
      <c r="F166" s="132" t="s">
        <v>1691</v>
      </c>
      <c r="G166" s="142">
        <v>109773</v>
      </c>
      <c r="H166" s="142">
        <v>0</v>
      </c>
      <c r="I166" s="142">
        <v>-109773</v>
      </c>
      <c r="J166" s="142">
        <v>0</v>
      </c>
      <c r="K166" s="142">
        <v>-8600.01</v>
      </c>
      <c r="L166" s="137" t="s">
        <v>69</v>
      </c>
    </row>
    <row r="167" spans="1:12">
      <c r="A167" s="136" t="s">
        <v>1674</v>
      </c>
      <c r="B167" s="132" t="s">
        <v>2073</v>
      </c>
      <c r="C167" s="132" t="s">
        <v>2046</v>
      </c>
      <c r="D167" s="132" t="s">
        <v>2047</v>
      </c>
      <c r="E167" s="132" t="s">
        <v>2074</v>
      </c>
      <c r="F167" s="132" t="s">
        <v>2075</v>
      </c>
      <c r="G167" s="142">
        <v>113720</v>
      </c>
      <c r="H167" s="142">
        <v>0</v>
      </c>
      <c r="I167" s="142">
        <v>113720</v>
      </c>
      <c r="J167" s="142">
        <v>0</v>
      </c>
      <c r="K167" s="142">
        <v>105119.99</v>
      </c>
      <c r="L167" s="137" t="s">
        <v>2050</v>
      </c>
    </row>
    <row r="168" spans="1:12">
      <c r="A168" s="136" t="s">
        <v>1674</v>
      </c>
      <c r="B168" s="132" t="s">
        <v>2073</v>
      </c>
      <c r="C168" s="132" t="s">
        <v>2046</v>
      </c>
      <c r="D168" s="132" t="s">
        <v>2052</v>
      </c>
      <c r="E168" s="132" t="s">
        <v>1694</v>
      </c>
      <c r="F168" s="132" t="s">
        <v>1695</v>
      </c>
      <c r="G168" s="142">
        <v>113720</v>
      </c>
      <c r="H168" s="142">
        <v>0</v>
      </c>
      <c r="I168" s="142">
        <v>-113720</v>
      </c>
      <c r="J168" s="142">
        <v>0</v>
      </c>
      <c r="K168" s="142">
        <v>-8600.01</v>
      </c>
      <c r="L168" s="137" t="s">
        <v>69</v>
      </c>
    </row>
    <row r="169" spans="1:12">
      <c r="A169" s="136" t="s">
        <v>1674</v>
      </c>
      <c r="B169" s="132" t="s">
        <v>2078</v>
      </c>
      <c r="C169" s="132" t="s">
        <v>2046</v>
      </c>
      <c r="D169" s="132" t="s">
        <v>2047</v>
      </c>
      <c r="E169" s="132" t="s">
        <v>2079</v>
      </c>
      <c r="F169" s="132" t="s">
        <v>2080</v>
      </c>
      <c r="G169" s="142">
        <v>58370</v>
      </c>
      <c r="H169" s="142">
        <v>0</v>
      </c>
      <c r="I169" s="142">
        <v>58370</v>
      </c>
      <c r="J169" s="142">
        <v>0</v>
      </c>
      <c r="K169" s="142">
        <v>49769.99</v>
      </c>
      <c r="L169" s="137" t="s">
        <v>2050</v>
      </c>
    </row>
    <row r="170" spans="1:12">
      <c r="A170" s="136" t="s">
        <v>1674</v>
      </c>
      <c r="B170" s="132" t="s">
        <v>2078</v>
      </c>
      <c r="C170" s="132" t="s">
        <v>2046</v>
      </c>
      <c r="D170" s="132" t="s">
        <v>2052</v>
      </c>
      <c r="E170" s="132" t="s">
        <v>1698</v>
      </c>
      <c r="F170" s="132" t="s">
        <v>1699</v>
      </c>
      <c r="G170" s="142">
        <v>58370</v>
      </c>
      <c r="H170" s="142">
        <v>0</v>
      </c>
      <c r="I170" s="142">
        <v>-58370</v>
      </c>
      <c r="J170" s="142">
        <v>0</v>
      </c>
      <c r="K170" s="142">
        <v>-8600.01</v>
      </c>
      <c r="L170" s="137" t="s">
        <v>69</v>
      </c>
    </row>
    <row r="171" spans="1:12">
      <c r="A171" s="138" t="s">
        <v>1674</v>
      </c>
      <c r="B171" s="139" t="s">
        <v>2083</v>
      </c>
      <c r="C171" s="139" t="s">
        <v>2046</v>
      </c>
      <c r="D171" s="139" t="s">
        <v>2047</v>
      </c>
      <c r="E171" s="139" t="s">
        <v>2084</v>
      </c>
      <c r="F171" s="139" t="s">
        <v>2085</v>
      </c>
      <c r="G171" s="143">
        <v>136800</v>
      </c>
      <c r="H171" s="143">
        <v>0</v>
      </c>
      <c r="I171" s="143">
        <v>136800</v>
      </c>
      <c r="J171" s="143">
        <v>0</v>
      </c>
      <c r="K171" s="143">
        <v>128199.99</v>
      </c>
      <c r="L171" s="140" t="s">
        <v>2050</v>
      </c>
    </row>
  </sheetData>
  <sheetProtection password="CC3D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19</vt:i4>
      </vt:variant>
      <vt:variant>
        <vt:lpstr>Adlandırılmış Aralıklar</vt:lpstr>
      </vt:variant>
      <vt:variant>
        <vt:i4>7</vt:i4>
      </vt:variant>
    </vt:vector>
  </HeadingPairs>
  <TitlesOfParts>
    <vt:vector size="26" baseType="lpstr">
      <vt:lpstr>MENU</vt:lpstr>
      <vt:lpstr>PANO</vt:lpstr>
      <vt:lpstr>BASLANGIC</vt:lpstr>
      <vt:lpstr>RAPOR</vt:lpstr>
      <vt:lpstr>MUSTERILER</vt:lpstr>
      <vt:lpstr>UCRETLER</vt:lpstr>
      <vt:lpstr>TAHSILAT</vt:lpstr>
      <vt:lpstr>GELIR_GIDER</vt:lpstr>
      <vt:lpstr>VIRMAN</vt:lpstr>
      <vt:lpstr>MUSTERI_360</vt:lpstr>
      <vt:lpstr>CARI_EKSTRE</vt:lpstr>
      <vt:lpstr>ORTAK_EKSTRE</vt:lpstr>
      <vt:lpstr>HESAPLAR</vt:lpstr>
      <vt:lpstr>AY_SONU</vt:lpstr>
      <vt:lpstr>ORTAKLAR</vt:lpstr>
      <vt:lpstr>KAR</vt:lpstr>
      <vt:lpstr>KONTROL</vt:lpstr>
      <vt:lpstr>SISTEM</vt:lpstr>
      <vt:lpstr>_ARA_ORTAK_EKSTRE</vt:lpstr>
      <vt:lpstr>LST_BORCLU_TARAF</vt:lpstr>
      <vt:lpstr>LST_HESAP</vt:lpstr>
      <vt:lpstr>LST_MUSTERI_ADI</vt:lpstr>
      <vt:lpstr>LST_MUSTERI_NO</vt:lpstr>
      <vt:lpstr>LST_ORTAK</vt:lpstr>
      <vt:lpstr>LST_ORTAKLAR</vt:lpstr>
      <vt:lpstr>LST_VIRMAN_SINIF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barıs bagırlar</cp:lastModifiedBy>
  <dcterms:created xsi:type="dcterms:W3CDTF">2026-08-28T11:06:24Z</dcterms:created>
  <dcterms:modified xsi:type="dcterms:W3CDTF">2026-08-28T11:12:19Z</dcterms:modified>
</cp:coreProperties>
</file>